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5"/>
    <sheet state="visible" name="List of activities" sheetId="2" r:id="rId6"/>
    <sheet state="visible" name="Completion rates" sheetId="3" r:id="rId7"/>
    <sheet state="visible" name="List of log slots" sheetId="4" r:id="rId8"/>
    <sheet state="hidden" name="Activity map" sheetId="5" r:id="rId9"/>
    <sheet state="visible" name="Difficulty stats" sheetId="6" r:id="rId10"/>
    <sheet state="visible" name="Change log and credits" sheetId="7" r:id="rId11"/>
    <sheet state="hidden" name="API import" sheetId="8" r:id="rId12"/>
  </sheets>
  <definedNames>
    <definedName hidden="1" localSheetId="1" name="_xlnm._FilterDatabase">'List of activities'!$A$1:$U$251</definedName>
  </definedNames>
  <calcPr/>
</workbook>
</file>

<file path=xl/sharedStrings.xml><?xml version="1.0" encoding="utf-8"?>
<sst xmlns="http://schemas.openxmlformats.org/spreadsheetml/2006/main" count="2552" uniqueCount="2174">
  <si>
    <t>Log Adviser</t>
  </si>
  <si>
    <t>A spreadsheet by Main Mukkor</t>
  </si>
  <si>
    <t>Release version:</t>
  </si>
  <si>
    <r>
      <rPr>
        <rFont val="Arial"/>
        <sz val="18.0"/>
      </rPr>
      <t xml:space="preserve">Check the #log-adviser channel in the </t>
    </r>
    <r>
      <rPr>
        <rFont val="Arial"/>
        <color rgb="FF1155CC"/>
        <sz val="18.0"/>
        <u/>
      </rPr>
      <t>Log Hunters Discord server</t>
    </r>
    <r>
      <rPr>
        <rFont val="Arial"/>
        <sz val="18.0"/>
      </rPr>
      <t xml:space="preserve"> to see how to give feedback.</t>
    </r>
  </si>
  <si>
    <t>How to use this sheet:</t>
  </si>
  <si>
    <t>If you want to know which activities give fast log slots for a beginner:</t>
  </si>
  <si>
    <t>1. Go to the "List of activities" tab and create a filtered view.</t>
  </si>
  <si>
    <t xml:space="preserve">    Data -&gt; Create filter view</t>
  </si>
  <si>
    <t xml:space="preserve"> </t>
  </si>
  <si>
    <t>2. Sort the "Time to next log slot" column in the filter view from A-Z.</t>
  </si>
  <si>
    <t>If you want to know which activities give the fastest log slots for you:</t>
  </si>
  <si>
    <t>1. Sign in to your Google account.</t>
  </si>
  <si>
    <t>2. Make a copy (File -&gt; Make a copy) and use that copy.</t>
  </si>
  <si>
    <t>3. Upload your log using the TempleOSRS plugin.*</t>
  </si>
  <si>
    <r>
      <rPr>
        <rFont val="Arial"/>
        <sz val="16.0"/>
      </rPr>
      <t xml:space="preserve">    a. Make sure your </t>
    </r>
    <r>
      <rPr>
        <rFont val="Arial"/>
        <color rgb="FF1155CC"/>
        <sz val="16.0"/>
        <u/>
      </rPr>
      <t>templeosrs.com</t>
    </r>
    <r>
      <rPr>
        <rFont val="Arial"/>
        <sz val="16.0"/>
      </rPr>
      <t xml:space="preserve"> profile exists. If it doesn't,</t>
    </r>
  </si>
  <si>
    <t xml:space="preserve">        search for your username, then press the "Update Player" button. </t>
  </si>
  <si>
    <t xml:space="preserve">    b. Install the TempleOSRS plugin from the RuneLite plugin hub if you haven't yet.</t>
  </si>
  <si>
    <t xml:space="preserve">    c. Log in to the account you want to upload log data from on RuneLite.</t>
  </si>
  <si>
    <t xml:space="preserve">    d. Open the collection log, then click the "Temple sync" button in the top right corner.</t>
  </si>
  <si>
    <r>
      <rPr>
        <rFont val="Arial"/>
        <sz val="16.0"/>
      </rPr>
      <t xml:space="preserve">        Optionally set up auto-sync: </t>
    </r>
    <r>
      <rPr>
        <rFont val="Arial"/>
        <color rgb="FF1155CC"/>
        <sz val="16.0"/>
        <u/>
      </rPr>
      <t>https://templeosrs.com/faq.php#FAQ_23</t>
    </r>
  </si>
  <si>
    <t xml:space="preserve">    You can check if it worked by viewing the "Collection Log" tab of your Temple profile.</t>
  </si>
  <si>
    <t>* You could use the manual override feature on the "List of log slots" tab if you don't want to do an automatic import (click the check boxes), then skip to step 5.</t>
  </si>
  <si>
    <t>Use Ironman rates</t>
  </si>
  <si>
    <t>4. Input your username to automatically import your log:</t>
  </si>
  <si>
    <t xml:space="preserve">    You can refresh by changing the username here if you're using the Temple API.</t>
  </si>
  <si>
    <t xml:space="preserve">    You'll have to press "Temple sync" for each new log unless you set up auto-sync.</t>
  </si>
  <si>
    <t xml:space="preserve">    Check the checkbox if you're an Ironman to use Ironman rates instead of Main rates.</t>
  </si>
  <si>
    <t>5. Go to the "List of activities" tab and create a filtered view.</t>
  </si>
  <si>
    <t>6. Sort the "Time to next log slot" column in the filter view from A-Z.</t>
  </si>
  <si>
    <t>Other cool stuff you can do:</t>
  </si>
  <si>
    <t>Sort by other columns!</t>
  </si>
  <si>
    <t xml:space="preserve">    Try sorting by "Slots left" or "% complete" or "Difficulty" instead of "Time to next log slot".</t>
  </si>
  <si>
    <t>Difficulty stats and filtering!</t>
  </si>
  <si>
    <t xml:space="preserve">    Check out the "Difficulty stats" tab to check your progress on collection logs for each difficulty rating from 1-10.</t>
  </si>
  <si>
    <t xml:space="preserve">    Also try filtering the "List of log slots" by difficulty rating! Create a filter view, then click the top right of the slot</t>
  </si>
  <si>
    <t xml:space="preserve">    difficulty column to bring up the filter options. e.g. Uncheck the difficulties 2-10 to see only difficulty 1 items.</t>
  </si>
  <si>
    <t>Manual Override!</t>
  </si>
  <si>
    <t xml:space="preserve">    Use the check boxes on the "List of log slots" tab to tell Log Adviser to ignore that item. </t>
  </si>
  <si>
    <t xml:space="preserve">    e.g. You don't want Log Adviser to recommend it, or you want to see the next item in an activity.</t>
  </si>
  <si>
    <t>Customize your Log Adviser!</t>
  </si>
  <si>
    <t xml:space="preserve">    Go to the "Completion rates" tab and adjust each activity to match your ability to do it.</t>
  </si>
  <si>
    <t xml:space="preserve">    For example: Increase time to first completion for the Inferno if you need to learn it.</t>
  </si>
  <si>
    <t>FAQ:</t>
  </si>
  <si>
    <t>Why are Corporeal Beast kills and Last Man Standing wins so fast?</t>
  </si>
  <si>
    <t>Since the sheet uses EHC rates, it assumes you'll be doing 2+6+6 boosting for Corporeal Beast and filling games</t>
  </si>
  <si>
    <t>with your alts for Last Man Standing. If you don't plan on doing those methods, feel free to change the rates.</t>
  </si>
  <si>
    <t>to better fit your method in the "Completion Rates" tab.</t>
  </si>
  <si>
    <t>Future improvements:</t>
  </si>
  <si>
    <t>I'm looking for suggestions! What features would you like to see added to Log Adviser?</t>
  </si>
  <si>
    <t>Items without an activity:</t>
  </si>
  <si>
    <t>Count:</t>
  </si>
  <si>
    <t>Barronite mace (0 time reward for getting the 3 pieces)</t>
  </si>
  <si>
    <t xml:space="preserve">Champion's cape (Basically 0 time reward for finishing the rest of the Champion's Challenge log) </t>
  </si>
  <si>
    <t>Total:</t>
  </si>
  <si>
    <t>Index</t>
  </si>
  <si>
    <t>Activity name</t>
  </si>
  <si>
    <t>Completions/hr</t>
  </si>
  <si>
    <t>Extra time to first completion (hours)</t>
  </si>
  <si>
    <t>Effective droprate (neither)</t>
  </si>
  <si>
    <t>Time to neither</t>
  </si>
  <si>
    <t>Effective droprate (independent)</t>
  </si>
  <si>
    <t>Time to independent</t>
  </si>
  <si>
    <t>Effective droprate (exact)</t>
  </si>
  <si>
    <t>Time to exact</t>
  </si>
  <si>
    <t>Effective droprate (E&amp;I)</t>
  </si>
  <si>
    <t>Time to E&amp;I</t>
  </si>
  <si>
    <t>Fastest Item ID</t>
  </si>
  <si>
    <t>Easiest Item ID</t>
  </si>
  <si>
    <t>Time to next log slot</t>
  </si>
  <si>
    <t>Fastest slot</t>
  </si>
  <si>
    <t>Slots left</t>
  </si>
  <si>
    <t>Slots total</t>
  </si>
  <si>
    <t>% complete</t>
  </si>
  <si>
    <t>Difficulty</t>
  </si>
  <si>
    <t>Easiest slot</t>
  </si>
  <si>
    <t>Completions/hr (main)</t>
  </si>
  <si>
    <t>Completions/hr (iron)</t>
  </si>
  <si>
    <t>Notes</t>
  </si>
  <si>
    <t>Verification source</t>
  </si>
  <si>
    <t>Killing abyssal sire (on task)</t>
  </si>
  <si>
    <t>TempleOSRS EHB.</t>
  </si>
  <si>
    <t>Killing alchemical hydra (on task)</t>
  </si>
  <si>
    <t>Killing amoxliatl</t>
  </si>
  <si>
    <t>Killing araxxor (on task)</t>
  </si>
  <si>
    <t>Opening barrows chests</t>
  </si>
  <si>
    <t>Killing bryophyta</t>
  </si>
  <si>
    <t>-</t>
  </si>
  <si>
    <t>Killing artio</t>
  </si>
  <si>
    <t>Killing cerberus (on task)</t>
  </si>
  <si>
    <t>Killing chaos elemental</t>
  </si>
  <si>
    <t>Killing chaos fanatic</t>
  </si>
  <si>
    <t>Killing commander zilyana</t>
  </si>
  <si>
    <t>Killing corporeal beast</t>
  </si>
  <si>
    <t>Mains: Corp boosting 2+6+6.</t>
  </si>
  <si>
    <t>Killing crazy archaeologist</t>
  </si>
  <si>
    <t>Killing dagganoth kings (3 kills = 1 of each king)</t>
  </si>
  <si>
    <t>Killing deranged archaeologist</t>
  </si>
  <si>
    <t>Delving to depth 10 (doom of mokhaiotl)</t>
  </si>
  <si>
    <t>The deeper, the better. 10 is arbitrary but pretty good.</t>
  </si>
  <si>
    <t>Widega</t>
  </si>
  <si>
    <t>Killing duke sucellus</t>
  </si>
  <si>
    <t>Dono &amp; Greg</t>
  </si>
  <si>
    <t>Finishing fight caves (and gambling cape, on task)</t>
  </si>
  <si>
    <t>Killing sol heredit (and gambling quiver, fortis colosseum)</t>
  </si>
  <si>
    <t>Opening reward chest (gauntlet)</t>
  </si>
  <si>
    <t>Not recommended, do CG instead.</t>
  </si>
  <si>
    <t>Opening reward chest (corrupted gauntlet)</t>
  </si>
  <si>
    <t>Killing general graardor</t>
  </si>
  <si>
    <t>Killing giant mole</t>
  </si>
  <si>
    <t>Killing grotesque guardians (on task)</t>
  </si>
  <si>
    <t>Harvesting hespori</t>
  </si>
  <si>
    <t>Killing the hueycoatl (1+2)</t>
  </si>
  <si>
    <t>Finishing inferno (and gambling cape, on task)</t>
  </si>
  <si>
    <t>Killing kalphite queen</t>
  </si>
  <si>
    <t>Killing king black dragon</t>
  </si>
  <si>
    <t>Killing kraken (on task)</t>
  </si>
  <si>
    <t>Killing kree'arra</t>
  </si>
  <si>
    <t>Killing k'ril tsutsaroth</t>
  </si>
  <si>
    <t>Killing the leviathan</t>
  </si>
  <si>
    <t>Killing eclipse moon (moons of peril)</t>
  </si>
  <si>
    <t>Killing blue moon (moons of peril)</t>
  </si>
  <si>
    <t>Killing blood moon (moons of peril)</t>
  </si>
  <si>
    <t>Killing nex (6 person team)</t>
  </si>
  <si>
    <t>Killing the nightmare of ashihama (5 person team)</t>
  </si>
  <si>
    <t>Not recommended, do Phosani's instead.</t>
  </si>
  <si>
    <t>Killing phosani's nightmare</t>
  </si>
  <si>
    <t>Killing obor</t>
  </si>
  <si>
    <t>Killing phantom muspah</t>
  </si>
  <si>
    <t>Looting branda, the fire queen (royal titans)</t>
  </si>
  <si>
    <t>Looting eldric, the ice king (royal titans)</t>
  </si>
  <si>
    <t>Killing sarachnis</t>
  </si>
  <si>
    <t>Killing scorpia</t>
  </si>
  <si>
    <t>Killing scurrius</t>
  </si>
  <si>
    <t>Killing shellbane gryphon (on task)</t>
  </si>
  <si>
    <t>Killing skotizo</t>
  </si>
  <si>
    <t>Includes time to farm dark totems.</t>
  </si>
  <si>
    <t>Fishing from the reward pool (tempoross)</t>
  </si>
  <si>
    <t>Killing thermonuclear smoke devil (on task)</t>
  </si>
  <si>
    <t>Killing vardorvis</t>
  </si>
  <si>
    <t>Killing spindel</t>
  </si>
  <si>
    <t>Killing calvar'ion</t>
  </si>
  <si>
    <t>Killing vorkath</t>
  </si>
  <si>
    <t>Killing the whisperer</t>
  </si>
  <si>
    <t>Searching the reward cart (wintertodt)</t>
  </si>
  <si>
    <t>Defeating yama (duo)</t>
  </si>
  <si>
    <t>Solo is similar rate for everything except pet.</t>
  </si>
  <si>
    <t>Killing zalcano (1-down teams)</t>
  </si>
  <si>
    <t>Smallest team that can get 1 downs (7 or 8).</t>
  </si>
  <si>
    <t>Killing zulrah</t>
  </si>
  <si>
    <t>Ancient chest (chambers of xeric)</t>
  </si>
  <si>
    <t>Not recommended, do CMs instead for capes.</t>
  </si>
  <si>
    <t>Ancient chest (chambers of xeric challenge mode)</t>
  </si>
  <si>
    <t>Theater of blood (4 person team)</t>
  </si>
  <si>
    <t>Theater of blood hard mode (4 person team)</t>
  </si>
  <si>
    <t>Tombs of amascut reward chests (150)</t>
  </si>
  <si>
    <t>Tombs of amascut reward chests (300)</t>
  </si>
  <si>
    <t>Tombs of amascut reward chests (500)</t>
  </si>
  <si>
    <t>Completing tombs of amascut challenges</t>
  </si>
  <si>
    <t>Opening beginner caskets</t>
  </si>
  <si>
    <t>Opening easy caskets</t>
  </si>
  <si>
    <t>TheRealOne's EHC Hiscores.</t>
  </si>
  <si>
    <t>Opening medium caskets</t>
  </si>
  <si>
    <t>Opening hard caskets</t>
  </si>
  <si>
    <t>Opening elite caskets</t>
  </si>
  <si>
    <t>Mains: Doing is 10/hr, obtaining is 2/hr.</t>
  </si>
  <si>
    <t>Opening master caskets</t>
  </si>
  <si>
    <t>Mains: Doing is 6/hr, obtaining is 2/hr.</t>
  </si>
  <si>
    <t>Barbarian assault high gambles (or 500 points)</t>
  </si>
  <si>
    <t>Assumes boosting.</t>
  </si>
  <si>
    <t>Completing tempor tantrum barracuda trials</t>
  </si>
  <si>
    <t>Rosewood hull.</t>
  </si>
  <si>
    <t>Completing jubbly jive barracuda trials</t>
  </si>
  <si>
    <t>Completing gwenith glide barracuda trials</t>
  </si>
  <si>
    <t>Getting brimhaven vouchers</t>
  </si>
  <si>
    <t>Getting castle wars tickets</t>
  </si>
  <si>
    <t>3+1. Official world solo is only about 10% worse.</t>
  </si>
  <si>
    <t>Completing rounds of fishing trawler</t>
  </si>
  <si>
    <t>Earning giants' foundry reputation</t>
  </si>
  <si>
    <t>Gnome restaurant deliveries (seed pods)</t>
  </si>
  <si>
    <t>Gnome restaurant deliveries (scarfs and goggles)</t>
  </si>
  <si>
    <t>Pulling from the reward guardian (guardians of the rift)</t>
  </si>
  <si>
    <t>Looting hallowed marks (hallowed sepulchre)</t>
  </si>
  <si>
    <t>Looting the grand hallowed coffin (hallowed sepulchre)</t>
  </si>
  <si>
    <t>Earning last man standing points</t>
  </si>
  <si>
    <t>Assumes you fill games with your alts.</t>
  </si>
  <si>
    <t>Surviving the round (last man standing)</t>
  </si>
  <si>
    <t>Wasting hours at the magic training arena</t>
  </si>
  <si>
    <t>Earning mahogany homes carpenter points</t>
  </si>
  <si>
    <t>Collecting resin (mastering mixology)</t>
  </si>
  <si>
    <t>Getting commendation points (pest control)</t>
  </si>
  <si>
    <t>Veteran lander + Hard combat achievements.</t>
  </si>
  <si>
    <t>Stealing from the rogues' den maze</t>
  </si>
  <si>
    <t>Opening chests with shades of mort'ton keys</t>
  </si>
  <si>
    <t>Buy shade remains.</t>
  </si>
  <si>
    <t>Earning soul wars zeal</t>
  </si>
  <si>
    <t>With an alt.</t>
  </si>
  <si>
    <t>Finding lumberjack zombie events (temple trekking)</t>
  </si>
  <si>
    <t>Earning tithe farm reward points</t>
  </si>
  <si>
    <t>Earning pieces of eight (trouble brewing)</t>
  </si>
  <si>
    <t>2 alts. Use 275/hr for no alts.</t>
  </si>
  <si>
    <t>Rummaging vale offerings (vale totems)</t>
  </si>
  <si>
    <t>Earning volcanic mine reward points</t>
  </si>
  <si>
    <t>Collecting pearls while aerial fishing</t>
  </si>
  <si>
    <t>Opening barronite deposits in camdozaal</t>
  </si>
  <si>
    <t>Fishing in camdozaal</t>
  </si>
  <si>
    <t>Killing chaos golems in camdozaal</t>
  </si>
  <si>
    <t>Killing earth warriors (champion's challenge)</t>
  </si>
  <si>
    <t>Cannon + Webweaver or chainmace in Edgeville Dungeon.</t>
  </si>
  <si>
    <t>Killing ghouls (champion's challenge)</t>
  </si>
  <si>
    <t>Cannon + Blowpipe in the Salve Graveyard.</t>
  </si>
  <si>
    <t>Killing giants (champion's challenge)</t>
  </si>
  <si>
    <t>Cannon + Blowpipe in the Shayzien Giant Pit.</t>
  </si>
  <si>
    <t>Killing goblins (champion's challenge)</t>
  </si>
  <si>
    <t>Cannon + Blowpipe in Lumbridge/Draynor.</t>
  </si>
  <si>
    <t>Killing hobgoblins (champion's challenge)</t>
  </si>
  <si>
    <t>Cannon + Blowpipe at the peninsula east of Hosidius.</t>
  </si>
  <si>
    <t>Killing imps (champion's challenge)</t>
  </si>
  <si>
    <t>Cannon at Hosidius and blowpipe at Monastery.</t>
  </si>
  <si>
    <t>Killing jogres (champion's challenge)</t>
  </si>
  <si>
    <t>Cannon + Blowpipe in the Pothole Dungeon.</t>
  </si>
  <si>
    <t>Killing lesser demons (champion's challenge)</t>
  </si>
  <si>
    <t>Cannon + Webweaver bow in the Wilderness Slayer cave.</t>
  </si>
  <si>
    <t>Killing skeletons (champion's challenge)</t>
  </si>
  <si>
    <t>Chins on Skeletal Monkeys in the MM1 dungeon.</t>
  </si>
  <si>
    <t>Killing zombies (champion's challenge)</t>
  </si>
  <si>
    <t>Cannon + Webweaver bow on Undead Pirates.</t>
  </si>
  <si>
    <t>Killing elder chaos druids</t>
  </si>
  <si>
    <t>Cannon + Webweaver bow.</t>
  </si>
  <si>
    <t>Killing chompies</t>
  </si>
  <si>
    <t>Collecting termites (colossal wyrm agility)</t>
  </si>
  <si>
    <t>Killing frogeels (creature creation)</t>
  </si>
  <si>
    <t>Killing unicows (creature creation)</t>
  </si>
  <si>
    <t>Killing spidines (creature creation)</t>
  </si>
  <si>
    <t>Killing swordchicks (creature creation)</t>
  </si>
  <si>
    <t>Killing jubsters (creature creation)</t>
  </si>
  <si>
    <t>Killing newtroosts (creature creation)</t>
  </si>
  <si>
    <t>Killing cyclopes at the warriors' guild</t>
  </si>
  <si>
    <t>Collecting anima-infused bark (forestry)</t>
  </si>
  <si>
    <t xml:space="preserve">TheRealOne's EHC Hiscores. </t>
  </si>
  <si>
    <t>Doing entling events for god eggs</t>
  </si>
  <si>
    <t>Use Forestry CC to find the entlings.</t>
  </si>
  <si>
    <t>#forestry-scout-calls</t>
  </si>
  <si>
    <t>Spending 100 numulite at the fossil island notes chest</t>
  </si>
  <si>
    <t>Bring about 10000 numulite to be safe.</t>
  </si>
  <si>
    <t>Killing demonic gorillas</t>
  </si>
  <si>
    <t>Opening hunters' loot sacks (hunters' rumours)</t>
  </si>
  <si>
    <t>After you have a good blocklist set up.</t>
  </si>
  <si>
    <t>Exploring sailing islands</t>
  </si>
  <si>
    <t>Running laps of monkey agility</t>
  </si>
  <si>
    <t>Collecting gold nuggets at the motherlode mine</t>
  </si>
  <si>
    <t>Looting skeletons in the ancient cavern (my notes / ancient page)</t>
  </si>
  <si>
    <t>Not recommended, do mithril dragons instead.</t>
  </si>
  <si>
    <t>Giving items to the clam (ocean encounters)</t>
  </si>
  <si>
    <t>Waiting for random events</t>
  </si>
  <si>
    <t>Don't try to force this one.</t>
  </si>
  <si>
    <t>Killing revenants (demon cyclops quads, skulled, off task)</t>
  </si>
  <si>
    <t>Killing revenants (demon cyclops quads, skulled, skipping for task)</t>
  </si>
  <si>
    <t>Turael only resets Wildy task streak. 32 Turael skips/hr.</t>
  </si>
  <si>
    <t>Collecting marks of grace (rooftop agility)</t>
  </si>
  <si>
    <t>Ardougne is fastest.</t>
  </si>
  <si>
    <t>Killing frost dragons</t>
  </si>
  <si>
    <t>Killing orcas (boat combat)</t>
  </si>
  <si>
    <t>Killing albatross (boat combat)</t>
  </si>
  <si>
    <t>Killing narwhal (boat combat)</t>
  </si>
  <si>
    <t>Killing stingray (boat combat)</t>
  </si>
  <si>
    <t>Killing great white shark (boat combat)</t>
  </si>
  <si>
    <t>Killing vampyre kraken (boat combat)</t>
  </si>
  <si>
    <t>Sorting through small salvage</t>
  </si>
  <si>
    <t>Sorting through fishy salvage</t>
  </si>
  <si>
    <t>Sorting through barracuda salvage</t>
  </si>
  <si>
    <t>Sorting through large salvage</t>
  </si>
  <si>
    <t>Sorting through plundered salvage</t>
  </si>
  <si>
    <t>Sorting through martial salvage</t>
  </si>
  <si>
    <t>Sorting through fremennik salvage</t>
  </si>
  <si>
    <t>Sorting through opulent salvage</t>
  </si>
  <si>
    <t>Killing soldiers in the shayzien combat ring</t>
  </si>
  <si>
    <t>Mining stardust from shooting stars</t>
  </si>
  <si>
    <t xml:space="preserve">Fishing (2-tick tuna and swordfish) </t>
  </si>
  <si>
    <t>Check Petcord.</t>
  </si>
  <si>
    <t>Mining (gemstone rocks)</t>
  </si>
  <si>
    <t>Woodcutting (1.5-tick teaks)</t>
  </si>
  <si>
    <t>Hunting chinchompas (black chinchompas)</t>
  </si>
  <si>
    <t>Agility (penguin course)</t>
  </si>
  <si>
    <t>Farming (fruit trees)</t>
  </si>
  <si>
    <t>Thieving (seed stalls)</t>
  </si>
  <si>
    <t>Runecrafting (fire runes)</t>
  </si>
  <si>
    <t>Sailing (port tasks)</t>
  </si>
  <si>
    <t>Killing crawling hands</t>
  </si>
  <si>
    <t>Cannon in Meiyerditch Labs.</t>
  </si>
  <si>
    <t>Killing cockatrice</t>
  </si>
  <si>
    <t>Killing basilisks</t>
  </si>
  <si>
    <t>Killing basilisk knights (on task)</t>
  </si>
  <si>
    <t>Killing kurask</t>
  </si>
  <si>
    <t>Killing abyssal demons (on task)</t>
  </si>
  <si>
    <t>Barrage at Catacombs.</t>
  </si>
  <si>
    <t>Killing dust devils (on task)</t>
  </si>
  <si>
    <t>Killing waterfiends</t>
  </si>
  <si>
    <t xml:space="preserve">Not recommended, do superiors instead. </t>
  </si>
  <si>
    <t>Killing gargoyles</t>
  </si>
  <si>
    <t>Not recommended, do grotesque guardians instead.</t>
  </si>
  <si>
    <t>Killing mogres</t>
  </si>
  <si>
    <t>Killing brine rats</t>
  </si>
  <si>
    <t>Killing turoth</t>
  </si>
  <si>
    <t>Not recommended, do alchemical hydra instead.</t>
  </si>
  <si>
    <t>Killing cave horrors</t>
  </si>
  <si>
    <t>Killing fossil island wyverns</t>
  </si>
  <si>
    <t>Killing ancient wyverns</t>
  </si>
  <si>
    <t>Not recommended, do small wyverns instead.</t>
  </si>
  <si>
    <t>Killing skeletal wyverns</t>
  </si>
  <si>
    <t>Killing terror dogs</t>
  </si>
  <si>
    <t>Not recommended, do BA gambles instead.</t>
  </si>
  <si>
    <t>Killing cave crawlers</t>
  </si>
  <si>
    <t>Killing cave slimes</t>
  </si>
  <si>
    <t>Not recommended, kill cave crawlers instead.</t>
  </si>
  <si>
    <t>Killing pyrefiends</t>
  </si>
  <si>
    <t>Killing harpie bug swarms</t>
  </si>
  <si>
    <t>Killing bloodvelds</t>
  </si>
  <si>
    <t>Killing warped jellies</t>
  </si>
  <si>
    <t>Killing greater nechryael (on task)</t>
  </si>
  <si>
    <t>Killing spiritual mages (non-zaros)</t>
  </si>
  <si>
    <t>Not recommended, kill the Zaros ones instead.</t>
  </si>
  <si>
    <t>Killing spiritual mages (zaros)</t>
  </si>
  <si>
    <t>Killing cave kraken (non-boss, on task)</t>
  </si>
  <si>
    <t>Killing dark beasts</t>
  </si>
  <si>
    <t>Killing smoke devils (on task)</t>
  </si>
  <si>
    <t>Cannon + barrage.</t>
  </si>
  <si>
    <t>Killing wyrms (on task)</t>
  </si>
  <si>
    <t>Opening the brimstone chest</t>
  </si>
  <si>
    <t>Killing drakes (on task)</t>
  </si>
  <si>
    <t>Killing sulphur lizards</t>
  </si>
  <si>
    <t>Killing infernal mages</t>
  </si>
  <si>
    <t>Killing banshees</t>
  </si>
  <si>
    <t>Killing aberrant spectres</t>
  </si>
  <si>
    <t>Killing aquanites (on task)</t>
  </si>
  <si>
    <t>Opening larran's big chest</t>
  </si>
  <si>
    <t>Mains buy keys on the GE, Irons have to earn them.</t>
  </si>
  <si>
    <t>Pickpocketing from darkmeyer vyres</t>
  </si>
  <si>
    <t>Killing vyrewatch sentinels</t>
  </si>
  <si>
    <t>Killing warped terrorbirds</t>
  </si>
  <si>
    <t>Killing sulphur naguas</t>
  </si>
  <si>
    <t>Looting zombie pirate's lockers</t>
  </si>
  <si>
    <t>Killing araxytes (level 146, on task)</t>
  </si>
  <si>
    <t>Killing earthen naguas</t>
  </si>
  <si>
    <t>Killing elder custodian stalkers</t>
  </si>
  <si>
    <t>Killing gryphons (on task)</t>
  </si>
  <si>
    <t>Killing tormented demons</t>
  </si>
  <si>
    <t>Killing bulk tzhaar</t>
  </si>
  <si>
    <t>Killing tzhaar-mej</t>
  </si>
  <si>
    <t>Plucking herbiboar</t>
  </si>
  <si>
    <t>Killing lizardmen</t>
  </si>
  <si>
    <t>Not recommended, kill shamans instead.</t>
  </si>
  <si>
    <t>Killing lizardman shamans</t>
  </si>
  <si>
    <t>Fishing shark</t>
  </si>
  <si>
    <t>5x shark lure. In Tal Teklan, for moon keys.</t>
  </si>
  <si>
    <t>Fishing bass</t>
  </si>
  <si>
    <t>2 tick fishing guild.</t>
  </si>
  <si>
    <t>Fishing giant krill (deep sea trawling)</t>
  </si>
  <si>
    <t>Fishing haddock (deep sea trawling)</t>
  </si>
  <si>
    <t>Fishing yellowfin (deep sea trawling)</t>
  </si>
  <si>
    <t>Fishing halibut (deep sea trawling)</t>
  </si>
  <si>
    <t>Fishing bluefin (deep sea trawling)</t>
  </si>
  <si>
    <t>Fishing marlin (deep sea trawling)</t>
  </si>
  <si>
    <t>Killing in the wilderness god wars dungeon (barrage)</t>
  </si>
  <si>
    <t>Looting grand gold chests (pyramid plunder)</t>
  </si>
  <si>
    <t>Killing mithril dragons</t>
  </si>
  <si>
    <t>Killing adamant dragons</t>
  </si>
  <si>
    <t>Lance.</t>
  </si>
  <si>
    <t>Killing rune dragons</t>
  </si>
  <si>
    <t>Charging glories at the fountain of rune</t>
  </si>
  <si>
    <t>Killing ogress shamans</t>
  </si>
  <si>
    <t>Collecting unidentified minerals at the mining guild</t>
  </si>
  <si>
    <t>Powermine iron.</t>
  </si>
  <si>
    <t>Killing minotaurs (stronghold of security)</t>
  </si>
  <si>
    <t>Killing flesh crawlers (stronghold of security)</t>
  </si>
  <si>
    <t>Killing catablepons (stronghold of security)</t>
  </si>
  <si>
    <t>Killing ankou (stronghold of security)</t>
  </si>
  <si>
    <t>Killing moss giants</t>
  </si>
  <si>
    <t>Wilderness, by the level 39 rev cave entrance.</t>
  </si>
  <si>
    <t>Killing hill giants</t>
  </si>
  <si>
    <t>Killing underwater crabs (level 23)</t>
  </si>
  <si>
    <t>Killing undead druids</t>
  </si>
  <si>
    <t>Looting crystal implings</t>
  </si>
  <si>
    <t>Killing the prifddinas rabbit</t>
  </si>
  <si>
    <t>Crossbow with ruby bolts.</t>
  </si>
  <si>
    <t>Pickpocketing from prifddinas elves</t>
  </si>
  <si>
    <t>Killing elves (prifddinas)</t>
  </si>
  <si>
    <t>Opening the elven crystal chest</t>
  </si>
  <si>
    <t>Mains buy, Irons Deranged Arch &amp; pickpocket elves.</t>
  </si>
  <si>
    <t>Collecting mermaid tears (fossil island underwater)</t>
  </si>
  <si>
    <t>Killing armoured zombies (zemouregal)</t>
  </si>
  <si>
    <t>Opening the moon chest</t>
  </si>
  <si>
    <t>#miscellaneous -&gt; Helmet of the Moon for a guide.</t>
  </si>
  <si>
    <t>Cutting squid</t>
  </si>
  <si>
    <t>Mains buy jumbo squid. Irons fish &amp; cut both squids.</t>
  </si>
  <si>
    <t>Item ID</t>
  </si>
  <si>
    <t>Slot name</t>
  </si>
  <si>
    <t>Completed</t>
  </si>
  <si>
    <t>Override</t>
  </si>
  <si>
    <t>Slot Difficulty</t>
  </si>
  <si>
    <t>Activity count</t>
  </si>
  <si>
    <t>(Manual)</t>
  </si>
  <si>
    <t>(1-10)</t>
  </si>
  <si>
    <t>Abyssal orphan</t>
  </si>
  <si>
    <t>Unsired</t>
  </si>
  <si>
    <t>Abyssal head</t>
  </si>
  <si>
    <t>Bludgeon spine</t>
  </si>
  <si>
    <t>Bludgeon claw</t>
  </si>
  <si>
    <t>Bludgeon axon</t>
  </si>
  <si>
    <t>Jar of miasma</t>
  </si>
  <si>
    <t>Abyssal dagger</t>
  </si>
  <si>
    <t>Abyssal whip</t>
  </si>
  <si>
    <t>Ikkle hydra</t>
  </si>
  <si>
    <t>Hydra's claw</t>
  </si>
  <si>
    <t>Hydra's tail</t>
  </si>
  <si>
    <t>Hydra leather</t>
  </si>
  <si>
    <t>Hydra's fang</t>
  </si>
  <si>
    <t>Hydra's eye</t>
  </si>
  <si>
    <t>Hydra's heart</t>
  </si>
  <si>
    <t>Dragon knife</t>
  </si>
  <si>
    <t>Dragon thrownaxe</t>
  </si>
  <si>
    <t>Jar of chemicals</t>
  </si>
  <si>
    <t>Alchemical hydra heads</t>
  </si>
  <si>
    <t>Moxi</t>
  </si>
  <si>
    <t>Glacial temotli</t>
  </si>
  <si>
    <t>Pendant of ates (inert)</t>
  </si>
  <si>
    <t>Frozen tear</t>
  </si>
  <si>
    <t>Nid</t>
  </si>
  <si>
    <t>Araxyte venom sack</t>
  </si>
  <si>
    <t>Spider cave teleport</t>
  </si>
  <si>
    <t>Araxyte fang</t>
  </si>
  <si>
    <t>Noxious point</t>
  </si>
  <si>
    <t>Noxious blade</t>
  </si>
  <si>
    <t>Noxious pommel</t>
  </si>
  <si>
    <t>Araxyte head</t>
  </si>
  <si>
    <t>Jar of venom</t>
  </si>
  <si>
    <t>Coagulated venom</t>
  </si>
  <si>
    <t>Karil's coif</t>
  </si>
  <si>
    <t>Ahrim's hood</t>
  </si>
  <si>
    <t>Dharok's helm</t>
  </si>
  <si>
    <t>Guthan's helm</t>
  </si>
  <si>
    <t>Torag's helm</t>
  </si>
  <si>
    <t>Verac's helm</t>
  </si>
  <si>
    <t>Karil's leathertop</t>
  </si>
  <si>
    <t>Ahrim's robetop</t>
  </si>
  <si>
    <t>Dharok's platebody</t>
  </si>
  <si>
    <t>Guthan's platebody</t>
  </si>
  <si>
    <t>Torag's platebody</t>
  </si>
  <si>
    <t>Verac's brassard</t>
  </si>
  <si>
    <t>Karil's leatherskirt</t>
  </si>
  <si>
    <t>Ahrim's robeskirt</t>
  </si>
  <si>
    <t>Dharok's platelegs</t>
  </si>
  <si>
    <t>Guthan's chainskirt</t>
  </si>
  <si>
    <t>Torag's platelegs</t>
  </si>
  <si>
    <t>Verac's plateskirt</t>
  </si>
  <si>
    <t>Karil's crossbow</t>
  </si>
  <si>
    <t>Ahrim's staff</t>
  </si>
  <si>
    <t>Dharok's greataxe</t>
  </si>
  <si>
    <t>Guthan's warspear</t>
  </si>
  <si>
    <t>Torag's hammers</t>
  </si>
  <si>
    <t>Verac's flail</t>
  </si>
  <si>
    <t>Bolt rack</t>
  </si>
  <si>
    <t>Bryophyta's essence</t>
  </si>
  <si>
    <t>Callisto cub</t>
  </si>
  <si>
    <t>Tyrannical ring</t>
  </si>
  <si>
    <t>Dragon pickaxe</t>
  </si>
  <si>
    <t>Dragon 2h sword</t>
  </si>
  <si>
    <t>Claws of callisto</t>
  </si>
  <si>
    <t>Voidwaker hilt</t>
  </si>
  <si>
    <t>Hellpuppy</t>
  </si>
  <si>
    <t>Eternal crystal</t>
  </si>
  <si>
    <t>Pegasian crystal</t>
  </si>
  <si>
    <t>Primordial crystal</t>
  </si>
  <si>
    <t>Jar of souls</t>
  </si>
  <si>
    <t>Smouldering stone</t>
  </si>
  <si>
    <t>Key master teleport</t>
  </si>
  <si>
    <t>Pet chaos elemental</t>
  </si>
  <si>
    <t>Odium shard 1</t>
  </si>
  <si>
    <t>Malediction shard 1</t>
  </si>
  <si>
    <t>Pet zilyana</t>
  </si>
  <si>
    <t>Armadyl crossbow</t>
  </si>
  <si>
    <t>Saradomin hilt</t>
  </si>
  <si>
    <t>Saradomin sword</t>
  </si>
  <si>
    <t>Saradomin's light</t>
  </si>
  <si>
    <t>Godsword shard 1</t>
  </si>
  <si>
    <t>Godsword shard 2</t>
  </si>
  <si>
    <t>Godsword shard 3</t>
  </si>
  <si>
    <t>Pet dark core</t>
  </si>
  <si>
    <t>Elysian sigil</t>
  </si>
  <si>
    <t>Spectral sigil</t>
  </si>
  <si>
    <t>Arcane sigil</t>
  </si>
  <si>
    <t>Holy elixir</t>
  </si>
  <si>
    <t>Spirit shield</t>
  </si>
  <si>
    <t>Jar of spirits</t>
  </si>
  <si>
    <t>Odium shard 2</t>
  </si>
  <si>
    <t>Malediction shard 2</t>
  </si>
  <si>
    <t>Fedora</t>
  </si>
  <si>
    <t>Pet dagannoth prime</t>
  </si>
  <si>
    <t>Pet dagannoth supreme</t>
  </si>
  <si>
    <t>Pet dagannoth rex</t>
  </si>
  <si>
    <t>Berserker ring</t>
  </si>
  <si>
    <t>Archers ring</t>
  </si>
  <si>
    <t>Seers ring</t>
  </si>
  <si>
    <t>Warrior ring</t>
  </si>
  <si>
    <t>Dragon axe</t>
  </si>
  <si>
    <t>Seercull</t>
  </si>
  <si>
    <t>Mud battlestaff</t>
  </si>
  <si>
    <t>Steel ring</t>
  </si>
  <si>
    <t>Dom</t>
  </si>
  <si>
    <t>Avernic treads</t>
  </si>
  <si>
    <t>Eye of ayak (uncharged)</t>
  </si>
  <si>
    <t>Mokhaiotl cloth</t>
  </si>
  <si>
    <t>Mokhaiotl waystone</t>
  </si>
  <si>
    <t>Demon tear</t>
  </si>
  <si>
    <t>Baron</t>
  </si>
  <si>
    <t>Eye of the duke</t>
  </si>
  <si>
    <t>Virtus mask</t>
  </si>
  <si>
    <t>Virtus robe top</t>
  </si>
  <si>
    <t>Virtus robe bottom</t>
  </si>
  <si>
    <t>Magus vestige</t>
  </si>
  <si>
    <t>Ice quartz</t>
  </si>
  <si>
    <t>Frozen tablet</t>
  </si>
  <si>
    <t>Chromium ingot</t>
  </si>
  <si>
    <t>Awakener's orb</t>
  </si>
  <si>
    <t>Tzrek-jad</t>
  </si>
  <si>
    <t>Fire cape</t>
  </si>
  <si>
    <t>Smol heredit</t>
  </si>
  <si>
    <t>Dizana's quiver</t>
  </si>
  <si>
    <t>Sunfire fanatic cuirass</t>
  </si>
  <si>
    <t>Sunfire fanatic chausses</t>
  </si>
  <si>
    <t>Sunfire fanatic helm</t>
  </si>
  <si>
    <t>Echo crystal</t>
  </si>
  <si>
    <t>Tonalztics of ralos</t>
  </si>
  <si>
    <t>Sunfire splinters</t>
  </si>
  <si>
    <t>Youngllef</t>
  </si>
  <si>
    <t>Crystal armour seed</t>
  </si>
  <si>
    <t>Crystal weapon seed</t>
  </si>
  <si>
    <t>Enhanced crystal weapon seed</t>
  </si>
  <si>
    <t>Gauntlet cape</t>
  </si>
  <si>
    <t>Pet general graardor</t>
  </si>
  <si>
    <t>Bandos chestplate</t>
  </si>
  <si>
    <t>Bandos tassets</t>
  </si>
  <si>
    <t>Bandos boots</t>
  </si>
  <si>
    <t>Bandos hilt</t>
  </si>
  <si>
    <t>Baby mole</t>
  </si>
  <si>
    <t>Mole skin</t>
  </si>
  <si>
    <t>Mole claw</t>
  </si>
  <si>
    <t>Noon</t>
  </si>
  <si>
    <t>Black tourmaline core</t>
  </si>
  <si>
    <t>Granite gloves</t>
  </si>
  <si>
    <t>Granite ring</t>
  </si>
  <si>
    <t>Granite hammer</t>
  </si>
  <si>
    <t>Jar of stone</t>
  </si>
  <si>
    <t>Granite dust</t>
  </si>
  <si>
    <t>Bottomless compost bucket</t>
  </si>
  <si>
    <t>Iasor seed</t>
  </si>
  <si>
    <t>Kronos seed</t>
  </si>
  <si>
    <t>Attas seed</t>
  </si>
  <si>
    <t>Huberte</t>
  </si>
  <si>
    <t>Dragon hunter wand</t>
  </si>
  <si>
    <t>Tome of earth (empty)</t>
  </si>
  <si>
    <t>Soiled page</t>
  </si>
  <si>
    <t>Hueycoatl hide</t>
  </si>
  <si>
    <t>Huasca seed</t>
  </si>
  <si>
    <t>Jal-nib-rek</t>
  </si>
  <si>
    <t>Infernal cape</t>
  </si>
  <si>
    <t>Kalphite princess</t>
  </si>
  <si>
    <t>Kq head</t>
  </si>
  <si>
    <t>Jar of sand</t>
  </si>
  <si>
    <t>Dragon chainbody</t>
  </si>
  <si>
    <t>Prince black dragon</t>
  </si>
  <si>
    <t>Kbd heads</t>
  </si>
  <si>
    <t>Draconic visage</t>
  </si>
  <si>
    <t>Pet kraken</t>
  </si>
  <si>
    <t>Kraken tentacle</t>
  </si>
  <si>
    <t>Trident of the seas (full)</t>
  </si>
  <si>
    <t>Jar of dirt</t>
  </si>
  <si>
    <t>Pet kree'arra</t>
  </si>
  <si>
    <t>Armadyl helmet</t>
  </si>
  <si>
    <t>Armadyl chestplate</t>
  </si>
  <si>
    <t>Armadyl chainskirt</t>
  </si>
  <si>
    <t>Armadyl hilt</t>
  </si>
  <si>
    <t>Pet k'ril tsutsaroth</t>
  </si>
  <si>
    <t>Staff of the dead</t>
  </si>
  <si>
    <t>Zamorakian spear</t>
  </si>
  <si>
    <t>Steam battlestaff</t>
  </si>
  <si>
    <t>Zamorak hilt</t>
  </si>
  <si>
    <t>Lil'viathan</t>
  </si>
  <si>
    <t>Leviathan's lure</t>
  </si>
  <si>
    <t>Venator vestige</t>
  </si>
  <si>
    <t>Smoke quartz</t>
  </si>
  <si>
    <t>Scarred tablet</t>
  </si>
  <si>
    <t>Eclipse moon chestplate</t>
  </si>
  <si>
    <t>Eclipse moon tassets</t>
  </si>
  <si>
    <t>Eclipse moon helm</t>
  </si>
  <si>
    <t>Eclipse atlatl</t>
  </si>
  <si>
    <t>Blue moon chestplate</t>
  </si>
  <si>
    <t>Blue moon tassets</t>
  </si>
  <si>
    <t>Blue moon helm</t>
  </si>
  <si>
    <t>Blue moon spear</t>
  </si>
  <si>
    <t>Blood moon chestplate</t>
  </si>
  <si>
    <t>Blood moon tassets</t>
  </si>
  <si>
    <t>Blood moon helm</t>
  </si>
  <si>
    <t>Dual macuahuitl</t>
  </si>
  <si>
    <t>Atlatl dart</t>
  </si>
  <si>
    <t>Nexling</t>
  </si>
  <si>
    <t>Ancient hilt</t>
  </si>
  <si>
    <t>Nihil horn</t>
  </si>
  <si>
    <t>Zaryte vambraces</t>
  </si>
  <si>
    <t>Torva full helm (damaged)</t>
  </si>
  <si>
    <t>Torva platebody (damaged)</t>
  </si>
  <si>
    <t>Torva platelegs (damaged)</t>
  </si>
  <si>
    <t>Nihil shard</t>
  </si>
  <si>
    <t>Little nightmare</t>
  </si>
  <si>
    <t>Inquisitor's mace</t>
  </si>
  <si>
    <t>Inquisitor's great helm</t>
  </si>
  <si>
    <t>Inquisitor's hauberk</t>
  </si>
  <si>
    <t>Inquisitor's plateskirt</t>
  </si>
  <si>
    <t>Nightmare staff</t>
  </si>
  <si>
    <t>Volatile orb</t>
  </si>
  <si>
    <t>Harmonized orb</t>
  </si>
  <si>
    <t>Eldritch orb</t>
  </si>
  <si>
    <t>Jar of dreams</t>
  </si>
  <si>
    <t>Slepey tablet</t>
  </si>
  <si>
    <t>Parasitic egg</t>
  </si>
  <si>
    <t>Hill giant club</t>
  </si>
  <si>
    <t>Muphin</t>
  </si>
  <si>
    <t>Venator shard</t>
  </si>
  <si>
    <t>Ancient icon</t>
  </si>
  <si>
    <t>Charged ice</t>
  </si>
  <si>
    <t>Frozen cache</t>
  </si>
  <si>
    <t>Ancient essence</t>
  </si>
  <si>
    <t>Bran</t>
  </si>
  <si>
    <t>Deadeye prayer scroll</t>
  </si>
  <si>
    <t>Mystic vigour prayer scroll</t>
  </si>
  <si>
    <t>Giantsoul amulet (uncharged)</t>
  </si>
  <si>
    <t>Ice element staff crown</t>
  </si>
  <si>
    <t>Fire element staff crown</t>
  </si>
  <si>
    <t>Desiccated page</t>
  </si>
  <si>
    <t>Sraracha</t>
  </si>
  <si>
    <t>Jar of eyes</t>
  </si>
  <si>
    <t>Giant egg sac (full)</t>
  </si>
  <si>
    <t>Sarachnis cudgel</t>
  </si>
  <si>
    <t>Scorpia's offspring</t>
  </si>
  <si>
    <t>Odium shard 3</t>
  </si>
  <si>
    <t>Malediction shard 3</t>
  </si>
  <si>
    <t>Scurry</t>
  </si>
  <si>
    <t>Scrrius' spine</t>
  </si>
  <si>
    <t>Jar of feathers</t>
  </si>
  <si>
    <t>Gull</t>
  </si>
  <si>
    <t>Belle's folly (tarnished)</t>
  </si>
  <si>
    <t>Gryphon feather</t>
  </si>
  <si>
    <t>Skotos</t>
  </si>
  <si>
    <t>Jar of darkness</t>
  </si>
  <si>
    <t>Dark claw</t>
  </si>
  <si>
    <t>Dark totem</t>
  </si>
  <si>
    <t>Uncut onyx</t>
  </si>
  <si>
    <t>Ancient shard</t>
  </si>
  <si>
    <t>Tiny tempor</t>
  </si>
  <si>
    <t>Big harpoonfish</t>
  </si>
  <si>
    <t>Spirit angler headband</t>
  </si>
  <si>
    <t>Spirit angler top</t>
  </si>
  <si>
    <t>Spirit angler waders</t>
  </si>
  <si>
    <t>Spirit angler boots</t>
  </si>
  <si>
    <t>Tome of water (empty)</t>
  </si>
  <si>
    <t>Soaked page</t>
  </si>
  <si>
    <t>Tackle box</t>
  </si>
  <si>
    <t>Fish barrel</t>
  </si>
  <si>
    <t>Dragon harpoon</t>
  </si>
  <si>
    <t>Spirit flakes</t>
  </si>
  <si>
    <t>Pet smoke devil</t>
  </si>
  <si>
    <t>Occult necklace</t>
  </si>
  <si>
    <t>Smoke battlestaff</t>
  </si>
  <si>
    <t>Jar of smoke</t>
  </si>
  <si>
    <t>Butch</t>
  </si>
  <si>
    <t>Executioner's axe head</t>
  </si>
  <si>
    <t>Ultor vestige</t>
  </si>
  <si>
    <t>Blood quartz</t>
  </si>
  <si>
    <t>Strangled tablet</t>
  </si>
  <si>
    <t>Venenatis spiderling</t>
  </si>
  <si>
    <t>Treasonous ring</t>
  </si>
  <si>
    <t>Fangs of venenatis</t>
  </si>
  <si>
    <t>Voidwaker gem</t>
  </si>
  <si>
    <t>Vet'ion jr.</t>
  </si>
  <si>
    <t>Ring of the gods</t>
  </si>
  <si>
    <t>Skull of vet'ion</t>
  </si>
  <si>
    <t>Voidwaker blade</t>
  </si>
  <si>
    <t>Vorki</t>
  </si>
  <si>
    <t>Vorkath's head</t>
  </si>
  <si>
    <t>Skeletal visage</t>
  </si>
  <si>
    <t>Jar of decay</t>
  </si>
  <si>
    <t>Dragonbone necklace</t>
  </si>
  <si>
    <t>Wisp</t>
  </si>
  <si>
    <t>Siren's staff</t>
  </si>
  <si>
    <t>Bellator vestige</t>
  </si>
  <si>
    <t>Shadow quartz</t>
  </si>
  <si>
    <t>Sirenic tablet</t>
  </si>
  <si>
    <t>Phoenix</t>
  </si>
  <si>
    <t>Tome of fire (empty)</t>
  </si>
  <si>
    <t>Burnt page</t>
  </si>
  <si>
    <t>Pyromancer garb</t>
  </si>
  <si>
    <t>Pyromancer hood</t>
  </si>
  <si>
    <t>Pyromancer robe</t>
  </si>
  <si>
    <t>Pyromancer boots</t>
  </si>
  <si>
    <t>Warm gloves</t>
  </si>
  <si>
    <t>Bruma torch</t>
  </si>
  <si>
    <t>Yami</t>
  </si>
  <si>
    <t>Chasm teleport scroll</t>
  </si>
  <si>
    <t>Oathplate helm</t>
  </si>
  <si>
    <t>Oathplate chest</t>
  </si>
  <si>
    <t>Oathplate legs</t>
  </si>
  <si>
    <t>Soulflame horn</t>
  </si>
  <si>
    <t>Oathplate shards</t>
  </si>
  <si>
    <t>Rite of vile transference</t>
  </si>
  <si>
    <t>Forgotten lockbox</t>
  </si>
  <si>
    <t>Dossier</t>
  </si>
  <si>
    <t>Barrel of demonic tallow (full)</t>
  </si>
  <si>
    <t>Smolcano</t>
  </si>
  <si>
    <t>Crystal tool seed</t>
  </si>
  <si>
    <t>Zalcano shard</t>
  </si>
  <si>
    <t>Pet snakeling</t>
  </si>
  <si>
    <t>Tanzanite mutagen</t>
  </si>
  <si>
    <t>Magma mutagen</t>
  </si>
  <si>
    <t>Jar of swamp</t>
  </si>
  <si>
    <t>Magic fang</t>
  </si>
  <si>
    <t>Serpentine visage</t>
  </si>
  <si>
    <t>Tanzanite fang</t>
  </si>
  <si>
    <t>Zul-andra teleport</t>
  </si>
  <si>
    <t>Zulrah's scales</t>
  </si>
  <si>
    <t>Olmlet</t>
  </si>
  <si>
    <t>Metamorphic dust</t>
  </si>
  <si>
    <t>Twisted bow</t>
  </si>
  <si>
    <t>Elder maul</t>
  </si>
  <si>
    <t>Kodai insignia</t>
  </si>
  <si>
    <t>Dragon claws</t>
  </si>
  <si>
    <t>Ancestral hat</t>
  </si>
  <si>
    <t>Ancestral robe top</t>
  </si>
  <si>
    <t>Ancestral robe bottom</t>
  </si>
  <si>
    <t>Dinh's bulwark</t>
  </si>
  <si>
    <t>Dextrous prayer scroll</t>
  </si>
  <si>
    <t>Arcane prayer scroll</t>
  </si>
  <si>
    <t>Dragon hunter crossbow</t>
  </si>
  <si>
    <t>Twisted buckler</t>
  </si>
  <si>
    <t>Torn prayer scroll</t>
  </si>
  <si>
    <t>Dark relic</t>
  </si>
  <si>
    <t>Onyx</t>
  </si>
  <si>
    <t>Twisted ancestral color kit</t>
  </si>
  <si>
    <t>Xeric's guard</t>
  </si>
  <si>
    <t>Xeric's warrior</t>
  </si>
  <si>
    <t>Xeric's sentinel</t>
  </si>
  <si>
    <t>Xeric's general</t>
  </si>
  <si>
    <t>Xeric's champion</t>
  </si>
  <si>
    <t>Lil' zik</t>
  </si>
  <si>
    <t>Scythe of vitur (uncharged)</t>
  </si>
  <si>
    <t>Ghrazi rapier</t>
  </si>
  <si>
    <t>Sanguinesti staff (uncharged)</t>
  </si>
  <si>
    <t>Justiciar faceguard</t>
  </si>
  <si>
    <t>Justiciar chestguard</t>
  </si>
  <si>
    <t>Justiciar legguards</t>
  </si>
  <si>
    <t>Avernic defender hilt</t>
  </si>
  <si>
    <t>Vial of blood</t>
  </si>
  <si>
    <t>Sinhaza shroud tier 1</t>
  </si>
  <si>
    <t>Sinhaza shroud tier 2</t>
  </si>
  <si>
    <t>Sinhaza shroud tier 3</t>
  </si>
  <si>
    <t>Sinhaza shroud tier 4</t>
  </si>
  <si>
    <t>Sinhaza shroud tier 5</t>
  </si>
  <si>
    <t>Sanguine dust</t>
  </si>
  <si>
    <t>Holy ornament kit</t>
  </si>
  <si>
    <t>Sanguine ornament kit</t>
  </si>
  <si>
    <t>Tumeken's guardian</t>
  </si>
  <si>
    <t>Tumeken's shadow (uncharged)</t>
  </si>
  <si>
    <t>Elidinis' ward</t>
  </si>
  <si>
    <t>Masori mask</t>
  </si>
  <si>
    <t>Masori body</t>
  </si>
  <si>
    <t>Masori chaps</t>
  </si>
  <si>
    <t>Lightbearer</t>
  </si>
  <si>
    <t>Osmumten's fang</t>
  </si>
  <si>
    <t>Thread of elidinis</t>
  </si>
  <si>
    <t>Breach of the scarab</t>
  </si>
  <si>
    <t>Eye of the corruptor</t>
  </si>
  <si>
    <t>Jewel of the sun</t>
  </si>
  <si>
    <t>Jewel of amascut</t>
  </si>
  <si>
    <t>Menaphite ornament kit</t>
  </si>
  <si>
    <t>Cursed phalanx</t>
  </si>
  <si>
    <t>Masori crafting kit</t>
  </si>
  <si>
    <t>Cache of runes</t>
  </si>
  <si>
    <t>Icthlarin's shround (tier 1)</t>
  </si>
  <si>
    <t>Icthlarin's shround (tier 2)</t>
  </si>
  <si>
    <t>Icthlarin's shround (tier 3)</t>
  </si>
  <si>
    <t>Icthlarin's shround (tier 4)</t>
  </si>
  <si>
    <t>Icthlarin's shround (tier 5)</t>
  </si>
  <si>
    <t>Remnant of akkha</t>
  </si>
  <si>
    <t>Remnant of ba-ba</t>
  </si>
  <si>
    <t>Remnant of kephri</t>
  </si>
  <si>
    <t>Remnant of zebak</t>
  </si>
  <si>
    <t>Ancient remnant</t>
  </si>
  <si>
    <t>Mole slippers</t>
  </si>
  <si>
    <t>Frog slippers</t>
  </si>
  <si>
    <t>Bear feet</t>
  </si>
  <si>
    <t>Demon feet</t>
  </si>
  <si>
    <t>Jester cape</t>
  </si>
  <si>
    <t>Shoulder parrot</t>
  </si>
  <si>
    <t>Monk's robe top (t)</t>
  </si>
  <si>
    <t>Monk's robe (t)</t>
  </si>
  <si>
    <t>Amulet of defence (t)</t>
  </si>
  <si>
    <t>Sandwich lady hat</t>
  </si>
  <si>
    <t>Sandwich lady top</t>
  </si>
  <si>
    <t>Sandwich lady bottom</t>
  </si>
  <si>
    <t>Rune scimitar ornament kit (guthix)</t>
  </si>
  <si>
    <t>Rune scimitar ornament kit (saradomin)</t>
  </si>
  <si>
    <t>Rune scimitar ornament kit (zamorak)</t>
  </si>
  <si>
    <t>Black pickaxe</t>
  </si>
  <si>
    <t>Team cape zero</t>
  </si>
  <si>
    <t>Team cape i</t>
  </si>
  <si>
    <t>Team cape x</t>
  </si>
  <si>
    <t>Cape of skulls</t>
  </si>
  <si>
    <t>Golden chef's hat</t>
  </si>
  <si>
    <t>Golden apron</t>
  </si>
  <si>
    <t>Wooden shield (g)</t>
  </si>
  <si>
    <t>Black full helm (t)</t>
  </si>
  <si>
    <t>Black platebody (t)</t>
  </si>
  <si>
    <t>Black platelegs (t)</t>
  </si>
  <si>
    <t>Black plateskirt (t)</t>
  </si>
  <si>
    <t>Black kiteshield (t)</t>
  </si>
  <si>
    <t>Black full helm (g)</t>
  </si>
  <si>
    <t>Black platebody (g)</t>
  </si>
  <si>
    <t>Black platelegs (g)</t>
  </si>
  <si>
    <t>Black plateskirt (g)</t>
  </si>
  <si>
    <t>Black kiteshield (g)</t>
  </si>
  <si>
    <t>Black shield (h1)</t>
  </si>
  <si>
    <t>Black shield (h2)</t>
  </si>
  <si>
    <t>Black shield (h3)</t>
  </si>
  <si>
    <t>Black shield (h4)</t>
  </si>
  <si>
    <t>Black shield (h5)</t>
  </si>
  <si>
    <t>Black helm (h1)</t>
  </si>
  <si>
    <t>Black helm (h2)</t>
  </si>
  <si>
    <t>Black helm (h3)</t>
  </si>
  <si>
    <t>Black helm (h4)</t>
  </si>
  <si>
    <t>Black helm (h5)</t>
  </si>
  <si>
    <t>Black platebody (h1)</t>
  </si>
  <si>
    <t>Black platebody (h2)</t>
  </si>
  <si>
    <t>Black platebody (h3)</t>
  </si>
  <si>
    <t>Black platebody (h4)</t>
  </si>
  <si>
    <t>Black platebody (h5)</t>
  </si>
  <si>
    <t>Steel full helm (t)</t>
  </si>
  <si>
    <t>Steel platebody (t)</t>
  </si>
  <si>
    <t>Steel platelegs (t)</t>
  </si>
  <si>
    <t>Steel plateskirt (t)</t>
  </si>
  <si>
    <t>Steel kiteshield (t)</t>
  </si>
  <si>
    <t>Steel full helm (g)</t>
  </si>
  <si>
    <t>Steel platebody (g)</t>
  </si>
  <si>
    <t>Steel platelegs (g)</t>
  </si>
  <si>
    <t>Steel plateskirt (g)</t>
  </si>
  <si>
    <t>Steel kiteshield (g)</t>
  </si>
  <si>
    <t>Iron full helm (t)</t>
  </si>
  <si>
    <t>Iron platebody (t)</t>
  </si>
  <si>
    <t>Iron platelegs (t)</t>
  </si>
  <si>
    <t>Iron plateskirt (t)</t>
  </si>
  <si>
    <t>Iron kiteshield (t)</t>
  </si>
  <si>
    <t>Iron full helm (g)</t>
  </si>
  <si>
    <t>Iron platebody (g)</t>
  </si>
  <si>
    <t>Iron platelegs (g)</t>
  </si>
  <si>
    <t>Iron plateskirt (g)</t>
  </si>
  <si>
    <t>Iron kiteshield (g)</t>
  </si>
  <si>
    <t>Bronze full helm (t)</t>
  </si>
  <si>
    <t>Bronze platebody (t)</t>
  </si>
  <si>
    <t>Bronze platelegs (t)</t>
  </si>
  <si>
    <t>Bronze plateskirt (t)</t>
  </si>
  <si>
    <t>Bronze kiteshield (t)</t>
  </si>
  <si>
    <t>Bronze full helm (g)</t>
  </si>
  <si>
    <t>Bronze platebody (g)</t>
  </si>
  <si>
    <t>Bronze platelegs (g)</t>
  </si>
  <si>
    <t>Bronze plateskirt (g)</t>
  </si>
  <si>
    <t>Bronze kiteshield (g)</t>
  </si>
  <si>
    <t>Studded body (g)</t>
  </si>
  <si>
    <t>Studded chaps (g)</t>
  </si>
  <si>
    <t>Studded body (t)</t>
  </si>
  <si>
    <t>Studded chaps (t)</t>
  </si>
  <si>
    <t>Leather body (g)</t>
  </si>
  <si>
    <t>Leather chaps (g)</t>
  </si>
  <si>
    <t>Blue wizard hat (g)</t>
  </si>
  <si>
    <t>Blue wizard robe (g)</t>
  </si>
  <si>
    <t>Blue skirt (g)</t>
  </si>
  <si>
    <t>Blue wizard hat (t)</t>
  </si>
  <si>
    <t>Blue wizard robe (t)</t>
  </si>
  <si>
    <t>Blue skirt (t)</t>
  </si>
  <si>
    <t>Black wizard hat (g)</t>
  </si>
  <si>
    <t>Black wizard robe (g)</t>
  </si>
  <si>
    <t>Black skirt (g)</t>
  </si>
  <si>
    <t>Black wizard hat (t)</t>
  </si>
  <si>
    <t>Black wizard robe (t)</t>
  </si>
  <si>
    <t>Black skirt (t)</t>
  </si>
  <si>
    <t>Monk's robe top (g)</t>
  </si>
  <si>
    <t>Monk's robe (g)</t>
  </si>
  <si>
    <t>Saradomin robe top</t>
  </si>
  <si>
    <t>Saradomin robe legs</t>
  </si>
  <si>
    <t>Guthix robe top</t>
  </si>
  <si>
    <t>Guthix robe legs</t>
  </si>
  <si>
    <t>Zamorak robe top</t>
  </si>
  <si>
    <t>Zamorak robe legs</t>
  </si>
  <si>
    <t>Ancient robe top</t>
  </si>
  <si>
    <t>Ancient robe legs</t>
  </si>
  <si>
    <t>Armadyl robe top</t>
  </si>
  <si>
    <t>Armadyl robe legs</t>
  </si>
  <si>
    <t>Bandos robe top</t>
  </si>
  <si>
    <t>Bandos robe legs</t>
  </si>
  <si>
    <t>Bob's red shirt</t>
  </si>
  <si>
    <t>Bob's green shirt</t>
  </si>
  <si>
    <t>Bob's blue shirt</t>
  </si>
  <si>
    <t>Bob's black shirt</t>
  </si>
  <si>
    <t>Bob's purple shirt</t>
  </si>
  <si>
    <t>Highwayman mask</t>
  </si>
  <si>
    <t>Blue beret</t>
  </si>
  <si>
    <t>Black beret</t>
  </si>
  <si>
    <t>White beret</t>
  </si>
  <si>
    <t>Red beret</t>
  </si>
  <si>
    <t>A powdered wig</t>
  </si>
  <si>
    <t>Beanie</t>
  </si>
  <si>
    <t>Imp mask</t>
  </si>
  <si>
    <t>Goblin mask</t>
  </si>
  <si>
    <t>Sleeping cap</t>
  </si>
  <si>
    <t>Flared trousers</t>
  </si>
  <si>
    <t>Pantaloons</t>
  </si>
  <si>
    <t>Black cane</t>
  </si>
  <si>
    <t>Staff of bob the cat</t>
  </si>
  <si>
    <t>Red elegant shirt</t>
  </si>
  <si>
    <t>Red elegant blouse</t>
  </si>
  <si>
    <t>Red elegant legs</t>
  </si>
  <si>
    <t>Red elegant skirt</t>
  </si>
  <si>
    <t>Green elegant shirt</t>
  </si>
  <si>
    <t>Green elegant blouse</t>
  </si>
  <si>
    <t>Green elegant legs</t>
  </si>
  <si>
    <t>Green elegant skirt</t>
  </si>
  <si>
    <t>Blue elegant shirt</t>
  </si>
  <si>
    <t>Blue elegant blouse</t>
  </si>
  <si>
    <t>Blue elegant legs</t>
  </si>
  <si>
    <t>Blue elegant skirt</t>
  </si>
  <si>
    <t>Amulet of magic (t)</t>
  </si>
  <si>
    <t>Amulet of power (t)</t>
  </si>
  <si>
    <t>Ham joint</t>
  </si>
  <si>
    <t>Rain bow</t>
  </si>
  <si>
    <t>Willow comp bow</t>
  </si>
  <si>
    <t>Ranger boots</t>
  </si>
  <si>
    <t>Wizard boots</t>
  </si>
  <si>
    <t>Holy sandals</t>
  </si>
  <si>
    <t>Climbing boots (g)</t>
  </si>
  <si>
    <t>Spiked manacles</t>
  </si>
  <si>
    <t>Adamant full helm (t)</t>
  </si>
  <si>
    <t>Adamant platebody (t)</t>
  </si>
  <si>
    <t>Adamant platelegs (t)</t>
  </si>
  <si>
    <t>Adamant plateskirt (t)</t>
  </si>
  <si>
    <t>Adamant kiteshield (t)</t>
  </si>
  <si>
    <t>Adamant full helm (g)</t>
  </si>
  <si>
    <t>Adamant platebody (g)</t>
  </si>
  <si>
    <t>Adamant platelegs (g)</t>
  </si>
  <si>
    <t>Adamant plateskirt (g)</t>
  </si>
  <si>
    <t>Adamant kiteshield (g)</t>
  </si>
  <si>
    <t>Adamant shield (h1)</t>
  </si>
  <si>
    <t>Adamant shield (h2)</t>
  </si>
  <si>
    <t>Adamant shield (h3)</t>
  </si>
  <si>
    <t>Adamant shield (h4)</t>
  </si>
  <si>
    <t>Adamant shield (h5)</t>
  </si>
  <si>
    <t>Adamant helm (h1)</t>
  </si>
  <si>
    <t>Adamant helm (h2)</t>
  </si>
  <si>
    <t>Adamant helm (h3)</t>
  </si>
  <si>
    <t>Adamant helm (h4)</t>
  </si>
  <si>
    <t>Adamant helm (h5)</t>
  </si>
  <si>
    <t>Adamant platebody (h1)</t>
  </si>
  <si>
    <t>Adamant platebody (h2)</t>
  </si>
  <si>
    <t>Adamant platebody (h3)</t>
  </si>
  <si>
    <t>Adamant platebody (h4)</t>
  </si>
  <si>
    <t>Adamant platebody (h5)</t>
  </si>
  <si>
    <t>Mithril full helm (g)</t>
  </si>
  <si>
    <t>Mithril platebody (g)</t>
  </si>
  <si>
    <t>Mithril platelegs (g)</t>
  </si>
  <si>
    <t>Mithril plateskirt (g)</t>
  </si>
  <si>
    <t>Mithril kiteshield (g)</t>
  </si>
  <si>
    <t>Mithril full helm (t)</t>
  </si>
  <si>
    <t>Mithril platebody (t)</t>
  </si>
  <si>
    <t>Mithril platelegs (t)</t>
  </si>
  <si>
    <t>Mithril plateskirt (t)</t>
  </si>
  <si>
    <t>Mithril kiteshield (t)</t>
  </si>
  <si>
    <t>Green d'hide body (g)</t>
  </si>
  <si>
    <t>Green d'hide body (t)</t>
  </si>
  <si>
    <t>Green d'hide chaps (g)</t>
  </si>
  <si>
    <t>Green d'hide chaps (t)</t>
  </si>
  <si>
    <t>Saradomin mitre</t>
  </si>
  <si>
    <t>Saradomin cloak</t>
  </si>
  <si>
    <t>Guthix mitre</t>
  </si>
  <si>
    <t>Guthix cloak</t>
  </si>
  <si>
    <t>Zamorak mitre</t>
  </si>
  <si>
    <t>Zamorak cloak</t>
  </si>
  <si>
    <t>Ancient mitre</t>
  </si>
  <si>
    <t>Ancient cloak</t>
  </si>
  <si>
    <t>Ancient stole</t>
  </si>
  <si>
    <t>Ancient crozier</t>
  </si>
  <si>
    <t>Armadyl mitre</t>
  </si>
  <si>
    <t>Armadyl cloak</t>
  </si>
  <si>
    <t>Armadyl stole</t>
  </si>
  <si>
    <t>Armadyl crozier</t>
  </si>
  <si>
    <t>Bandos mitre</t>
  </si>
  <si>
    <t>Bandos cloak</t>
  </si>
  <si>
    <t>Bandos stole</t>
  </si>
  <si>
    <t>Bandos crozier</t>
  </si>
  <si>
    <t>Red boater</t>
  </si>
  <si>
    <t>Green boater</t>
  </si>
  <si>
    <t>Orange boater</t>
  </si>
  <si>
    <t>Black boater</t>
  </si>
  <si>
    <t>Blue boater</t>
  </si>
  <si>
    <t>Pink boater</t>
  </si>
  <si>
    <t>Purple boater</t>
  </si>
  <si>
    <t>White boater</t>
  </si>
  <si>
    <t>Red headband</t>
  </si>
  <si>
    <t>Black headband</t>
  </si>
  <si>
    <t>Brown headband</t>
  </si>
  <si>
    <t>White headband</t>
  </si>
  <si>
    <t>Blue headband</t>
  </si>
  <si>
    <t>Gold headband</t>
  </si>
  <si>
    <t>Pink headband</t>
  </si>
  <si>
    <t>Green headband</t>
  </si>
  <si>
    <t>Crier hat</t>
  </si>
  <si>
    <t>Crier coat</t>
  </si>
  <si>
    <t>Crier bell</t>
  </si>
  <si>
    <t>Adamant cane</t>
  </si>
  <si>
    <t>Arceuus banner</t>
  </si>
  <si>
    <t>Piscarilius banner</t>
  </si>
  <si>
    <t>Hosidius banner</t>
  </si>
  <si>
    <t>Shayzien banner</t>
  </si>
  <si>
    <t>Lovakengj banner</t>
  </si>
  <si>
    <t>Cabbage round shield</t>
  </si>
  <si>
    <t>Black unicorn mask</t>
  </si>
  <si>
    <t>White unicorn mask</t>
  </si>
  <si>
    <t>Cat mask</t>
  </si>
  <si>
    <t>Penguin mask</t>
  </si>
  <si>
    <t>Leprechaun hat</t>
  </si>
  <si>
    <t>Black leprechaun hat</t>
  </si>
  <si>
    <t>Wolf mask</t>
  </si>
  <si>
    <t>Wolf cloak</t>
  </si>
  <si>
    <t>Purple elegant shirt</t>
  </si>
  <si>
    <t>Purple elegant blouse</t>
  </si>
  <si>
    <t>Purple elegant legs</t>
  </si>
  <si>
    <t>Purple elegant skirt</t>
  </si>
  <si>
    <t>Black elegant shirt</t>
  </si>
  <si>
    <t>White elegant blouse</t>
  </si>
  <si>
    <t>Black elegant legs</t>
  </si>
  <si>
    <t>White elegant skirt</t>
  </si>
  <si>
    <t>Pink elegant shirt</t>
  </si>
  <si>
    <t>Pink elegant blouse</t>
  </si>
  <si>
    <t>Pink elegant legs</t>
  </si>
  <si>
    <t>Pink elegant skirt</t>
  </si>
  <si>
    <t>Gold elegant shirt</t>
  </si>
  <si>
    <t>Gold elegant blouse</t>
  </si>
  <si>
    <t>Gold elegant legs</t>
  </si>
  <si>
    <t>Gold elegant skirt</t>
  </si>
  <si>
    <t>Gnomish firelighter</t>
  </si>
  <si>
    <t>Strength amulet (t)</t>
  </si>
  <si>
    <t>Yew comp bow</t>
  </si>
  <si>
    <t>Robin hood hat</t>
  </si>
  <si>
    <t>Dragon boots ornament kit</t>
  </si>
  <si>
    <t>Rune defender ornament kit</t>
  </si>
  <si>
    <t>Tzhaar-ket-om ornament kit</t>
  </si>
  <si>
    <t>Berserker necklace ornament kit</t>
  </si>
  <si>
    <t>Rune full helm (t)</t>
  </si>
  <si>
    <t>Rune platebody (t)</t>
  </si>
  <si>
    <t>Rune platelegs (t)</t>
  </si>
  <si>
    <t>Rune plateskirt (t)</t>
  </si>
  <si>
    <t>Rune kiteshield (t)</t>
  </si>
  <si>
    <t>Rune full helm (g)</t>
  </si>
  <si>
    <t>Rune platebody (g)</t>
  </si>
  <si>
    <t>Rune platelegs (g)</t>
  </si>
  <si>
    <t>Rune plateskirt (g)</t>
  </si>
  <si>
    <t>Rune kiteshield (g)</t>
  </si>
  <si>
    <t>Zamorak full helm</t>
  </si>
  <si>
    <t>Zamorak platebody</t>
  </si>
  <si>
    <t>Zamorak platelegs</t>
  </si>
  <si>
    <t>Zamorak plateskirt</t>
  </si>
  <si>
    <t>Zamorak kiteshield</t>
  </si>
  <si>
    <t>Guthix full helm</t>
  </si>
  <si>
    <t>Guthix platebody</t>
  </si>
  <si>
    <t>Guthix platelegs</t>
  </si>
  <si>
    <t>Guthix plateskirt</t>
  </si>
  <si>
    <t>Guthix kiteshield</t>
  </si>
  <si>
    <t>Saradomin full helm</t>
  </si>
  <si>
    <t>Saradomin platebody</t>
  </si>
  <si>
    <t>Saradomin platelegs</t>
  </si>
  <si>
    <t>Saradomin plateskirt</t>
  </si>
  <si>
    <t>Saradomin kiteshield</t>
  </si>
  <si>
    <t>Ancient full helm</t>
  </si>
  <si>
    <t>Ancient platebody</t>
  </si>
  <si>
    <t>Ancient platelegs</t>
  </si>
  <si>
    <t>Ancient plateskirt</t>
  </si>
  <si>
    <t>Ancient kiteshield</t>
  </si>
  <si>
    <t>Armadyl full helm</t>
  </si>
  <si>
    <t>Armadyl platebody</t>
  </si>
  <si>
    <t>Armadyl platelegs</t>
  </si>
  <si>
    <t>Armadyl plateskirt</t>
  </si>
  <si>
    <t>Armadyl kiteshield</t>
  </si>
  <si>
    <t>Bandos full helm</t>
  </si>
  <si>
    <t>Bandos platebody</t>
  </si>
  <si>
    <t>Bandos platelegs</t>
  </si>
  <si>
    <t>Bandos plateskirt</t>
  </si>
  <si>
    <t>Bandos kiteshield</t>
  </si>
  <si>
    <t>Rune shield (h1)</t>
  </si>
  <si>
    <t>Rune shield (h2)</t>
  </si>
  <si>
    <t>Rune shield (h3)</t>
  </si>
  <si>
    <t>Rune shield (h4)</t>
  </si>
  <si>
    <t>Rune shield (h5)</t>
  </si>
  <si>
    <t>Rune helm (h1)</t>
  </si>
  <si>
    <t>Rune helm (h2)</t>
  </si>
  <si>
    <t>Rune helm (h3)</t>
  </si>
  <si>
    <t>Rune helm (h4)</t>
  </si>
  <si>
    <t>Rune helm (h5)</t>
  </si>
  <si>
    <t>Rune platebody (h1)</t>
  </si>
  <si>
    <t>Rune platebody (h2)</t>
  </si>
  <si>
    <t>Rune platebody (h3)</t>
  </si>
  <si>
    <t>Rune platebody (h4)</t>
  </si>
  <si>
    <t>Rune platebody (h5)</t>
  </si>
  <si>
    <t>Saradomin coif</t>
  </si>
  <si>
    <t>Saradomin d'hide body</t>
  </si>
  <si>
    <t>Saradomin chaps</t>
  </si>
  <si>
    <t>Saradomin bracers</t>
  </si>
  <si>
    <t>Saradomin d'hide boots</t>
  </si>
  <si>
    <t>Saradomin d'hide shield</t>
  </si>
  <si>
    <t>Guthix coif</t>
  </si>
  <si>
    <t>Guthix d'hide body</t>
  </si>
  <si>
    <t>Guthix chaps</t>
  </si>
  <si>
    <t>Guthix bracers</t>
  </si>
  <si>
    <t>Guthix d'hide boots</t>
  </si>
  <si>
    <t>Guthix d'hide shield</t>
  </si>
  <si>
    <t>Zamorak coif</t>
  </si>
  <si>
    <t>Zamorak d'hide body</t>
  </si>
  <si>
    <t>Zamorak chaps</t>
  </si>
  <si>
    <t>Zamorak bracers</t>
  </si>
  <si>
    <t>Zamorak d'hide boots</t>
  </si>
  <si>
    <t>Zamorak d'hide shield</t>
  </si>
  <si>
    <t>Bandos coif</t>
  </si>
  <si>
    <t>Bandos d'hide body</t>
  </si>
  <si>
    <t>Bandos chaps</t>
  </si>
  <si>
    <t>Bandos bracers</t>
  </si>
  <si>
    <t>Bandos d'hide boots</t>
  </si>
  <si>
    <t>Bandos d'hide shield</t>
  </si>
  <si>
    <t>Armadyl coif</t>
  </si>
  <si>
    <t>Armadyl d'hide body</t>
  </si>
  <si>
    <t>Armadyl chaps</t>
  </si>
  <si>
    <t>Armadyl bracers</t>
  </si>
  <si>
    <t>Armadyl d'hide boots</t>
  </si>
  <si>
    <t>Armadyl d'hide shield</t>
  </si>
  <si>
    <t>Ancient coif</t>
  </si>
  <si>
    <t>Ancient d'hide body</t>
  </si>
  <si>
    <t>Ancient chaps</t>
  </si>
  <si>
    <t>Ancient bracers</t>
  </si>
  <si>
    <t>Ancient d'hide boots</t>
  </si>
  <si>
    <t>Ancient d'hide shield</t>
  </si>
  <si>
    <t>Red d'hide body (t)</t>
  </si>
  <si>
    <t>Red d'hide chaps (t)</t>
  </si>
  <si>
    <t>Red d'hide body (g)</t>
  </si>
  <si>
    <t>Red d'hide chaps (g)</t>
  </si>
  <si>
    <t>Blue d'hide body (t)</t>
  </si>
  <si>
    <t>Blue d'hide chaps (t)</t>
  </si>
  <si>
    <t>Blue d'hide body (g)</t>
  </si>
  <si>
    <t>Blue d'hide chaps (g)</t>
  </si>
  <si>
    <t>Enchanted hat</t>
  </si>
  <si>
    <t>Enchanted top</t>
  </si>
  <si>
    <t>Enchanted robe</t>
  </si>
  <si>
    <t>Saradomin stole</t>
  </si>
  <si>
    <t>Saradomin crozier</t>
  </si>
  <si>
    <t>Guthix stole</t>
  </si>
  <si>
    <t>Guthix crozier</t>
  </si>
  <si>
    <t>Zamorak stole</t>
  </si>
  <si>
    <t>Zamorak crozier</t>
  </si>
  <si>
    <t>Zombie head</t>
  </si>
  <si>
    <t>Cyclops head</t>
  </si>
  <si>
    <t>Pirate's hat</t>
  </si>
  <si>
    <t>Red cavalier</t>
  </si>
  <si>
    <t>White cavalier</t>
  </si>
  <si>
    <t>Navy cavalier</t>
  </si>
  <si>
    <t>Tan cavalier</t>
  </si>
  <si>
    <t>Dark cavalier</t>
  </si>
  <si>
    <t>Black cavalier</t>
  </si>
  <si>
    <t>Pith helmet</t>
  </si>
  <si>
    <t>Explorer backpack</t>
  </si>
  <si>
    <t>Thieving bag</t>
  </si>
  <si>
    <t>Green dragon mask</t>
  </si>
  <si>
    <t>Blue dragon mask</t>
  </si>
  <si>
    <t>Red dragon mask</t>
  </si>
  <si>
    <t>Black dragon mask</t>
  </si>
  <si>
    <t>Nunchaku</t>
  </si>
  <si>
    <t>Dual sai</t>
  </si>
  <si>
    <t>Rune cane</t>
  </si>
  <si>
    <t>Amulet of glory (t4)</t>
  </si>
  <si>
    <t>Magic comp bow</t>
  </si>
  <si>
    <t>Ring of 3rd age</t>
  </si>
  <si>
    <t>Fury ornament kit</t>
  </si>
  <si>
    <t>Dragon chainbody ornament kit</t>
  </si>
  <si>
    <t>Dragon legs/skirt ornament kit</t>
  </si>
  <si>
    <t>Dragon sq shield ornament kit</t>
  </si>
  <si>
    <t>Dragon full helm ornament kit</t>
  </si>
  <si>
    <t>Dragon scimitar ornament kit</t>
  </si>
  <si>
    <t>Light infinity colour kit</t>
  </si>
  <si>
    <t>Dark infinity colour kit</t>
  </si>
  <si>
    <t>Holy wraps</t>
  </si>
  <si>
    <t>Ranger gloves</t>
  </si>
  <si>
    <t>Rangers' tunic</t>
  </si>
  <si>
    <t>Rangers' tights</t>
  </si>
  <si>
    <t>Black d'hide body (g)</t>
  </si>
  <si>
    <t>Black d'hide chaps (g)</t>
  </si>
  <si>
    <t>Black d'hide body (t)</t>
  </si>
  <si>
    <t>Black d'hide chaps (t)</t>
  </si>
  <si>
    <t>Royal crown</t>
  </si>
  <si>
    <t>Royal sceptre</t>
  </si>
  <si>
    <t>Royal gown top</t>
  </si>
  <si>
    <t>Royal gown bottom</t>
  </si>
  <si>
    <t>Musketeer hat</t>
  </si>
  <si>
    <t>Musketeer tabard</t>
  </si>
  <si>
    <t>Musketeer pants</t>
  </si>
  <si>
    <t>Dark tuxedo jacket</t>
  </si>
  <si>
    <t>Dark trousers</t>
  </si>
  <si>
    <t>Dark tuxedo shoes</t>
  </si>
  <si>
    <t>Dark tuxedo cuffs</t>
  </si>
  <si>
    <t>Dark bow tie</t>
  </si>
  <si>
    <t>Light tuxedo jacket</t>
  </si>
  <si>
    <t>Light trousers</t>
  </si>
  <si>
    <t>Light tuxedo shoes</t>
  </si>
  <si>
    <t>Light tuxedo cuffs</t>
  </si>
  <si>
    <t>Light bow tie</t>
  </si>
  <si>
    <t>Arceuus scarf</t>
  </si>
  <si>
    <t>Hosidius scarf</t>
  </si>
  <si>
    <t>Piscarilius scarf</t>
  </si>
  <si>
    <t>Shayzien scarf</t>
  </si>
  <si>
    <t>Lovakengj scarf</t>
  </si>
  <si>
    <t>Bronze dragon mask</t>
  </si>
  <si>
    <t>Iron dragon mask</t>
  </si>
  <si>
    <t>Steel dragon mask</t>
  </si>
  <si>
    <t>Mithril dragon mask</t>
  </si>
  <si>
    <t>Adamant dragon mask</t>
  </si>
  <si>
    <t>Rune dragon mask</t>
  </si>
  <si>
    <t>Katana</t>
  </si>
  <si>
    <t>Dragon cane</t>
  </si>
  <si>
    <t>Briefcase</t>
  </si>
  <si>
    <t>Bucket helm</t>
  </si>
  <si>
    <t>Blacksmith's helm</t>
  </si>
  <si>
    <t>Deerstalker</t>
  </si>
  <si>
    <t>Afro</t>
  </si>
  <si>
    <t>Big pirate hat</t>
  </si>
  <si>
    <t>Top hat</t>
  </si>
  <si>
    <t>Monocle</t>
  </si>
  <si>
    <t>Sagacious spectacles</t>
  </si>
  <si>
    <t>Fremennik kilt</t>
  </si>
  <si>
    <t>Giant boot</t>
  </si>
  <si>
    <t>Uri's hat</t>
  </si>
  <si>
    <t>Bloodhound</t>
  </si>
  <si>
    <t>Armadyl godsword ornament kit</t>
  </si>
  <si>
    <t>Bandos godsword ornament kit</t>
  </si>
  <si>
    <t>Saradomin godsword ornament kit</t>
  </si>
  <si>
    <t>Zamorak godsword ornament kit</t>
  </si>
  <si>
    <t>Occult ornament kit</t>
  </si>
  <si>
    <t>Torture ornament kit</t>
  </si>
  <si>
    <t>Anguish ornament kit</t>
  </si>
  <si>
    <t>Dragon defender ornament kit</t>
  </si>
  <si>
    <t>Dragon kiteshield ornament kit</t>
  </si>
  <si>
    <t>Dragon platebody ornament kit</t>
  </si>
  <si>
    <t>Tormented ornament kit</t>
  </si>
  <si>
    <t>Hood of darkness</t>
  </si>
  <si>
    <t>Robe top of darkness</t>
  </si>
  <si>
    <t>Robe bottom of darkness</t>
  </si>
  <si>
    <t>Gloves of darkness</t>
  </si>
  <si>
    <t>Boots of darkness</t>
  </si>
  <si>
    <t>Samurai kasa</t>
  </si>
  <si>
    <t>Samurai shirt</t>
  </si>
  <si>
    <t>Samurai greaves</t>
  </si>
  <si>
    <t>Samurai boots</t>
  </si>
  <si>
    <t>Samurai gloves</t>
  </si>
  <si>
    <t>Ankou mask</t>
  </si>
  <si>
    <t>Ankou top</t>
  </si>
  <si>
    <t>Ankou gloves</t>
  </si>
  <si>
    <t>Ankou socks</t>
  </si>
  <si>
    <t>Ankou's leggings</t>
  </si>
  <si>
    <t>Mummy's head</t>
  </si>
  <si>
    <t>Mummy's feet</t>
  </si>
  <si>
    <t>Mummy's hands</t>
  </si>
  <si>
    <t>Mummy's legs</t>
  </si>
  <si>
    <t>Mummy's body</t>
  </si>
  <si>
    <t>Shayzien hood</t>
  </si>
  <si>
    <t>Hosidius hood</t>
  </si>
  <si>
    <t>Arceuus hood</t>
  </si>
  <si>
    <t>Piscarilius hood</t>
  </si>
  <si>
    <t>Lovakengj hood</t>
  </si>
  <si>
    <t>Lesser demon mask</t>
  </si>
  <si>
    <t>Greater demon mask</t>
  </si>
  <si>
    <t>Black demon mask</t>
  </si>
  <si>
    <t>Jungle demon mask</t>
  </si>
  <si>
    <t>Old demon mask</t>
  </si>
  <si>
    <t>Left eye patch</t>
  </si>
  <si>
    <t>Bowl wig</t>
  </si>
  <si>
    <t>Ale of the gods</t>
  </si>
  <si>
    <t>Obsidian cape (r)</t>
  </si>
  <si>
    <t>Half moon spectacles</t>
  </si>
  <si>
    <t>Fancy tiara</t>
  </si>
  <si>
    <t>Ring of nature</t>
  </si>
  <si>
    <t>Lava dragon mask</t>
  </si>
  <si>
    <t>3rd age pickaxe</t>
  </si>
  <si>
    <t>3rd age axe</t>
  </si>
  <si>
    <t>3rd age longsword</t>
  </si>
  <si>
    <t>3rd age wand</t>
  </si>
  <si>
    <t>3rd age cloak</t>
  </si>
  <si>
    <t>3rd age bow</t>
  </si>
  <si>
    <t>3rd age range coif</t>
  </si>
  <si>
    <t>3rd age range top</t>
  </si>
  <si>
    <t>3rd age range legs</t>
  </si>
  <si>
    <t>3rd age vambraces</t>
  </si>
  <si>
    <t>3rd age robe top</t>
  </si>
  <si>
    <t>3rd age robe</t>
  </si>
  <si>
    <t>3rd age mage hat</t>
  </si>
  <si>
    <t>3rd age amulet</t>
  </si>
  <si>
    <t>3rd age plateskirt</t>
  </si>
  <si>
    <t>3rd age platelegs</t>
  </si>
  <si>
    <t>3rd age platebody</t>
  </si>
  <si>
    <t>3rd age full helmet</t>
  </si>
  <si>
    <t>3rd age kiteshield</t>
  </si>
  <si>
    <t>3rd age druidic robe bottoms</t>
  </si>
  <si>
    <t>3rd age druidic robe top</t>
  </si>
  <si>
    <t>3rd age druidic staff</t>
  </si>
  <si>
    <t>3rd age druidic cloak</t>
  </si>
  <si>
    <t>Gilded scimitar</t>
  </si>
  <si>
    <t>Gilded boots</t>
  </si>
  <si>
    <t>Gilded platebody</t>
  </si>
  <si>
    <t>Gilded platelegs</t>
  </si>
  <si>
    <t>Gilded plateskirt</t>
  </si>
  <si>
    <t>Gilded full helm</t>
  </si>
  <si>
    <t>Gilded kiteshield</t>
  </si>
  <si>
    <t>Gilded med helm</t>
  </si>
  <si>
    <t>Gilded chainbody</t>
  </si>
  <si>
    <t>Gilded sq shield</t>
  </si>
  <si>
    <t>Gilded 2h sword</t>
  </si>
  <si>
    <t>Gilded spear</t>
  </si>
  <si>
    <t>Gilded hasta</t>
  </si>
  <si>
    <t>Gilded coif</t>
  </si>
  <si>
    <t>Gilded d'hide vambraces</t>
  </si>
  <si>
    <t>Gilded d'hide body</t>
  </si>
  <si>
    <t>Gilded d'hide chaps</t>
  </si>
  <si>
    <t>Gilded pickaxe</t>
  </si>
  <si>
    <t>Gilded axe</t>
  </si>
  <si>
    <t>Gilded spade</t>
  </si>
  <si>
    <t>Bucket helm (g)</t>
  </si>
  <si>
    <t>Ring of coins</t>
  </si>
  <si>
    <t>Saradomin page 1</t>
  </si>
  <si>
    <t>Zamorak page 1</t>
  </si>
  <si>
    <t>Guthix page 1</t>
  </si>
  <si>
    <t>Bandos page 1</t>
  </si>
  <si>
    <t>Armadyl page 1</t>
  </si>
  <si>
    <t>Ancient page 1</t>
  </si>
  <si>
    <t>Saradomin page 2</t>
  </si>
  <si>
    <t>Zamorak page 2</t>
  </si>
  <si>
    <t>Guthix page 2</t>
  </si>
  <si>
    <t>Bandos page 2</t>
  </si>
  <si>
    <t>Armadyl page 2</t>
  </si>
  <si>
    <t>Ancient page 2</t>
  </si>
  <si>
    <t>Saradomin page 3</t>
  </si>
  <si>
    <t>Zamorak page 3</t>
  </si>
  <si>
    <t>Guthix page 3</t>
  </si>
  <si>
    <t>Bandos page 3</t>
  </si>
  <si>
    <t>Armadyl page 3</t>
  </si>
  <si>
    <t>Ancient page 3</t>
  </si>
  <si>
    <t>Saradomin page 4</t>
  </si>
  <si>
    <t>Zamorak page 4</t>
  </si>
  <si>
    <t>Guthix page 4</t>
  </si>
  <si>
    <t>Bandos page 4</t>
  </si>
  <si>
    <t>Armadyl page 4</t>
  </si>
  <si>
    <t>Ancient page 4</t>
  </si>
  <si>
    <t>Holy blessing</t>
  </si>
  <si>
    <t>Unholy blessing</t>
  </si>
  <si>
    <t>Peaceful blessing</t>
  </si>
  <si>
    <t>War blessing</t>
  </si>
  <si>
    <t>Honourable blessing</t>
  </si>
  <si>
    <t>Ancient blessing</t>
  </si>
  <si>
    <t>Nardah teleport</t>
  </si>
  <si>
    <t>Mos le'harmless teleport</t>
  </si>
  <si>
    <t>Mort'ton teleport</t>
  </si>
  <si>
    <t>Feldip hills teleport</t>
  </si>
  <si>
    <t>Lunar isle teleport</t>
  </si>
  <si>
    <t>Digsite teleport</t>
  </si>
  <si>
    <t>Piscatoris teleport</t>
  </si>
  <si>
    <t>Pest control teleport</t>
  </si>
  <si>
    <t>Tai bwo wannai teleport</t>
  </si>
  <si>
    <t>Lumberyard teleport</t>
  </si>
  <si>
    <t>Iorwerth camp teleport</t>
  </si>
  <si>
    <t>Master scroll book (empty)</t>
  </si>
  <si>
    <t>Red firelighter</t>
  </si>
  <si>
    <t>Green firelighter</t>
  </si>
  <si>
    <t>Blue firelighter</t>
  </si>
  <si>
    <t>Purple firelighter</t>
  </si>
  <si>
    <t>White firelighter</t>
  </si>
  <si>
    <t>Charge dragonstone jewellery scroll</t>
  </si>
  <si>
    <t>Purple sweets</t>
  </si>
  <si>
    <t>Minor beginner scroll case</t>
  </si>
  <si>
    <t>Major beginner scroll case</t>
  </si>
  <si>
    <t>Minor easy scroll case</t>
  </si>
  <si>
    <t>Major easy scroll case</t>
  </si>
  <si>
    <t>Minor medium scroll case</t>
  </si>
  <si>
    <t>Major medium scroll case</t>
  </si>
  <si>
    <t>Minor hard scroll case</t>
  </si>
  <si>
    <t>Major hard scroll case</t>
  </si>
  <si>
    <t>Minor elite scroll case</t>
  </si>
  <si>
    <t>Major elite scroll case</t>
  </si>
  <si>
    <t>Minor master scroll case</t>
  </si>
  <si>
    <t>Major master scroll case</t>
  </si>
  <si>
    <t>Mimic scroll case</t>
  </si>
  <si>
    <t>Pet penance queen</t>
  </si>
  <si>
    <t>Fighter hat</t>
  </si>
  <si>
    <t>Ranger hat</t>
  </si>
  <si>
    <t>Runner hat</t>
  </si>
  <si>
    <t>Healer hat</t>
  </si>
  <si>
    <t>Fighter torso</t>
  </si>
  <si>
    <t>Penance skirt</t>
  </si>
  <si>
    <t>Runner boots</t>
  </si>
  <si>
    <t>Penance gloves</t>
  </si>
  <si>
    <t>Granite helm</t>
  </si>
  <si>
    <t>Granite body</t>
  </si>
  <si>
    <t>Stormy key</t>
  </si>
  <si>
    <t>Barrel stand</t>
  </si>
  <si>
    <t>Ralph's fabric roll</t>
  </si>
  <si>
    <t>Fetid key</t>
  </si>
  <si>
    <t>Captured wind mote</t>
  </si>
  <si>
    <t>Gurtob's fabric roll</t>
  </si>
  <si>
    <t>Serrated key</t>
  </si>
  <si>
    <t>Heart of ithell</t>
  </si>
  <si>
    <t>Gwyna's fabric roll</t>
  </si>
  <si>
    <t>Agility arena ticket</t>
  </si>
  <si>
    <t>Brimhaven voucher</t>
  </si>
  <si>
    <t>Pirate's hook</t>
  </si>
  <si>
    <t>Graceful hood</t>
  </si>
  <si>
    <t>Graceful top</t>
  </si>
  <si>
    <t>Graceful legs</t>
  </si>
  <si>
    <t>Graceful gloves</t>
  </si>
  <si>
    <t>Graceful boots</t>
  </si>
  <si>
    <t>Graceful cape</t>
  </si>
  <si>
    <t>Decorative helm</t>
  </si>
  <si>
    <t>Decorative full helm</t>
  </si>
  <si>
    <t>Decorative armour</t>
  </si>
  <si>
    <t>Decorative sword</t>
  </si>
  <si>
    <t>Decorative shield</t>
  </si>
  <si>
    <t>Decorative boots</t>
  </si>
  <si>
    <t>Castlewars hood</t>
  </si>
  <si>
    <t>Castlewars cloak</t>
  </si>
  <si>
    <t>Saradomin banner</t>
  </si>
  <si>
    <t>Zamorak banner</t>
  </si>
  <si>
    <t>Saradomin halo</t>
  </si>
  <si>
    <t>Zamorak halo</t>
  </si>
  <si>
    <t>Guthix halo</t>
  </si>
  <si>
    <t>Angler hat</t>
  </si>
  <si>
    <t>Angler top</t>
  </si>
  <si>
    <t>Angler waders</t>
  </si>
  <si>
    <t>Angler boots</t>
  </si>
  <si>
    <t>Smiths tunic</t>
  </si>
  <si>
    <t>Smiths trousers</t>
  </si>
  <si>
    <t>Smiths boots</t>
  </si>
  <si>
    <t>Smiths gloves</t>
  </si>
  <si>
    <t>Colossal blade</t>
  </si>
  <si>
    <t>Double ammo mould</t>
  </si>
  <si>
    <t>Kovac's grog</t>
  </si>
  <si>
    <t>Smithing catalyst</t>
  </si>
  <si>
    <t>Ore pack</t>
  </si>
  <si>
    <t>Grand seed pod</t>
  </si>
  <si>
    <t>Gnome scarf</t>
  </si>
  <si>
    <t>Gnome goggles</t>
  </si>
  <si>
    <t>Mint cake</t>
  </si>
  <si>
    <t>Abyssal protector</t>
  </si>
  <si>
    <t>Abyssal pearls</t>
  </si>
  <si>
    <t>Catalytic talisman</t>
  </si>
  <si>
    <t>Abyssal needle</t>
  </si>
  <si>
    <t>Abyssal green dye</t>
  </si>
  <si>
    <t>Abyssal blue dye</t>
  </si>
  <si>
    <t>Abyssal red dye</t>
  </si>
  <si>
    <t>Hat of the eye</t>
  </si>
  <si>
    <t>Robe top of the eye</t>
  </si>
  <si>
    <t>Robe bottoms of the eye</t>
  </si>
  <si>
    <t>Boots of the eye</t>
  </si>
  <si>
    <t>Ring of the elements</t>
  </si>
  <si>
    <t>Abyssal lantern</t>
  </si>
  <si>
    <t>Guardian's eye</t>
  </si>
  <si>
    <t>Intricate pouch</t>
  </si>
  <si>
    <t>Lost bag</t>
  </si>
  <si>
    <t>Tarnished locket</t>
  </si>
  <si>
    <t>Hallowed mark</t>
  </si>
  <si>
    <t>Hallowed token</t>
  </si>
  <si>
    <t>Hallowed grapple</t>
  </si>
  <si>
    <t>Hallowed focus</t>
  </si>
  <si>
    <t>Hallowed symbol</t>
  </si>
  <si>
    <t>Hallowed hammer</t>
  </si>
  <si>
    <t>Hallowed ring</t>
  </si>
  <si>
    <t>Dark dye</t>
  </si>
  <si>
    <t>Dark acorn</t>
  </si>
  <si>
    <t>Strange old lockpick (full)</t>
  </si>
  <si>
    <t>Ring of endurance (uncharged)</t>
  </si>
  <si>
    <t>Mysterious page</t>
  </si>
  <si>
    <t>Deadman's chest</t>
  </si>
  <si>
    <t>Deadman's legs</t>
  </si>
  <si>
    <t>Deadman's cape</t>
  </si>
  <si>
    <t>Armadyl halo</t>
  </si>
  <si>
    <t>Bandos halo</t>
  </si>
  <si>
    <t>Seren halo</t>
  </si>
  <si>
    <t>Ancient halo</t>
  </si>
  <si>
    <t>Brassica halo</t>
  </si>
  <si>
    <t>Golden armadyl special attack</t>
  </si>
  <si>
    <t>Golden bandos special attack</t>
  </si>
  <si>
    <t>Golden saradomin special attack</t>
  </si>
  <si>
    <t>Golden zamorak special attack</t>
  </si>
  <si>
    <t>Victor's cape (1)</t>
  </si>
  <si>
    <t>Victor's cape (10)</t>
  </si>
  <si>
    <t>Victor's cape (50)</t>
  </si>
  <si>
    <t>Victor's cape (100)</t>
  </si>
  <si>
    <t>Victor's cape (500)</t>
  </si>
  <si>
    <t>Victor's cape (1000)</t>
  </si>
  <si>
    <t>Granite clamp</t>
  </si>
  <si>
    <t>Ornate maul handle</t>
  </si>
  <si>
    <t>Steam staff upgrade kit</t>
  </si>
  <si>
    <t>Lava staff upgrade kit</t>
  </si>
  <si>
    <t>Dragon pickaxe upgrade kit</t>
  </si>
  <si>
    <t>Ward upgrade kit</t>
  </si>
  <si>
    <t>Green dark bow paint</t>
  </si>
  <si>
    <t>Yellow dark bow paint</t>
  </si>
  <si>
    <t>White dark bow paint</t>
  </si>
  <si>
    <t>Blue dark bow paint</t>
  </si>
  <si>
    <t>Volcanic whip mix</t>
  </si>
  <si>
    <t>Frozen whip mix</t>
  </si>
  <si>
    <t>Guthixian icon</t>
  </si>
  <si>
    <t>Swift blade</t>
  </si>
  <si>
    <t>Beginner wand</t>
  </si>
  <si>
    <t>Apprentice wand</t>
  </si>
  <si>
    <t>Teacher wand</t>
  </si>
  <si>
    <t>Master wand</t>
  </si>
  <si>
    <t>Infinity hat</t>
  </si>
  <si>
    <t>Infinity top</t>
  </si>
  <si>
    <t>Infinity bottoms</t>
  </si>
  <si>
    <t>Infinity boots</t>
  </si>
  <si>
    <t>Infinity gloves</t>
  </si>
  <si>
    <t>Mage's book</t>
  </si>
  <si>
    <t>Bones to peaches</t>
  </si>
  <si>
    <t>Supply crate</t>
  </si>
  <si>
    <t>Carpenter's helmet</t>
  </si>
  <si>
    <t>Carpenter's shirt</t>
  </si>
  <si>
    <t>Carpenter's trousers</t>
  </si>
  <si>
    <t>Carpenter's boots</t>
  </si>
  <si>
    <t>Amy's saw</t>
  </si>
  <si>
    <t>Plank sack</t>
  </si>
  <si>
    <t>Hosidius blueprints</t>
  </si>
  <si>
    <t>Prescription goggles</t>
  </si>
  <si>
    <t>Alchemist labcoat</t>
  </si>
  <si>
    <t>Alchemist pants</t>
  </si>
  <si>
    <t>Alchemist gloves</t>
  </si>
  <si>
    <t>Alchemist's amulet</t>
  </si>
  <si>
    <t>Reagent pouch</t>
  </si>
  <si>
    <t>Chugging barrel (disassembled)</t>
  </si>
  <si>
    <t>Void knight mace</t>
  </si>
  <si>
    <t>Void knight top</t>
  </si>
  <si>
    <t>Void knight robe</t>
  </si>
  <si>
    <t>Void knight gloves</t>
  </si>
  <si>
    <t>Void mage helm</t>
  </si>
  <si>
    <t>Void melee helm</t>
  </si>
  <si>
    <t>Void ranger helm</t>
  </si>
  <si>
    <t>Void seal(8)</t>
  </si>
  <si>
    <t>Elite void top</t>
  </si>
  <si>
    <t>Elite void robe</t>
  </si>
  <si>
    <t>Rogue mask</t>
  </si>
  <si>
    <t>Rogue top</t>
  </si>
  <si>
    <t>Rogue trousers</t>
  </si>
  <si>
    <t>Rogue boots</t>
  </si>
  <si>
    <t>Rogue gloves</t>
  </si>
  <si>
    <t>Amulet of the damned (full)</t>
  </si>
  <si>
    <t>Flamtaer bag</t>
  </si>
  <si>
    <t>Fine cloth</t>
  </si>
  <si>
    <t>Bronze locks</t>
  </si>
  <si>
    <t>Steel locks</t>
  </si>
  <si>
    <t>Black locks</t>
  </si>
  <si>
    <t>Silver locks</t>
  </si>
  <si>
    <t>Gold locks</t>
  </si>
  <si>
    <t>Zealot's helm</t>
  </si>
  <si>
    <t>Zealot's robe top</t>
  </si>
  <si>
    <t>Zealot's robe bottom</t>
  </si>
  <si>
    <t>Zealot's boots</t>
  </si>
  <si>
    <t>Tree wizards' journal</t>
  </si>
  <si>
    <t>Bloody notes</t>
  </si>
  <si>
    <t>Lil' creator</t>
  </si>
  <si>
    <t>Soul cape</t>
  </si>
  <si>
    <t>Ectoplasmator</t>
  </si>
  <si>
    <t>Lumberjack hat</t>
  </si>
  <si>
    <t>Lumberjack top</t>
  </si>
  <si>
    <t>Lumberjack legs</t>
  </si>
  <si>
    <t>Lumberjack boots</t>
  </si>
  <si>
    <t>Farmer's strawhat</t>
  </si>
  <si>
    <t>Farmer's shirt/jacket</t>
  </si>
  <si>
    <t>Farmer's boro trousers</t>
  </si>
  <si>
    <t>Farmer's boots</t>
  </si>
  <si>
    <t>Seed box</t>
  </si>
  <si>
    <t>Gricoller's can</t>
  </si>
  <si>
    <t>Herb sack</t>
  </si>
  <si>
    <t>Blue naval shirt</t>
  </si>
  <si>
    <t>Blue tricorn hat</t>
  </si>
  <si>
    <t>Blue navy slacks</t>
  </si>
  <si>
    <t>Green naval shirt</t>
  </si>
  <si>
    <t>Green tricorn hat</t>
  </si>
  <si>
    <t>Green navy slacks</t>
  </si>
  <si>
    <t>Red naval shirt</t>
  </si>
  <si>
    <t>Red tricorn hat</t>
  </si>
  <si>
    <t>Red navy slacks</t>
  </si>
  <si>
    <t>Brown naval shirt</t>
  </si>
  <si>
    <t>Brown tricorn hat</t>
  </si>
  <si>
    <t>Brown navy slacks</t>
  </si>
  <si>
    <t>Black naval shirt</t>
  </si>
  <si>
    <t>Black tricorn hat</t>
  </si>
  <si>
    <t>Black navy slacks</t>
  </si>
  <si>
    <t>Purple naval shirt</t>
  </si>
  <si>
    <t>Purple tricorn hat</t>
  </si>
  <si>
    <t>Purple navy slacks</t>
  </si>
  <si>
    <t>Grey naval shirt</t>
  </si>
  <si>
    <t>Grey tricorn hat</t>
  </si>
  <si>
    <t>Grey navy slacks</t>
  </si>
  <si>
    <t>Cutthroat flag</t>
  </si>
  <si>
    <t>Gilded smile flag</t>
  </si>
  <si>
    <t>Bronze fist flag</t>
  </si>
  <si>
    <t>Lucky shot flag</t>
  </si>
  <si>
    <t>Treasure flag</t>
  </si>
  <si>
    <t>Phasmatys flag</t>
  </si>
  <si>
    <t>The stuff</t>
  </si>
  <si>
    <t>Rum</t>
  </si>
  <si>
    <t>Fletching knife</t>
  </si>
  <si>
    <t>Bow string spool</t>
  </si>
  <si>
    <t>Ent branch</t>
  </si>
  <si>
    <t>Greenman mask</t>
  </si>
  <si>
    <t>Ash covered tome</t>
  </si>
  <si>
    <t>Large water container</t>
  </si>
  <si>
    <t>Volcanic mine teleport</t>
  </si>
  <si>
    <t>Dragon pickaxe (broken)</t>
  </si>
  <si>
    <t>Golden tench</t>
  </si>
  <si>
    <t>Pearl fishing rod</t>
  </si>
  <si>
    <t>Pearl fly fishing rod</t>
  </si>
  <si>
    <t>Pearl barbarian rod</t>
  </si>
  <si>
    <t>Fish sack</t>
  </si>
  <si>
    <t>Heron</t>
  </si>
  <si>
    <t>Rock golem</t>
  </si>
  <si>
    <t>Beaver</t>
  </si>
  <si>
    <t>Baby chinchompa</t>
  </si>
  <si>
    <t>Giant squirrel</t>
  </si>
  <si>
    <t>Tangleroot</t>
  </si>
  <si>
    <t>Rocky</t>
  </si>
  <si>
    <t>Rift guardian</t>
  </si>
  <si>
    <t>Herbi</t>
  </si>
  <si>
    <t>Chompy chick</t>
  </si>
  <si>
    <t>Soup</t>
  </si>
  <si>
    <t>Barracuda paint</t>
  </si>
  <si>
    <t>Shark paint</t>
  </si>
  <si>
    <t>Inky paint</t>
  </si>
  <si>
    <t>Angler's paint</t>
  </si>
  <si>
    <t>Salvor's paint</t>
  </si>
  <si>
    <t>Armadylean paint</t>
  </si>
  <si>
    <t>Zamorakian paint</t>
  </si>
  <si>
    <t>Guthixian paint</t>
  </si>
  <si>
    <t>Saradominist paint</t>
  </si>
  <si>
    <t>Merchant's paint</t>
  </si>
  <si>
    <t>Sandy paint</t>
  </si>
  <si>
    <t>Barronite mace</t>
  </si>
  <si>
    <t>Barronite head</t>
  </si>
  <si>
    <t>Barronite handle</t>
  </si>
  <si>
    <t>Barronite guard</t>
  </si>
  <si>
    <t>Ancient globe</t>
  </si>
  <si>
    <t>Ancient ledger</t>
  </si>
  <si>
    <t>Ancient astroscope</t>
  </si>
  <si>
    <t>Ancient treatise</t>
  </si>
  <si>
    <t>Ancient carcanet</t>
  </si>
  <si>
    <t>Imcando hammer</t>
  </si>
  <si>
    <t>Earth warrior champion scroll</t>
  </si>
  <si>
    <t>Ghoul champion scroll</t>
  </si>
  <si>
    <t>Giant champion scroll</t>
  </si>
  <si>
    <t>Goblin champion scroll</t>
  </si>
  <si>
    <t>Hobgoblin champion scroll</t>
  </si>
  <si>
    <t>Imp champion scroll</t>
  </si>
  <si>
    <t>Jogre champion scroll</t>
  </si>
  <si>
    <t>Lesser demon champion scroll</t>
  </si>
  <si>
    <t>Skeleton champion scroll</t>
  </si>
  <si>
    <t>Zombie champion scroll</t>
  </si>
  <si>
    <t>Champion's cape</t>
  </si>
  <si>
    <t>Elder chaos top</t>
  </si>
  <si>
    <t>Elder chaos robe</t>
  </si>
  <si>
    <t>Elder chaos hood</t>
  </si>
  <si>
    <t>Chompy bird hat</t>
  </si>
  <si>
    <t>Colossal wyrm teleport scroll</t>
  </si>
  <si>
    <t>Calcified acorn</t>
  </si>
  <si>
    <t>Tea flask</t>
  </si>
  <si>
    <t>Plain satchel</t>
  </si>
  <si>
    <t>Green satchel</t>
  </si>
  <si>
    <t>Red satchel</t>
  </si>
  <si>
    <t>Black satchel</t>
  </si>
  <si>
    <t>Gold satchel</t>
  </si>
  <si>
    <t>Rune satchel</t>
  </si>
  <si>
    <t>Bronze defender</t>
  </si>
  <si>
    <t>Iron defender</t>
  </si>
  <si>
    <t>Steel defender</t>
  </si>
  <si>
    <t>Black defender</t>
  </si>
  <si>
    <t>Mithril defender</t>
  </si>
  <si>
    <t>Adamant defender</t>
  </si>
  <si>
    <t>Rune defender</t>
  </si>
  <si>
    <t>Dragon defender</t>
  </si>
  <si>
    <t>Fox whistle</t>
  </si>
  <si>
    <t>Golden pheasant egg</t>
  </si>
  <si>
    <t>Forestry hat</t>
  </si>
  <si>
    <t>Forestry top</t>
  </si>
  <si>
    <t>Forestry legs</t>
  </si>
  <si>
    <t>Forestry boots</t>
  </si>
  <si>
    <t>Twitcher's gloves</t>
  </si>
  <si>
    <t>Funky shaped log</t>
  </si>
  <si>
    <t>Log basket</t>
  </si>
  <si>
    <t>Log brace</t>
  </si>
  <si>
    <t>Clothes pouch blueprint</t>
  </si>
  <si>
    <t>Cape pouch</t>
  </si>
  <si>
    <t>Felling axe handle</t>
  </si>
  <si>
    <t>Pheasant hat</t>
  </si>
  <si>
    <t>Pheasant legs</t>
  </si>
  <si>
    <t>Pheasant boots</t>
  </si>
  <si>
    <t>Pheasant cape</t>
  </si>
  <si>
    <t>Petal garland</t>
  </si>
  <si>
    <t>Sturdy beehive parts</t>
  </si>
  <si>
    <t>Scribbled note</t>
  </si>
  <si>
    <t>Partial note</t>
  </si>
  <si>
    <t>Ancient note</t>
  </si>
  <si>
    <t>Ancient writings</t>
  </si>
  <si>
    <t>Experimental note</t>
  </si>
  <si>
    <t>Paragraph of text</t>
  </si>
  <si>
    <t>Musty smelling note</t>
  </si>
  <si>
    <t>Hastily scrawled note</t>
  </si>
  <si>
    <t>Old writing</t>
  </si>
  <si>
    <t>Short note</t>
  </si>
  <si>
    <t>Zenyte shard</t>
  </si>
  <si>
    <t>Light frame</t>
  </si>
  <si>
    <t>Heavy frame</t>
  </si>
  <si>
    <t>Ballista limbs</t>
  </si>
  <si>
    <t>Monkey tail</t>
  </si>
  <si>
    <t>Ballista spring</t>
  </si>
  <si>
    <t>Quetzin</t>
  </si>
  <si>
    <t>Huntsman's kit</t>
  </si>
  <si>
    <t>Guild hunter headwear</t>
  </si>
  <si>
    <t>Guild hunter top</t>
  </si>
  <si>
    <t>Guild hunter legs</t>
  </si>
  <si>
    <t>Guild hunter boots</t>
  </si>
  <si>
    <t>Salvaging station schematic</t>
  </si>
  <si>
    <t>Gale catcher schematic</t>
  </si>
  <si>
    <t>Eternal brazier schematic</t>
  </si>
  <si>
    <t>Rosewood cargo hold schematic</t>
  </si>
  <si>
    <t>Rosewood hull schematic</t>
  </si>
  <si>
    <t>Rosewood &amp; cotton sails schematic</t>
  </si>
  <si>
    <t>Dragon helm schematic</t>
  </si>
  <si>
    <t>Dragon keel schematic</t>
  </si>
  <si>
    <t>Dragon salvaging hook schematic</t>
  </si>
  <si>
    <t>Dragon cannon schematic</t>
  </si>
  <si>
    <t>Karamjan monkey</t>
  </si>
  <si>
    <t>Kruk jr</t>
  </si>
  <si>
    <t>Maniacal monkey</t>
  </si>
  <si>
    <t>Princely monkey</t>
  </si>
  <si>
    <t>Skeleton monkey</t>
  </si>
  <si>
    <t>Zombie monkey</t>
  </si>
  <si>
    <t>Coal bag</t>
  </si>
  <si>
    <t>Gem bag</t>
  </si>
  <si>
    <t>Prospector helmet</t>
  </si>
  <si>
    <t>Prospector jacket</t>
  </si>
  <si>
    <t>Prospector legs</t>
  </si>
  <si>
    <t>Prospector boots</t>
  </si>
  <si>
    <t>Ancient page</t>
  </si>
  <si>
    <t>Tiny pearl</t>
  </si>
  <si>
    <t>Small pearl</t>
  </si>
  <si>
    <t>Shiny pearl</t>
  </si>
  <si>
    <t>Bright pearl</t>
  </si>
  <si>
    <t>Big pearl</t>
  </si>
  <si>
    <t>Huge pearl</t>
  </si>
  <si>
    <t>Enormous pearl</t>
  </si>
  <si>
    <t>Shimmering pearl</t>
  </si>
  <si>
    <t>Glistening pearl</t>
  </si>
  <si>
    <t>Brilliant pearl</t>
  </si>
  <si>
    <t>Radiant pearl</t>
  </si>
  <si>
    <t>Camo top</t>
  </si>
  <si>
    <t>Camo bottoms</t>
  </si>
  <si>
    <t>Camo helmet</t>
  </si>
  <si>
    <t>Lederhosen top</t>
  </si>
  <si>
    <t>Lederhosen shorts</t>
  </si>
  <si>
    <t>Lederhosen hat</t>
  </si>
  <si>
    <t>Zombie shirt</t>
  </si>
  <si>
    <t>Zombie trousers</t>
  </si>
  <si>
    <t>Zombie mask</t>
  </si>
  <si>
    <t>Zombie gloves</t>
  </si>
  <si>
    <t>Zombie boots</t>
  </si>
  <si>
    <t>Mime mask</t>
  </si>
  <si>
    <t>Mime top</t>
  </si>
  <si>
    <t>Mime legs</t>
  </si>
  <si>
    <t>Mime gloves</t>
  </si>
  <si>
    <t>Mime boots</t>
  </si>
  <si>
    <t>Frog token</t>
  </si>
  <si>
    <t>Stale baguette</t>
  </si>
  <si>
    <t>Beekeeper's hat</t>
  </si>
  <si>
    <t>Beekeeper's top</t>
  </si>
  <si>
    <t>Beekeeper's legs</t>
  </si>
  <si>
    <t>Beekeeper's gloves</t>
  </si>
  <si>
    <t>Beekeeper's boots</t>
  </si>
  <si>
    <t>Viggora's chainmace (u)</t>
  </si>
  <si>
    <t>Craw's bow (u)</t>
  </si>
  <si>
    <t>Thammaron's sceptre (u)</t>
  </si>
  <si>
    <t>Amulet of avarice</t>
  </si>
  <si>
    <t>Bracelet of ethereum (uncharged)</t>
  </si>
  <si>
    <t>Ancient crystal</t>
  </si>
  <si>
    <t>Ancient relic</t>
  </si>
  <si>
    <t>Ancient effigy</t>
  </si>
  <si>
    <t>Ancient medallion</t>
  </si>
  <si>
    <t>Ancient statuette</t>
  </si>
  <si>
    <t>Ancient totem</t>
  </si>
  <si>
    <t>Ancient emblem</t>
  </si>
  <si>
    <t>Revenant cave teleport</t>
  </si>
  <si>
    <t>Revenant ether</t>
  </si>
  <si>
    <t>Mark of grace</t>
  </si>
  <si>
    <t>Dragon metal sheet</t>
  </si>
  <si>
    <t>Dragon nails</t>
  </si>
  <si>
    <t>Dragon cannonball</t>
  </si>
  <si>
    <t>Echo pearl</t>
  </si>
  <si>
    <t>Swift albatross feather</t>
  </si>
  <si>
    <t>Narwhal horn</t>
  </si>
  <si>
    <t>Ray barbs</t>
  </si>
  <si>
    <t>Broken dragon hook</t>
  </si>
  <si>
    <t>Bottled storm</t>
  </si>
  <si>
    <t>Dragon cannon barrel</t>
  </si>
  <si>
    <t>Boat bottle (empty)</t>
  </si>
  <si>
    <t>Medallion fragment</t>
  </si>
  <si>
    <t>Sailors' amulet (inert)</t>
  </si>
  <si>
    <t>Rusty locket</t>
  </si>
  <si>
    <t>Mouldy block</t>
  </si>
  <si>
    <t>Dull knife</t>
  </si>
  <si>
    <t>Broken compass</t>
  </si>
  <si>
    <t>Rusty coin</t>
  </si>
  <si>
    <t>Broken sextant</t>
  </si>
  <si>
    <t>Mouldy doll</t>
  </si>
  <si>
    <t>Smashed mirror</t>
  </si>
  <si>
    <t>Shayzien gloves (1)</t>
  </si>
  <si>
    <t>Shayzien boots (1)</t>
  </si>
  <si>
    <t>Shayzien helm (1)</t>
  </si>
  <si>
    <t>Shayzien greaves (1)</t>
  </si>
  <si>
    <t>Shayzien platebody (1)</t>
  </si>
  <si>
    <t>Shayzien gloves (2)</t>
  </si>
  <si>
    <t>Shayzien boots (2)</t>
  </si>
  <si>
    <t>Shayzien helm (2)</t>
  </si>
  <si>
    <t>Shayzien greaves (2)</t>
  </si>
  <si>
    <t>Shayzien platebody (2)</t>
  </si>
  <si>
    <t>Shayzien gloves (3)</t>
  </si>
  <si>
    <t>Shayzien boots (3)</t>
  </si>
  <si>
    <t>Shayzien helm (3)</t>
  </si>
  <si>
    <t>Shayzien greaves (3)</t>
  </si>
  <si>
    <t>Shayzien platebody (3)</t>
  </si>
  <si>
    <t>Shayzien gloves (4)</t>
  </si>
  <si>
    <t>Shayzien boots (4)</t>
  </si>
  <si>
    <t>Shayzien helm (4)</t>
  </si>
  <si>
    <t>Shayzien greaves (4)</t>
  </si>
  <si>
    <t>Shayzien platebody (4)</t>
  </si>
  <si>
    <t>Shayzien gloves (5)</t>
  </si>
  <si>
    <t>Shayzien boots (5)</t>
  </si>
  <si>
    <t>Shayzien helm (5)</t>
  </si>
  <si>
    <t>Shayzien greaves (5)</t>
  </si>
  <si>
    <t>Shayzien body (5)</t>
  </si>
  <si>
    <t>Celestial ring (uncharged)</t>
  </si>
  <si>
    <t>Star fragment</t>
  </si>
  <si>
    <t>Crawling hand</t>
  </si>
  <si>
    <t>Cockatrice head</t>
  </si>
  <si>
    <t>Basilisk head</t>
  </si>
  <si>
    <t>Kurask head</t>
  </si>
  <si>
    <t>Imbued heart</t>
  </si>
  <si>
    <t>Eternal gem</t>
  </si>
  <si>
    <t>Dust battlestaff</t>
  </si>
  <si>
    <t>Mist battlestaff</t>
  </si>
  <si>
    <t>Granite maul</t>
  </si>
  <si>
    <t>Mudskipper hat</t>
  </si>
  <si>
    <t>Flippers</t>
  </si>
  <si>
    <t>Brine sabre</t>
  </si>
  <si>
    <t>Leaf-bladed sword</t>
  </si>
  <si>
    <t>Leaf-bladed battleaxe</t>
  </si>
  <si>
    <t>Black mask (10)</t>
  </si>
  <si>
    <t>Granite longsword</t>
  </si>
  <si>
    <t>Granite boots</t>
  </si>
  <si>
    <t>Wyvern visage</t>
  </si>
  <si>
    <t>Granite legs</t>
  </si>
  <si>
    <t>Bronze boots</t>
  </si>
  <si>
    <t>Iron boots</t>
  </si>
  <si>
    <t>Steel boots</t>
  </si>
  <si>
    <t>Black boots</t>
  </si>
  <si>
    <t>Mithril boots</t>
  </si>
  <si>
    <t>Adamant boots</t>
  </si>
  <si>
    <t>Rune boots</t>
  </si>
  <si>
    <t>Dragon boots</t>
  </si>
  <si>
    <t>Uncharged trident</t>
  </si>
  <si>
    <t>Dark bow</t>
  </si>
  <si>
    <t>Dragon sword</t>
  </si>
  <si>
    <t>Broken dragon hasta</t>
  </si>
  <si>
    <t>Drake's tooth</t>
  </si>
  <si>
    <t>Drake's claw</t>
  </si>
  <si>
    <t>Mystic hat (light)</t>
  </si>
  <si>
    <t>Mystic robe top (light)</t>
  </si>
  <si>
    <t>Mystic robe bottom (light)</t>
  </si>
  <si>
    <t>Mystic gloves (light)</t>
  </si>
  <si>
    <t>Mystic boots (light)</t>
  </si>
  <si>
    <t>Mystic hat (dark)</t>
  </si>
  <si>
    <t>Mystic robe top (dark)</t>
  </si>
  <si>
    <t>Mystic robe bottom (dark)</t>
  </si>
  <si>
    <t>Mystic gloves (dark)</t>
  </si>
  <si>
    <t>Mystic boots (dark)</t>
  </si>
  <si>
    <t>Mystic hat (dusk)</t>
  </si>
  <si>
    <t>Mystic robe top (dusk)</t>
  </si>
  <si>
    <t>Mystic robe bottom (dusk)</t>
  </si>
  <si>
    <t>Mystic gloves (dusk)</t>
  </si>
  <si>
    <t>Mystic boots (dusk)</t>
  </si>
  <si>
    <t>Basilisk jaw</t>
  </si>
  <si>
    <t>Aquanite tendon</t>
  </si>
  <si>
    <t>Dagon'hai hat</t>
  </si>
  <si>
    <t>Dagon'hai robe top</t>
  </si>
  <si>
    <t>Dagon'hai robe bottom</t>
  </si>
  <si>
    <t>Blood shard</t>
  </si>
  <si>
    <t>Ancient ceremonial mask</t>
  </si>
  <si>
    <t>Ancient ceremonial top</t>
  </si>
  <si>
    <t>Ancient ceremonial legs</t>
  </si>
  <si>
    <t>Ancient ceremonial gloves</t>
  </si>
  <si>
    <t>Ancient ceremonial boots</t>
  </si>
  <si>
    <t>Warped sceptre (uncharged)</t>
  </si>
  <si>
    <t>Sulphur blades</t>
  </si>
  <si>
    <t>Teleport anchoring scroll</t>
  </si>
  <si>
    <t>Aranea boots</t>
  </si>
  <si>
    <t>Earthbound tecpatl</t>
  </si>
  <si>
    <t>Antler guard</t>
  </si>
  <si>
    <t>Alchemist's signet</t>
  </si>
  <si>
    <t>Broken antler</t>
  </si>
  <si>
    <t>Horn of plenty (empty)</t>
  </si>
  <si>
    <t>Tormented synapse</t>
  </si>
  <si>
    <t>Burning claw</t>
  </si>
  <si>
    <t>Guthixian temple teleport</t>
  </si>
  <si>
    <t>Obsidian cape</t>
  </si>
  <si>
    <t>Toktz-ket-xil</t>
  </si>
  <si>
    <t>Tzhaar-ket-om</t>
  </si>
  <si>
    <t>Toktz-xil-ak</t>
  </si>
  <si>
    <t>Toktz-xil-ek</t>
  </si>
  <si>
    <t>Toktz-mej-tal</t>
  </si>
  <si>
    <t>Toktz-xil-ul</t>
  </si>
  <si>
    <t>Obsidian helmet</t>
  </si>
  <si>
    <t>Obsidian platebody</t>
  </si>
  <si>
    <t>Obsidian platelegs</t>
  </si>
  <si>
    <t>Dragon warhammer</t>
  </si>
  <si>
    <t>Big swordfish</t>
  </si>
  <si>
    <t>Big shark</t>
  </si>
  <si>
    <t>Big bass</t>
  </si>
  <si>
    <t>Giant blue krill</t>
  </si>
  <si>
    <t>Golden haddock</t>
  </si>
  <si>
    <t>Orangefin</t>
  </si>
  <si>
    <t>Huge halibut</t>
  </si>
  <si>
    <t>Purplefin</t>
  </si>
  <si>
    <t>Swift marlin</t>
  </si>
  <si>
    <t>Long bone</t>
  </si>
  <si>
    <t>Curved bone</t>
  </si>
  <si>
    <t>Ecumenical key</t>
  </si>
  <si>
    <t>Pharaoh's sceptre (uncharged)</t>
  </si>
  <si>
    <t>Dark totem base</t>
  </si>
  <si>
    <t>Dark totem middle</t>
  </si>
  <si>
    <t>Dark totem top</t>
  </si>
  <si>
    <t>Chewed bones</t>
  </si>
  <si>
    <t>Dragon full helm</t>
  </si>
  <si>
    <t>Shield left half</t>
  </si>
  <si>
    <t>Dragon metal slice</t>
  </si>
  <si>
    <t>Dragon metal lump</t>
  </si>
  <si>
    <t>Dragon limbs</t>
  </si>
  <si>
    <t>Dragon spear</t>
  </si>
  <si>
    <t>Amulet of eternal glory</t>
  </si>
  <si>
    <t>Shaman mask</t>
  </si>
  <si>
    <t>Evil chicken head</t>
  </si>
  <si>
    <t>Evil chicken wings</t>
  </si>
  <si>
    <t>Evil chicken legs</t>
  </si>
  <si>
    <t>Evil chicken feet</t>
  </si>
  <si>
    <t>Mining gloves</t>
  </si>
  <si>
    <t>Superior mining gloves</t>
  </si>
  <si>
    <t>Expert mining gloves</t>
  </si>
  <si>
    <t>Right skull half</t>
  </si>
  <si>
    <t>Left skull half</t>
  </si>
  <si>
    <t>Top of sceptre</t>
  </si>
  <si>
    <t>Bottom of sceptre</t>
  </si>
  <si>
    <t>Mossy key</t>
  </si>
  <si>
    <t>Giant key</t>
  </si>
  <si>
    <t>Hespori seed</t>
  </si>
  <si>
    <t>Fresh crab claw</t>
  </si>
  <si>
    <t>Fresh crab shell</t>
  </si>
  <si>
    <t>Xeric's talisman (inert)</t>
  </si>
  <si>
    <t>Mask of ranul</t>
  </si>
  <si>
    <t>Elven signet</t>
  </si>
  <si>
    <t>Crystal grail</t>
  </si>
  <si>
    <t>Enhanced crystal teleport seed</t>
  </si>
  <si>
    <t>Dragonstone full helm</t>
  </si>
  <si>
    <t>Dragonstone platebody</t>
  </si>
  <si>
    <t>Dragonstone platelegs</t>
  </si>
  <si>
    <t>Dragonstone gauntlets</t>
  </si>
  <si>
    <t>Dragonstone boots</t>
  </si>
  <si>
    <t>Merfolk trident</t>
  </si>
  <si>
    <t>Orange egg sac</t>
  </si>
  <si>
    <t>Blue egg sac</t>
  </si>
  <si>
    <t>Broken zombie axe</t>
  </si>
  <si>
    <t>Broken zombie helmet</t>
  </si>
  <si>
    <t>Helmet of the moon</t>
  </si>
  <si>
    <t>Squid beak</t>
  </si>
  <si>
    <t>Activity index</t>
  </si>
  <si>
    <t>Item name</t>
  </si>
  <si>
    <t>Requires previous</t>
  </si>
  <si>
    <t>Active</t>
  </si>
  <si>
    <t>Exact</t>
  </si>
  <si>
    <t>Independent</t>
  </si>
  <si>
    <t>Drop rate (attempts)</t>
  </si>
  <si>
    <t>E&amp;I</t>
  </si>
  <si>
    <t>E</t>
  </si>
  <si>
    <t>I</t>
  </si>
  <si>
    <t>Neither^(-1)</t>
  </si>
  <si>
    <t>Individual difficulties</t>
  </si>
  <si>
    <t>Cumulative difficulties</t>
  </si>
  <si>
    <t>Count</t>
  </si>
  <si>
    <t>% Complete</t>
  </si>
  <si>
    <t>1 - 2</t>
  </si>
  <si>
    <t>1 - 3</t>
  </si>
  <si>
    <t>1 - 4</t>
  </si>
  <si>
    <t>1 - 5</t>
  </si>
  <si>
    <t>1 - 6</t>
  </si>
  <si>
    <t>1 - 7</t>
  </si>
  <si>
    <t>1 - 8</t>
  </si>
  <si>
    <t>1 - 9</t>
  </si>
  <si>
    <t>1 - 10</t>
  </si>
  <si>
    <t>Change log:</t>
  </si>
  <si>
    <t>v 1.3.4</t>
  </si>
  <si>
    <t>- The big Sailing update is here! Added 31 new Sailing activities.</t>
  </si>
  <si>
    <t>- 8 Salvaging, 3 Barracuda Trials, 6 Trawling, 6 Boat Combat, 4 Slayer, 4 Other.</t>
  </si>
  <si>
    <t>- Added activities for Random Events and Skotizo.</t>
  </si>
  <si>
    <t>- Added activities for Larran's Big Chest, the Brimstone Chest, and the Elven Crystal Chest.</t>
  </si>
  <si>
    <t>- Added Superior drops to 10 on-task monsters with superiors.</t>
  </si>
  <si>
    <t>- With all of these activities, Log Adviser now covers all but two Collection Log items!</t>
  </si>
  <si>
    <t>- Split the Revenants activity in two, one off-task and one skipping for task.</t>
  </si>
  <si>
    <t>- Added 83 new Collection Log items.</t>
  </si>
  <si>
    <t>- Added Huasca seeds to the Amoxliatl activity from the recent update.</t>
  </si>
  <si>
    <t>- Added Difficulty rankings to each item on the "List of log slots" tab.</t>
  </si>
  <si>
    <t>- Added a new "Difficulty stats" tab.</t>
  </si>
  <si>
    <t>- Added columns to the "List of activities" tab for difficulty and easiest item.</t>
  </si>
  <si>
    <t>v 1.3.3</t>
  </si>
  <si>
    <t>- Added activities for killing Doom of Mokhaiotl, Elder Custodian Stalkers, and Earthen Nagua</t>
  </si>
  <si>
    <t>- Added activities for Vale Totems and the Helmet of the Moon chest.</t>
  </si>
  <si>
    <t>- Added 15 new Collection Log items.</t>
  </si>
  <si>
    <t>- Shark fishing now has a comment indicating that it should be in Tal Teklan for moon keys.</t>
  </si>
  <si>
    <t>- Updated the shark fishing rate from 2 tick to AFK.</t>
  </si>
  <si>
    <t>- Fixed a bug where Log Adviser would fail to parse fully numeric usernames (Thanks 830!)</t>
  </si>
  <si>
    <t>v 1.3.2</t>
  </si>
  <si>
    <t>- Added activities for killing Bryophyta, the Deranged Archaeologist, and Obor.</t>
  </si>
  <si>
    <t>- Updated the rate for defeating Yama and the Yama unique droprates.</t>
  </si>
  <si>
    <t>- Updated completion rates and unique droprates in Tombs of Amascut activities.</t>
  </si>
  <si>
    <t>- Added the Jewel of amascut to Tombs of Amascut.</t>
  </si>
  <si>
    <t>- Added Bryophyta's essence and Hill giant club to moss and hill giants, respectively.</t>
  </si>
  <si>
    <t>- Added appropriate scroll cases to each of the clue activities.</t>
  </si>
  <si>
    <t>- Updated kill rates and Slepey tablet drop chance at Phosani's Nightmare.</t>
  </si>
  <si>
    <t>- Updated kill rates and unique drop chance at Hueycoatl.</t>
  </si>
  <si>
    <t>- Updated the kill rate at Duke Sucellus.</t>
  </si>
  <si>
    <t>- Updated the rate of catching sharks to use Shark lure.</t>
  </si>
  <si>
    <t>- Added Slots left, Slots total, and % complete for each activity to the "List of activites" tab.</t>
  </si>
  <si>
    <t>v 1.3.1</t>
  </si>
  <si>
    <t>- Added an activity for defeating Yama. (Rates are preliminary until Jagex shares official rates)</t>
  </si>
  <si>
    <t>- Added 11 new Collection Log items.</t>
  </si>
  <si>
    <t>- Increased rates for Abyssal Sire after the rework, it is roughly 10% faster.</t>
  </si>
  <si>
    <t>- Removed the manual import, it is no longer supported.</t>
  </si>
  <si>
    <t>- Oathplate shards are disabled for now, they don't appear on Yama's collection log yet.</t>
  </si>
  <si>
    <t>- Added a manual override feature.</t>
  </si>
  <si>
    <t>- Improved the instructions for setting up a Temple profile for new users. (Thanks Shawnzy!)</t>
  </si>
  <si>
    <t>- Revenants are now suggested to be done on task (Thanks Salve Eel!)</t>
  </si>
  <si>
    <t>- Log Adviser recommends the demon cyclops quads for Revenants (Thanks T imbo!)</t>
  </si>
  <si>
    <t>v 1.3.0</t>
  </si>
  <si>
    <t>- Updated Log Adviser to use the new Temple Collection Log API.</t>
  </si>
  <si>
    <t>- The new API resolves a gender-related bug with the Farmer's outfit. (thanks Sybinn!)</t>
  </si>
  <si>
    <t>- The new API resolves all sync-related bugs. (thanks Jett!)</t>
  </si>
  <si>
    <t>- Updated the usage instructions, signing in to Google is required. (Thanks Bry4n!)</t>
  </si>
  <si>
    <t>- Added activities for looting Branda and Eldric, the Royal Titans.</t>
  </si>
  <si>
    <t>- Added 7 new Collection Log items.</t>
  </si>
  <si>
    <t>- Updated rates for most bosses according to Temple EHB.</t>
  </si>
  <si>
    <t>- Updated rates for Forestry, 20% more events and rares are 40% more common.</t>
  </si>
  <si>
    <t>- Log Adviser now models the Sacrifice option for Nid from Araxxor.</t>
  </si>
  <si>
    <t>- Changed Moss Giants activity to use the Wilderness for faster keys</t>
  </si>
  <si>
    <t>- Updated the rates for termites from Colossal Wyrm Agility to be more accurate.</t>
  </si>
  <si>
    <t>- Updated method for Teleport Anchoring Scroll to be buying and using keys for mains.</t>
  </si>
  <si>
    <t>- Updated Hueycoatl kills/hr to be more realistic (thanks Auburn Lax!)</t>
  </si>
  <si>
    <t>- Updated the Nid drop rate to the correct value. (thanks Cyanblur from reddit!)</t>
  </si>
  <si>
    <t xml:space="preserve">- Updated the Rocky method to use seed stalls. (thanks Huggly001 from reddit!) </t>
  </si>
  <si>
    <t>- Updated the date format to be less ambiguous. (thanks Them_Is_Me from reddit!)</t>
  </si>
  <si>
    <t>v 1.2.3</t>
  </si>
  <si>
    <t>- Updated Guardians of the Rift rates from the rebalance, it is roughly 10% faster.</t>
  </si>
  <si>
    <t>- Added activities for Hueycoatl, Amoxliatl, Mastering Mixology, and Colossal Wyrm Agility.</t>
  </si>
  <si>
    <t>- Updated Armoured Zombies activity to use the new Zemouregal variant. It is strictly better.</t>
  </si>
  <si>
    <t>- Added 26 new Collection Log items.</t>
  </si>
  <si>
    <t>v 1.2.2</t>
  </si>
  <si>
    <t>- Added activities for Araxxor and Araxytes.</t>
  </si>
  <si>
    <t>- Updated Twitcher's Gloves anima bark cost from 250 to 5000.</t>
  </si>
  <si>
    <t>Thanks to @Streammz from Log Hunters Discord for reporting the above issue!</t>
  </si>
  <si>
    <t>- Updated rates for killing Earth Warriors, Hobgoblins, and Zombies to be more realistic.</t>
  </si>
  <si>
    <t>- Added method descriptions for Champions Challenge activities on the Completion rates tab.</t>
  </si>
  <si>
    <t>v 1.2.1</t>
  </si>
  <si>
    <t>- Added an activity for Tormented Demons.</t>
  </si>
  <si>
    <t>- Updated Zalcano rates from the skilling rebalance, it is roughly 3x as fast.</t>
  </si>
  <si>
    <t>- Updated Magic Training Arena rates from the skilling rebalance, it is roughly 2x as fast.</t>
  </si>
  <si>
    <t>- Updated Nightmare and Phosani's Nightmare rates, it is roughly 80% faster.</t>
  </si>
  <si>
    <t>- Updated Dragon Warhammer droprate, it is exactly 66.66% faster.</t>
  </si>
  <si>
    <t>- Moved rare Forestry items from Forestry events to collecting bark. It is a lot slower.</t>
  </si>
  <si>
    <t xml:space="preserve">- Added Evil Chicken outfit pieces to Forestry events. </t>
  </si>
  <si>
    <t>- Added 4 new Collection Log items.</t>
  </si>
  <si>
    <t>v 1.2.0</t>
  </si>
  <si>
    <t>- Added activities for the Colosseum, Moons of Peril, and Hunters' Rumors.</t>
  </si>
  <si>
    <t>- Added activities for Sulphur Naguas and Zombie Pirates.</t>
  </si>
  <si>
    <t>- Added 29 new Collection Log items.</t>
  </si>
  <si>
    <t>v 1.1.4</t>
  </si>
  <si>
    <t>- Added an activity for Armoured Zombies</t>
  </si>
  <si>
    <t>- Added the Broken Zombie Axe</t>
  </si>
  <si>
    <t>- Improved error checking in an attempt to avoid log synchronization issues where possible.</t>
  </si>
  <si>
    <t>Thanks to @DrYoshiyahu from Log Hunters Discord for reporting the above issue!</t>
  </si>
  <si>
    <t>- Minor updates to the Activity Map to improve Log Adviser self-consistency.</t>
  </si>
  <si>
    <t>v 1.1.3</t>
  </si>
  <si>
    <t>- Added an activity for Scurrius</t>
  </si>
  <si>
    <t>- Added 2 Scurrius collection log items</t>
  </si>
  <si>
    <t>- Deprecated the EHC calculation, since it was using the old model.</t>
  </si>
  <si>
    <t>v 1.1.2</t>
  </si>
  <si>
    <t>- Added an activity for Forestry Events, separate from Bark</t>
  </si>
  <si>
    <t>- Added 11 Forestry Part 2 collection log items</t>
  </si>
  <si>
    <t>- Minor updates to item tags in preparation for an upcoming update</t>
  </si>
  <si>
    <t>- Improvements to the Notes tab</t>
  </si>
  <si>
    <t>v 1.1.1</t>
  </si>
  <si>
    <t>- Added an activity for Warped Terrorbirds</t>
  </si>
  <si>
    <t>- Added a calculation for EHC, using values from @TheRealOne's EHC Highscores</t>
  </si>
  <si>
    <t>- Updated the rates for anima-infused bark from Forestry and all clue types</t>
  </si>
  <si>
    <t>v 1.1</t>
  </si>
  <si>
    <t>- Added Ironman rates, thanks to @Iron Zaino for the first draft of these!</t>
  </si>
  <si>
    <t>- Added an Ironman toggle by the username input to switch between main and iron rates.</t>
  </si>
  <si>
    <t>- Updated rates for mains.</t>
  </si>
  <si>
    <t>- Added a Verification Source column to show where rates were sourced from.</t>
  </si>
  <si>
    <t>- Added activities for Forestry, Duke Sucellus, the Leviathan, Vardorvis, and the Whsiperer.</t>
  </si>
  <si>
    <t xml:space="preserve">- Added new collection log items from those 5 activities. </t>
  </si>
  <si>
    <t>- Added activities for skilling pets and Hespori seeds</t>
  </si>
  <si>
    <t>- Added grubby key uniques to Sarachnis and Undead Druids, since they drop grubby keys.</t>
  </si>
  <si>
    <t>v 1.0.3.2</t>
  </si>
  <si>
    <t xml:space="preserve">- Fixed a typo in one of the activity names, thanks to @CuriPolymath for pointing it out. </t>
  </si>
  <si>
    <t xml:space="preserve">- Changed points/hour for Tithe farm because of the recent update </t>
  </si>
  <si>
    <t>v 1.0.3.1</t>
  </si>
  <si>
    <t>- The adviser no longer cares that you can sell some LMS items for 80% of your points back.</t>
  </si>
  <si>
    <t>v 1.0.3</t>
  </si>
  <si>
    <t>- Added Phantom Muspah and its drops.</t>
  </si>
  <si>
    <t>- Added Revenant weapon upgrades, Voidwaker pieces and the Dragon pickaxe (broken).</t>
  </si>
  <si>
    <t>- Reworked Callisto, Venenatis and Vet'ion sections into Artio, Spindel and Calvar'ion sections.</t>
  </si>
  <si>
    <t>- Added Dragon pickaxe to Kalphite Queen.</t>
  </si>
  <si>
    <t xml:space="preserve">- Updated drop rate of Dragon pickaxe from King Black Dragon. </t>
  </si>
  <si>
    <r>
      <rPr>
        <rFont val="Arial"/>
        <color theme="1"/>
        <sz val="14.0"/>
      </rPr>
      <t>- Update</t>
    </r>
    <r>
      <rPr>
        <rFont val="Arial"/>
        <color rgb="FF000000"/>
        <sz val="14.0"/>
      </rPr>
      <t>d rates for ToA t</t>
    </r>
    <r>
      <rPr>
        <rFont val="Arial"/>
        <color theme="1"/>
        <sz val="14.0"/>
      </rPr>
      <t>o use the TempleOSRS rates.</t>
    </r>
  </si>
  <si>
    <t>- Removed the "time to learn" buffer from the default for Inferno and ToA challenges. Git gud.</t>
  </si>
  <si>
    <t>- Changed clue rates to include time to obtain. Only really effects elite and master clues.</t>
  </si>
  <si>
    <t>v 1.0.2</t>
  </si>
  <si>
    <t>- Added ability to import the collection log JSON from a file.</t>
  </si>
  <si>
    <t>- Updated rates for rummaging Ancient Skeletons.</t>
  </si>
  <si>
    <t>v 1.0.1</t>
  </si>
  <si>
    <t>- Minor text changes from release feedback.</t>
  </si>
  <si>
    <t>- Added FAQ.</t>
  </si>
  <si>
    <t>- Fixed a gender-related bug with the automatic import on the Farmer's set items.</t>
  </si>
  <si>
    <t>v 1.0</t>
  </si>
  <si>
    <t>- Added collectionlog.net API support, so you can import your log by putting in your username.</t>
  </si>
  <si>
    <t>- Updated rates to align with the EHC spreadsheet.</t>
  </si>
  <si>
    <t>- Added "Fastest slot" field to the list of activities, so you know what you're going for .</t>
  </si>
  <si>
    <t>v 0.1 alpha</t>
  </si>
  <si>
    <t>- Initial release.</t>
  </si>
  <si>
    <t>Sources:</t>
  </si>
  <si>
    <t>Special thanks to TheRealOne's EHC Hiscores</t>
  </si>
  <si>
    <t>Special thanks to RuneLite</t>
  </si>
  <si>
    <r>
      <rPr>
        <rFont val="Arial"/>
        <color theme="1"/>
        <sz val="14.0"/>
      </rPr>
      <t xml:space="preserve">Special thanks to the Collection Log plugin and </t>
    </r>
    <r>
      <rPr>
        <rFont val="Arial"/>
        <color rgb="FF000000"/>
        <sz val="14.0"/>
      </rPr>
      <t>collectionlog.net</t>
    </r>
  </si>
  <si>
    <t>https://oldschool.runescape.wiki</t>
  </si>
  <si>
    <t>https://templeosrs.com/rates/bosses.php?ehp=ehb</t>
  </si>
  <si>
    <t>Log Hunters discord</t>
  </si>
  <si>
    <t>OSRS Gear Discord</t>
  </si>
  <si>
    <t>Petcord</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</si>
</sst>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 mmm yyyy"/>
    <numFmt numFmtId="165" formatCode="0.0"/>
    <numFmt numFmtId="166" formatCode="m/d/yyyy"/>
    <numFmt numFmtId="167" formatCode="d&quot; &quot;mmm&quot; &quot;yyyy"/>
  </numFmts>
  <fonts count="26">
    <font>
      <sz val="10.0"/>
      <color rgb="FF000000"/>
      <name val="Arial"/>
      <scheme val="minor"/>
    </font>
    <font>
      <sz val="40.0"/>
      <color theme="1"/>
      <name val="Arial"/>
    </font>
    <font>
      <sz val="24.0"/>
      <color theme="1"/>
      <name val="Arial"/>
    </font>
    <font>
      <b/>
      <sz val="24.0"/>
      <color theme="1"/>
      <name val="Arial"/>
    </font>
    <font>
      <color theme="1"/>
      <name val="Arial"/>
    </font>
    <font>
      <sz val="18.0"/>
      <color rgb="FF0000FF"/>
      <name val="Arial"/>
    </font>
    <font>
      <b/>
      <sz val="18.0"/>
      <color rgb="FFFFFFFF"/>
      <name val="Arial"/>
    </font>
    <font>
      <b/>
      <sz val="20.0"/>
      <color theme="1"/>
      <name val="Arial"/>
    </font>
    <font>
      <sz val="16.0"/>
      <color theme="1"/>
      <name val="Arial"/>
    </font>
    <font>
      <sz val="16.0"/>
      <color rgb="FF0000FF"/>
      <name val="Arial"/>
    </font>
    <font>
      <sz val="12.0"/>
      <color theme="1"/>
      <name val="Arial"/>
    </font>
    <font>
      <i/>
      <sz val="16.0"/>
      <color theme="1"/>
      <name val="Arial"/>
    </font>
    <font>
      <b/>
      <sz val="14.0"/>
      <color rgb="FFFFFFFF"/>
      <name val="Arial"/>
    </font>
    <font>
      <b/>
      <sz val="14.0"/>
      <color theme="1"/>
      <name val="Arial"/>
    </font>
    <font>
      <sz val="14.0"/>
      <color theme="1"/>
      <name val="Arial"/>
    </font>
    <font>
      <sz val="14.0"/>
      <color rgb="FF990000"/>
      <name val="Arial"/>
    </font>
    <font>
      <sz val="14.0"/>
      <color rgb="FF38761D"/>
      <name val="Arial"/>
    </font>
    <font>
      <b/>
      <color rgb="FFFFFFFF"/>
      <name val="Arial"/>
    </font>
    <font>
      <color rgb="FF990000"/>
      <name val="Arial"/>
    </font>
    <font>
      <color rgb="FF38761D"/>
      <name val="Arial"/>
    </font>
    <font>
      <u/>
      <sz val="14.0"/>
      <color rgb="FF0000FF"/>
      <name val="Arial"/>
    </font>
    <font>
      <b/>
      <u/>
      <sz val="14.0"/>
      <color rgb="FF0000FF"/>
      <name val="Arial"/>
    </font>
    <font>
      <b/>
      <u/>
      <sz val="14.0"/>
      <color rgb="FFFFFFFF"/>
      <name val="Arial"/>
    </font>
    <font>
      <u/>
      <sz val="14.0"/>
      <color rgb="FF1155CC"/>
      <name val="Arial"/>
    </font>
    <font>
      <sz val="11.0"/>
      <color rgb="FF000000"/>
      <name val="Inconsolata"/>
    </font>
    <font>
      <color theme="1"/>
      <name val="Arial"/>
      <scheme val="minor"/>
    </font>
  </fonts>
  <fills count="170">
    <fill>
      <patternFill patternType="none"/>
    </fill>
    <fill>
      <patternFill patternType="lightGray"/>
    </fill>
    <fill>
      <patternFill patternType="solid">
        <fgColor rgb="FFEADFD3"/>
        <bgColor rgb="FFEADFD3"/>
      </patternFill>
    </fill>
    <fill>
      <patternFill patternType="solid">
        <fgColor rgb="FF000000"/>
        <bgColor rgb="FF000000"/>
      </patternFill>
    </fill>
    <fill>
      <patternFill patternType="solid">
        <fgColor rgb="FF9FC5E8"/>
        <bgColor rgb="FF9FC5E8"/>
      </patternFill>
    </fill>
    <fill>
      <patternFill patternType="solid">
        <fgColor rgb="FF85C280"/>
        <bgColor rgb="FF85C280"/>
      </patternFill>
    </fill>
    <fill>
      <patternFill patternType="solid">
        <fgColor rgb="FFFDD166"/>
        <bgColor rgb="FFFDD166"/>
      </patternFill>
    </fill>
    <fill>
      <patternFill patternType="solid">
        <fgColor rgb="FF82C281"/>
        <bgColor rgb="FF82C281"/>
      </patternFill>
    </fill>
    <fill>
      <patternFill patternType="solid">
        <fgColor rgb="FFFBCC66"/>
        <bgColor rgb="FFFBCC66"/>
      </patternFill>
    </fill>
    <fill>
      <patternFill patternType="solid">
        <fgColor rgb="FFCFE2F3"/>
        <bgColor rgb="FFCFE2F3"/>
      </patternFill>
    </fill>
    <fill>
      <patternFill patternType="solid">
        <fgColor rgb="FF93C47D"/>
        <bgColor rgb="FF93C47D"/>
      </patternFill>
    </fill>
    <fill>
      <patternFill patternType="solid">
        <fgColor rgb="FF7EC182"/>
        <bgColor rgb="FF7EC182"/>
      </patternFill>
    </fill>
    <fill>
      <patternFill patternType="solid">
        <fgColor rgb="FFE88466"/>
        <bgColor rgb="FFE88466"/>
      </patternFill>
    </fill>
    <fill>
      <patternFill patternType="solid">
        <fgColor rgb="FF5EBC89"/>
        <bgColor rgb="FF5EBC89"/>
      </patternFill>
    </fill>
    <fill>
      <patternFill patternType="solid">
        <fgColor rgb="FFEA8C66"/>
        <bgColor rgb="FFEA8C66"/>
      </patternFill>
    </fill>
    <fill>
      <patternFill patternType="solid">
        <fgColor rgb="FF58BB8A"/>
        <bgColor rgb="FF58BB8A"/>
      </patternFill>
    </fill>
    <fill>
      <patternFill patternType="solid">
        <fgColor rgb="FFE57A66"/>
        <bgColor rgb="FFE57A66"/>
      </patternFill>
    </fill>
    <fill>
      <patternFill patternType="solid">
        <fgColor rgb="FFFAC368"/>
        <bgColor rgb="FFFAC368"/>
      </patternFill>
    </fill>
    <fill>
      <patternFill patternType="solid">
        <fgColor rgb="FF9BC67C"/>
        <bgColor rgb="FF9BC67C"/>
      </patternFill>
    </fill>
    <fill>
      <patternFill patternType="solid">
        <fgColor rgb="FFA6C77A"/>
        <bgColor rgb="FFA6C77A"/>
      </patternFill>
    </fill>
    <fill>
      <patternFill patternType="solid">
        <fgColor rgb="FFF3AD66"/>
        <bgColor rgb="FFF3AD66"/>
      </patternFill>
    </fill>
    <fill>
      <patternFill patternType="solid">
        <fgColor rgb="FF60BC88"/>
        <bgColor rgb="FF60BC88"/>
      </patternFill>
    </fill>
    <fill>
      <patternFill patternType="solid">
        <fgColor rgb="FF57BB8A"/>
        <bgColor rgb="FF57BB8A"/>
      </patternFill>
    </fill>
    <fill>
      <patternFill patternType="solid">
        <fgColor rgb="FFE47566"/>
        <bgColor rgb="FFE47566"/>
      </patternFill>
    </fill>
    <fill>
      <patternFill patternType="solid">
        <fgColor rgb="FF68BD87"/>
        <bgColor rgb="FF68BD87"/>
      </patternFill>
    </fill>
    <fill>
      <patternFill patternType="solid">
        <fgColor rgb="FFEF9F66"/>
        <bgColor rgb="FFEF9F66"/>
      </patternFill>
    </fill>
    <fill>
      <patternFill patternType="solid">
        <fgColor rgb="FF62BC88"/>
        <bgColor rgb="FF62BC88"/>
      </patternFill>
    </fill>
    <fill>
      <patternFill patternType="solid">
        <fgColor rgb="FFE37466"/>
        <bgColor rgb="FFE37466"/>
      </patternFill>
    </fill>
    <fill>
      <patternFill patternType="solid">
        <fgColor rgb="FF73BF84"/>
        <bgColor rgb="FF73BF84"/>
      </patternFill>
    </fill>
    <fill>
      <patternFill patternType="solid">
        <fgColor rgb="FFE98966"/>
        <bgColor rgb="FFE98966"/>
      </patternFill>
    </fill>
    <fill>
      <patternFill patternType="solid">
        <fgColor rgb="FFDBD06E"/>
        <bgColor rgb="FFDBD06E"/>
      </patternFill>
    </fill>
    <fill>
      <patternFill patternType="solid">
        <fgColor rgb="FFFBC868"/>
        <bgColor rgb="FFFBC868"/>
      </patternFill>
    </fill>
    <fill>
      <patternFill patternType="solid">
        <fgColor rgb="FFF7BC66"/>
        <bgColor rgb="FFF7BC66"/>
      </patternFill>
    </fill>
    <fill>
      <patternFill patternType="solid">
        <fgColor rgb="FF9AC57C"/>
        <bgColor rgb="FF9AC57C"/>
      </patternFill>
    </fill>
    <fill>
      <patternFill patternType="solid">
        <fgColor rgb="FFF1A566"/>
        <bgColor rgb="FFF1A566"/>
      </patternFill>
    </fill>
    <fill>
      <patternFill patternType="solid">
        <fgColor rgb="FFF2A76C"/>
        <bgColor rgb="FFF2A76C"/>
      </patternFill>
    </fill>
    <fill>
      <patternFill patternType="solid">
        <fgColor rgb="FF59BB8A"/>
        <bgColor rgb="FF59BB8A"/>
      </patternFill>
    </fill>
    <fill>
      <patternFill patternType="solid">
        <fgColor rgb="FFEFA166"/>
        <bgColor rgb="FFEFA166"/>
      </patternFill>
    </fill>
    <fill>
      <patternFill patternType="solid">
        <fgColor rgb="FF5ABB8A"/>
        <bgColor rgb="FF5ABB8A"/>
      </patternFill>
    </fill>
    <fill>
      <patternFill patternType="solid">
        <fgColor rgb="FFF1A666"/>
        <bgColor rgb="FFF1A666"/>
      </patternFill>
    </fill>
    <fill>
      <patternFill patternType="solid">
        <fgColor rgb="FFE67C73"/>
        <bgColor rgb="FFE67C73"/>
      </patternFill>
    </fill>
    <fill>
      <patternFill patternType="solid">
        <fgColor rgb="FFD7D26E"/>
        <bgColor rgb="FFD7D26E"/>
      </patternFill>
    </fill>
    <fill>
      <patternFill patternType="solid">
        <fgColor rgb="FF5CBB89"/>
        <bgColor rgb="FF5CBB89"/>
      </patternFill>
    </fill>
    <fill>
      <patternFill patternType="solid">
        <fgColor rgb="FFEE9B66"/>
        <bgColor rgb="FFEE9B66"/>
      </patternFill>
    </fill>
    <fill>
      <patternFill patternType="solid">
        <fgColor rgb="FF7AC083"/>
        <bgColor rgb="FF7AC083"/>
      </patternFill>
    </fill>
    <fill>
      <patternFill patternType="solid">
        <fgColor rgb="FFF6B966"/>
        <bgColor rgb="FFF6B966"/>
      </patternFill>
    </fill>
    <fill>
      <patternFill patternType="solid">
        <fgColor rgb="FFE06666"/>
        <bgColor rgb="FFE06666"/>
      </patternFill>
    </fill>
    <fill>
      <patternFill patternType="solid">
        <fgColor rgb="FF6CBE86"/>
        <bgColor rgb="FF6CBE86"/>
      </patternFill>
    </fill>
    <fill>
      <patternFill patternType="solid">
        <fgColor rgb="FFFAC866"/>
        <bgColor rgb="FFFAC866"/>
      </patternFill>
    </fill>
    <fill>
      <patternFill patternType="solid">
        <fgColor rgb="FF99C57C"/>
        <bgColor rgb="FF99C57C"/>
      </patternFill>
    </fill>
    <fill>
      <patternFill patternType="solid">
        <fgColor rgb="FFF6B866"/>
        <bgColor rgb="FFF6B866"/>
      </patternFill>
    </fill>
    <fill>
      <patternFill patternType="solid">
        <fgColor rgb="FFEB8F66"/>
        <bgColor rgb="FFEB8F66"/>
      </patternFill>
    </fill>
    <fill>
      <patternFill patternType="solid">
        <fgColor rgb="FFAEC978"/>
        <bgColor rgb="FFAEC978"/>
      </patternFill>
    </fill>
    <fill>
      <patternFill patternType="solid">
        <fgColor rgb="FFE78266"/>
        <bgColor rgb="FFE78266"/>
      </patternFill>
    </fill>
    <fill>
      <patternFill patternType="solid">
        <fgColor rgb="FFE67D66"/>
        <bgColor rgb="FFE67D66"/>
      </patternFill>
    </fill>
    <fill>
      <patternFill patternType="solid">
        <fgColor rgb="FFFED166"/>
        <bgColor rgb="FFFED166"/>
      </patternFill>
    </fill>
    <fill>
      <patternFill patternType="solid">
        <fgColor rgb="FFFFD666"/>
        <bgColor rgb="FFFFD666"/>
      </patternFill>
    </fill>
    <fill>
      <patternFill patternType="solid">
        <fgColor rgb="FF5BBB8A"/>
        <bgColor rgb="FF5BBB8A"/>
      </patternFill>
    </fill>
    <fill>
      <patternFill patternType="solid">
        <fgColor rgb="FFFDCD67"/>
        <bgColor rgb="FFFDCD67"/>
      </patternFill>
    </fill>
    <fill>
      <patternFill patternType="solid">
        <fgColor rgb="FFC5CE72"/>
        <bgColor rgb="FFC5CE72"/>
      </patternFill>
    </fill>
    <fill>
      <patternFill patternType="solid">
        <fgColor rgb="FFF5D468"/>
        <bgColor rgb="FFF5D468"/>
      </patternFill>
    </fill>
    <fill>
      <patternFill patternType="solid">
        <fgColor rgb="FFFDD366"/>
        <bgColor rgb="FFFDD366"/>
      </patternFill>
    </fill>
    <fill>
      <patternFill patternType="solid">
        <fgColor rgb="FFD6CF6F"/>
        <bgColor rgb="FFD6CF6F"/>
      </patternFill>
    </fill>
    <fill>
      <patternFill patternType="solid">
        <fgColor rgb="FFEDD669"/>
        <bgColor rgb="FFEDD669"/>
      </patternFill>
    </fill>
    <fill>
      <patternFill patternType="solid">
        <fgColor rgb="FFCBCD71"/>
        <bgColor rgb="FFCBCD71"/>
      </patternFill>
    </fill>
    <fill>
      <patternFill patternType="solid">
        <fgColor rgb="FFEC9566"/>
        <bgColor rgb="FFEC9566"/>
      </patternFill>
    </fill>
    <fill>
      <patternFill patternType="solid">
        <fgColor rgb="FFEE9A66"/>
        <bgColor rgb="FFEE9A66"/>
      </patternFill>
    </fill>
    <fill>
      <patternFill patternType="solid">
        <fgColor rgb="FFC7CD72"/>
        <bgColor rgb="FFC7CD72"/>
      </patternFill>
    </fill>
    <fill>
      <patternFill patternType="solid">
        <fgColor rgb="FFF4AE6B"/>
        <bgColor rgb="FFF4AE6B"/>
      </patternFill>
    </fill>
    <fill>
      <patternFill patternType="solid">
        <fgColor rgb="FFC1CD73"/>
        <bgColor rgb="FFC1CD73"/>
      </patternFill>
    </fill>
    <fill>
      <patternFill patternType="solid">
        <fgColor rgb="FF67BD87"/>
        <bgColor rgb="FF67BD87"/>
      </patternFill>
    </fill>
    <fill>
      <patternFill patternType="solid">
        <fgColor rgb="FFF9C566"/>
        <bgColor rgb="FFF9C566"/>
      </patternFill>
    </fill>
    <fill>
      <patternFill patternType="solid">
        <fgColor rgb="FFED9766"/>
        <bgColor rgb="FFED9766"/>
      </patternFill>
    </fill>
    <fill>
      <patternFill patternType="solid">
        <fgColor rgb="FFF6D468"/>
        <bgColor rgb="FFF6D468"/>
      </patternFill>
    </fill>
    <fill>
      <patternFill patternType="solid">
        <fgColor rgb="FFFFD966"/>
        <bgColor rgb="FFFFD966"/>
      </patternFill>
    </fill>
    <fill>
      <patternFill patternType="solid">
        <fgColor rgb="FF6ABE86"/>
        <bgColor rgb="FF6ABE86"/>
      </patternFill>
    </fill>
    <fill>
      <patternFill patternType="solid">
        <fgColor rgb="FFFCCE66"/>
        <bgColor rgb="FFFCCE66"/>
      </patternFill>
    </fill>
    <fill>
      <patternFill patternType="solid">
        <fgColor rgb="FF5FBC89"/>
        <bgColor rgb="FF5FBC89"/>
      </patternFill>
    </fill>
    <fill>
      <patternFill patternType="solid">
        <fgColor rgb="FFFDD466"/>
        <bgColor rgb="FFFDD466"/>
      </patternFill>
    </fill>
    <fill>
      <patternFill patternType="solid">
        <fgColor rgb="FF6BBE86"/>
        <bgColor rgb="FF6BBE86"/>
      </patternFill>
    </fill>
    <fill>
      <patternFill patternType="solid">
        <fgColor rgb="FF76C084"/>
        <bgColor rgb="FF76C084"/>
      </patternFill>
    </fill>
    <fill>
      <patternFill patternType="solid">
        <fgColor rgb="FFEE9D66"/>
        <bgColor rgb="FFEE9D66"/>
      </patternFill>
    </fill>
    <fill>
      <patternFill patternType="solid">
        <fgColor rgb="FFF0A06D"/>
        <bgColor rgb="FFF0A06D"/>
      </patternFill>
    </fill>
    <fill>
      <patternFill patternType="solid">
        <fgColor rgb="FFFED866"/>
        <bgColor rgb="FFFED866"/>
      </patternFill>
    </fill>
    <fill>
      <patternFill patternType="solid">
        <fgColor rgb="FF66BD87"/>
        <bgColor rgb="FF66BD87"/>
      </patternFill>
    </fill>
    <fill>
      <patternFill patternType="solid">
        <fgColor rgb="FF64BD88"/>
        <bgColor rgb="FF64BD88"/>
      </patternFill>
    </fill>
    <fill>
      <patternFill patternType="solid">
        <fgColor rgb="FFF6B46A"/>
        <bgColor rgb="FFF6B46A"/>
      </patternFill>
    </fill>
    <fill>
      <patternFill patternType="solid">
        <fgColor rgb="FFBBCB75"/>
        <bgColor rgb="FFBBCB75"/>
      </patternFill>
    </fill>
    <fill>
      <patternFill patternType="solid">
        <fgColor rgb="FF70BF85"/>
        <bgColor rgb="FF70BF85"/>
      </patternFill>
    </fill>
    <fill>
      <patternFill patternType="solid">
        <fgColor rgb="FFF0A166"/>
        <bgColor rgb="FFF0A166"/>
      </patternFill>
    </fill>
    <fill>
      <patternFill patternType="solid">
        <fgColor rgb="FFF3AA6C"/>
        <bgColor rgb="FFF3AA6C"/>
      </patternFill>
    </fill>
    <fill>
      <patternFill patternType="solid">
        <fgColor rgb="FFE47766"/>
        <bgColor rgb="FFE47766"/>
      </patternFill>
    </fill>
    <fill>
      <patternFill patternType="solid">
        <fgColor rgb="FFB8CA76"/>
        <bgColor rgb="FFB8CA76"/>
      </patternFill>
    </fill>
    <fill>
      <patternFill patternType="solid">
        <fgColor rgb="FFBDCB75"/>
        <bgColor rgb="FFBDCB75"/>
      </patternFill>
    </fill>
    <fill>
      <patternFill patternType="solid">
        <fgColor rgb="FF71BF85"/>
        <bgColor rgb="FF71BF85"/>
      </patternFill>
    </fill>
    <fill>
      <patternFill patternType="solid">
        <fgColor rgb="FFEF9A6E"/>
        <bgColor rgb="FFEF9A6E"/>
      </patternFill>
    </fill>
    <fill>
      <patternFill patternType="solid">
        <fgColor rgb="FFBFCB74"/>
        <bgColor rgb="FFBFCB74"/>
      </patternFill>
    </fill>
    <fill>
      <patternFill patternType="solid">
        <fgColor rgb="FFEB9166"/>
        <bgColor rgb="FFEB9166"/>
      </patternFill>
    </fill>
    <fill>
      <patternFill patternType="solid">
        <fgColor rgb="FFB4CA76"/>
        <bgColor rgb="FFB4CA76"/>
      </patternFill>
    </fill>
    <fill>
      <patternFill patternType="solid">
        <fgColor rgb="FFB2C977"/>
        <bgColor rgb="FFB2C977"/>
      </patternFill>
    </fill>
    <fill>
      <patternFill patternType="solid">
        <fgColor rgb="FF65BD87"/>
        <bgColor rgb="FF65BD87"/>
      </patternFill>
    </fill>
    <fill>
      <patternFill patternType="solid">
        <fgColor rgb="FFC9CF71"/>
        <bgColor rgb="FFC9CF71"/>
      </patternFill>
    </fill>
    <fill>
      <patternFill patternType="solid">
        <fgColor rgb="FFC2CC73"/>
        <bgColor rgb="FFC2CC73"/>
      </patternFill>
    </fill>
    <fill>
      <patternFill patternType="solid">
        <fgColor rgb="FFABC878"/>
        <bgColor rgb="FFABC878"/>
      </patternFill>
    </fill>
    <fill>
      <patternFill patternType="solid">
        <fgColor rgb="FFED9666"/>
        <bgColor rgb="FFED9666"/>
      </patternFill>
    </fill>
    <fill>
      <patternFill patternType="solid">
        <fgColor rgb="FFF2D469"/>
        <bgColor rgb="FFF2D469"/>
      </patternFill>
    </fill>
    <fill>
      <patternFill patternType="solid">
        <fgColor rgb="FFFED666"/>
        <bgColor rgb="FFFED666"/>
      </patternFill>
    </fill>
    <fill>
      <patternFill patternType="solid">
        <fgColor rgb="FFCFCE71"/>
        <bgColor rgb="FFCFCE71"/>
      </patternFill>
    </fill>
    <fill>
      <patternFill patternType="solid">
        <fgColor rgb="FFF8BF66"/>
        <bgColor rgb="FFF8BF66"/>
      </patternFill>
    </fill>
    <fill>
      <patternFill patternType="solid">
        <fgColor rgb="FF74BF84"/>
        <bgColor rgb="FF74BF84"/>
      </patternFill>
    </fill>
    <fill>
      <patternFill patternType="solid">
        <fgColor rgb="FFA6C779"/>
        <bgColor rgb="FFA6C779"/>
      </patternFill>
    </fill>
    <fill>
      <patternFill patternType="solid">
        <fgColor rgb="FFF1D369"/>
        <bgColor rgb="FFF1D369"/>
      </patternFill>
    </fill>
    <fill>
      <patternFill patternType="solid">
        <fgColor rgb="FF69BD87"/>
        <bgColor rgb="FF69BD87"/>
      </patternFill>
    </fill>
    <fill>
      <patternFill patternType="solid">
        <fgColor rgb="FFFAC169"/>
        <bgColor rgb="FFFAC169"/>
      </patternFill>
    </fill>
    <fill>
      <patternFill patternType="solid">
        <fgColor rgb="FF69BE86"/>
        <bgColor rgb="FF69BE86"/>
      </patternFill>
    </fill>
    <fill>
      <patternFill patternType="solid">
        <fgColor rgb="FF6EBE85"/>
        <bgColor rgb="FF6EBE85"/>
      </patternFill>
    </fill>
    <fill>
      <patternFill patternType="solid">
        <fgColor rgb="FFEF9C6E"/>
        <bgColor rgb="FFEF9C6E"/>
      </patternFill>
    </fill>
    <fill>
      <patternFill patternType="solid">
        <fgColor rgb="FFB6CA76"/>
        <bgColor rgb="FFB6CA76"/>
      </patternFill>
    </fill>
    <fill>
      <patternFill patternType="solid">
        <fgColor rgb="FF7FC182"/>
        <bgColor rgb="FF7FC182"/>
      </patternFill>
    </fill>
    <fill>
      <patternFill patternType="solid">
        <fgColor rgb="FF87C280"/>
        <bgColor rgb="FF87C280"/>
      </patternFill>
    </fill>
    <fill>
      <patternFill patternType="solid">
        <fgColor rgb="FFF5B06B"/>
        <bgColor rgb="FFF5B06B"/>
      </patternFill>
    </fill>
    <fill>
      <patternFill patternType="solid">
        <fgColor rgb="FF72BF85"/>
        <bgColor rgb="FF72BF85"/>
      </patternFill>
    </fill>
    <fill>
      <patternFill patternType="solid">
        <fgColor rgb="FF80C182"/>
        <bgColor rgb="FF80C182"/>
      </patternFill>
    </fill>
    <fill>
      <patternFill patternType="solid">
        <fgColor rgb="FF8DC37F"/>
        <bgColor rgb="FF8DC37F"/>
      </patternFill>
    </fill>
    <fill>
      <patternFill patternType="solid">
        <fgColor rgb="FF78C083"/>
        <bgColor rgb="FF78C083"/>
      </patternFill>
    </fill>
    <fill>
      <patternFill patternType="solid">
        <fgColor rgb="FFF0A366"/>
        <bgColor rgb="FFF0A366"/>
      </patternFill>
    </fill>
    <fill>
      <patternFill patternType="solid">
        <fgColor rgb="FFF3AB6C"/>
        <bgColor rgb="FFF3AB6C"/>
      </patternFill>
    </fill>
    <fill>
      <patternFill patternType="solid">
        <fgColor rgb="FFC3CC73"/>
        <bgColor rgb="FFC3CC73"/>
      </patternFill>
    </fill>
    <fill>
      <patternFill patternType="solid">
        <fgColor rgb="FFF7D468"/>
        <bgColor rgb="FFF7D468"/>
      </patternFill>
    </fill>
    <fill>
      <patternFill patternType="solid">
        <fgColor rgb="FF77C084"/>
        <bgColor rgb="FF77C084"/>
      </patternFill>
    </fill>
    <fill>
      <patternFill patternType="solid">
        <fgColor rgb="FFFED066"/>
        <bgColor rgb="FFFED066"/>
      </patternFill>
    </fill>
    <fill>
      <patternFill patternType="solid">
        <fgColor rgb="FF95C57D"/>
        <bgColor rgb="FF95C57D"/>
      </patternFill>
    </fill>
    <fill>
      <patternFill patternType="solid">
        <fgColor rgb="FF7BC083"/>
        <bgColor rgb="FF7BC083"/>
      </patternFill>
    </fill>
    <fill>
      <patternFill patternType="solid">
        <fgColor rgb="FF7DC182"/>
        <bgColor rgb="FF7DC182"/>
      </patternFill>
    </fill>
    <fill>
      <patternFill patternType="solid">
        <fgColor rgb="FF8CC37F"/>
        <bgColor rgb="FF8CC37F"/>
      </patternFill>
    </fill>
    <fill>
      <patternFill patternType="solid">
        <fgColor rgb="FFE88566"/>
        <bgColor rgb="FFE88566"/>
      </patternFill>
    </fill>
    <fill>
      <patternFill patternType="solid">
        <fgColor rgb="FF88C280"/>
        <bgColor rgb="FF88C280"/>
      </patternFill>
    </fill>
    <fill>
      <patternFill patternType="solid">
        <fgColor rgb="FFF8BA6A"/>
        <bgColor rgb="FFF8BA6A"/>
      </patternFill>
    </fill>
    <fill>
      <patternFill patternType="solid">
        <fgColor rgb="FF83C281"/>
        <bgColor rgb="FF83C281"/>
      </patternFill>
    </fill>
    <fill>
      <patternFill patternType="solid">
        <fgColor rgb="FFFFD366"/>
        <bgColor rgb="FFFFD366"/>
      </patternFill>
    </fill>
    <fill>
      <patternFill patternType="solid">
        <fgColor rgb="FFC5CC73"/>
        <bgColor rgb="FFC5CC73"/>
      </patternFill>
    </fill>
    <fill>
      <patternFill patternType="solid">
        <fgColor rgb="FFFBCA66"/>
        <bgColor rgb="FFFBCA66"/>
      </patternFill>
    </fill>
    <fill>
      <patternFill patternType="solid">
        <fgColor rgb="FF8FC47E"/>
        <bgColor rgb="FF8FC47E"/>
      </patternFill>
    </fill>
    <fill>
      <patternFill patternType="solid">
        <fgColor rgb="FFEA8D66"/>
        <bgColor rgb="FFEA8D66"/>
      </patternFill>
    </fill>
    <fill>
      <patternFill patternType="solid">
        <fgColor rgb="FFF4AF6B"/>
        <bgColor rgb="FFF4AF6B"/>
      </patternFill>
    </fill>
    <fill>
      <patternFill patternType="solid">
        <fgColor rgb="FF96C57D"/>
        <bgColor rgb="FF96C57D"/>
      </patternFill>
    </fill>
    <fill>
      <patternFill patternType="solid">
        <fgColor rgb="FFB5CA76"/>
        <bgColor rgb="FFB5CA76"/>
      </patternFill>
    </fill>
    <fill>
      <patternFill patternType="solid">
        <fgColor rgb="FFDFD06D"/>
        <bgColor rgb="FFDFD06D"/>
      </patternFill>
    </fill>
    <fill>
      <patternFill patternType="solid">
        <fgColor rgb="FFE3D16C"/>
        <bgColor rgb="FFE3D16C"/>
      </patternFill>
    </fill>
    <fill>
      <patternFill patternType="solid">
        <fgColor rgb="FFE8D26B"/>
        <bgColor rgb="FFE8D26B"/>
      </patternFill>
    </fill>
    <fill>
      <patternFill patternType="solid">
        <fgColor rgb="FFFDCC67"/>
        <bgColor rgb="FFFDCC67"/>
      </patternFill>
    </fill>
    <fill>
      <patternFill patternType="solid">
        <fgColor rgb="FFFCCA67"/>
        <bgColor rgb="FFFCCA67"/>
      </patternFill>
    </fill>
    <fill>
      <patternFill patternType="solid">
        <fgColor rgb="FFABC978"/>
        <bgColor rgb="FFABC978"/>
      </patternFill>
    </fill>
    <fill>
      <patternFill patternType="solid">
        <fgColor rgb="FFFFD566"/>
        <bgColor rgb="FFFFD566"/>
      </patternFill>
    </fill>
    <fill>
      <patternFill patternType="solid">
        <fgColor rgb="FFFFD466"/>
        <bgColor rgb="FFFFD466"/>
      </patternFill>
    </fill>
    <fill>
      <patternFill patternType="solid">
        <fgColor rgb="FFFED366"/>
        <bgColor rgb="FFFED366"/>
      </patternFill>
    </fill>
    <fill>
      <patternFill patternType="solid">
        <fgColor rgb="FFFDCF67"/>
        <bgColor rgb="FFFDCF67"/>
      </patternFill>
    </fill>
    <fill>
      <patternFill patternType="solid">
        <fgColor rgb="FFFED067"/>
        <bgColor rgb="FFFED067"/>
      </patternFill>
    </fill>
    <fill>
      <patternFill patternType="solid">
        <fgColor rgb="FFF7B86A"/>
        <bgColor rgb="FFF7B86A"/>
      </patternFill>
    </fill>
    <fill>
      <patternFill patternType="solid">
        <fgColor rgb="FFFDCE67"/>
        <bgColor rgb="FFFDCE67"/>
      </patternFill>
    </fill>
    <fill>
      <patternFill patternType="solid">
        <fgColor rgb="FFFBC568"/>
        <bgColor rgb="FFFBC568"/>
      </patternFill>
    </fill>
    <fill>
      <patternFill patternType="solid">
        <fgColor rgb="FFFAC468"/>
        <bgColor rgb="FFFAC468"/>
      </patternFill>
    </fill>
    <fill>
      <patternFill patternType="solid">
        <fgColor rgb="FFF8BD69"/>
        <bgColor rgb="FFF8BD69"/>
      </patternFill>
    </fill>
    <fill>
      <patternFill patternType="solid">
        <fgColor rgb="FFF5B16B"/>
        <bgColor rgb="FFF5B16B"/>
      </patternFill>
    </fill>
    <fill>
      <patternFill patternType="solid">
        <fgColor rgb="FFF5AF6B"/>
        <bgColor rgb="FFF5AF6B"/>
      </patternFill>
    </fill>
    <fill>
      <patternFill patternType="solid">
        <fgColor rgb="FFEA8871"/>
        <bgColor rgb="FFEA8871"/>
      </patternFill>
    </fill>
    <fill>
      <patternFill patternType="solid">
        <fgColor rgb="FFFFFFFF"/>
        <bgColor rgb="FFFFFFFF"/>
      </patternFill>
    </fill>
    <fill>
      <patternFill patternType="solid">
        <fgColor rgb="FFEA9999"/>
        <bgColor rgb="FFEA9999"/>
      </patternFill>
    </fill>
    <fill>
      <patternFill patternType="solid">
        <fgColor rgb="FFB6D7A8"/>
        <bgColor rgb="FFB6D7A8"/>
      </patternFill>
    </fill>
    <fill>
      <patternFill patternType="solid">
        <fgColor rgb="FFFFE599"/>
        <bgColor rgb="FFFFE599"/>
      </patternFill>
    </fill>
  </fills>
  <borders count="1">
    <border/>
  </borders>
  <cellStyleXfs count="1">
    <xf borderId="0" fillId="0" fontId="0" numFmtId="0" applyAlignment="1" applyFont="1"/>
  </cellStyleXfs>
  <cellXfs count="234">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2" numFmtId="0" xfId="0" applyAlignment="1" applyFont="1">
      <alignment horizontal="center" vertical="bottom"/>
    </xf>
    <xf borderId="0" fillId="2" fontId="2" numFmtId="0" xfId="0" applyAlignment="1" applyFont="1">
      <alignment vertical="bottom"/>
    </xf>
    <xf borderId="0" fillId="2" fontId="3" numFmtId="1" xfId="0" applyAlignment="1" applyFont="1" applyNumberFormat="1">
      <alignment horizontal="center" vertical="bottom"/>
    </xf>
    <xf borderId="0" fillId="2" fontId="3" numFmtId="164" xfId="0" applyAlignment="1" applyFont="1" applyNumberFormat="1">
      <alignment horizontal="center" vertical="bottom"/>
    </xf>
    <xf borderId="0" fillId="2" fontId="4" numFmtId="0" xfId="0" applyAlignment="1" applyFont="1">
      <alignment vertical="bottom"/>
    </xf>
    <xf borderId="0" fillId="2" fontId="5" numFmtId="0" xfId="0" applyAlignment="1" applyFont="1">
      <alignment readingOrder="0" vertical="bottom"/>
    </xf>
    <xf borderId="0" fillId="2" fontId="4" numFmtId="0" xfId="0" applyAlignment="1" applyFont="1">
      <alignment vertical="bottom"/>
    </xf>
    <xf borderId="0" fillId="2" fontId="4" numFmtId="0" xfId="0" applyAlignment="1" applyFont="1">
      <alignment vertical="top"/>
    </xf>
    <xf borderId="0" fillId="3" fontId="6" numFmtId="0" xfId="0" applyAlignment="1" applyFill="1" applyFont="1">
      <alignment vertical="bottom"/>
    </xf>
    <xf borderId="0" fillId="3" fontId="4" numFmtId="0" xfId="0" applyAlignment="1" applyFont="1">
      <alignment vertical="bottom"/>
    </xf>
    <xf borderId="0" fillId="2" fontId="7" numFmtId="0" xfId="0" applyAlignment="1" applyFont="1">
      <alignment vertical="bottom"/>
    </xf>
    <xf borderId="0" fillId="2" fontId="8" numFmtId="0" xfId="0" applyAlignment="1" applyFont="1">
      <alignment vertical="bottom"/>
    </xf>
    <xf borderId="0" fillId="2" fontId="9" numFmtId="0" xfId="0" applyAlignment="1" applyFont="1">
      <alignment readingOrder="0" vertical="bottom"/>
    </xf>
    <xf borderId="0" fillId="2" fontId="4" numFmtId="0" xfId="0" applyAlignment="1" applyFont="1">
      <alignment vertical="top"/>
    </xf>
    <xf borderId="0" fillId="2" fontId="10" numFmtId="0" xfId="0" applyAlignment="1" applyFont="1">
      <alignment horizontal="center" shrinkToFit="0" vertical="bottom" wrapText="1"/>
    </xf>
    <xf borderId="0" fillId="4" fontId="8" numFmtId="0" xfId="0" applyAlignment="1" applyFill="1" applyFont="1">
      <alignment horizontal="center" readingOrder="0"/>
    </xf>
    <xf borderId="0" fillId="2" fontId="8" numFmtId="0" xfId="0" applyAlignment="1" applyFont="1">
      <alignment horizontal="center" vertical="bottom"/>
    </xf>
    <xf borderId="0" fillId="2" fontId="11" numFmtId="0" xfId="0" applyAlignment="1" applyFont="1">
      <alignment vertical="bottom"/>
    </xf>
    <xf borderId="0" fillId="2" fontId="11" numFmtId="0" xfId="0" applyAlignment="1" applyFont="1">
      <alignment vertical="bottom"/>
    </xf>
    <xf borderId="0" fillId="3" fontId="12" numFmtId="0" xfId="0" applyAlignment="1" applyFont="1">
      <alignment vertical="bottom"/>
    </xf>
    <xf borderId="0" fillId="2" fontId="13" numFmtId="0" xfId="0" applyAlignment="1" applyFont="1">
      <alignment vertical="bottom"/>
    </xf>
    <xf borderId="0" fillId="2" fontId="14" numFmtId="0" xfId="0" applyAlignment="1" applyFont="1">
      <alignment vertical="bottom"/>
    </xf>
    <xf borderId="0" fillId="3" fontId="12" numFmtId="0" xfId="0" applyAlignment="1" applyFont="1">
      <alignment vertical="bottom"/>
    </xf>
    <xf borderId="0" fillId="2" fontId="14" numFmtId="0" xfId="0" applyAlignment="1" applyFont="1">
      <alignment horizontal="center" vertical="bottom"/>
    </xf>
    <xf borderId="0" fillId="2" fontId="14" numFmtId="0" xfId="0" applyAlignment="1" applyFont="1">
      <alignment horizontal="center" vertical="bottom"/>
    </xf>
    <xf borderId="0" fillId="3" fontId="12" numFmtId="0" xfId="0" applyAlignment="1" applyFont="1">
      <alignment horizontal="center" vertical="bottom"/>
    </xf>
    <xf borderId="0" fillId="2" fontId="14" numFmtId="165" xfId="0" applyAlignment="1" applyFont="1" applyNumberFormat="1">
      <alignment horizontal="center" vertical="bottom"/>
    </xf>
    <xf borderId="0" fillId="5" fontId="14" numFmtId="46" xfId="0" applyAlignment="1" applyFill="1" applyFont="1" applyNumberFormat="1">
      <alignment horizontal="center" vertical="bottom"/>
    </xf>
    <xf borderId="0" fillId="2" fontId="14" numFmtId="46" xfId="0" applyAlignment="1" applyFont="1" applyNumberFormat="1">
      <alignment horizontal="center" vertical="bottom"/>
    </xf>
    <xf borderId="0" fillId="2" fontId="14" numFmtId="3" xfId="0" applyAlignment="1" applyFont="1" applyNumberFormat="1">
      <alignment horizontal="center" vertical="bottom"/>
    </xf>
    <xf borderId="0" fillId="6" fontId="14" numFmtId="10" xfId="0" applyAlignment="1" applyFill="1" applyFont="1" applyNumberFormat="1">
      <alignment horizontal="center" vertical="bottom"/>
    </xf>
    <xf borderId="0" fillId="7" fontId="14" numFmtId="46" xfId="0" applyAlignment="1" applyFill="1" applyFont="1" applyNumberFormat="1">
      <alignment horizontal="center" vertical="bottom"/>
    </xf>
    <xf borderId="0" fillId="8" fontId="14" numFmtId="10" xfId="0" applyAlignment="1" applyFill="1" applyFont="1" applyNumberFormat="1">
      <alignment horizontal="center" vertical="bottom"/>
    </xf>
    <xf borderId="0" fillId="9" fontId="14" numFmtId="46" xfId="0" applyAlignment="1" applyFill="1" applyFont="1" applyNumberFormat="1">
      <alignment horizontal="center" vertical="bottom"/>
    </xf>
    <xf borderId="0" fillId="10" fontId="14" numFmtId="10" xfId="0" applyAlignment="1" applyFill="1" applyFont="1" applyNumberFormat="1">
      <alignment horizontal="center" vertical="bottom"/>
    </xf>
    <xf borderId="0" fillId="11" fontId="14" numFmtId="46" xfId="0" applyAlignment="1" applyFill="1" applyFont="1" applyNumberFormat="1">
      <alignment horizontal="center" vertical="bottom"/>
    </xf>
    <xf borderId="0" fillId="12" fontId="14" numFmtId="10" xfId="0" applyAlignment="1" applyFill="1" applyFont="1" applyNumberFormat="1">
      <alignment horizontal="center" vertical="bottom"/>
    </xf>
    <xf borderId="0" fillId="13" fontId="14" numFmtId="46" xfId="0" applyAlignment="1" applyFill="1" applyFont="1" applyNumberFormat="1">
      <alignment horizontal="center" vertical="bottom"/>
    </xf>
    <xf borderId="0" fillId="14" fontId="14" numFmtId="10" xfId="0" applyAlignment="1" applyFill="1" applyFont="1" applyNumberFormat="1">
      <alignment horizontal="center" vertical="bottom"/>
    </xf>
    <xf borderId="0" fillId="15" fontId="14" numFmtId="46" xfId="0" applyAlignment="1" applyFill="1" applyFont="1" applyNumberFormat="1">
      <alignment horizontal="center" vertical="bottom"/>
    </xf>
    <xf borderId="0" fillId="16" fontId="14" numFmtId="10" xfId="0" applyAlignment="1" applyFill="1" applyFont="1" applyNumberFormat="1">
      <alignment horizontal="center" vertical="bottom"/>
    </xf>
    <xf borderId="0" fillId="17" fontId="14" numFmtId="46" xfId="0" applyAlignment="1" applyFill="1" applyFont="1" applyNumberFormat="1">
      <alignment horizontal="center" vertical="bottom"/>
    </xf>
    <xf borderId="0" fillId="18" fontId="14" numFmtId="46" xfId="0" applyAlignment="1" applyFill="1" applyFont="1" applyNumberFormat="1">
      <alignment horizontal="center" vertical="bottom"/>
    </xf>
    <xf borderId="0" fillId="19" fontId="14" numFmtId="46" xfId="0" applyAlignment="1" applyFill="1" applyFont="1" applyNumberFormat="1">
      <alignment horizontal="center" vertical="bottom"/>
    </xf>
    <xf borderId="0" fillId="20" fontId="14" numFmtId="10" xfId="0" applyAlignment="1" applyFill="1" applyFont="1" applyNumberFormat="1">
      <alignment horizontal="center" vertical="bottom"/>
    </xf>
    <xf borderId="0" fillId="21" fontId="14" numFmtId="46" xfId="0" applyAlignment="1" applyFill="1" applyFont="1" applyNumberFormat="1">
      <alignment horizontal="center" vertical="bottom"/>
    </xf>
    <xf borderId="0" fillId="22" fontId="14" numFmtId="46" xfId="0" applyAlignment="1" applyFill="1" applyFont="1" applyNumberFormat="1">
      <alignment horizontal="center" vertical="bottom"/>
    </xf>
    <xf borderId="0" fillId="23" fontId="14" numFmtId="10" xfId="0" applyAlignment="1" applyFill="1" applyFont="1" applyNumberFormat="1">
      <alignment horizontal="center" vertical="bottom"/>
    </xf>
    <xf borderId="0" fillId="24" fontId="14" numFmtId="46" xfId="0" applyAlignment="1" applyFill="1" applyFont="1" applyNumberFormat="1">
      <alignment horizontal="center" vertical="bottom"/>
    </xf>
    <xf borderId="0" fillId="25" fontId="14" numFmtId="10" xfId="0" applyAlignment="1" applyFill="1" applyFont="1" applyNumberFormat="1">
      <alignment horizontal="center" vertical="bottom"/>
    </xf>
    <xf borderId="0" fillId="26" fontId="14" numFmtId="46" xfId="0" applyAlignment="1" applyFill="1" applyFont="1" applyNumberFormat="1">
      <alignment horizontal="center" vertical="bottom"/>
    </xf>
    <xf borderId="0" fillId="27" fontId="14" numFmtId="10" xfId="0" applyAlignment="1" applyFill="1" applyFont="1" applyNumberFormat="1">
      <alignment horizontal="center" vertical="bottom"/>
    </xf>
    <xf borderId="0" fillId="28" fontId="14" numFmtId="46" xfId="0" applyAlignment="1" applyFill="1" applyFont="1" applyNumberFormat="1">
      <alignment horizontal="center" vertical="bottom"/>
    </xf>
    <xf borderId="0" fillId="29" fontId="14" numFmtId="10" xfId="0" applyAlignment="1" applyFill="1" applyFont="1" applyNumberFormat="1">
      <alignment horizontal="center" vertical="bottom"/>
    </xf>
    <xf borderId="0" fillId="30" fontId="14" numFmtId="46" xfId="0" applyAlignment="1" applyFill="1" applyFont="1" applyNumberFormat="1">
      <alignment horizontal="center" vertical="bottom"/>
    </xf>
    <xf borderId="0" fillId="31" fontId="14" numFmtId="46" xfId="0" applyAlignment="1" applyFill="1" applyFont="1" applyNumberFormat="1">
      <alignment horizontal="center" vertical="bottom"/>
    </xf>
    <xf borderId="0" fillId="32" fontId="14" numFmtId="10" xfId="0" applyAlignment="1" applyFill="1" applyFont="1" applyNumberFormat="1">
      <alignment horizontal="center" vertical="bottom"/>
    </xf>
    <xf borderId="0" fillId="33" fontId="14" numFmtId="46" xfId="0" applyAlignment="1" applyFill="1" applyFont="1" applyNumberFormat="1">
      <alignment horizontal="center" vertical="bottom"/>
    </xf>
    <xf borderId="0" fillId="34" fontId="14" numFmtId="10" xfId="0" applyAlignment="1" applyFill="1" applyFont="1" applyNumberFormat="1">
      <alignment horizontal="center" vertical="bottom"/>
    </xf>
    <xf borderId="0" fillId="35" fontId="14" numFmtId="46" xfId="0" applyAlignment="1" applyFill="1" applyFont="1" applyNumberFormat="1">
      <alignment horizontal="center" vertical="bottom"/>
    </xf>
    <xf borderId="0" fillId="36" fontId="14" numFmtId="46" xfId="0" applyAlignment="1" applyFill="1" applyFont="1" applyNumberFormat="1">
      <alignment horizontal="center" vertical="bottom"/>
    </xf>
    <xf borderId="0" fillId="37" fontId="14" numFmtId="10" xfId="0" applyAlignment="1" applyFill="1" applyFont="1" applyNumberFormat="1">
      <alignment horizontal="center" vertical="bottom"/>
    </xf>
    <xf borderId="0" fillId="38" fontId="14" numFmtId="46" xfId="0" applyAlignment="1" applyFill="1" applyFont="1" applyNumberFormat="1">
      <alignment horizontal="center" vertical="bottom"/>
    </xf>
    <xf borderId="0" fillId="39" fontId="14" numFmtId="10" xfId="0" applyAlignment="1" applyFill="1" applyFont="1" applyNumberFormat="1">
      <alignment horizontal="center" vertical="bottom"/>
    </xf>
    <xf borderId="0" fillId="40" fontId="14" numFmtId="46" xfId="0" applyAlignment="1" applyFill="1" applyFont="1" applyNumberFormat="1">
      <alignment horizontal="center" vertical="bottom"/>
    </xf>
    <xf borderId="0" fillId="41" fontId="14" numFmtId="10" xfId="0" applyAlignment="1" applyFill="1" applyFont="1" applyNumberFormat="1">
      <alignment horizontal="center" vertical="bottom"/>
    </xf>
    <xf borderId="0" fillId="42" fontId="14" numFmtId="46" xfId="0" applyAlignment="1" applyFill="1" applyFont="1" applyNumberFormat="1">
      <alignment horizontal="center" vertical="bottom"/>
    </xf>
    <xf borderId="0" fillId="43" fontId="14" numFmtId="10" xfId="0" applyAlignment="1" applyFill="1" applyFont="1" applyNumberFormat="1">
      <alignment horizontal="center" vertical="bottom"/>
    </xf>
    <xf borderId="0" fillId="44" fontId="14" numFmtId="46" xfId="0" applyAlignment="1" applyFill="1" applyFont="1" applyNumberFormat="1">
      <alignment horizontal="center" vertical="bottom"/>
    </xf>
    <xf borderId="0" fillId="45" fontId="14" numFmtId="10" xfId="0" applyAlignment="1" applyFill="1" applyFont="1" applyNumberFormat="1">
      <alignment horizontal="center" vertical="bottom"/>
    </xf>
    <xf borderId="0" fillId="46" fontId="14" numFmtId="10" xfId="0" applyAlignment="1" applyFill="1" applyFont="1" applyNumberFormat="1">
      <alignment horizontal="center" vertical="bottom"/>
    </xf>
    <xf borderId="0" fillId="47" fontId="14" numFmtId="46" xfId="0" applyAlignment="1" applyFill="1" applyFont="1" applyNumberFormat="1">
      <alignment horizontal="center" vertical="bottom"/>
    </xf>
    <xf borderId="0" fillId="48" fontId="14" numFmtId="10" xfId="0" applyAlignment="1" applyFill="1" applyFont="1" applyNumberFormat="1">
      <alignment horizontal="center" vertical="bottom"/>
    </xf>
    <xf borderId="0" fillId="49" fontId="14" numFmtId="46" xfId="0" applyAlignment="1" applyFill="1" applyFont="1" applyNumberFormat="1">
      <alignment horizontal="center" vertical="bottom"/>
    </xf>
    <xf borderId="0" fillId="50" fontId="14" numFmtId="10" xfId="0" applyAlignment="1" applyFill="1" applyFont="1" applyNumberFormat="1">
      <alignment horizontal="center" vertical="bottom"/>
    </xf>
    <xf borderId="0" fillId="51" fontId="14" numFmtId="10" xfId="0" applyAlignment="1" applyFill="1" applyFont="1" applyNumberFormat="1">
      <alignment horizontal="center" vertical="bottom"/>
    </xf>
    <xf borderId="0" fillId="52" fontId="14" numFmtId="46" xfId="0" applyAlignment="1" applyFill="1" applyFont="1" applyNumberFormat="1">
      <alignment horizontal="center" vertical="bottom"/>
    </xf>
    <xf borderId="0" fillId="53" fontId="14" numFmtId="10" xfId="0" applyAlignment="1" applyFill="1" applyFont="1" applyNumberFormat="1">
      <alignment horizontal="center" vertical="bottom"/>
    </xf>
    <xf borderId="0" fillId="54" fontId="14" numFmtId="10" xfId="0" applyAlignment="1" applyFill="1" applyFont="1" applyNumberFormat="1">
      <alignment horizontal="center" vertical="bottom"/>
    </xf>
    <xf borderId="0" fillId="55" fontId="14" numFmtId="46" xfId="0" applyAlignment="1" applyFill="1" applyFont="1" applyNumberFormat="1">
      <alignment horizontal="center" vertical="bottom"/>
    </xf>
    <xf borderId="0" fillId="56" fontId="14" numFmtId="46" xfId="0" applyAlignment="1" applyFill="1" applyFont="1" applyNumberFormat="1">
      <alignment horizontal="center" vertical="bottom"/>
    </xf>
    <xf borderId="0" fillId="57" fontId="14" numFmtId="46" xfId="0" applyAlignment="1" applyFill="1" applyFont="1" applyNumberFormat="1">
      <alignment horizontal="center" vertical="bottom"/>
    </xf>
    <xf borderId="0" fillId="58" fontId="14" numFmtId="46" xfId="0" applyAlignment="1" applyFill="1" applyFont="1" applyNumberFormat="1">
      <alignment horizontal="center" vertical="bottom"/>
    </xf>
    <xf borderId="0" fillId="59" fontId="14" numFmtId="10" xfId="0" applyAlignment="1" applyFill="1" applyFont="1" applyNumberFormat="1">
      <alignment horizontal="center" vertical="bottom"/>
    </xf>
    <xf borderId="0" fillId="60" fontId="14" numFmtId="46" xfId="0" applyAlignment="1" applyFill="1" applyFont="1" applyNumberFormat="1">
      <alignment horizontal="center" vertical="bottom"/>
    </xf>
    <xf borderId="0" fillId="61" fontId="14" numFmtId="10" xfId="0" applyAlignment="1" applyFill="1" applyFont="1" applyNumberFormat="1">
      <alignment horizontal="center" vertical="bottom"/>
    </xf>
    <xf borderId="0" fillId="62" fontId="14" numFmtId="46" xfId="0" applyAlignment="1" applyFill="1" applyFont="1" applyNumberFormat="1">
      <alignment horizontal="center" vertical="bottom"/>
    </xf>
    <xf borderId="0" fillId="63" fontId="14" numFmtId="10" xfId="0" applyAlignment="1" applyFill="1" applyFont="1" applyNumberFormat="1">
      <alignment horizontal="center" vertical="bottom"/>
    </xf>
    <xf borderId="0" fillId="64" fontId="14" numFmtId="46" xfId="0" applyAlignment="1" applyFill="1" applyFont="1" applyNumberFormat="1">
      <alignment horizontal="center" vertical="bottom"/>
    </xf>
    <xf borderId="0" fillId="65" fontId="14" numFmtId="10" xfId="0" applyAlignment="1" applyFill="1" applyFont="1" applyNumberFormat="1">
      <alignment horizontal="center" vertical="bottom"/>
    </xf>
    <xf borderId="0" fillId="66" fontId="14" numFmtId="10" xfId="0" applyAlignment="1" applyFill="1" applyFont="1" applyNumberFormat="1">
      <alignment horizontal="center" vertical="bottom"/>
    </xf>
    <xf borderId="0" fillId="67" fontId="14" numFmtId="46" xfId="0" applyAlignment="1" applyFill="1" applyFont="1" applyNumberFormat="1">
      <alignment horizontal="center" vertical="bottom"/>
    </xf>
    <xf borderId="0" fillId="68" fontId="14" numFmtId="46" xfId="0" applyAlignment="1" applyFill="1" applyFont="1" applyNumberFormat="1">
      <alignment horizontal="center" vertical="bottom"/>
    </xf>
    <xf borderId="0" fillId="69" fontId="14" numFmtId="10" xfId="0" applyAlignment="1" applyFill="1" applyFont="1" applyNumberFormat="1">
      <alignment horizontal="center" vertical="bottom"/>
    </xf>
    <xf borderId="0" fillId="70" fontId="14" numFmtId="46" xfId="0" applyAlignment="1" applyFill="1" applyFont="1" applyNumberFormat="1">
      <alignment horizontal="center" vertical="bottom"/>
    </xf>
    <xf borderId="0" fillId="71" fontId="14" numFmtId="10" xfId="0" applyAlignment="1" applyFill="1" applyFont="1" applyNumberFormat="1">
      <alignment horizontal="center" vertical="bottom"/>
    </xf>
    <xf borderId="0" fillId="72" fontId="14" numFmtId="10" xfId="0" applyAlignment="1" applyFill="1" applyFont="1" applyNumberFormat="1">
      <alignment horizontal="center" vertical="bottom"/>
    </xf>
    <xf borderId="0" fillId="73" fontId="14" numFmtId="46" xfId="0" applyAlignment="1" applyFill="1" applyFont="1" applyNumberFormat="1">
      <alignment horizontal="center" vertical="bottom"/>
    </xf>
    <xf borderId="0" fillId="74" fontId="14" numFmtId="10" xfId="0" applyAlignment="1" applyFill="1" applyFont="1" applyNumberFormat="1">
      <alignment horizontal="center" vertical="bottom"/>
    </xf>
    <xf borderId="0" fillId="75" fontId="14" numFmtId="46" xfId="0" applyAlignment="1" applyFill="1" applyFont="1" applyNumberFormat="1">
      <alignment horizontal="center" vertical="bottom"/>
    </xf>
    <xf borderId="0" fillId="76" fontId="14" numFmtId="10" xfId="0" applyAlignment="1" applyFill="1" applyFont="1" applyNumberFormat="1">
      <alignment horizontal="center" vertical="bottom"/>
    </xf>
    <xf borderId="0" fillId="77" fontId="14" numFmtId="46" xfId="0" applyAlignment="1" applyFill="1" applyFont="1" applyNumberFormat="1">
      <alignment horizontal="center" vertical="bottom"/>
    </xf>
    <xf borderId="0" fillId="78" fontId="14" numFmtId="10" xfId="0" applyAlignment="1" applyFill="1" applyFont="1" applyNumberFormat="1">
      <alignment horizontal="center" vertical="bottom"/>
    </xf>
    <xf borderId="0" fillId="79" fontId="14" numFmtId="46" xfId="0" applyAlignment="1" applyFill="1" applyFont="1" applyNumberFormat="1">
      <alignment horizontal="center" vertical="bottom"/>
    </xf>
    <xf borderId="0" fillId="80" fontId="14" numFmtId="46" xfId="0" applyAlignment="1" applyFill="1" applyFont="1" applyNumberFormat="1">
      <alignment horizontal="center" vertical="bottom"/>
    </xf>
    <xf borderId="0" fillId="81" fontId="14" numFmtId="10" xfId="0" applyAlignment="1" applyFill="1" applyFont="1" applyNumberFormat="1">
      <alignment horizontal="center" vertical="bottom"/>
    </xf>
    <xf borderId="0" fillId="82" fontId="14" numFmtId="46" xfId="0" applyAlignment="1" applyFill="1" applyFont="1" applyNumberFormat="1">
      <alignment horizontal="center" vertical="bottom"/>
    </xf>
    <xf borderId="0" fillId="83" fontId="14" numFmtId="10" xfId="0" applyAlignment="1" applyFill="1" applyFont="1" applyNumberFormat="1">
      <alignment horizontal="center" vertical="bottom"/>
    </xf>
    <xf borderId="0" fillId="84" fontId="14" numFmtId="46" xfId="0" applyAlignment="1" applyFill="1" applyFont="1" applyNumberFormat="1">
      <alignment horizontal="center" vertical="bottom"/>
    </xf>
    <xf borderId="0" fillId="85" fontId="14" numFmtId="46" xfId="0" applyAlignment="1" applyFill="1" applyFont="1" applyNumberFormat="1">
      <alignment horizontal="center" vertical="bottom"/>
    </xf>
    <xf borderId="0" fillId="86" fontId="14" numFmtId="46" xfId="0" applyAlignment="1" applyFill="1" applyFont="1" applyNumberFormat="1">
      <alignment horizontal="center" vertical="bottom"/>
    </xf>
    <xf borderId="0" fillId="87" fontId="14" numFmtId="46" xfId="0" applyAlignment="1" applyFill="1" applyFont="1" applyNumberFormat="1">
      <alignment horizontal="center" vertical="bottom"/>
    </xf>
    <xf borderId="0" fillId="88" fontId="14" numFmtId="46" xfId="0" applyAlignment="1" applyFill="1" applyFont="1" applyNumberFormat="1">
      <alignment horizontal="center" vertical="bottom"/>
    </xf>
    <xf borderId="0" fillId="89" fontId="14" numFmtId="10" xfId="0" applyAlignment="1" applyFill="1" applyFont="1" applyNumberFormat="1">
      <alignment horizontal="center" vertical="bottom"/>
    </xf>
    <xf borderId="0" fillId="90" fontId="14" numFmtId="46" xfId="0" applyAlignment="1" applyFill="1" applyFont="1" applyNumberFormat="1">
      <alignment horizontal="center" vertical="bottom"/>
    </xf>
    <xf borderId="0" fillId="91" fontId="14" numFmtId="10" xfId="0" applyAlignment="1" applyFill="1" applyFont="1" applyNumberFormat="1">
      <alignment horizontal="center" vertical="bottom"/>
    </xf>
    <xf borderId="0" fillId="92" fontId="14" numFmtId="46" xfId="0" applyAlignment="1" applyFill="1" applyFont="1" applyNumberFormat="1">
      <alignment horizontal="center" vertical="bottom"/>
    </xf>
    <xf borderId="0" fillId="93" fontId="14" numFmtId="46" xfId="0" applyAlignment="1" applyFill="1" applyFont="1" applyNumberFormat="1">
      <alignment horizontal="center" vertical="bottom"/>
    </xf>
    <xf borderId="0" fillId="94" fontId="14" numFmtId="46" xfId="0" applyAlignment="1" applyFill="1" applyFont="1" applyNumberFormat="1">
      <alignment horizontal="center" vertical="bottom"/>
    </xf>
    <xf borderId="0" fillId="95" fontId="14" numFmtId="46" xfId="0" applyAlignment="1" applyFill="1" applyFont="1" applyNumberFormat="1">
      <alignment horizontal="center" vertical="bottom"/>
    </xf>
    <xf borderId="0" fillId="96" fontId="14" numFmtId="46" xfId="0" applyAlignment="1" applyFill="1" applyFont="1" applyNumberFormat="1">
      <alignment horizontal="center" vertical="bottom"/>
    </xf>
    <xf borderId="0" fillId="97" fontId="14" numFmtId="10" xfId="0" applyAlignment="1" applyFill="1" applyFont="1" applyNumberFormat="1">
      <alignment horizontal="center" vertical="bottom"/>
    </xf>
    <xf borderId="0" fillId="98" fontId="14" numFmtId="46" xfId="0" applyAlignment="1" applyFill="1" applyFont="1" applyNumberFormat="1">
      <alignment horizontal="center" vertical="bottom"/>
    </xf>
    <xf borderId="0" fillId="99" fontId="14" numFmtId="46" xfId="0" applyAlignment="1" applyFill="1" applyFont="1" applyNumberFormat="1">
      <alignment horizontal="center" vertical="bottom"/>
    </xf>
    <xf borderId="0" fillId="100" fontId="14" numFmtId="46" xfId="0" applyAlignment="1" applyFill="1" applyFont="1" applyNumberFormat="1">
      <alignment horizontal="center" vertical="bottom"/>
    </xf>
    <xf borderId="0" fillId="101" fontId="14" numFmtId="10" xfId="0" applyAlignment="1" applyFill="1" applyFont="1" applyNumberFormat="1">
      <alignment horizontal="center" vertical="bottom"/>
    </xf>
    <xf borderId="0" fillId="102" fontId="14" numFmtId="46" xfId="0" applyAlignment="1" applyFill="1" applyFont="1" applyNumberFormat="1">
      <alignment horizontal="center" vertical="bottom"/>
    </xf>
    <xf borderId="0" fillId="103" fontId="14" numFmtId="46" xfId="0" applyAlignment="1" applyFill="1" applyFont="1" applyNumberFormat="1">
      <alignment horizontal="center" vertical="bottom"/>
    </xf>
    <xf borderId="0" fillId="104" fontId="14" numFmtId="10" xfId="0" applyAlignment="1" applyFill="1" applyFont="1" applyNumberFormat="1">
      <alignment horizontal="center" vertical="bottom"/>
    </xf>
    <xf borderId="0" fillId="105" fontId="14" numFmtId="46" xfId="0" applyAlignment="1" applyFill="1" applyFont="1" applyNumberFormat="1">
      <alignment horizontal="center" vertical="bottom"/>
    </xf>
    <xf borderId="0" fillId="106" fontId="14" numFmtId="10" xfId="0" applyAlignment="1" applyFill="1" applyFont="1" applyNumberFormat="1">
      <alignment horizontal="center" vertical="bottom"/>
    </xf>
    <xf borderId="0" fillId="107" fontId="14" numFmtId="46" xfId="0" applyAlignment="1" applyFill="1" applyFont="1" applyNumberFormat="1">
      <alignment horizontal="center" vertical="bottom"/>
    </xf>
    <xf borderId="0" fillId="108" fontId="14" numFmtId="10" xfId="0" applyAlignment="1" applyFill="1" applyFont="1" applyNumberFormat="1">
      <alignment horizontal="center" vertical="bottom"/>
    </xf>
    <xf borderId="0" fillId="109" fontId="14" numFmtId="46" xfId="0" applyAlignment="1" applyFill="1" applyFont="1" applyNumberFormat="1">
      <alignment horizontal="center" vertical="bottom"/>
    </xf>
    <xf borderId="0" fillId="110" fontId="14" numFmtId="46" xfId="0" applyAlignment="1" applyFill="1" applyFont="1" applyNumberFormat="1">
      <alignment horizontal="center" vertical="bottom"/>
    </xf>
    <xf borderId="0" fillId="111" fontId="14" numFmtId="46" xfId="0" applyAlignment="1" applyFill="1" applyFont="1" applyNumberFormat="1">
      <alignment horizontal="center" vertical="bottom"/>
    </xf>
    <xf borderId="0" fillId="112" fontId="14" numFmtId="46" xfId="0" applyAlignment="1" applyFill="1" applyFont="1" applyNumberFormat="1">
      <alignment horizontal="center" vertical="bottom"/>
    </xf>
    <xf borderId="0" fillId="113" fontId="14" numFmtId="46" xfId="0" applyAlignment="1" applyFill="1" applyFont="1" applyNumberFormat="1">
      <alignment horizontal="center" vertical="bottom"/>
    </xf>
    <xf borderId="0" fillId="114" fontId="14" numFmtId="46" xfId="0" applyAlignment="1" applyFill="1" applyFont="1" applyNumberFormat="1">
      <alignment horizontal="center" vertical="bottom"/>
    </xf>
    <xf borderId="0" fillId="115" fontId="14" numFmtId="46" xfId="0" applyAlignment="1" applyFill="1" applyFont="1" applyNumberFormat="1">
      <alignment horizontal="center" vertical="bottom"/>
    </xf>
    <xf borderId="0" fillId="116" fontId="14" numFmtId="46" xfId="0" applyAlignment="1" applyFill="1" applyFont="1" applyNumberFormat="1">
      <alignment horizontal="center" vertical="bottom"/>
    </xf>
    <xf borderId="0" fillId="117" fontId="14" numFmtId="46" xfId="0" applyAlignment="1" applyFill="1" applyFont="1" applyNumberFormat="1">
      <alignment horizontal="center" vertical="bottom"/>
    </xf>
    <xf borderId="0" fillId="118" fontId="14" numFmtId="46" xfId="0" applyAlignment="1" applyFill="1" applyFont="1" applyNumberFormat="1">
      <alignment horizontal="center" vertical="bottom"/>
    </xf>
    <xf borderId="0" fillId="119" fontId="14" numFmtId="46" xfId="0" applyAlignment="1" applyFill="1" applyFont="1" applyNumberFormat="1">
      <alignment horizontal="center" vertical="bottom"/>
    </xf>
    <xf borderId="0" fillId="120" fontId="14" numFmtId="46" xfId="0" applyAlignment="1" applyFill="1" applyFont="1" applyNumberFormat="1">
      <alignment horizontal="center" vertical="bottom"/>
    </xf>
    <xf borderId="0" fillId="121" fontId="14" numFmtId="46" xfId="0" applyAlignment="1" applyFill="1" applyFont="1" applyNumberFormat="1">
      <alignment horizontal="center" vertical="bottom"/>
    </xf>
    <xf borderId="0" fillId="122" fontId="14" numFmtId="46" xfId="0" applyAlignment="1" applyFill="1" applyFont="1" applyNumberFormat="1">
      <alignment horizontal="center" vertical="bottom"/>
    </xf>
    <xf borderId="0" fillId="123" fontId="14" numFmtId="46" xfId="0" applyAlignment="1" applyFill="1" applyFont="1" applyNumberFormat="1">
      <alignment horizontal="center" vertical="bottom"/>
    </xf>
    <xf borderId="0" fillId="124" fontId="14" numFmtId="46" xfId="0" applyAlignment="1" applyFill="1" applyFont="1" applyNumberFormat="1">
      <alignment horizontal="center" vertical="bottom"/>
    </xf>
    <xf borderId="0" fillId="125" fontId="14" numFmtId="10" xfId="0" applyAlignment="1" applyFill="1" applyFont="1" applyNumberFormat="1">
      <alignment horizontal="center" vertical="bottom"/>
    </xf>
    <xf borderId="0" fillId="126" fontId="14" numFmtId="46" xfId="0" applyAlignment="1" applyFill="1" applyFont="1" applyNumberFormat="1">
      <alignment horizontal="center" vertical="bottom"/>
    </xf>
    <xf borderId="0" fillId="127" fontId="14" numFmtId="46" xfId="0" applyAlignment="1" applyFill="1" applyFont="1" applyNumberFormat="1">
      <alignment horizontal="center" vertical="bottom"/>
    </xf>
    <xf borderId="0" fillId="128" fontId="14" numFmtId="46" xfId="0" applyAlignment="1" applyFill="1" applyFont="1" applyNumberFormat="1">
      <alignment horizontal="center" vertical="bottom"/>
    </xf>
    <xf borderId="0" fillId="129" fontId="14" numFmtId="46" xfId="0" applyAlignment="1" applyFill="1" applyFont="1" applyNumberFormat="1">
      <alignment horizontal="center" vertical="bottom"/>
    </xf>
    <xf borderId="0" fillId="130" fontId="14" numFmtId="46" xfId="0" applyAlignment="1" applyFill="1" applyFont="1" applyNumberFormat="1">
      <alignment horizontal="center" vertical="bottom"/>
    </xf>
    <xf borderId="0" fillId="131" fontId="14" numFmtId="46" xfId="0" applyAlignment="1" applyFill="1" applyFont="1" applyNumberFormat="1">
      <alignment horizontal="center" vertical="bottom"/>
    </xf>
    <xf borderId="0" fillId="132" fontId="14" numFmtId="46" xfId="0" applyAlignment="1" applyFill="1" applyFont="1" applyNumberFormat="1">
      <alignment horizontal="center" vertical="bottom"/>
    </xf>
    <xf borderId="0" fillId="133" fontId="14" numFmtId="46" xfId="0" applyAlignment="1" applyFill="1" applyFont="1" applyNumberFormat="1">
      <alignment horizontal="center" vertical="bottom"/>
    </xf>
    <xf borderId="0" fillId="134" fontId="14" numFmtId="46" xfId="0" applyAlignment="1" applyFill="1" applyFont="1" applyNumberFormat="1">
      <alignment horizontal="center" vertical="bottom"/>
    </xf>
    <xf borderId="0" fillId="135" fontId="14" numFmtId="10" xfId="0" applyAlignment="1" applyFill="1" applyFont="1" applyNumberFormat="1">
      <alignment horizontal="center" vertical="bottom"/>
    </xf>
    <xf borderId="0" fillId="136" fontId="14" numFmtId="46" xfId="0" applyAlignment="1" applyFill="1" applyFont="1" applyNumberFormat="1">
      <alignment horizontal="center" vertical="bottom"/>
    </xf>
    <xf borderId="0" fillId="137" fontId="14" numFmtId="46" xfId="0" applyAlignment="1" applyFill="1" applyFont="1" applyNumberFormat="1">
      <alignment horizontal="center" vertical="bottom"/>
    </xf>
    <xf borderId="0" fillId="138" fontId="14" numFmtId="46" xfId="0" applyAlignment="1" applyFill="1" applyFont="1" applyNumberFormat="1">
      <alignment horizontal="center" vertical="bottom"/>
    </xf>
    <xf borderId="0" fillId="139" fontId="14" numFmtId="46" xfId="0" applyAlignment="1" applyFill="1" applyFont="1" applyNumberFormat="1">
      <alignment horizontal="center" vertical="bottom"/>
    </xf>
    <xf borderId="0" fillId="140" fontId="14" numFmtId="46" xfId="0" applyAlignment="1" applyFill="1" applyFont="1" applyNumberFormat="1">
      <alignment horizontal="center" vertical="bottom"/>
    </xf>
    <xf borderId="0" fillId="141" fontId="14" numFmtId="10" xfId="0" applyAlignment="1" applyFill="1" applyFont="1" applyNumberFormat="1">
      <alignment horizontal="center" vertical="bottom"/>
    </xf>
    <xf borderId="0" fillId="10" fontId="14" numFmtId="46" xfId="0" applyAlignment="1" applyFont="1" applyNumberFormat="1">
      <alignment horizontal="center" vertical="bottom"/>
    </xf>
    <xf borderId="0" fillId="142" fontId="14" numFmtId="46" xfId="0" applyAlignment="1" applyFill="1" applyFont="1" applyNumberFormat="1">
      <alignment horizontal="center" vertical="bottom"/>
    </xf>
    <xf borderId="0" fillId="143" fontId="14" numFmtId="10" xfId="0" applyAlignment="1" applyFill="1" applyFont="1" applyNumberFormat="1">
      <alignment horizontal="center" vertical="bottom"/>
    </xf>
    <xf borderId="0" fillId="144" fontId="14" numFmtId="46" xfId="0" applyAlignment="1" applyFill="1" applyFont="1" applyNumberFormat="1">
      <alignment horizontal="center" vertical="bottom"/>
    </xf>
    <xf borderId="0" fillId="145" fontId="14" numFmtId="46" xfId="0" applyAlignment="1" applyFill="1" applyFont="1" applyNumberFormat="1">
      <alignment horizontal="center" vertical="bottom"/>
    </xf>
    <xf borderId="0" fillId="146" fontId="14" numFmtId="46" xfId="0" applyAlignment="1" applyFill="1" applyFont="1" applyNumberFormat="1">
      <alignment horizontal="center" vertical="bottom"/>
    </xf>
    <xf borderId="0" fillId="147" fontId="14" numFmtId="46" xfId="0" applyAlignment="1" applyFill="1" applyFont="1" applyNumberFormat="1">
      <alignment horizontal="center" vertical="bottom"/>
    </xf>
    <xf borderId="0" fillId="148" fontId="14" numFmtId="46" xfId="0" applyAlignment="1" applyFill="1" applyFont="1" applyNumberFormat="1">
      <alignment horizontal="center" vertical="bottom"/>
    </xf>
    <xf borderId="0" fillId="149" fontId="14" numFmtId="46" xfId="0" applyAlignment="1" applyFill="1" applyFont="1" applyNumberFormat="1">
      <alignment horizontal="center" vertical="bottom"/>
    </xf>
    <xf borderId="0" fillId="150" fontId="14" numFmtId="46" xfId="0" applyAlignment="1" applyFill="1" applyFont="1" applyNumberFormat="1">
      <alignment horizontal="center" vertical="bottom"/>
    </xf>
    <xf borderId="0" fillId="151" fontId="14" numFmtId="46" xfId="0" applyAlignment="1" applyFill="1" applyFont="1" applyNumberFormat="1">
      <alignment horizontal="center" vertical="bottom"/>
    </xf>
    <xf borderId="0" fillId="152" fontId="14" numFmtId="10" xfId="0" applyAlignment="1" applyFill="1" applyFont="1" applyNumberFormat="1">
      <alignment horizontal="center" vertical="bottom"/>
    </xf>
    <xf borderId="0" fillId="153" fontId="14" numFmtId="46" xfId="0" applyAlignment="1" applyFill="1" applyFont="1" applyNumberFormat="1">
      <alignment horizontal="center" vertical="bottom"/>
    </xf>
    <xf borderId="0" fillId="154" fontId="14" numFmtId="46" xfId="0" applyAlignment="1" applyFill="1" applyFont="1" applyNumberFormat="1">
      <alignment horizontal="center" vertical="bottom"/>
    </xf>
    <xf borderId="0" fillId="155" fontId="14" numFmtId="46" xfId="0" applyAlignment="1" applyFill="1" applyFont="1" applyNumberFormat="1">
      <alignment horizontal="center" vertical="bottom"/>
    </xf>
    <xf borderId="0" fillId="156" fontId="14" numFmtId="46" xfId="0" applyAlignment="1" applyFill="1" applyFont="1" applyNumberFormat="1">
      <alignment horizontal="center" vertical="bottom"/>
    </xf>
    <xf borderId="0" fillId="157" fontId="14" numFmtId="46" xfId="0" applyAlignment="1" applyFill="1" applyFont="1" applyNumberFormat="1">
      <alignment horizontal="center" vertical="bottom"/>
    </xf>
    <xf borderId="0" fillId="158" fontId="14" numFmtId="46" xfId="0" applyAlignment="1" applyFill="1" applyFont="1" applyNumberFormat="1">
      <alignment horizontal="center" vertical="bottom"/>
    </xf>
    <xf borderId="0" fillId="159" fontId="14" numFmtId="46" xfId="0" applyAlignment="1" applyFill="1" applyFont="1" applyNumberFormat="1">
      <alignment horizontal="center" vertical="bottom"/>
    </xf>
    <xf borderId="0" fillId="160" fontId="14" numFmtId="46" xfId="0" applyAlignment="1" applyFill="1" applyFont="1" applyNumberFormat="1">
      <alignment horizontal="center" vertical="bottom"/>
    </xf>
    <xf borderId="0" fillId="161" fontId="14" numFmtId="46" xfId="0" applyAlignment="1" applyFill="1" applyFont="1" applyNumberFormat="1">
      <alignment horizontal="center" vertical="bottom"/>
    </xf>
    <xf borderId="0" fillId="162" fontId="14" numFmtId="46" xfId="0" applyAlignment="1" applyFill="1" applyFont="1" applyNumberFormat="1">
      <alignment horizontal="center" vertical="bottom"/>
    </xf>
    <xf borderId="0" fillId="163" fontId="14" numFmtId="46" xfId="0" applyAlignment="1" applyFill="1" applyFont="1" applyNumberFormat="1">
      <alignment horizontal="center" vertical="bottom"/>
    </xf>
    <xf borderId="0" fillId="164" fontId="14" numFmtId="46" xfId="0" applyAlignment="1" applyFill="1" applyFont="1" applyNumberFormat="1">
      <alignment horizontal="center" vertical="bottom"/>
    </xf>
    <xf borderId="0" fillId="165" fontId="14" numFmtId="46" xfId="0" applyAlignment="1" applyFill="1" applyFont="1" applyNumberFormat="1">
      <alignment horizontal="center" vertical="bottom"/>
    </xf>
    <xf borderId="0" fillId="3" fontId="12" numFmtId="0" xfId="0" applyAlignment="1" applyFont="1">
      <alignment horizontal="center" vertical="bottom"/>
    </xf>
    <xf borderId="0" fillId="2" fontId="14" numFmtId="0" xfId="0" applyAlignment="1" applyFont="1">
      <alignment vertical="bottom"/>
    </xf>
    <xf borderId="0" fillId="166" fontId="14" numFmtId="0" xfId="0" applyAlignment="1" applyFill="1" applyFont="1">
      <alignment horizontal="center" vertical="bottom"/>
    </xf>
    <xf borderId="0" fillId="166" fontId="14" numFmtId="0" xfId="0" applyAlignment="1" applyFont="1">
      <alignment horizontal="center" vertical="bottom"/>
    </xf>
    <xf borderId="0" fillId="2" fontId="14" numFmtId="0" xfId="0" applyAlignment="1" applyFont="1">
      <alignment readingOrder="0" vertical="bottom"/>
    </xf>
    <xf borderId="0" fillId="3" fontId="12" numFmtId="0" xfId="0" applyAlignment="1" applyFont="1">
      <alignment horizontal="center" shrinkToFit="0" wrapText="1"/>
    </xf>
    <xf borderId="0" fillId="3" fontId="4" numFmtId="0" xfId="0" applyAlignment="1" applyFont="1">
      <alignment vertical="bottom"/>
    </xf>
    <xf borderId="0" fillId="167" fontId="15" numFmtId="0" xfId="0" applyAlignment="1" applyFill="1" applyFont="1">
      <alignment horizontal="center" vertical="bottom"/>
    </xf>
    <xf borderId="0" fillId="168" fontId="14" numFmtId="0" xfId="0" applyAlignment="1" applyFill="1" applyFont="1">
      <alignment horizontal="center" vertical="bottom"/>
    </xf>
    <xf borderId="0" fillId="168" fontId="16" numFmtId="0" xfId="0" applyAlignment="1" applyFont="1">
      <alignment horizontal="center" vertical="bottom"/>
    </xf>
    <xf borderId="0" fillId="169" fontId="14" numFmtId="0" xfId="0" applyAlignment="1" applyFill="1" applyFont="1">
      <alignment horizontal="center" vertical="bottom"/>
    </xf>
    <xf borderId="0" fillId="167" fontId="14" numFmtId="0" xfId="0" applyAlignment="1" applyFont="1">
      <alignment horizontal="center" vertical="bottom"/>
    </xf>
    <xf borderId="0" fillId="3" fontId="17" numFmtId="0" xfId="0" applyAlignment="1" applyFont="1">
      <alignment horizontal="center" vertical="bottom"/>
    </xf>
    <xf borderId="0" fillId="3" fontId="17" numFmtId="0" xfId="0" applyAlignment="1" applyFont="1">
      <alignment vertical="bottom"/>
    </xf>
    <xf borderId="0" fillId="2" fontId="4" numFmtId="0" xfId="0" applyAlignment="1" applyFont="1">
      <alignment horizontal="center" vertical="bottom"/>
    </xf>
    <xf borderId="0" fillId="167" fontId="18" numFmtId="0" xfId="0" applyAlignment="1" applyFont="1">
      <alignment horizontal="center" vertical="bottom"/>
    </xf>
    <xf borderId="0" fillId="167" fontId="18" numFmtId="0" xfId="0" applyAlignment="1" applyFont="1">
      <alignment horizontal="center" vertical="bottom"/>
    </xf>
    <xf borderId="0" fillId="168" fontId="19" numFmtId="0" xfId="0" applyAlignment="1" applyFont="1">
      <alignment horizontal="center" vertical="bottom"/>
    </xf>
    <xf borderId="0" fillId="0" fontId="4" numFmtId="0" xfId="0" applyAlignment="1" applyFont="1">
      <alignment horizontal="center" vertical="bottom"/>
    </xf>
    <xf borderId="0" fillId="2" fontId="4" numFmtId="0" xfId="0" applyAlignment="1" applyFont="1">
      <alignment horizontal="center" vertical="bottom"/>
    </xf>
    <xf borderId="0" fillId="168" fontId="19" numFmtId="0" xfId="0" applyAlignment="1" applyFont="1">
      <alignment horizontal="center" vertical="bottom"/>
    </xf>
    <xf borderId="0" fillId="0" fontId="4" numFmtId="0" xfId="0" applyAlignment="1" applyFont="1">
      <alignment horizontal="center" vertical="bottom"/>
    </xf>
    <xf borderId="0" fillId="166" fontId="4" numFmtId="0" xfId="0" applyAlignment="1" applyFont="1">
      <alignment horizontal="center" vertical="bottom"/>
    </xf>
    <xf borderId="0" fillId="0" fontId="4" numFmtId="0" xfId="0" applyAlignment="1" applyFont="1">
      <alignment horizontal="center" readingOrder="0" vertical="bottom"/>
    </xf>
    <xf borderId="0" fillId="2" fontId="14" numFmtId="0" xfId="0" applyAlignment="1" applyFont="1">
      <alignment horizontal="right" vertical="bottom"/>
    </xf>
    <xf borderId="0" fillId="2" fontId="14" numFmtId="10" xfId="0" applyAlignment="1" applyFont="1" applyNumberFormat="1">
      <alignment horizontal="right" vertical="bottom"/>
    </xf>
    <xf borderId="0" fillId="2" fontId="4" numFmtId="10" xfId="0" applyAlignment="1" applyFont="1" applyNumberFormat="1">
      <alignment vertical="bottom"/>
    </xf>
    <xf borderId="0" fillId="2" fontId="14" numFmtId="10" xfId="0" applyAlignment="1" applyFont="1" applyNumberFormat="1">
      <alignment vertical="bottom"/>
    </xf>
    <xf borderId="0" fillId="2" fontId="13" numFmtId="1" xfId="0" applyAlignment="1" applyFont="1" applyNumberFormat="1">
      <alignment vertical="bottom"/>
    </xf>
    <xf borderId="0" fillId="2" fontId="13" numFmtId="164" xfId="0" applyAlignment="1" applyFont="1" applyNumberFormat="1">
      <alignment horizontal="center" vertical="bottom"/>
    </xf>
    <xf borderId="0" fillId="2" fontId="4" numFmtId="1" xfId="0" applyAlignment="1" applyFont="1" applyNumberFormat="1">
      <alignment vertical="bottom"/>
    </xf>
    <xf borderId="0" fillId="2" fontId="4" numFmtId="164" xfId="0" applyAlignment="1" applyFont="1" applyNumberFormat="1">
      <alignment vertical="bottom"/>
    </xf>
    <xf borderId="0" fillId="2" fontId="4" numFmtId="166" xfId="0" applyAlignment="1" applyFont="1" applyNumberFormat="1">
      <alignment vertical="bottom"/>
    </xf>
    <xf borderId="0" fillId="2" fontId="13" numFmtId="167" xfId="0" applyAlignment="1" applyFont="1" applyNumberFormat="1">
      <alignment horizontal="center" vertical="bottom"/>
    </xf>
    <xf borderId="0" fillId="2" fontId="4" numFmtId="167" xfId="0" applyAlignment="1" applyFont="1" applyNumberFormat="1">
      <alignment vertical="bottom"/>
    </xf>
    <xf borderId="0" fillId="2" fontId="20" numFmtId="0" xfId="0" applyAlignment="1" applyFont="1">
      <alignment vertical="bottom"/>
    </xf>
    <xf borderId="0" fillId="2" fontId="21" numFmtId="1" xfId="0" applyAlignment="1" applyFont="1" applyNumberFormat="1">
      <alignment vertical="bottom"/>
    </xf>
    <xf borderId="0" fillId="3" fontId="22" numFmtId="0" xfId="0" applyAlignment="1" applyFont="1">
      <alignment vertical="bottom"/>
    </xf>
    <xf borderId="0" fillId="2" fontId="23" numFmtId="0" xfId="0" applyAlignment="1" applyFont="1">
      <alignment vertical="bottom"/>
    </xf>
    <xf borderId="0" fillId="2" fontId="24" numFmtId="0" xfId="0" applyFont="1"/>
    <xf borderId="0" fillId="2" fontId="25" numFmtId="0" xfId="0" applyFont="1"/>
  </cellXfs>
  <cellStyles count="1">
    <cellStyle xfId="0" name="Normal" builtinId="0"/>
  </cellStyles>
  <dxfs count="3">
    <dxf>
      <font/>
      <fill>
        <patternFill patternType="solid">
          <fgColor rgb="FFCFE2F3"/>
          <bgColor rgb="FFCFE2F3"/>
        </patternFill>
      </fill>
      <border/>
    </dxf>
    <dxf>
      <font>
        <color rgb="FF38761D"/>
      </font>
      <fill>
        <patternFill patternType="solid">
          <fgColor rgb="FFB6D7A8"/>
          <bgColor rgb="FFB6D7A8"/>
        </patternFill>
      </fill>
      <border/>
    </dxf>
    <dxf>
      <font>
        <color rgb="FF990000"/>
      </font>
      <fill>
        <patternFill patternType="solid">
          <fgColor rgb="FFEA9999"/>
          <bgColor rgb="FFEA999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iscord.gg/loghunters" TargetMode="External"/><Relationship Id="rId2" Type="http://schemas.openxmlformats.org/officeDocument/2006/relationships/hyperlink" Target="http://templeosrs.com/" TargetMode="External"/><Relationship Id="rId3" Type="http://schemas.openxmlformats.org/officeDocument/2006/relationships/hyperlink" Target="https://templeosrs.com/faq.php"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collectionlog.net/" TargetMode="External"/><Relationship Id="rId2" Type="http://schemas.openxmlformats.org/officeDocument/2006/relationships/hyperlink" Target="https://oldschool.runescape.wiki/" TargetMode="External"/><Relationship Id="rId3" Type="http://schemas.openxmlformats.org/officeDocument/2006/relationships/hyperlink" Target="https://oldschool.runescape.wiki/" TargetMode="External"/><Relationship Id="rId4" Type="http://schemas.openxmlformats.org/officeDocument/2006/relationships/hyperlink" Target="https://oldschool.runescape.wiki/" TargetMode="External"/><Relationship Id="rId5" Type="http://schemas.openxmlformats.org/officeDocument/2006/relationships/hyperlink" Target="https://wiseoldman.net/rates/ehb" TargetMode="External"/><Relationship Id="rId6"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13"/>
    <col customWidth="1" min="2" max="2" width="25.88"/>
    <col customWidth="1" min="3" max="3" width="38.0"/>
    <col customWidth="1" min="4" max="4" width="27.63"/>
    <col customWidth="1" min="5" max="5" width="15.63"/>
  </cols>
  <sheetData>
    <row r="1">
      <c r="A1" s="1" t="s">
        <v>0</v>
      </c>
    </row>
    <row r="2">
      <c r="A2" s="2" t="s">
        <v>1</v>
      </c>
    </row>
    <row r="3">
      <c r="A3" s="3" t="s">
        <v>2</v>
      </c>
      <c r="B3" s="4" t="str">
        <f>'Change log and credits'!$A$2</f>
        <v>v 1.3.4</v>
      </c>
      <c r="C3" s="5">
        <f>'Change log and credits'!$B$2</f>
        <v>46001</v>
      </c>
      <c r="D3" s="6"/>
      <c r="E3" s="6"/>
    </row>
    <row r="4">
      <c r="A4" s="7" t="s">
        <v>3</v>
      </c>
      <c r="B4" s="6"/>
      <c r="C4" s="6"/>
      <c r="D4" s="6"/>
      <c r="E4" s="6"/>
    </row>
    <row r="5">
      <c r="A5" s="8"/>
      <c r="B5" s="6"/>
      <c r="C5" s="6"/>
      <c r="D5" s="6"/>
      <c r="E5" s="9"/>
    </row>
    <row r="6" ht="28.5" customHeight="1">
      <c r="A6" s="10" t="s">
        <v>4</v>
      </c>
      <c r="B6" s="11"/>
      <c r="C6" s="11"/>
      <c r="D6" s="11"/>
      <c r="E6" s="11"/>
    </row>
    <row r="7">
      <c r="A7" s="12" t="s">
        <v>5</v>
      </c>
      <c r="B7" s="6"/>
      <c r="C7" s="6"/>
      <c r="D7" s="6"/>
      <c r="E7" s="6"/>
    </row>
    <row r="8">
      <c r="A8" s="13" t="s">
        <v>6</v>
      </c>
      <c r="B8" s="6"/>
      <c r="C8" s="6"/>
      <c r="D8" s="6"/>
      <c r="E8" s="6"/>
    </row>
    <row r="9">
      <c r="A9" s="13" t="s">
        <v>7</v>
      </c>
      <c r="B9" s="6"/>
      <c r="C9" s="6"/>
      <c r="D9" s="6"/>
      <c r="E9" s="6"/>
    </row>
    <row r="10">
      <c r="A10" s="13" t="s">
        <v>8</v>
      </c>
      <c r="B10" s="6"/>
      <c r="C10" s="6"/>
      <c r="D10" s="6"/>
      <c r="E10" s="6"/>
    </row>
    <row r="11">
      <c r="A11" s="13" t="s">
        <v>9</v>
      </c>
      <c r="B11" s="6"/>
      <c r="C11" s="6"/>
      <c r="D11" s="6"/>
      <c r="E11" s="6"/>
    </row>
    <row r="12">
      <c r="A12" s="13" t="s">
        <v>8</v>
      </c>
      <c r="B12" s="6"/>
      <c r="C12" s="6"/>
      <c r="D12" s="6"/>
      <c r="E12" s="6"/>
    </row>
    <row r="13">
      <c r="A13" s="12" t="s">
        <v>10</v>
      </c>
      <c r="B13" s="6"/>
      <c r="C13" s="6"/>
      <c r="D13" s="6"/>
      <c r="E13" s="6"/>
    </row>
    <row r="14">
      <c r="A14" s="13" t="s">
        <v>11</v>
      </c>
      <c r="B14" s="8"/>
      <c r="C14" s="8"/>
      <c r="D14" s="8"/>
      <c r="E14" s="6"/>
    </row>
    <row r="15">
      <c r="A15" s="13" t="s">
        <v>8</v>
      </c>
      <c r="B15" s="8"/>
      <c r="C15" s="8"/>
      <c r="D15" s="8"/>
      <c r="E15" s="6"/>
    </row>
    <row r="16">
      <c r="A16" s="13" t="s">
        <v>12</v>
      </c>
      <c r="B16" s="8"/>
      <c r="C16" s="8"/>
      <c r="D16" s="8"/>
      <c r="E16" s="6"/>
    </row>
    <row r="17">
      <c r="A17" s="13" t="s">
        <v>8</v>
      </c>
      <c r="B17" s="6"/>
      <c r="C17" s="6"/>
      <c r="D17" s="6"/>
      <c r="E17" s="8"/>
    </row>
    <row r="18">
      <c r="A18" s="13" t="s">
        <v>13</v>
      </c>
      <c r="B18" s="8"/>
      <c r="C18" s="8"/>
      <c r="D18" s="8"/>
      <c r="E18" s="6"/>
    </row>
    <row r="19">
      <c r="A19" s="14" t="s">
        <v>14</v>
      </c>
      <c r="B19" s="6"/>
      <c r="C19" s="6"/>
      <c r="D19" s="6"/>
      <c r="E19" s="6"/>
    </row>
    <row r="20">
      <c r="A20" s="13" t="s">
        <v>15</v>
      </c>
      <c r="B20" s="6"/>
      <c r="C20" s="6"/>
      <c r="D20" s="6"/>
      <c r="E20" s="6"/>
    </row>
    <row r="21">
      <c r="A21" s="13" t="s">
        <v>16</v>
      </c>
      <c r="B21" s="6"/>
      <c r="C21" s="6"/>
      <c r="D21" s="6"/>
      <c r="E21" s="6"/>
    </row>
    <row r="22">
      <c r="A22" s="13" t="s">
        <v>17</v>
      </c>
      <c r="B22" s="6"/>
      <c r="C22" s="6"/>
      <c r="D22" s="6"/>
      <c r="E22" s="8"/>
    </row>
    <row r="23">
      <c r="A23" s="13" t="s">
        <v>18</v>
      </c>
      <c r="B23" s="6"/>
      <c r="C23" s="6"/>
      <c r="D23" s="6"/>
      <c r="E23" s="8"/>
    </row>
    <row r="24">
      <c r="A24" s="14" t="s">
        <v>19</v>
      </c>
      <c r="B24" s="6"/>
      <c r="C24" s="6"/>
      <c r="D24" s="6"/>
      <c r="E24" s="8"/>
    </row>
    <row r="25">
      <c r="A25" s="13" t="s">
        <v>20</v>
      </c>
      <c r="B25" s="6"/>
      <c r="C25" s="6"/>
      <c r="D25" s="6"/>
      <c r="E25" s="8"/>
    </row>
    <row r="26">
      <c r="A26" s="15" t="s">
        <v>21</v>
      </c>
      <c r="B26" s="6"/>
      <c r="C26" s="6"/>
      <c r="D26" s="6"/>
      <c r="E26" s="16" t="s">
        <v>22</v>
      </c>
    </row>
    <row r="27">
      <c r="A27" s="13" t="s">
        <v>23</v>
      </c>
      <c r="B27" s="6"/>
      <c r="C27" s="6"/>
      <c r="D27" s="17"/>
      <c r="E27" s="18" t="b">
        <v>0</v>
      </c>
    </row>
    <row r="28">
      <c r="A28" s="13" t="s">
        <v>24</v>
      </c>
      <c r="B28" s="6"/>
      <c r="C28" s="6"/>
      <c r="D28" s="6"/>
      <c r="E28" s="6"/>
    </row>
    <row r="29">
      <c r="A29" s="13" t="s">
        <v>25</v>
      </c>
      <c r="B29" s="6"/>
      <c r="C29" s="6"/>
      <c r="D29" s="6"/>
      <c r="E29" s="6"/>
    </row>
    <row r="30">
      <c r="A30" s="13" t="s">
        <v>26</v>
      </c>
      <c r="B30" s="6"/>
      <c r="C30" s="6"/>
      <c r="D30" s="6"/>
      <c r="E30" s="6"/>
    </row>
    <row r="31">
      <c r="A31" s="13" t="s">
        <v>8</v>
      </c>
      <c r="B31" s="6"/>
      <c r="C31" s="6"/>
      <c r="D31" s="6"/>
      <c r="E31" s="6"/>
    </row>
    <row r="32">
      <c r="A32" s="13" t="s">
        <v>27</v>
      </c>
      <c r="B32" s="6"/>
      <c r="C32" s="6"/>
      <c r="D32" s="6"/>
      <c r="E32" s="6"/>
    </row>
    <row r="33">
      <c r="A33" s="13" t="s">
        <v>7</v>
      </c>
      <c r="B33" s="6"/>
      <c r="C33" s="6"/>
      <c r="D33" s="6"/>
      <c r="E33" s="6"/>
    </row>
    <row r="34">
      <c r="A34" s="13" t="s">
        <v>8</v>
      </c>
      <c r="B34" s="6"/>
      <c r="C34" s="6"/>
      <c r="D34" s="6"/>
      <c r="E34" s="6"/>
    </row>
    <row r="35">
      <c r="A35" s="13" t="s">
        <v>28</v>
      </c>
      <c r="B35" s="6"/>
      <c r="C35" s="6"/>
      <c r="D35" s="6"/>
      <c r="E35" s="6"/>
    </row>
    <row r="36">
      <c r="A36" s="13" t="s">
        <v>8</v>
      </c>
      <c r="B36" s="6"/>
      <c r="C36" s="6"/>
      <c r="D36" s="6"/>
      <c r="E36" s="6"/>
    </row>
    <row r="37">
      <c r="A37" s="12" t="s">
        <v>29</v>
      </c>
      <c r="B37" s="6"/>
      <c r="C37" s="6"/>
      <c r="D37" s="6"/>
      <c r="E37" s="6"/>
    </row>
    <row r="38">
      <c r="A38" s="19" t="s">
        <v>30</v>
      </c>
      <c r="B38" s="6"/>
      <c r="C38" s="6"/>
      <c r="D38" s="6"/>
      <c r="E38" s="6"/>
    </row>
    <row r="39">
      <c r="A39" s="13" t="s">
        <v>31</v>
      </c>
      <c r="B39" s="6"/>
      <c r="C39" s="6"/>
      <c r="D39" s="6"/>
      <c r="E39" s="6"/>
    </row>
    <row r="40">
      <c r="A40" s="20" t="s">
        <v>8</v>
      </c>
      <c r="B40" s="6"/>
      <c r="C40" s="6"/>
      <c r="D40" s="6"/>
      <c r="E40" s="6"/>
    </row>
    <row r="41">
      <c r="A41" s="19" t="s">
        <v>32</v>
      </c>
      <c r="B41" s="6"/>
      <c r="C41" s="6"/>
      <c r="D41" s="6"/>
      <c r="E41" s="6"/>
    </row>
    <row r="42">
      <c r="A42" s="13" t="s">
        <v>33</v>
      </c>
      <c r="B42" s="6"/>
      <c r="C42" s="6"/>
      <c r="D42" s="6"/>
      <c r="E42" s="6"/>
    </row>
    <row r="43">
      <c r="A43" s="13" t="s">
        <v>34</v>
      </c>
      <c r="B43" s="6"/>
      <c r="C43" s="6"/>
      <c r="D43" s="6"/>
      <c r="E43" s="6"/>
    </row>
    <row r="44">
      <c r="A44" s="13" t="s">
        <v>35</v>
      </c>
      <c r="B44" s="6"/>
      <c r="C44" s="6"/>
      <c r="D44" s="6"/>
      <c r="E44" s="6"/>
    </row>
    <row r="45">
      <c r="A45" s="19" t="s">
        <v>8</v>
      </c>
      <c r="B45" s="6"/>
      <c r="C45" s="6"/>
      <c r="D45" s="6"/>
      <c r="E45" s="6"/>
    </row>
    <row r="46">
      <c r="A46" s="19" t="s">
        <v>36</v>
      </c>
      <c r="B46" s="6"/>
      <c r="C46" s="6"/>
      <c r="D46" s="6"/>
      <c r="E46" s="6"/>
    </row>
    <row r="47">
      <c r="A47" s="13" t="s">
        <v>37</v>
      </c>
      <c r="B47" s="6"/>
      <c r="C47" s="6"/>
      <c r="D47" s="6"/>
      <c r="E47" s="6"/>
    </row>
    <row r="48">
      <c r="A48" s="13" t="s">
        <v>38</v>
      </c>
      <c r="B48" s="6"/>
      <c r="C48" s="6"/>
      <c r="D48" s="6"/>
      <c r="E48" s="6"/>
    </row>
    <row r="49">
      <c r="A49" s="20" t="s">
        <v>8</v>
      </c>
      <c r="B49" s="6"/>
      <c r="C49" s="6"/>
      <c r="D49" s="6"/>
      <c r="E49" s="6"/>
    </row>
    <row r="50">
      <c r="A50" s="20" t="s">
        <v>39</v>
      </c>
      <c r="B50" s="6"/>
      <c r="C50" s="6"/>
      <c r="D50" s="6"/>
      <c r="E50" s="6"/>
    </row>
    <row r="51">
      <c r="A51" s="13" t="s">
        <v>40</v>
      </c>
      <c r="B51" s="6"/>
      <c r="C51" s="6"/>
      <c r="D51" s="6"/>
      <c r="E51" s="6"/>
    </row>
    <row r="52">
      <c r="A52" s="13" t="s">
        <v>41</v>
      </c>
      <c r="B52" s="6"/>
      <c r="C52" s="6"/>
      <c r="D52" s="6"/>
      <c r="E52" s="6"/>
    </row>
    <row r="53">
      <c r="A53" s="8"/>
      <c r="B53" s="6"/>
      <c r="C53" s="6"/>
      <c r="D53" s="6"/>
      <c r="E53" s="6"/>
    </row>
    <row r="54">
      <c r="A54" s="21" t="s">
        <v>42</v>
      </c>
      <c r="B54" s="11"/>
      <c r="C54" s="11"/>
      <c r="D54" s="11"/>
      <c r="E54" s="11"/>
    </row>
    <row r="55">
      <c r="A55" s="22" t="s">
        <v>43</v>
      </c>
      <c r="B55" s="6"/>
      <c r="C55" s="6"/>
      <c r="D55" s="6"/>
      <c r="E55" s="6"/>
    </row>
    <row r="56">
      <c r="A56" s="23" t="s">
        <v>44</v>
      </c>
      <c r="B56" s="6"/>
      <c r="C56" s="6"/>
      <c r="D56" s="6"/>
      <c r="E56" s="6"/>
    </row>
    <row r="57">
      <c r="A57" s="23" t="s">
        <v>45</v>
      </c>
      <c r="B57" s="6"/>
      <c r="C57" s="6"/>
      <c r="D57" s="6"/>
      <c r="E57" s="6"/>
    </row>
    <row r="58">
      <c r="A58" s="23" t="s">
        <v>46</v>
      </c>
      <c r="B58" s="6"/>
      <c r="C58" s="6"/>
      <c r="D58" s="6"/>
      <c r="E58" s="6"/>
    </row>
    <row r="59">
      <c r="A59" s="8"/>
      <c r="B59" s="6"/>
      <c r="C59" s="6"/>
      <c r="D59" s="6"/>
      <c r="E59" s="6"/>
    </row>
    <row r="60">
      <c r="A60" s="21" t="s">
        <v>47</v>
      </c>
      <c r="B60" s="11"/>
      <c r="C60" s="11"/>
      <c r="D60" s="11"/>
      <c r="E60" s="11"/>
    </row>
    <row r="61">
      <c r="A61" s="23" t="s">
        <v>48</v>
      </c>
      <c r="B61" s="6"/>
      <c r="C61" s="6"/>
      <c r="D61" s="6"/>
      <c r="E61" s="6"/>
    </row>
    <row r="62">
      <c r="A62" s="8"/>
      <c r="B62" s="6"/>
      <c r="C62" s="6"/>
      <c r="D62" s="6"/>
      <c r="E62" s="6"/>
    </row>
    <row r="63">
      <c r="A63" s="21" t="s">
        <v>49</v>
      </c>
      <c r="B63" s="11"/>
      <c r="C63" s="11"/>
      <c r="D63" s="11"/>
      <c r="E63" s="24" t="s">
        <v>50</v>
      </c>
    </row>
    <row r="64">
      <c r="A64" s="23" t="s">
        <v>51</v>
      </c>
      <c r="B64" s="6"/>
      <c r="C64" s="6"/>
      <c r="D64" s="6"/>
      <c r="E64" s="25">
        <v>1.0</v>
      </c>
    </row>
    <row r="65">
      <c r="A65" s="23" t="s">
        <v>52</v>
      </c>
      <c r="B65" s="6"/>
      <c r="C65" s="6"/>
      <c r="D65" s="6"/>
      <c r="E65" s="26">
        <v>1.0</v>
      </c>
    </row>
    <row r="66">
      <c r="A66" s="22" t="s">
        <v>53</v>
      </c>
      <c r="B66" s="6"/>
      <c r="C66" s="6"/>
      <c r="D66" s="6"/>
      <c r="E66" s="25">
        <f>SUM(E63:E65)</f>
        <v>2</v>
      </c>
    </row>
  </sheetData>
  <mergeCells count="2">
    <mergeCell ref="A1:E1"/>
    <mergeCell ref="A2:E2"/>
  </mergeCells>
  <hyperlinks>
    <hyperlink r:id="rId1" ref="A4"/>
    <hyperlink r:id="rId2" ref="A19"/>
    <hyperlink r:id="rId3" location="FAQ_23" ref="A24"/>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75.13"/>
    <col customWidth="1" hidden="1" min="3" max="3" width="22.63"/>
    <col customWidth="1" hidden="1" min="4" max="4" width="46.88"/>
    <col customWidth="1" hidden="1" min="5" max="5" width="29.5"/>
    <col customWidth="1" hidden="1" min="6" max="6" width="21.13"/>
    <col customWidth="1" hidden="1" min="7" max="7" width="26.5"/>
    <col customWidth="1" hidden="1" min="8" max="8" width="22.63"/>
    <col customWidth="1" hidden="1" min="9" max="9" width="22.38"/>
    <col customWidth="1" hidden="1" min="10" max="10" width="17.38"/>
    <col customWidth="1" hidden="1" min="11" max="11" width="21.13"/>
    <col customWidth="1" hidden="1" min="12" max="12" width="17.38"/>
    <col customWidth="1" hidden="1" min="13" max="14" width="30.5"/>
    <col customWidth="1" min="15" max="15" width="28.25"/>
    <col customWidth="1" min="16" max="16" width="40.13"/>
    <col customWidth="1" min="17" max="18" width="12.63"/>
    <col customWidth="1" min="19" max="19" width="15.13"/>
    <col customWidth="1" min="20" max="20" width="12.63"/>
    <col customWidth="1" min="21" max="21" width="40.13"/>
  </cols>
  <sheetData>
    <row r="1">
      <c r="A1" s="27" t="s">
        <v>54</v>
      </c>
      <c r="B1" s="27" t="s">
        <v>55</v>
      </c>
      <c r="C1" s="27" t="s">
        <v>56</v>
      </c>
      <c r="D1" s="27" t="s">
        <v>57</v>
      </c>
      <c r="E1" s="27" t="s">
        <v>58</v>
      </c>
      <c r="F1" s="27" t="s">
        <v>59</v>
      </c>
      <c r="G1" s="27" t="s">
        <v>60</v>
      </c>
      <c r="H1" s="27" t="s">
        <v>61</v>
      </c>
      <c r="I1" s="27" t="s">
        <v>62</v>
      </c>
      <c r="J1" s="27" t="s">
        <v>63</v>
      </c>
      <c r="K1" s="27" t="s">
        <v>64</v>
      </c>
      <c r="L1" s="27" t="s">
        <v>65</v>
      </c>
      <c r="M1" s="27" t="s">
        <v>66</v>
      </c>
      <c r="N1" s="27" t="s">
        <v>67</v>
      </c>
      <c r="O1" s="27" t="s">
        <v>68</v>
      </c>
      <c r="P1" s="27" t="s">
        <v>69</v>
      </c>
      <c r="Q1" s="27" t="s">
        <v>70</v>
      </c>
      <c r="R1" s="27" t="s">
        <v>71</v>
      </c>
      <c r="S1" s="27" t="s">
        <v>72</v>
      </c>
      <c r="T1" s="27" t="s">
        <v>73</v>
      </c>
      <c r="U1" s="27" t="s">
        <v>74</v>
      </c>
    </row>
    <row r="2">
      <c r="A2" s="26">
        <v>211.0</v>
      </c>
      <c r="B2" s="23" t="str">
        <f>VLOOKUP($A2, 'Completion rates'!$A:$E, 2, FALSE)</f>
        <v>Killing gryphons (on task)</v>
      </c>
      <c r="C2" s="26">
        <f>IF(Notes!$E$27, VLOOKUP($A2, 'Completion rates'!$A:$E, 4, FALSE), VLOOKUP($A2, 'Completion rates'!$A:$E, 3, FALSE))</f>
        <v>600</v>
      </c>
      <c r="D2" s="26">
        <f>VLOOKUP($A2, 'Completion rates'!$A:$E, 5, FALSE)</f>
        <v>0</v>
      </c>
      <c r="E2" s="28">
        <f>IF(SUMIFS('Activity map'!$O:$O, 'Activity map'!$A:$A, A2, 'Activity map'!$H:$H, "=TRUE") = 0, "n/a", 1/SUMIFS('Activity map'!$O:$O, 'Activity map'!$A:$A, A2, 'Activity map'!$H:$H, "=TRUE"))</f>
        <v>0.9999366061</v>
      </c>
      <c r="F2" s="26">
        <f t="shared" ref="F2:F251" si="1">IF(OR(ISBLANK(C2), E2 = "n/a"), "", E2/C2 + D2)</f>
        <v>0.00166656101</v>
      </c>
      <c r="G2" s="26" t="str">
        <f>IF(MINIFS('Activity map'!$N:$N, 'Activity map'!$A:$A, A2, 'Activity map'!$H:$H, "=TRUE") = 0, "n/a", MINIFS('Activity map'!$N:$N, 'Activity map'!$A:$A, A2, 'Activity map'!$H:$H, "=TRUE"))</f>
        <v>n/a</v>
      </c>
      <c r="H2" s="8" t="str">
        <f t="shared" ref="H2:H251" si="2">IF(OR(ISBLANK(C2), G2 = "n/a"), "", G2/C2 + D2)</f>
        <v/>
      </c>
      <c r="I2" s="26">
        <f>IF(MINIFS('Activity map'!$M:$M, 'Activity map'!$A:$A, A2, 'Activity map'!$H:$H, "=TRUE") = 0, "n/a", MINIFS('Activity map'!$M:$M, 'Activity map'!$A:$A, A2, 'Activity map'!$H:$H, "=TRUE"))</f>
        <v>1000</v>
      </c>
      <c r="J2" s="26">
        <f t="shared" ref="J2:J251" si="3">IF(OR(ISBLANK(C2), I2 = "n/a"), "", I2/C2 + D2)</f>
        <v>1.666666667</v>
      </c>
      <c r="K2" s="26" t="str">
        <f>IF(MINIFS('Activity map'!$L:$L, 'Activity map'!$A:$A, A2, 'Activity map'!$H:$H, "=TRUE") = 0, "n/a", MINIFS('Activity map'!$L:$L, 'Activity map'!$A:$A, A2, 'Activity map'!$H:$H, "=TRUE"))</f>
        <v>n/a</v>
      </c>
      <c r="L2" s="8" t="str">
        <f t="shared" ref="L2:L251" si="4">IF(OR(ISBLANK(C2), K2 = "n/a"), "", K2/C2 + D2)</f>
        <v/>
      </c>
      <c r="M2" s="26">
        <f>MINIFS('Activity map'!$C:$C, 'Activity map'!$A:$A, $A2, 'Activity map'!$H:$H, "=TRUE", 'Activity map'!$K:$K, MINIFS('Activity map'!$K:$K, 'Activity map'!$A:$A, $A2, 'Activity map'!$H:$H, "=TRUE"))</f>
        <v>31235</v>
      </c>
      <c r="N2" s="26">
        <f>MINIFS('Activity map'!$C:$C, 'Activity map'!$A:$A, $A2, 'Activity map'!$H:$H, "=TRUE", 'Activity map'!$E:$E, $T2)</f>
        <v>31235</v>
      </c>
      <c r="O2" s="29">
        <f t="shared" ref="O2:O251" si="5">IF(MIN(F2,H2,J2,L2) = 0, "Done!", MIN(F2,H2,J2,L2) / 24)</f>
        <v>0.00006944004209</v>
      </c>
      <c r="P2" s="30" t="str">
        <f>IF($M2=0, "-", VLOOKUP($M2, 'List of log slots'!$A:$C, 2, FALSE))</f>
        <v>Gryphon feather</v>
      </c>
      <c r="Q2" s="31">
        <f>IFERROR(__xludf.DUMMYFUNCTION("IF(ISERROR(FILTER('Activity map'!$C:$C, ('Activity map'!$A:$A=$A2)*('Activity map'!$F:$F=FALSE))), 0, COUNTA(UNIQUE(FILTER('Activity map'!$C:$C, ('Activity map'!$A:$A=$A2)*('Activity map'!$F:$F=FALSE)))))"),8.0)</f>
        <v>8</v>
      </c>
      <c r="R2" s="31">
        <f>IFERROR(__xludf.DUMMYFUNCTION("IF(ISERROR(FILTER('Activity map'!$C:$C, 'Activity map'!$A:$A=$A2)), 0, COUNTA(UNIQUE(FILTER('Activity map'!$C:$C, 'Activity map'!$A:$A=$A2))))"),8.0)</f>
        <v>8</v>
      </c>
      <c r="S2" s="32">
        <f t="shared" ref="S2:S251" si="6">1 - Q2/R2</f>
        <v>0</v>
      </c>
      <c r="T2" s="31">
        <f>IFERROR(__xludf.DUMMYFUNCTION("IF(ISERROR(FILTER('Activity map'!$E:$E, ('Activity map'!$A:$A=$A2)*('Activity map'!$F:$F=FALSE))), ""-"", MIN(UNIQUE(FILTER('Activity map'!$E:$E, ('Activity map'!$A:$A=$A2)*('Activity map'!$F:$F=FALSE)))))"),4.0)</f>
        <v>4</v>
      </c>
      <c r="U2" s="30" t="str">
        <f>IF($N2=0, "-", VLOOKUP($N2, 'List of log slots'!$A:$C, 2, FALSE))</f>
        <v>Gryphon feather</v>
      </c>
    </row>
    <row r="3">
      <c r="A3" s="26">
        <v>208.0</v>
      </c>
      <c r="B3" s="23" t="str">
        <f>VLOOKUP($A3, 'Completion rates'!$A:$E, 2, FALSE)</f>
        <v>Killing araxytes (level 146, on task)</v>
      </c>
      <c r="C3" s="26">
        <f>IF(Notes!$E$27, VLOOKUP($A3, 'Completion rates'!$A:$E, 4, FALSE), VLOOKUP($A3, 'Completion rates'!$A:$E, 3, FALSE))</f>
        <v>500</v>
      </c>
      <c r="D3" s="26">
        <f>VLOOKUP($A3, 'Completion rates'!$A:$E, 5, FALSE)</f>
        <v>0</v>
      </c>
      <c r="E3" s="28">
        <f>IF(SUMIFS('Activity map'!$O:$O, 'Activity map'!$A:$A, A3, 'Activity map'!$H:$H, "=TRUE") = 0, "n/a", 1/SUMIFS('Activity map'!$O:$O, 'Activity map'!$A:$A, A3, 'Activity map'!$H:$H, "=TRUE"))</f>
        <v>0.9980158494</v>
      </c>
      <c r="F3" s="26">
        <f t="shared" si="1"/>
        <v>0.001996031699</v>
      </c>
      <c r="G3" s="26" t="str">
        <f>IF(MINIFS('Activity map'!$N:$N, 'Activity map'!$A:$A, A3, 'Activity map'!$H:$H, "=TRUE") = 0, "n/a", MINIFS('Activity map'!$N:$N, 'Activity map'!$A:$A, A3, 'Activity map'!$H:$H, "=TRUE"))</f>
        <v>n/a</v>
      </c>
      <c r="H3" s="8" t="str">
        <f t="shared" si="2"/>
        <v/>
      </c>
      <c r="I3" s="26" t="str">
        <f>IF(MINIFS('Activity map'!$M:$M, 'Activity map'!$A:$A, A3, 'Activity map'!$H:$H, "=TRUE") = 0, "n/a", MINIFS('Activity map'!$M:$M, 'Activity map'!$A:$A, A3, 'Activity map'!$H:$H, "=TRUE"))</f>
        <v>n/a</v>
      </c>
      <c r="J3" s="8" t="str">
        <f t="shared" si="3"/>
        <v/>
      </c>
      <c r="K3" s="26" t="str">
        <f>IF(MINIFS('Activity map'!$L:$L, 'Activity map'!$A:$A, A3, 'Activity map'!$H:$H, "=TRUE") = 0, "n/a", MINIFS('Activity map'!$L:$L, 'Activity map'!$A:$A, A3, 'Activity map'!$H:$H, "=TRUE"))</f>
        <v>n/a</v>
      </c>
      <c r="L3" s="8" t="str">
        <f t="shared" si="4"/>
        <v/>
      </c>
      <c r="M3" s="26">
        <f>MINIFS('Activity map'!$C:$C, 'Activity map'!$A:$A, $A3, 'Activity map'!$H:$H, "=TRUE", 'Activity map'!$K:$K, MINIFS('Activity map'!$K:$K, 'Activity map'!$A:$A, $A3, 'Activity map'!$H:$H, "=TRUE"))</f>
        <v>29784</v>
      </c>
      <c r="N3" s="26">
        <f>MINIFS('Activity map'!$C:$C, 'Activity map'!$A:$A, $A3, 'Activity map'!$H:$H, "=TRUE", 'Activity map'!$E:$E, $T3)</f>
        <v>29784</v>
      </c>
      <c r="O3" s="33">
        <f t="shared" si="5"/>
        <v>0.00008316798745</v>
      </c>
      <c r="P3" s="30" t="str">
        <f>IF($M3=0, "-", VLOOKUP($M3, 'List of log slots'!$A:$C, 2, FALSE))</f>
        <v>Araxyte venom sack</v>
      </c>
      <c r="Q3" s="31">
        <f>IFERROR(__xludf.DUMMYFUNCTION("IF(ISERROR(FILTER('Activity map'!$C:$C, ('Activity map'!$A:$A=$A3)*('Activity map'!$F:$F=FALSE))), 0, COUNTA(UNIQUE(FILTER('Activity map'!$C:$C, ('Activity map'!$A:$A=$A3)*('Activity map'!$F:$F=FALSE)))))"),7.0)</f>
        <v>7</v>
      </c>
      <c r="R3" s="31">
        <f>IFERROR(__xludf.DUMMYFUNCTION("IF(ISERROR(FILTER('Activity map'!$C:$C, 'Activity map'!$A:$A=$A3)), 0, COUNTA(UNIQUE(FILTER('Activity map'!$C:$C, 'Activity map'!$A:$A=$A3))))"),7.0)</f>
        <v>7</v>
      </c>
      <c r="S3" s="34">
        <f t="shared" si="6"/>
        <v>0</v>
      </c>
      <c r="T3" s="31">
        <f>IFERROR(__xludf.DUMMYFUNCTION("IF(ISERROR(FILTER('Activity map'!$E:$E, ('Activity map'!$A:$A=$A3)*('Activity map'!$F:$F=FALSE))), ""-"", MIN(UNIQUE(FILTER('Activity map'!$E:$E, ('Activity map'!$A:$A=$A3)*('Activity map'!$F:$F=FALSE)))))"),5.0)</f>
        <v>5</v>
      </c>
      <c r="U3" s="30" t="str">
        <f>IF($N3=0, "-", VLOOKUP($N3, 'List of log slots'!$A:$C, 2, FALSE))</f>
        <v>Araxyte venom sack</v>
      </c>
    </row>
    <row r="4">
      <c r="A4" s="26">
        <v>127.0</v>
      </c>
      <c r="B4" s="23" t="str">
        <f>VLOOKUP($A4, 'Completion rates'!$A:$E, 2, FALSE)</f>
        <v>Spending 100 numulite at the fossil island notes chest</v>
      </c>
      <c r="C4" s="26">
        <f>IF(Notes!$E$27, VLOOKUP($A4, 'Completion rates'!$A:$E, 4, FALSE), VLOOKUP($A4, 'Completion rates'!$A:$E, 3, FALSE))</f>
        <v>1000</v>
      </c>
      <c r="D4" s="26">
        <f>VLOOKUP($A4, 'Completion rates'!$A:$E, 5, FALSE)</f>
        <v>0</v>
      </c>
      <c r="E4" s="28" t="str">
        <f>IF(SUMIFS('Activity map'!$O:$O, 'Activity map'!$A:$A, A4, 'Activity map'!$H:$H, "=TRUE") = 0, "n/a", 1/SUMIFS('Activity map'!$O:$O, 'Activity map'!$A:$A, A4, 'Activity map'!$H:$H, "=TRUE"))</f>
        <v>n/a</v>
      </c>
      <c r="F4" s="8" t="str">
        <f t="shared" si="1"/>
        <v/>
      </c>
      <c r="G4" s="26">
        <f>IF(MINIFS('Activity map'!$N:$N, 'Activity map'!$A:$A, A4, 'Activity map'!$H:$H, "=TRUE") = 0, "n/a", MINIFS('Activity map'!$N:$N, 'Activity map'!$A:$A, A4, 'Activity map'!$H:$H, "=TRUE"))</f>
        <v>3</v>
      </c>
      <c r="H4" s="8">
        <f t="shared" si="2"/>
        <v>0.003</v>
      </c>
      <c r="I4" s="26" t="str">
        <f>IF(MINIFS('Activity map'!$M:$M, 'Activity map'!$A:$A, A4, 'Activity map'!$H:$H, "=TRUE") = 0, "n/a", MINIFS('Activity map'!$M:$M, 'Activity map'!$A:$A, A4, 'Activity map'!$H:$H, "=TRUE"))</f>
        <v>n/a</v>
      </c>
      <c r="J4" s="8" t="str">
        <f t="shared" si="3"/>
        <v/>
      </c>
      <c r="K4" s="26" t="str">
        <f>IF(MINIFS('Activity map'!$L:$L, 'Activity map'!$A:$A, A4, 'Activity map'!$H:$H, "=TRUE") = 0, "n/a", MINIFS('Activity map'!$L:$L, 'Activity map'!$A:$A, A4, 'Activity map'!$H:$H, "=TRUE"))</f>
        <v>n/a</v>
      </c>
      <c r="L4" s="8" t="str">
        <f t="shared" si="4"/>
        <v/>
      </c>
      <c r="M4" s="26">
        <f>MINIFS('Activity map'!$C:$C, 'Activity map'!$A:$A, $A4, 'Activity map'!$H:$H, "=TRUE", 'Activity map'!$K:$K, MINIFS('Activity map'!$K:$K, 'Activity map'!$A:$A, $A4, 'Activity map'!$H:$H, "=TRUE"))</f>
        <v>21664</v>
      </c>
      <c r="N4" s="26">
        <f>MINIFS('Activity map'!$C:$C, 'Activity map'!$A:$A, $A4, 'Activity map'!$H:$H, "=TRUE", 'Activity map'!$E:$E, $T4)</f>
        <v>21664</v>
      </c>
      <c r="O4" s="35">
        <f t="shared" si="5"/>
        <v>0.000125</v>
      </c>
      <c r="P4" s="30" t="str">
        <f>IF($M4=0, "-", VLOOKUP($M4, 'List of log slots'!$A:$C, 2, FALSE))</f>
        <v>Scribbled note</v>
      </c>
      <c r="Q4" s="31">
        <f>IFERROR(__xludf.DUMMYFUNCTION("IF(ISERROR(FILTER('Activity map'!$C:$C, ('Activity map'!$A:$A=$A4)*('Activity map'!$F:$F=FALSE))), 0, COUNTA(UNIQUE(FILTER('Activity map'!$C:$C, ('Activity map'!$A:$A=$A4)*('Activity map'!$F:$F=FALSE)))))"),10.0)</f>
        <v>10</v>
      </c>
      <c r="R4" s="31">
        <f>IFERROR(__xludf.DUMMYFUNCTION("IF(ISERROR(FILTER('Activity map'!$C:$C, 'Activity map'!$A:$A=$A4)), 0, COUNTA(UNIQUE(FILTER('Activity map'!$C:$C, 'Activity map'!$A:$A=$A4))))"),10.0)</f>
        <v>10</v>
      </c>
      <c r="S4" s="36">
        <f t="shared" si="6"/>
        <v>0</v>
      </c>
      <c r="T4" s="31">
        <f>IFERROR(__xludf.DUMMYFUNCTION("IF(ISERROR(FILTER('Activity map'!$E:$E, ('Activity map'!$A:$A=$A4)*('Activity map'!$F:$F=FALSE))), ""-"", MIN(UNIQUE(FILTER('Activity map'!$E:$E, ('Activity map'!$A:$A=$A4)*('Activity map'!$F:$F=FALSE)))))"),2.0)</f>
        <v>2</v>
      </c>
      <c r="U4" s="30" t="str">
        <f>IF($N4=0, "-", VLOOKUP($N4, 'List of log slots'!$A:$C, 2, FALSE))</f>
        <v>Scribbled note</v>
      </c>
    </row>
    <row r="5">
      <c r="A5" s="26">
        <v>136.0</v>
      </c>
      <c r="B5" s="23" t="str">
        <f>VLOOKUP($A5, 'Completion rates'!$A:$E, 2, FALSE)</f>
        <v>Killing revenants (demon cyclops quads, skulled, off task)</v>
      </c>
      <c r="C5" s="26">
        <f>IF(Notes!$E$27, VLOOKUP($A5, 'Completion rates'!$A:$E, 4, FALSE), VLOOKUP($A5, 'Completion rates'!$A:$E, 3, FALSE))</f>
        <v>260</v>
      </c>
      <c r="D5" s="26">
        <f>VLOOKUP($A5, 'Completion rates'!$A:$E, 5, FALSE)</f>
        <v>0</v>
      </c>
      <c r="E5" s="28">
        <f>IF(SUMIFS('Activity map'!$O:$O, 'Activity map'!$A:$A, A5, 'Activity map'!$H:$H, "=TRUE") = 0, "n/a", 1/SUMIFS('Activity map'!$O:$O, 'Activity map'!$A:$A, A5, 'Activity map'!$H:$H, "=TRUE"))</f>
        <v>7.710967465</v>
      </c>
      <c r="F5" s="26">
        <f t="shared" si="1"/>
        <v>0.02965756717</v>
      </c>
      <c r="G5" s="26" t="str">
        <f>IF(MINIFS('Activity map'!$N:$N, 'Activity map'!$A:$A, A5, 'Activity map'!$H:$H, "=TRUE") = 0, "n/a", MINIFS('Activity map'!$N:$N, 'Activity map'!$A:$A, A5, 'Activity map'!$H:$H, "=TRUE"))</f>
        <v>n/a</v>
      </c>
      <c r="H5" s="8" t="str">
        <f t="shared" si="2"/>
        <v/>
      </c>
      <c r="I5" s="26">
        <f>IF(MINIFS('Activity map'!$M:$M, 'Activity map'!$A:$A, A5, 'Activity map'!$H:$H, "=TRUE") = 0, "n/a", MINIFS('Activity map'!$M:$M, 'Activity map'!$A:$A, A5, 'Activity map'!$H:$H, "=TRUE"))</f>
        <v>1</v>
      </c>
      <c r="J5" s="8">
        <f t="shared" si="3"/>
        <v>0.003846153846</v>
      </c>
      <c r="K5" s="26" t="str">
        <f>IF(MINIFS('Activity map'!$L:$L, 'Activity map'!$A:$A, A5, 'Activity map'!$H:$H, "=TRUE") = 0, "n/a", MINIFS('Activity map'!$L:$L, 'Activity map'!$A:$A, A5, 'Activity map'!$H:$H, "=TRUE"))</f>
        <v>n/a</v>
      </c>
      <c r="L5" s="8" t="str">
        <f t="shared" si="4"/>
        <v/>
      </c>
      <c r="M5" s="26">
        <f>MINIFS('Activity map'!$C:$C, 'Activity map'!$A:$A, $A5, 'Activity map'!$H:$H, "=TRUE", 'Activity map'!$K:$K, MINIFS('Activity map'!$K:$K, 'Activity map'!$A:$A, $A5, 'Activity map'!$H:$H, "=TRUE"))</f>
        <v>21820</v>
      </c>
      <c r="N5" s="26">
        <f>MINIFS('Activity map'!$C:$C, 'Activity map'!$A:$A, $A5, 'Activity map'!$H:$H, "=TRUE", 'Activity map'!$E:$E, $T5)</f>
        <v>21820</v>
      </c>
      <c r="O5" s="37">
        <f t="shared" si="5"/>
        <v>0.0001602564103</v>
      </c>
      <c r="P5" s="30" t="str">
        <f>IF($M5=0, "-", VLOOKUP($M5, 'List of log slots'!$A:$C, 2, FALSE))</f>
        <v>Revenant ether</v>
      </c>
      <c r="Q5" s="31">
        <f>IFERROR(__xludf.DUMMYFUNCTION("IF(ISERROR(FILTER('Activity map'!$C:$C, ('Activity map'!$A:$A=$A5)*('Activity map'!$F:$F=FALSE))), 0, COUNTA(UNIQUE(FILTER('Activity map'!$C:$C, ('Activity map'!$A:$A=$A5)*('Activity map'!$F:$F=FALSE)))))"),14.0)</f>
        <v>14</v>
      </c>
      <c r="R5" s="31">
        <f>IFERROR(__xludf.DUMMYFUNCTION("IF(ISERROR(FILTER('Activity map'!$C:$C, 'Activity map'!$A:$A=$A5)), 0, COUNTA(UNIQUE(FILTER('Activity map'!$C:$C, 'Activity map'!$A:$A=$A5))))"),14.0)</f>
        <v>14</v>
      </c>
      <c r="S5" s="38">
        <f t="shared" si="6"/>
        <v>0</v>
      </c>
      <c r="T5" s="31">
        <f>IFERROR(__xludf.DUMMYFUNCTION("IF(ISERROR(FILTER('Activity map'!$E:$E, ('Activity map'!$A:$A=$A5)*('Activity map'!$F:$F=FALSE))), ""-"", MIN(UNIQUE(FILTER('Activity map'!$E:$E, ('Activity map'!$A:$A=$A5)*('Activity map'!$F:$F=FALSE)))))"),1.0)</f>
        <v>1</v>
      </c>
      <c r="U5" s="30" t="str">
        <f>IF($N5=0, "-", VLOOKUP($N5, 'List of log slots'!$A:$C, 2, FALSE))</f>
        <v>Revenant ether</v>
      </c>
    </row>
    <row r="6">
      <c r="A6" s="26">
        <v>85.0</v>
      </c>
      <c r="B6" s="23" t="str">
        <f>VLOOKUP($A6, 'Completion rates'!$A:$E, 2, FALSE)</f>
        <v>Looting hallowed marks (hallowed sepulchre)</v>
      </c>
      <c r="C6" s="26">
        <f>IF(Notes!$E$27, VLOOKUP($A6, 'Completion rates'!$A:$E, 4, FALSE), VLOOKUP($A6, 'Completion rates'!$A:$E, 3, FALSE))</f>
        <v>160</v>
      </c>
      <c r="D6" s="26">
        <f>VLOOKUP($A6, 'Completion rates'!$A:$E, 5, FALSE)</f>
        <v>0</v>
      </c>
      <c r="E6" s="28">
        <f>IF(SUMIFS('Activity map'!$O:$O, 'Activity map'!$A:$A, A6, 'Activity map'!$H:$H, "=TRUE") = 0, "n/a", 1/SUMIFS('Activity map'!$O:$O, 'Activity map'!$A:$A, A6, 'Activity map'!$H:$H, "=TRUE"))</f>
        <v>30.14666667</v>
      </c>
      <c r="F6" s="26">
        <f t="shared" si="1"/>
        <v>0.1884166667</v>
      </c>
      <c r="G6" s="26">
        <f>IF(MINIFS('Activity map'!$N:$N, 'Activity map'!$A:$A, A6, 'Activity map'!$H:$H, "=TRUE") = 0, "n/a", MINIFS('Activity map'!$N:$N, 'Activity map'!$A:$A, A6, 'Activity map'!$H:$H, "=TRUE"))</f>
        <v>10</v>
      </c>
      <c r="H6" s="26">
        <f t="shared" si="2"/>
        <v>0.0625</v>
      </c>
      <c r="I6" s="26">
        <f>IF(MINIFS('Activity map'!$M:$M, 'Activity map'!$A:$A, A6, 'Activity map'!$H:$H, "=TRUE") = 0, "n/a", MINIFS('Activity map'!$M:$M, 'Activity map'!$A:$A, A6, 'Activity map'!$H:$H, "=TRUE"))</f>
        <v>1</v>
      </c>
      <c r="J6" s="8">
        <f t="shared" si="3"/>
        <v>0.00625</v>
      </c>
      <c r="K6" s="26" t="str">
        <f>IF(MINIFS('Activity map'!$L:$L, 'Activity map'!$A:$A, A6, 'Activity map'!$H:$H, "=TRUE") = 0, "n/a", MINIFS('Activity map'!$L:$L, 'Activity map'!$A:$A, A6, 'Activity map'!$H:$H, "=TRUE"))</f>
        <v>n/a</v>
      </c>
      <c r="L6" s="8" t="str">
        <f t="shared" si="4"/>
        <v/>
      </c>
      <c r="M6" s="26">
        <f>MINIFS('Activity map'!$C:$C, 'Activity map'!$A:$A, $A6, 'Activity map'!$H:$H, "=TRUE", 'Activity map'!$K:$K, MINIFS('Activity map'!$K:$K, 'Activity map'!$A:$A, $A6, 'Activity map'!$H:$H, "=TRUE"))</f>
        <v>24711</v>
      </c>
      <c r="N6" s="26">
        <f>MINIFS('Activity map'!$C:$C, 'Activity map'!$A:$A, $A6, 'Activity map'!$H:$H, "=TRUE", 'Activity map'!$E:$E, $T6)</f>
        <v>24711</v>
      </c>
      <c r="O6" s="39">
        <f t="shared" si="5"/>
        <v>0.0002604166667</v>
      </c>
      <c r="P6" s="30" t="str">
        <f>IF($M6=0, "-", VLOOKUP($M6, 'List of log slots'!$A:$C, 2, FALSE))</f>
        <v>Hallowed mark</v>
      </c>
      <c r="Q6" s="31">
        <f>IFERROR(__xludf.DUMMYFUNCTION("IF(ISERROR(FILTER('Activity map'!$C:$C, ('Activity map'!$A:$A=$A6)*('Activity map'!$F:$F=FALSE))), 0, COUNTA(UNIQUE(FILTER('Activity map'!$C:$C, ('Activity map'!$A:$A=$A6)*('Activity map'!$F:$F=FALSE)))))"),15.0)</f>
        <v>15</v>
      </c>
      <c r="R6" s="31">
        <f>IFERROR(__xludf.DUMMYFUNCTION("IF(ISERROR(FILTER('Activity map'!$C:$C, 'Activity map'!$A:$A=$A6)), 0, COUNTA(UNIQUE(FILTER('Activity map'!$C:$C, 'Activity map'!$A:$A=$A6))))"),15.0)</f>
        <v>15</v>
      </c>
      <c r="S6" s="40">
        <f t="shared" si="6"/>
        <v>0</v>
      </c>
      <c r="T6" s="31">
        <f>IFERROR(__xludf.DUMMYFUNCTION("IF(ISERROR(FILTER('Activity map'!$E:$E, ('Activity map'!$A:$A=$A6)*('Activity map'!$F:$F=FALSE))), ""-"", MIN(UNIQUE(FILTER('Activity map'!$E:$E, ('Activity map'!$A:$A=$A6)*('Activity map'!$F:$F=FALSE)))))"),4.0)</f>
        <v>4</v>
      </c>
      <c r="U6" s="30" t="str">
        <f>IF($N6=0, "-", VLOOKUP($N6, 'List of log slots'!$A:$C, 2, FALSE))</f>
        <v>Hallowed mark</v>
      </c>
    </row>
    <row r="7">
      <c r="A7" s="26">
        <v>81.0</v>
      </c>
      <c r="B7" s="23" t="str">
        <f>VLOOKUP($A7, 'Completion rates'!$A:$E, 2, FALSE)</f>
        <v>Earning giants' foundry reputation</v>
      </c>
      <c r="C7" s="26">
        <f>IF(Notes!$E$27, VLOOKUP($A7, 'Completion rates'!$A:$E, 4, FALSE), VLOOKUP($A7, 'Completion rates'!$A:$E, 3, FALSE))</f>
        <v>2000</v>
      </c>
      <c r="D7" s="26">
        <f>VLOOKUP($A7, 'Completion rates'!$A:$E, 5, FALSE)</f>
        <v>0</v>
      </c>
      <c r="E7" s="28" t="str">
        <f>IF(SUMIFS('Activity map'!$O:$O, 'Activity map'!$A:$A, A7, 'Activity map'!$H:$H, "=TRUE") = 0, "n/a", 1/SUMIFS('Activity map'!$O:$O, 'Activity map'!$A:$A, A7, 'Activity map'!$H:$H, "=TRUE"))</f>
        <v>n/a</v>
      </c>
      <c r="F7" s="8" t="str">
        <f t="shared" si="1"/>
        <v/>
      </c>
      <c r="G7" s="26" t="str">
        <f>IF(MINIFS('Activity map'!$N:$N, 'Activity map'!$A:$A, A7, 'Activity map'!$H:$H, "=TRUE") = 0, "n/a", MINIFS('Activity map'!$N:$N, 'Activity map'!$A:$A, A7, 'Activity map'!$H:$H, "=TRUE"))</f>
        <v>n/a</v>
      </c>
      <c r="H7" s="8" t="str">
        <f t="shared" si="2"/>
        <v/>
      </c>
      <c r="I7" s="26" t="str">
        <f>IF(MINIFS('Activity map'!$M:$M, 'Activity map'!$A:$A, A7, 'Activity map'!$H:$H, "=TRUE") = 0, "n/a", MINIFS('Activity map'!$M:$M, 'Activity map'!$A:$A, A7, 'Activity map'!$H:$H, "=TRUE"))</f>
        <v>n/a</v>
      </c>
      <c r="J7" s="8" t="str">
        <f t="shared" si="3"/>
        <v/>
      </c>
      <c r="K7" s="26">
        <f>IF(MINIFS('Activity map'!$L:$L, 'Activity map'!$A:$A, A7, 'Activity map'!$H:$H, "=TRUE") = 0, "n/a", MINIFS('Activity map'!$L:$L, 'Activity map'!$A:$A, A7, 'Activity map'!$H:$H, "=TRUE"))</f>
        <v>15</v>
      </c>
      <c r="L7" s="8">
        <f t="shared" si="4"/>
        <v>0.0075</v>
      </c>
      <c r="M7" s="26">
        <f>MINIFS('Activity map'!$C:$C, 'Activity map'!$A:$A, $A7, 'Activity map'!$H:$H, "=TRUE", 'Activity map'!$K:$K, MINIFS('Activity map'!$K:$K, 'Activity map'!$A:$A, $A7, 'Activity map'!$H:$H, "=TRUE"))</f>
        <v>27017</v>
      </c>
      <c r="N7" s="26">
        <f>MINIFS('Activity map'!$C:$C, 'Activity map'!$A:$A, $A7, 'Activity map'!$H:$H, "=TRUE", 'Activity map'!$E:$E, $T7)</f>
        <v>27014</v>
      </c>
      <c r="O7" s="35">
        <f t="shared" si="5"/>
        <v>0.0003125</v>
      </c>
      <c r="P7" s="30" t="str">
        <f>IF($M7=0, "-", VLOOKUP($M7, 'List of log slots'!$A:$C, 2, FALSE))</f>
        <v>Smithing catalyst</v>
      </c>
      <c r="Q7" s="31">
        <f>IFERROR(__xludf.DUMMYFUNCTION("IF(ISERROR(FILTER('Activity map'!$C:$C, ('Activity map'!$A:$A=$A7)*('Activity map'!$F:$F=FALSE))), 0, COUNTA(UNIQUE(FILTER('Activity map'!$C:$C, ('Activity map'!$A:$A=$A7)*('Activity map'!$F:$F=FALSE)))))"),9.0)</f>
        <v>9</v>
      </c>
      <c r="R7" s="31">
        <f>IFERROR(__xludf.DUMMYFUNCTION("IF(ISERROR(FILTER('Activity map'!$C:$C, 'Activity map'!$A:$A=$A7)), 0, COUNTA(UNIQUE(FILTER('Activity map'!$C:$C, 'Activity map'!$A:$A=$A7))))"),9.0)</f>
        <v>9</v>
      </c>
      <c r="S7" s="36">
        <f t="shared" si="6"/>
        <v>0</v>
      </c>
      <c r="T7" s="31">
        <f>IFERROR(__xludf.DUMMYFUNCTION("IF(ISERROR(FILTER('Activity map'!$E:$E, ('Activity map'!$A:$A=$A7)*('Activity map'!$F:$F=FALSE))), ""-"", MIN(UNIQUE(FILTER('Activity map'!$E:$E, ('Activity map'!$A:$A=$A7)*('Activity map'!$F:$F=FALSE)))))"),1.0)</f>
        <v>1</v>
      </c>
      <c r="U7" s="30" t="str">
        <f>IF($N7=0, "-", VLOOKUP($N7, 'List of log slots'!$A:$C, 2, FALSE))</f>
        <v>Kovac's grog</v>
      </c>
    </row>
    <row r="8">
      <c r="A8" s="26">
        <v>94.0</v>
      </c>
      <c r="B8" s="23" t="str">
        <f>VLOOKUP($A8, 'Completion rates'!$A:$E, 2, FALSE)</f>
        <v>Opening chests with shades of mort'ton keys</v>
      </c>
      <c r="C8" s="26">
        <f>IF(Notes!$E$27, VLOOKUP($A8, 'Completion rates'!$A:$E, 4, FALSE), VLOOKUP($A8, 'Completion rates'!$A:$E, 3, FALSE))</f>
        <v>175</v>
      </c>
      <c r="D8" s="26">
        <f>VLOOKUP($A8, 'Completion rates'!$A:$E, 5, FALSE)</f>
        <v>0</v>
      </c>
      <c r="E8" s="28">
        <f>IF(SUMIFS('Activity map'!$O:$O, 'Activity map'!$A:$A, A8, 'Activity map'!$H:$H, "=TRUE") = 0, "n/a", 1/SUMIFS('Activity map'!$O:$O, 'Activity map'!$A:$A, A8, 'Activity map'!$H:$H, "=TRUE"))</f>
        <v>1.330034636</v>
      </c>
      <c r="F8" s="26">
        <f t="shared" si="1"/>
        <v>0.007600197922</v>
      </c>
      <c r="G8" s="26">
        <f>IF(MINIFS('Activity map'!$N:$N, 'Activity map'!$A:$A, A8, 'Activity map'!$H:$H, "=TRUE") = 0, "n/a", MINIFS('Activity map'!$N:$N, 'Activity map'!$A:$A, A8, 'Activity map'!$H:$H, "=TRUE"))</f>
        <v>60</v>
      </c>
      <c r="H8" s="26">
        <f t="shared" si="2"/>
        <v>0.3428571429</v>
      </c>
      <c r="I8" s="26" t="str">
        <f>IF(MINIFS('Activity map'!$M:$M, 'Activity map'!$A:$A, A8, 'Activity map'!$H:$H, "=TRUE") = 0, "n/a", MINIFS('Activity map'!$M:$M, 'Activity map'!$A:$A, A8, 'Activity map'!$H:$H, "=TRUE"))</f>
        <v>n/a</v>
      </c>
      <c r="J8" s="8" t="str">
        <f t="shared" si="3"/>
        <v/>
      </c>
      <c r="K8" s="26" t="str">
        <f>IF(MINIFS('Activity map'!$L:$L, 'Activity map'!$A:$A, A8, 'Activity map'!$H:$H, "=TRUE") = 0, "n/a", MINIFS('Activity map'!$L:$L, 'Activity map'!$A:$A, A8, 'Activity map'!$H:$H, "=TRUE"))</f>
        <v>n/a</v>
      </c>
      <c r="L8" s="8" t="str">
        <f t="shared" si="4"/>
        <v/>
      </c>
      <c r="M8" s="26">
        <f>MINIFS('Activity map'!$C:$C, 'Activity map'!$A:$A, $A8, 'Activity map'!$H:$H, "=TRUE", 'Activity map'!$K:$K, MINIFS('Activity map'!$K:$K, 'Activity map'!$A:$A, $A8, 'Activity map'!$H:$H, "=TRUE"))</f>
        <v>25630</v>
      </c>
      <c r="N8" s="26">
        <f>MINIFS('Activity map'!$C:$C, 'Activity map'!$A:$A, $A8, 'Activity map'!$H:$H, "=TRUE", 'Activity map'!$E:$E, $T8)</f>
        <v>25442</v>
      </c>
      <c r="O8" s="41">
        <f t="shared" si="5"/>
        <v>0.0003166749134</v>
      </c>
      <c r="P8" s="30" t="str">
        <f>IF($M8=0, "-", VLOOKUP($M8, 'List of log slots'!$A:$C, 2, FALSE))</f>
        <v>Flamtaer bag</v>
      </c>
      <c r="Q8" s="31">
        <f>IFERROR(__xludf.DUMMYFUNCTION("IF(ISERROR(FILTER('Activity map'!$C:$C, ('Activity map'!$A:$A=$A8)*('Activity map'!$F:$F=FALSE))), 0, COUNTA(UNIQUE(FILTER('Activity map'!$C:$C, ('Activity map'!$A:$A=$A8)*('Activity map'!$F:$F=FALSE)))))"),14.0)</f>
        <v>14</v>
      </c>
      <c r="R8" s="31">
        <f>IFERROR(__xludf.DUMMYFUNCTION("IF(ISERROR(FILTER('Activity map'!$C:$C, 'Activity map'!$A:$A=$A8)), 0, COUNTA(UNIQUE(FILTER('Activity map'!$C:$C, 'Activity map'!$A:$A=$A8))))"),14.0)</f>
        <v>14</v>
      </c>
      <c r="S8" s="42">
        <f t="shared" si="6"/>
        <v>0</v>
      </c>
      <c r="T8" s="31">
        <f>IFERROR(__xludf.DUMMYFUNCTION("IF(ISERROR(FILTER('Activity map'!$E:$E, ('Activity map'!$A:$A=$A8)*('Activity map'!$F:$F=FALSE))), ""-"", MIN(UNIQUE(FILTER('Activity map'!$E:$E, ('Activity map'!$A:$A=$A8)*('Activity map'!$F:$F=FALSE)))))"),2.0)</f>
        <v>2</v>
      </c>
      <c r="U8" s="30" t="str">
        <f>IF($N8=0, "-", VLOOKUP($N8, 'List of log slots'!$A:$C, 2, FALSE))</f>
        <v>Bronze locks</v>
      </c>
    </row>
    <row r="9">
      <c r="A9" s="26">
        <v>23.0</v>
      </c>
      <c r="B9" s="23" t="str">
        <f>VLOOKUP($A9, 'Completion rates'!$A:$E, 2, FALSE)</f>
        <v>Killing giant mole</v>
      </c>
      <c r="C9" s="26">
        <f>IF(Notes!$E$27, VLOOKUP($A9, 'Completion rates'!$A:$E, 4, FALSE), VLOOKUP($A9, 'Completion rates'!$A:$E, 3, FALSE))</f>
        <v>125</v>
      </c>
      <c r="D9" s="26">
        <f>VLOOKUP($A9, 'Completion rates'!$A:$E, 5, FALSE)</f>
        <v>0</v>
      </c>
      <c r="E9" s="28">
        <f>IF(SUMIFS('Activity map'!$O:$O, 'Activity map'!$A:$A, A9, 'Activity map'!$H:$H, "=TRUE") = 0, "n/a", 1/SUMIFS('Activity map'!$O:$O, 'Activity map'!$A:$A, A9, 'Activity map'!$H:$H, "=TRUE"))</f>
        <v>307.2001876</v>
      </c>
      <c r="F9" s="26">
        <f t="shared" si="1"/>
        <v>2.457601501</v>
      </c>
      <c r="G9" s="26" t="str">
        <f>IF(MINIFS('Activity map'!$N:$N, 'Activity map'!$A:$A, A9, 'Activity map'!$H:$H, "=TRUE") = 0, "n/a", MINIFS('Activity map'!$N:$N, 'Activity map'!$A:$A, A9, 'Activity map'!$H:$H, "=TRUE"))</f>
        <v>n/a</v>
      </c>
      <c r="H9" s="8" t="str">
        <f t="shared" si="2"/>
        <v/>
      </c>
      <c r="I9" s="26">
        <f>IF(MINIFS('Activity map'!$M:$M, 'Activity map'!$A:$A, A9, 'Activity map'!$H:$H, "=TRUE") = 0, "n/a", MINIFS('Activity map'!$M:$M, 'Activity map'!$A:$A, A9, 'Activity map'!$H:$H, "=TRUE"))</f>
        <v>1</v>
      </c>
      <c r="J9" s="8">
        <f t="shared" si="3"/>
        <v>0.008</v>
      </c>
      <c r="K9" s="26" t="str">
        <f>IF(MINIFS('Activity map'!$L:$L, 'Activity map'!$A:$A, A9, 'Activity map'!$H:$H, "=TRUE") = 0, "n/a", MINIFS('Activity map'!$L:$L, 'Activity map'!$A:$A, A9, 'Activity map'!$H:$H, "=TRUE"))</f>
        <v>n/a</v>
      </c>
      <c r="L9" s="8" t="str">
        <f t="shared" si="4"/>
        <v/>
      </c>
      <c r="M9" s="26">
        <f>MINIFS('Activity map'!$C:$C, 'Activity map'!$A:$A, $A9, 'Activity map'!$H:$H, "=TRUE", 'Activity map'!$K:$K, MINIFS('Activity map'!$K:$K, 'Activity map'!$A:$A, $A9, 'Activity map'!$H:$H, "=TRUE"))</f>
        <v>7416</v>
      </c>
      <c r="N9" s="26">
        <f>MINIFS('Activity map'!$C:$C, 'Activity map'!$A:$A, $A9, 'Activity map'!$H:$H, "=TRUE", 'Activity map'!$E:$E, $T9)</f>
        <v>7416</v>
      </c>
      <c r="O9" s="43">
        <f t="shared" si="5"/>
        <v>0.0003333333333</v>
      </c>
      <c r="P9" s="30" t="str">
        <f>IF($M9=0, "-", VLOOKUP($M9, 'List of log slots'!$A:$C, 2, FALSE))</f>
        <v>Mole claw</v>
      </c>
      <c r="Q9" s="31">
        <f>IFERROR(__xludf.DUMMYFUNCTION("IF(ISERROR(FILTER('Activity map'!$C:$C, ('Activity map'!$A:$A=$A9)*('Activity map'!$F:$F=FALSE))), 0, COUNTA(UNIQUE(FILTER('Activity map'!$C:$C, ('Activity map'!$A:$A=$A9)*('Activity map'!$F:$F=FALSE)))))"),7.0)</f>
        <v>7</v>
      </c>
      <c r="R9" s="31">
        <f>IFERROR(__xludf.DUMMYFUNCTION("IF(ISERROR(FILTER('Activity map'!$C:$C, 'Activity map'!$A:$A=$A9)), 0, COUNTA(UNIQUE(FILTER('Activity map'!$C:$C, 'Activity map'!$A:$A=$A9))))"),7.0)</f>
        <v>7</v>
      </c>
      <c r="S9" s="34">
        <f t="shared" si="6"/>
        <v>0</v>
      </c>
      <c r="T9" s="31">
        <f>IFERROR(__xludf.DUMMYFUNCTION("IF(ISERROR(FILTER('Activity map'!$E:$E, ('Activity map'!$A:$A=$A9)*('Activity map'!$F:$F=FALSE))), ""-"", MIN(UNIQUE(FILTER('Activity map'!$E:$E, ('Activity map'!$A:$A=$A9)*('Activity map'!$F:$F=FALSE)))))"),3.0)</f>
        <v>3</v>
      </c>
      <c r="U9" s="30" t="str">
        <f>IF($N9=0, "-", VLOOKUP($N9, 'List of log slots'!$A:$C, 2, FALSE))</f>
        <v>Mole claw</v>
      </c>
    </row>
    <row r="10">
      <c r="A10" s="26">
        <v>137.0</v>
      </c>
      <c r="B10" s="23" t="str">
        <f>VLOOKUP($A10, 'Completion rates'!$A:$E, 2, FALSE)</f>
        <v>Killing revenants (demon cyclops quads, skulled, skipping for task)</v>
      </c>
      <c r="C10" s="26">
        <f>IF(Notes!$E$27, VLOOKUP($A10, 'Completion rates'!$A:$E, 4, FALSE), VLOOKUP($A10, 'Completion rates'!$A:$E, 3, FALSE))</f>
        <v>107</v>
      </c>
      <c r="D10" s="26">
        <f>VLOOKUP($A10, 'Completion rates'!$A:$E, 5, FALSE)</f>
        <v>0</v>
      </c>
      <c r="E10" s="28">
        <f>IF(SUMIFS('Activity map'!$O:$O, 'Activity map'!$A:$A, A10, 'Activity map'!$H:$H, "=TRUE") = 0, "n/a", 1/SUMIFS('Activity map'!$O:$O, 'Activity map'!$A:$A, A10, 'Activity map'!$H:$H, "=TRUE"))</f>
        <v>7.645060138</v>
      </c>
      <c r="F10" s="26">
        <f t="shared" si="1"/>
        <v>0.07144916017</v>
      </c>
      <c r="G10" s="26" t="str">
        <f>IF(MINIFS('Activity map'!$N:$N, 'Activity map'!$A:$A, A10, 'Activity map'!$H:$H, "=TRUE") = 0, "n/a", MINIFS('Activity map'!$N:$N, 'Activity map'!$A:$A, A10, 'Activity map'!$H:$H, "=TRUE"))</f>
        <v>n/a</v>
      </c>
      <c r="H10" s="8" t="str">
        <f t="shared" si="2"/>
        <v/>
      </c>
      <c r="I10" s="26">
        <f>IF(MINIFS('Activity map'!$M:$M, 'Activity map'!$A:$A, A10, 'Activity map'!$H:$H, "=TRUE") = 0, "n/a", MINIFS('Activity map'!$M:$M, 'Activity map'!$A:$A, A10, 'Activity map'!$H:$H, "=TRUE"))</f>
        <v>1</v>
      </c>
      <c r="J10" s="8">
        <f t="shared" si="3"/>
        <v>0.009345794393</v>
      </c>
      <c r="K10" s="26" t="str">
        <f>IF(MINIFS('Activity map'!$L:$L, 'Activity map'!$A:$A, A10, 'Activity map'!$H:$H, "=TRUE") = 0, "n/a", MINIFS('Activity map'!$L:$L, 'Activity map'!$A:$A, A10, 'Activity map'!$H:$H, "=TRUE"))</f>
        <v>n/a</v>
      </c>
      <c r="L10" s="8" t="str">
        <f t="shared" si="4"/>
        <v/>
      </c>
      <c r="M10" s="26">
        <f>MINIFS('Activity map'!$C:$C, 'Activity map'!$A:$A, $A10, 'Activity map'!$H:$H, "=TRUE", 'Activity map'!$K:$K, MINIFS('Activity map'!$K:$K, 'Activity map'!$A:$A, $A10, 'Activity map'!$H:$H, "=TRUE"))</f>
        <v>21820</v>
      </c>
      <c r="N10" s="26">
        <f>MINIFS('Activity map'!$C:$C, 'Activity map'!$A:$A, $A10, 'Activity map'!$H:$H, "=TRUE", 'Activity map'!$E:$E, $T10)</f>
        <v>21820</v>
      </c>
      <c r="O10" s="44">
        <f t="shared" si="5"/>
        <v>0.0003894080997</v>
      </c>
      <c r="P10" s="30" t="str">
        <f>IF($M10=0, "-", VLOOKUP($M10, 'List of log slots'!$A:$C, 2, FALSE))</f>
        <v>Revenant ether</v>
      </c>
      <c r="Q10" s="31">
        <f>IFERROR(__xludf.DUMMYFUNCTION("IF(ISERROR(FILTER('Activity map'!$C:$C, ('Activity map'!$A:$A=$A10)*('Activity map'!$F:$F=FALSE))), 0, COUNTA(UNIQUE(FILTER('Activity map'!$C:$C, ('Activity map'!$A:$A=$A10)*('Activity map'!$F:$F=FALSE)))))"),14.0)</f>
        <v>14</v>
      </c>
      <c r="R10" s="31">
        <f>IFERROR(__xludf.DUMMYFUNCTION("IF(ISERROR(FILTER('Activity map'!$C:$C, 'Activity map'!$A:$A=$A10)), 0, COUNTA(UNIQUE(FILTER('Activity map'!$C:$C, 'Activity map'!$A:$A=$A10))))"),14.0)</f>
        <v>14</v>
      </c>
      <c r="S10" s="38">
        <f t="shared" si="6"/>
        <v>0</v>
      </c>
      <c r="T10" s="31">
        <f>IFERROR(__xludf.DUMMYFUNCTION("IF(ISERROR(FILTER('Activity map'!$E:$E, ('Activity map'!$A:$A=$A10)*('Activity map'!$F:$F=FALSE))), ""-"", MIN(UNIQUE(FILTER('Activity map'!$E:$E, ('Activity map'!$A:$A=$A10)*('Activity map'!$F:$F=FALSE)))))"),1.0)</f>
        <v>1</v>
      </c>
      <c r="U10" s="30" t="str">
        <f>IF($N10=0, "-", VLOOKUP($N10, 'List of log slots'!$A:$C, 2, FALSE))</f>
        <v>Revenant ether</v>
      </c>
    </row>
    <row r="11">
      <c r="A11" s="26">
        <v>47.0</v>
      </c>
      <c r="B11" s="23" t="str">
        <f>VLOOKUP($A11, 'Completion rates'!$A:$E, 2, FALSE)</f>
        <v>Killing shellbane gryphon (on task)</v>
      </c>
      <c r="C11" s="26">
        <f>IF(Notes!$E$27, VLOOKUP($A11, 'Completion rates'!$A:$E, 4, FALSE), VLOOKUP($A11, 'Completion rates'!$A:$E, 3, FALSE))</f>
        <v>100</v>
      </c>
      <c r="D11" s="26">
        <f>VLOOKUP($A11, 'Completion rates'!$A:$E, 5, FALSE)</f>
        <v>0</v>
      </c>
      <c r="E11" s="28">
        <f>IF(SUMIFS('Activity map'!$O:$O, 'Activity map'!$A:$A, A11, 'Activity map'!$H:$H, "=TRUE") = 0, "n/a", 1/SUMIFS('Activity map'!$O:$O, 'Activity map'!$A:$A, A11, 'Activity map'!$H:$H, "=TRUE"))</f>
        <v>165.6684441</v>
      </c>
      <c r="F11" s="26">
        <f t="shared" si="1"/>
        <v>1.656684441</v>
      </c>
      <c r="G11" s="26" t="str">
        <f>IF(MINIFS('Activity map'!$N:$N, 'Activity map'!$A:$A, A11, 'Activity map'!$H:$H, "=TRUE") = 0, "n/a", MINIFS('Activity map'!$N:$N, 'Activity map'!$A:$A, A11, 'Activity map'!$H:$H, "=TRUE"))</f>
        <v>n/a</v>
      </c>
      <c r="H11" s="8" t="str">
        <f t="shared" si="2"/>
        <v/>
      </c>
      <c r="I11" s="26">
        <f>IF(MINIFS('Activity map'!$M:$M, 'Activity map'!$A:$A, A11, 'Activity map'!$H:$H, "=TRUE") = 0, "n/a", MINIFS('Activity map'!$M:$M, 'Activity map'!$A:$A, A11, 'Activity map'!$H:$H, "=TRUE"))</f>
        <v>1</v>
      </c>
      <c r="J11" s="8">
        <f t="shared" si="3"/>
        <v>0.01</v>
      </c>
      <c r="K11" s="26" t="str">
        <f>IF(MINIFS('Activity map'!$L:$L, 'Activity map'!$A:$A, A11, 'Activity map'!$H:$H, "=TRUE") = 0, "n/a", MINIFS('Activity map'!$L:$L, 'Activity map'!$A:$A, A11, 'Activity map'!$H:$H, "=TRUE"))</f>
        <v>n/a</v>
      </c>
      <c r="L11" s="8" t="str">
        <f t="shared" si="4"/>
        <v/>
      </c>
      <c r="M11" s="26">
        <f>MINIFS('Activity map'!$C:$C, 'Activity map'!$A:$A, $A11, 'Activity map'!$H:$H, "=TRUE", 'Activity map'!$K:$K, MINIFS('Activity map'!$K:$K, 'Activity map'!$A:$A, $A11, 'Activity map'!$H:$H, "=TRUE"))</f>
        <v>31235</v>
      </c>
      <c r="N11" s="26">
        <f>MINIFS('Activity map'!$C:$C, 'Activity map'!$A:$A, $A11, 'Activity map'!$H:$H, "=TRUE", 'Activity map'!$E:$E, $T11)</f>
        <v>10976</v>
      </c>
      <c r="O11" s="45">
        <f t="shared" si="5"/>
        <v>0.0004166666667</v>
      </c>
      <c r="P11" s="30" t="str">
        <f>IF($M11=0, "-", VLOOKUP($M11, 'List of log slots'!$A:$C, 2, FALSE))</f>
        <v>Gryphon feather</v>
      </c>
      <c r="Q11" s="31">
        <f>IFERROR(__xludf.DUMMYFUNCTION("IF(ISERROR(FILTER('Activity map'!$C:$C, ('Activity map'!$A:$A=$A11)*('Activity map'!$F:$F=FALSE))), 0, COUNTA(UNIQUE(FILTER('Activity map'!$C:$C, ('Activity map'!$A:$A=$A11)*('Activity map'!$F:$F=FALSE)))))"),8.0)</f>
        <v>8</v>
      </c>
      <c r="R11" s="31">
        <f>IFERROR(__xludf.DUMMYFUNCTION("IF(ISERROR(FILTER('Activity map'!$C:$C, 'Activity map'!$A:$A=$A11)), 0, COUNTA(UNIQUE(FILTER('Activity map'!$C:$C, 'Activity map'!$A:$A=$A11))))"),8.0)</f>
        <v>8</v>
      </c>
      <c r="S11" s="46">
        <f t="shared" si="6"/>
        <v>0</v>
      </c>
      <c r="T11" s="31">
        <f>IFERROR(__xludf.DUMMYFUNCTION("IF(ISERROR(FILTER('Activity map'!$E:$E, ('Activity map'!$A:$A=$A11)*('Activity map'!$F:$F=FALSE))), ""-"", MIN(UNIQUE(FILTER('Activity map'!$E:$E, ('Activity map'!$A:$A=$A11)*('Activity map'!$F:$F=FALSE)))))"),3.0)</f>
        <v>3</v>
      </c>
      <c r="U11" s="30" t="str">
        <f>IF($N11=0, "-", VLOOKUP($N11, 'List of log slots'!$A:$C, 2, FALSE))</f>
        <v>Long bone</v>
      </c>
    </row>
    <row r="12">
      <c r="A12" s="26">
        <v>154.0</v>
      </c>
      <c r="B12" s="23" t="str">
        <f>VLOOKUP($A12, 'Completion rates'!$A:$E, 2, FALSE)</f>
        <v>Killing soldiers in the shayzien combat ring</v>
      </c>
      <c r="C12" s="26">
        <f>IF(Notes!$E$27, VLOOKUP($A12, 'Completion rates'!$A:$E, 4, FALSE), VLOOKUP($A12, 'Completion rates'!$A:$E, 3, FALSE))</f>
        <v>100</v>
      </c>
      <c r="D12" s="26">
        <f>VLOOKUP($A12, 'Completion rates'!$A:$E, 5, FALSE)</f>
        <v>0</v>
      </c>
      <c r="E12" s="28" t="str">
        <f>IF(SUMIFS('Activity map'!$O:$O, 'Activity map'!$A:$A, A12, 'Activity map'!$H:$H, "=TRUE") = 0, "n/a", 1/SUMIFS('Activity map'!$O:$O, 'Activity map'!$A:$A, A12, 'Activity map'!$H:$H, "=TRUE"))</f>
        <v>n/a</v>
      </c>
      <c r="F12" s="8" t="str">
        <f t="shared" si="1"/>
        <v/>
      </c>
      <c r="G12" s="26" t="str">
        <f>IF(MINIFS('Activity map'!$N:$N, 'Activity map'!$A:$A, A12, 'Activity map'!$H:$H, "=TRUE") = 0, "n/a", MINIFS('Activity map'!$N:$N, 'Activity map'!$A:$A, A12, 'Activity map'!$H:$H, "=TRUE"))</f>
        <v>n/a</v>
      </c>
      <c r="H12" s="8" t="str">
        <f t="shared" si="2"/>
        <v/>
      </c>
      <c r="I12" s="26" t="str">
        <f>IF(MINIFS('Activity map'!$M:$M, 'Activity map'!$A:$A, A12, 'Activity map'!$H:$H, "=TRUE") = 0, "n/a", MINIFS('Activity map'!$M:$M, 'Activity map'!$A:$A, A12, 'Activity map'!$H:$H, "=TRUE"))</f>
        <v>n/a</v>
      </c>
      <c r="J12" s="8" t="str">
        <f t="shared" si="3"/>
        <v/>
      </c>
      <c r="K12" s="26">
        <f>IF(MINIFS('Activity map'!$L:$L, 'Activity map'!$A:$A, A12, 'Activity map'!$H:$H, "=TRUE") = 0, "n/a", MINIFS('Activity map'!$L:$L, 'Activity map'!$A:$A, A12, 'Activity map'!$H:$H, "=TRUE"))</f>
        <v>1</v>
      </c>
      <c r="L12" s="8">
        <f t="shared" si="4"/>
        <v>0.01</v>
      </c>
      <c r="M12" s="26">
        <f>MINIFS('Activity map'!$C:$C, 'Activity map'!$A:$A, $A12, 'Activity map'!$H:$H, "=TRUE", 'Activity map'!$K:$K, MINIFS('Activity map'!$K:$K, 'Activity map'!$A:$A, $A12, 'Activity map'!$H:$H, "=TRUE"))</f>
        <v>13357</v>
      </c>
      <c r="N12" s="26">
        <f>MINIFS('Activity map'!$C:$C, 'Activity map'!$A:$A, $A12, 'Activity map'!$H:$H, "=TRUE", 'Activity map'!$E:$E, $T12)</f>
        <v>13357</v>
      </c>
      <c r="O12" s="35">
        <f t="shared" si="5"/>
        <v>0.0004166666667</v>
      </c>
      <c r="P12" s="30" t="str">
        <f>IF($M12=0, "-", VLOOKUP($M12, 'List of log slots'!$A:$C, 2, FALSE))</f>
        <v>Shayzien gloves (1)</v>
      </c>
      <c r="Q12" s="31">
        <f>IFERROR(__xludf.DUMMYFUNCTION("IF(ISERROR(FILTER('Activity map'!$C:$C, ('Activity map'!$A:$A=$A12)*('Activity map'!$F:$F=FALSE))), 0, COUNTA(UNIQUE(FILTER('Activity map'!$C:$C, ('Activity map'!$A:$A=$A12)*('Activity map'!$F:$F=FALSE)))))"),25.0)</f>
        <v>25</v>
      </c>
      <c r="R12" s="31">
        <f>IFERROR(__xludf.DUMMYFUNCTION("IF(ISERROR(FILTER('Activity map'!$C:$C, 'Activity map'!$A:$A=$A12)), 0, COUNTA(UNIQUE(FILTER('Activity map'!$C:$C, 'Activity map'!$A:$A=$A12))))"),25.0)</f>
        <v>25</v>
      </c>
      <c r="S12" s="36">
        <f t="shared" si="6"/>
        <v>0</v>
      </c>
      <c r="T12" s="31">
        <f>IFERROR(__xludf.DUMMYFUNCTION("IF(ISERROR(FILTER('Activity map'!$E:$E, ('Activity map'!$A:$A=$A12)*('Activity map'!$F:$F=FALSE))), ""-"", MIN(UNIQUE(FILTER('Activity map'!$E:$E, ('Activity map'!$A:$A=$A12)*('Activity map'!$F:$F=FALSE)))))"),1.0)</f>
        <v>1</v>
      </c>
      <c r="U12" s="30" t="str">
        <f>IF($N12=0, "-", VLOOKUP($N12, 'List of log slots'!$A:$C, 2, FALSE))</f>
        <v>Shayzien gloves (1)</v>
      </c>
    </row>
    <row r="13">
      <c r="A13" s="26">
        <v>240.0</v>
      </c>
      <c r="B13" s="23" t="str">
        <f>VLOOKUP($A13, 'Completion rates'!$A:$E, 2, FALSE)</f>
        <v>Killing underwater crabs (level 23)</v>
      </c>
      <c r="C13" s="26">
        <f>IF(Notes!$E$27, VLOOKUP($A13, 'Completion rates'!$A:$E, 4, FALSE), VLOOKUP($A13, 'Completion rates'!$A:$E, 3, FALSE))</f>
        <v>400</v>
      </c>
      <c r="D13" s="26">
        <f>VLOOKUP($A13, 'Completion rates'!$A:$E, 5, FALSE)</f>
        <v>0</v>
      </c>
      <c r="E13" s="28">
        <f>IF(SUMIFS('Activity map'!$O:$O, 'Activity map'!$A:$A, A13, 'Activity map'!$H:$H, "=TRUE") = 0, "n/a", 1/SUMIFS('Activity map'!$O:$O, 'Activity map'!$A:$A, A13, 'Activity map'!$H:$H, "=TRUE"))</f>
        <v>4</v>
      </c>
      <c r="F13" s="8">
        <f t="shared" si="1"/>
        <v>0.01</v>
      </c>
      <c r="G13" s="26" t="str">
        <f>IF(MINIFS('Activity map'!$N:$N, 'Activity map'!$A:$A, A13, 'Activity map'!$H:$H, "=TRUE") = 0, "n/a", MINIFS('Activity map'!$N:$N, 'Activity map'!$A:$A, A13, 'Activity map'!$H:$H, "=TRUE"))</f>
        <v>n/a</v>
      </c>
      <c r="H13" s="8" t="str">
        <f t="shared" si="2"/>
        <v/>
      </c>
      <c r="I13" s="26" t="str">
        <f>IF(MINIFS('Activity map'!$M:$M, 'Activity map'!$A:$A, A13, 'Activity map'!$H:$H, "=TRUE") = 0, "n/a", MINIFS('Activity map'!$M:$M, 'Activity map'!$A:$A, A13, 'Activity map'!$H:$H, "=TRUE"))</f>
        <v>n/a</v>
      </c>
      <c r="J13" s="8" t="str">
        <f t="shared" si="3"/>
        <v/>
      </c>
      <c r="K13" s="26" t="str">
        <f>IF(MINIFS('Activity map'!$L:$L, 'Activity map'!$A:$A, A13, 'Activity map'!$H:$H, "=TRUE") = 0, "n/a", MINIFS('Activity map'!$L:$L, 'Activity map'!$A:$A, A13, 'Activity map'!$H:$H, "=TRUE"))</f>
        <v>n/a</v>
      </c>
      <c r="L13" s="8" t="str">
        <f t="shared" si="4"/>
        <v/>
      </c>
      <c r="M13" s="26">
        <f>MINIFS('Activity map'!$C:$C, 'Activity map'!$A:$A, $A13, 'Activity map'!$H:$H, "=TRUE", 'Activity map'!$K:$K, MINIFS('Activity map'!$K:$K, 'Activity map'!$A:$A, $A13, 'Activity map'!$H:$H, "=TRUE"))</f>
        <v>7536</v>
      </c>
      <c r="N13" s="26">
        <f>MINIFS('Activity map'!$C:$C, 'Activity map'!$A:$A, $A13, 'Activity map'!$H:$H, "=TRUE", 'Activity map'!$E:$E, $T13)</f>
        <v>7536</v>
      </c>
      <c r="O13" s="35">
        <f t="shared" si="5"/>
        <v>0.0004166666667</v>
      </c>
      <c r="P13" s="30" t="str">
        <f>IF($M13=0, "-", VLOOKUP($M13, 'List of log slots'!$A:$C, 2, FALSE))</f>
        <v>Fresh crab claw</v>
      </c>
      <c r="Q13" s="31">
        <f>IFERROR(__xludf.DUMMYFUNCTION("IF(ISERROR(FILTER('Activity map'!$C:$C, ('Activity map'!$A:$A=$A13)*('Activity map'!$F:$F=FALSE))), 0, COUNTA(UNIQUE(FILTER('Activity map'!$C:$C, ('Activity map'!$A:$A=$A13)*('Activity map'!$F:$F=FALSE)))))"),2.0)</f>
        <v>2</v>
      </c>
      <c r="R13" s="31">
        <f>IFERROR(__xludf.DUMMYFUNCTION("IF(ISERROR(FILTER('Activity map'!$C:$C, 'Activity map'!$A:$A=$A13)), 0, COUNTA(UNIQUE(FILTER('Activity map'!$C:$C, 'Activity map'!$A:$A=$A13))))"),2.0)</f>
        <v>2</v>
      </c>
      <c r="S13" s="36">
        <f t="shared" si="6"/>
        <v>0</v>
      </c>
      <c r="T13" s="31">
        <f>IFERROR(__xludf.DUMMYFUNCTION("IF(ISERROR(FILTER('Activity map'!$E:$E, ('Activity map'!$A:$A=$A13)*('Activity map'!$F:$F=FALSE))), ""-"", MIN(UNIQUE(FILTER('Activity map'!$E:$E, ('Activity map'!$A:$A=$A13)*('Activity map'!$F:$F=FALSE)))))"),1.0)</f>
        <v>1</v>
      </c>
      <c r="U13" s="30" t="str">
        <f>IF($N13=0, "-", VLOOKUP($N13, 'List of log slots'!$A:$C, 2, FALSE))</f>
        <v>Fresh crab claw</v>
      </c>
    </row>
    <row r="14">
      <c r="A14" s="26">
        <v>25.0</v>
      </c>
      <c r="B14" s="23" t="str">
        <f>VLOOKUP($A14, 'Completion rates'!$A:$E, 2, FALSE)</f>
        <v>Harvesting hespori</v>
      </c>
      <c r="C14" s="26">
        <f>IF(Notes!$E$27, VLOOKUP($A14, 'Completion rates'!$A:$E, 4, FALSE), VLOOKUP($A14, 'Completion rates'!$A:$E, 3, FALSE))</f>
        <v>95</v>
      </c>
      <c r="D14" s="26">
        <f>VLOOKUP($A14, 'Completion rates'!$A:$E, 5, FALSE)</f>
        <v>0</v>
      </c>
      <c r="E14" s="28">
        <f>IF(SUMIFS('Activity map'!$O:$O, 'Activity map'!$A:$A, A14, 'Activity map'!$H:$H, "=TRUE") = 0, "n/a", 1/SUMIFS('Activity map'!$O:$O, 'Activity map'!$A:$A, A14, 'Activity map'!$H:$H, "=TRUE"))</f>
        <v>0.9722222222</v>
      </c>
      <c r="F14" s="8">
        <f t="shared" si="1"/>
        <v>0.01023391813</v>
      </c>
      <c r="G14" s="26" t="str">
        <f>IF(MINIFS('Activity map'!$N:$N, 'Activity map'!$A:$A, A14, 'Activity map'!$H:$H, "=TRUE") = 0, "n/a", MINIFS('Activity map'!$N:$N, 'Activity map'!$A:$A, A14, 'Activity map'!$H:$H, "=TRUE"))</f>
        <v>n/a</v>
      </c>
      <c r="H14" s="8" t="str">
        <f t="shared" si="2"/>
        <v/>
      </c>
      <c r="I14" s="26" t="str">
        <f>IF(MINIFS('Activity map'!$M:$M, 'Activity map'!$A:$A, A14, 'Activity map'!$H:$H, "=TRUE") = 0, "n/a", MINIFS('Activity map'!$M:$M, 'Activity map'!$A:$A, A14, 'Activity map'!$H:$H, "=TRUE"))</f>
        <v>n/a</v>
      </c>
      <c r="J14" s="8" t="str">
        <f t="shared" si="3"/>
        <v/>
      </c>
      <c r="K14" s="26" t="str">
        <f>IF(MINIFS('Activity map'!$L:$L, 'Activity map'!$A:$A, A14, 'Activity map'!$H:$H, "=TRUE") = 0, "n/a", MINIFS('Activity map'!$L:$L, 'Activity map'!$A:$A, A14, 'Activity map'!$H:$H, "=TRUE"))</f>
        <v>n/a</v>
      </c>
      <c r="L14" s="8" t="str">
        <f t="shared" si="4"/>
        <v/>
      </c>
      <c r="M14" s="26">
        <f>MINIFS('Activity map'!$C:$C, 'Activity map'!$A:$A, $A14, 'Activity map'!$H:$H, "=TRUE", 'Activity map'!$K:$K, MINIFS('Activity map'!$K:$K, 'Activity map'!$A:$A, $A14, 'Activity map'!$H:$H, "=TRUE"))</f>
        <v>22881</v>
      </c>
      <c r="N14" s="26">
        <f>MINIFS('Activity map'!$C:$C, 'Activity map'!$A:$A, $A14, 'Activity map'!$H:$H, "=TRUE", 'Activity map'!$E:$E, $T14)</f>
        <v>22881</v>
      </c>
      <c r="O14" s="35">
        <f t="shared" si="5"/>
        <v>0.0004264132554</v>
      </c>
      <c r="P14" s="30" t="str">
        <f>IF($M14=0, "-", VLOOKUP($M14, 'List of log slots'!$A:$C, 2, FALSE))</f>
        <v>Attas seed</v>
      </c>
      <c r="Q14" s="31">
        <f>IFERROR(__xludf.DUMMYFUNCTION("IF(ISERROR(FILTER('Activity map'!$C:$C, ('Activity map'!$A:$A=$A14)*('Activity map'!$F:$F=FALSE))), 0, COUNTA(UNIQUE(FILTER('Activity map'!$C:$C, ('Activity map'!$A:$A=$A14)*('Activity map'!$F:$F=FALSE)))))"),4.0)</f>
        <v>4</v>
      </c>
      <c r="R14" s="31">
        <f>IFERROR(__xludf.DUMMYFUNCTION("IF(ISERROR(FILTER('Activity map'!$C:$C, 'Activity map'!$A:$A=$A14)), 0, COUNTA(UNIQUE(FILTER('Activity map'!$C:$C, 'Activity map'!$A:$A=$A14))))"),4.0)</f>
        <v>4</v>
      </c>
      <c r="S14" s="36">
        <f t="shared" si="6"/>
        <v>0</v>
      </c>
      <c r="T14" s="31">
        <f>IFERROR(__xludf.DUMMYFUNCTION("IF(ISERROR(FILTER('Activity map'!$E:$E, ('Activity map'!$A:$A=$A14)*('Activity map'!$F:$F=FALSE))), ""-"", MIN(UNIQUE(FILTER('Activity map'!$E:$E, ('Activity map'!$A:$A=$A14)*('Activity map'!$F:$F=FALSE)))))"),3.0)</f>
        <v>3</v>
      </c>
      <c r="U14" s="30" t="str">
        <f>IF($N14=0, "-", VLOOKUP($N14, 'List of log slots'!$A:$C, 2, FALSE))</f>
        <v>Attas seed</v>
      </c>
    </row>
    <row r="15">
      <c r="A15" s="26">
        <v>3.0</v>
      </c>
      <c r="B15" s="23" t="str">
        <f>VLOOKUP($A15, 'Completion rates'!$A:$E, 2, FALSE)</f>
        <v>Killing amoxliatl</v>
      </c>
      <c r="C15" s="26">
        <f>IF(Notes!$E$27, VLOOKUP($A15, 'Completion rates'!$A:$E, 4, FALSE), VLOOKUP($A15, 'Completion rates'!$A:$E, 3, FALSE))</f>
        <v>85</v>
      </c>
      <c r="D15" s="26">
        <f>VLOOKUP($A15, 'Completion rates'!$A:$E, 5, FALSE)</f>
        <v>0</v>
      </c>
      <c r="E15" s="28">
        <f>IF(SUMIFS('Activity map'!$O:$O, 'Activity map'!$A:$A, A15, 'Activity map'!$H:$H, "=TRUE") = 0, "n/a", 1/SUMIFS('Activity map'!$O:$O, 'Activity map'!$A:$A, A15, 'Activity map'!$H:$H, "=TRUE"))</f>
        <v>11.78597476</v>
      </c>
      <c r="F15" s="26">
        <f t="shared" si="1"/>
        <v>0.1386585266</v>
      </c>
      <c r="G15" s="26" t="str">
        <f>IF(MINIFS('Activity map'!$N:$N, 'Activity map'!$A:$A, A15, 'Activity map'!$H:$H, "=TRUE") = 0, "n/a", MINIFS('Activity map'!$N:$N, 'Activity map'!$A:$A, A15, 'Activity map'!$H:$H, "=TRUE"))</f>
        <v>n/a</v>
      </c>
      <c r="H15" s="8" t="str">
        <f t="shared" si="2"/>
        <v/>
      </c>
      <c r="I15" s="26">
        <f>IF(MINIFS('Activity map'!$M:$M, 'Activity map'!$A:$A, A15, 'Activity map'!$H:$H, "=TRUE") = 0, "n/a", MINIFS('Activity map'!$M:$M, 'Activity map'!$A:$A, A15, 'Activity map'!$H:$H, "=TRUE"))</f>
        <v>1</v>
      </c>
      <c r="J15" s="8">
        <f t="shared" si="3"/>
        <v>0.01176470588</v>
      </c>
      <c r="K15" s="26" t="str">
        <f>IF(MINIFS('Activity map'!$L:$L, 'Activity map'!$A:$A, A15, 'Activity map'!$H:$H, "=TRUE") = 0, "n/a", MINIFS('Activity map'!$L:$L, 'Activity map'!$A:$A, A15, 'Activity map'!$H:$H, "=TRUE"))</f>
        <v>n/a</v>
      </c>
      <c r="L15" s="8" t="str">
        <f t="shared" si="4"/>
        <v/>
      </c>
      <c r="M15" s="26">
        <f>MINIFS('Activity map'!$C:$C, 'Activity map'!$A:$A, $A15, 'Activity map'!$H:$H, "=TRUE", 'Activity map'!$K:$K, MINIFS('Activity map'!$K:$K, 'Activity map'!$A:$A, $A15, 'Activity map'!$H:$H, "=TRUE"))</f>
        <v>29895</v>
      </c>
      <c r="N15" s="26">
        <f>MINIFS('Activity map'!$C:$C, 'Activity map'!$A:$A, $A15, 'Activity map'!$H:$H, "=TRUE", 'Activity map'!$E:$E, $T15)</f>
        <v>29895</v>
      </c>
      <c r="O15" s="47">
        <f t="shared" si="5"/>
        <v>0.0004901960784</v>
      </c>
      <c r="P15" s="30" t="str">
        <f>IF($M15=0, "-", VLOOKUP($M15, 'List of log slots'!$A:$C, 2, FALSE))</f>
        <v>Frozen tear</v>
      </c>
      <c r="Q15" s="31">
        <f>IFERROR(__xludf.DUMMYFUNCTION("IF(ISERROR(FILTER('Activity map'!$C:$C, ('Activity map'!$A:$A=$A15)*('Activity map'!$F:$F=FALSE))), 0, COUNTA(UNIQUE(FILTER('Activity map'!$C:$C, ('Activity map'!$A:$A=$A15)*('Activity map'!$F:$F=FALSE)))))"),7.0)</f>
        <v>7</v>
      </c>
      <c r="R15" s="31">
        <f>IFERROR(__xludf.DUMMYFUNCTION("IF(ISERROR(FILTER('Activity map'!$C:$C, 'Activity map'!$A:$A=$A15)), 0, COUNTA(UNIQUE(FILTER('Activity map'!$C:$C, 'Activity map'!$A:$A=$A15))))"),7.0)</f>
        <v>7</v>
      </c>
      <c r="S15" s="34">
        <f t="shared" si="6"/>
        <v>0</v>
      </c>
      <c r="T15" s="31">
        <f>IFERROR(__xludf.DUMMYFUNCTION("IF(ISERROR(FILTER('Activity map'!$E:$E, ('Activity map'!$A:$A=$A15)*('Activity map'!$F:$F=FALSE))), ""-"", MIN(UNIQUE(FILTER('Activity map'!$E:$E, ('Activity map'!$A:$A=$A15)*('Activity map'!$F:$F=FALSE)))))"),3.0)</f>
        <v>3</v>
      </c>
      <c r="U15" s="30" t="str">
        <f>IF($N15=0, "-", VLOOKUP($N15, 'List of log slots'!$A:$C, 2, FALSE))</f>
        <v>Frozen tear</v>
      </c>
    </row>
    <row r="16">
      <c r="A16" s="26">
        <v>78.0</v>
      </c>
      <c r="B16" s="23" t="str">
        <f>VLOOKUP($A16, 'Completion rates'!$A:$E, 2, FALSE)</f>
        <v>Getting brimhaven vouchers</v>
      </c>
      <c r="C16" s="26">
        <f>IF(Notes!$E$27, VLOOKUP($A16, 'Completion rates'!$A:$E, 4, FALSE), VLOOKUP($A16, 'Completion rates'!$A:$E, 3, FALSE))</f>
        <v>66</v>
      </c>
      <c r="D16" s="26">
        <f>VLOOKUP($A16, 'Completion rates'!$A:$E, 5, FALSE)</f>
        <v>0</v>
      </c>
      <c r="E16" s="28">
        <f>IF(SUMIFS('Activity map'!$O:$O, 'Activity map'!$A:$A, A16, 'Activity map'!$H:$H, "=TRUE") = 0, "n/a", 1/SUMIFS('Activity map'!$O:$O, 'Activity map'!$A:$A, A16, 'Activity map'!$H:$H, "=TRUE"))</f>
        <v>1</v>
      </c>
      <c r="F16" s="8">
        <f t="shared" si="1"/>
        <v>0.01515151515</v>
      </c>
      <c r="G16" s="26" t="str">
        <f>IF(MINIFS('Activity map'!$N:$N, 'Activity map'!$A:$A, A16, 'Activity map'!$H:$H, "=TRUE") = 0, "n/a", MINIFS('Activity map'!$N:$N, 'Activity map'!$A:$A, A16, 'Activity map'!$H:$H, "=TRUE"))</f>
        <v>n/a</v>
      </c>
      <c r="H16" s="8" t="str">
        <f t="shared" si="2"/>
        <v/>
      </c>
      <c r="I16" s="26">
        <f>IF(MINIFS('Activity map'!$M:$M, 'Activity map'!$A:$A, A16, 'Activity map'!$H:$H, "=TRUE") = 0, "n/a", MINIFS('Activity map'!$M:$M, 'Activity map'!$A:$A, A16, 'Activity map'!$H:$H, "=TRUE"))</f>
        <v>1</v>
      </c>
      <c r="J16" s="26">
        <f t="shared" si="3"/>
        <v>0.01515151515</v>
      </c>
      <c r="K16" s="26">
        <f>IF(MINIFS('Activity map'!$L:$L, 'Activity map'!$A:$A, A16, 'Activity map'!$H:$H, "=TRUE") = 0, "n/a", MINIFS('Activity map'!$L:$L, 'Activity map'!$A:$A, A16, 'Activity map'!$H:$H, "=TRUE"))</f>
        <v>250</v>
      </c>
      <c r="L16" s="26">
        <f t="shared" si="4"/>
        <v>3.787878788</v>
      </c>
      <c r="M16" s="26">
        <f>MINIFS('Activity map'!$C:$C, 'Activity map'!$A:$A, $A16, 'Activity map'!$H:$H, "=TRUE", 'Activity map'!$K:$K, MINIFS('Activity map'!$K:$K, 'Activity map'!$A:$A, $A16, 'Activity map'!$H:$H, "=TRUE"))</f>
        <v>2996</v>
      </c>
      <c r="N16" s="26">
        <f>MINIFS('Activity map'!$C:$C, 'Activity map'!$A:$A, $A16, 'Activity map'!$H:$H, "=TRUE", 'Activity map'!$E:$E, $T16)</f>
        <v>2996</v>
      </c>
      <c r="O16" s="48">
        <f t="shared" si="5"/>
        <v>0.0006313131313</v>
      </c>
      <c r="P16" s="30" t="str">
        <f>IF($M16=0, "-", VLOOKUP($M16, 'List of log slots'!$A:$C, 2, FALSE))</f>
        <v>Agility arena ticket</v>
      </c>
      <c r="Q16" s="31">
        <f>IFERROR(__xludf.DUMMYFUNCTION("IF(ISERROR(FILTER('Activity map'!$C:$C, ('Activity map'!$A:$A=$A16)*('Activity map'!$F:$F=FALSE))), 0, COUNTA(UNIQUE(FILTER('Activity map'!$C:$C, ('Activity map'!$A:$A=$A16)*('Activity map'!$F:$F=FALSE)))))"),9.0)</f>
        <v>9</v>
      </c>
      <c r="R16" s="31">
        <f>IFERROR(__xludf.DUMMYFUNCTION("IF(ISERROR(FILTER('Activity map'!$C:$C, 'Activity map'!$A:$A=$A16)), 0, COUNTA(UNIQUE(FILTER('Activity map'!$C:$C, 'Activity map'!$A:$A=$A16))))"),9.0)</f>
        <v>9</v>
      </c>
      <c r="S16" s="49">
        <f t="shared" si="6"/>
        <v>0</v>
      </c>
      <c r="T16" s="31">
        <f>IFERROR(__xludf.DUMMYFUNCTION("IF(ISERROR(FILTER('Activity map'!$E:$E, ('Activity map'!$A:$A=$A16)*('Activity map'!$F:$F=FALSE))), ""-"", MIN(UNIQUE(FILTER('Activity map'!$E:$E, ('Activity map'!$A:$A=$A16)*('Activity map'!$F:$F=FALSE)))))"),1.0)</f>
        <v>1</v>
      </c>
      <c r="U16" s="30" t="str">
        <f>IF($N16=0, "-", VLOOKUP($N16, 'List of log slots'!$A:$C, 2, FALSE))</f>
        <v>Agility arena ticket</v>
      </c>
    </row>
    <row r="17">
      <c r="A17" s="26">
        <v>42.0</v>
      </c>
      <c r="B17" s="23" t="str">
        <f>VLOOKUP($A17, 'Completion rates'!$A:$E, 2, FALSE)</f>
        <v>Looting branda, the fire queen (royal titans)</v>
      </c>
      <c r="C17" s="26">
        <f>IF(Notes!$E$27, VLOOKUP($A17, 'Completion rates'!$A:$E, 4, FALSE), VLOOKUP($A17, 'Completion rates'!$A:$E, 3, FALSE))</f>
        <v>60</v>
      </c>
      <c r="D17" s="26">
        <f>VLOOKUP($A17, 'Completion rates'!$A:$E, 5, FALSE)</f>
        <v>0</v>
      </c>
      <c r="E17" s="28">
        <f>IF(SUMIFS('Activity map'!$O:$O, 'Activity map'!$A:$A, A17, 'Activity map'!$H:$H, "=TRUE") = 0, "n/a", 1/SUMIFS('Activity map'!$O:$O, 'Activity map'!$A:$A, A17, 'Activity map'!$H:$H, "=TRUE"))</f>
        <v>5.785920926</v>
      </c>
      <c r="F17" s="26">
        <f t="shared" si="1"/>
        <v>0.09643201543</v>
      </c>
      <c r="G17" s="26">
        <f>IF(MINIFS('Activity map'!$N:$N, 'Activity map'!$A:$A, A17, 'Activity map'!$H:$H, "=TRUE") = 0, "n/a", MINIFS('Activity map'!$N:$N, 'Activity map'!$A:$A, A17, 'Activity map'!$H:$H, "=TRUE"))</f>
        <v>1500</v>
      </c>
      <c r="H17" s="26">
        <f t="shared" si="2"/>
        <v>25</v>
      </c>
      <c r="I17" s="26" t="str">
        <f>IF(MINIFS('Activity map'!$M:$M, 'Activity map'!$A:$A, A17, 'Activity map'!$H:$H, "=TRUE") = 0, "n/a", MINIFS('Activity map'!$M:$M, 'Activity map'!$A:$A, A17, 'Activity map'!$H:$H, "=TRUE"))</f>
        <v>n/a</v>
      </c>
      <c r="J17" s="8" t="str">
        <f t="shared" si="3"/>
        <v/>
      </c>
      <c r="K17" s="26">
        <f>IF(MINIFS('Activity map'!$L:$L, 'Activity map'!$A:$A, A17, 'Activity map'!$H:$H, "=TRUE") = 0, "n/a", MINIFS('Activity map'!$L:$L, 'Activity map'!$A:$A, A17, 'Activity map'!$H:$H, "=TRUE"))</f>
        <v>1</v>
      </c>
      <c r="L17" s="8">
        <f t="shared" si="4"/>
        <v>0.01666666667</v>
      </c>
      <c r="M17" s="26">
        <f>MINIFS('Activity map'!$C:$C, 'Activity map'!$A:$A, $A17, 'Activity map'!$H:$H, "=TRUE", 'Activity map'!$K:$K, MINIFS('Activity map'!$K:$K, 'Activity map'!$A:$A, $A17, 'Activity map'!$H:$H, "=TRUE"))</f>
        <v>30640</v>
      </c>
      <c r="N17" s="26">
        <f>MINIFS('Activity map'!$C:$C, 'Activity map'!$A:$A, $A17, 'Activity map'!$H:$H, "=TRUE", 'Activity map'!$E:$E, $T17)</f>
        <v>30637</v>
      </c>
      <c r="O17" s="50">
        <f t="shared" si="5"/>
        <v>0.0006944444444</v>
      </c>
      <c r="P17" s="30" t="str">
        <f>IF($M17=0, "-", VLOOKUP($M17, 'List of log slots'!$A:$C, 2, FALSE))</f>
        <v>Desiccated page</v>
      </c>
      <c r="Q17" s="31">
        <f>IFERROR(__xludf.DUMMYFUNCTION("IF(ISERROR(FILTER('Activity map'!$C:$C, ('Activity map'!$A:$A=$A17)*('Activity map'!$F:$F=FALSE))), 0, COUNTA(UNIQUE(FILTER('Activity map'!$C:$C, ('Activity map'!$A:$A=$A17)*('Activity map'!$F:$F=FALSE)))))"),5.0)</f>
        <v>5</v>
      </c>
      <c r="R17" s="31">
        <f>IFERROR(__xludf.DUMMYFUNCTION("IF(ISERROR(FILTER('Activity map'!$C:$C, 'Activity map'!$A:$A=$A17)), 0, COUNTA(UNIQUE(FILTER('Activity map'!$C:$C, 'Activity map'!$A:$A=$A17))))"),5.0)</f>
        <v>5</v>
      </c>
      <c r="S17" s="51">
        <f t="shared" si="6"/>
        <v>0</v>
      </c>
      <c r="T17" s="31">
        <f>IFERROR(__xludf.DUMMYFUNCTION("IF(ISERROR(FILTER('Activity map'!$E:$E, ('Activity map'!$A:$A=$A17)*('Activity map'!$F:$F=FALSE))), ""-"", MIN(UNIQUE(FILTER('Activity map'!$E:$E, ('Activity map'!$A:$A=$A17)*('Activity map'!$F:$F=FALSE)))))"),3.0)</f>
        <v>3</v>
      </c>
      <c r="U17" s="30" t="str">
        <f>IF($N17=0, "-", VLOOKUP($N17, 'List of log slots'!$A:$C, 2, FALSE))</f>
        <v>Giantsoul amulet (uncharged)</v>
      </c>
    </row>
    <row r="18">
      <c r="A18" s="26">
        <v>43.0</v>
      </c>
      <c r="B18" s="23" t="str">
        <f>VLOOKUP($A18, 'Completion rates'!$A:$E, 2, FALSE)</f>
        <v>Looting eldric, the ice king (royal titans)</v>
      </c>
      <c r="C18" s="26">
        <f>IF(Notes!$E$27, VLOOKUP($A18, 'Completion rates'!$A:$E, 4, FALSE), VLOOKUP($A18, 'Completion rates'!$A:$E, 3, FALSE))</f>
        <v>60</v>
      </c>
      <c r="D18" s="26">
        <f>VLOOKUP($A18, 'Completion rates'!$A:$E, 5, FALSE)</f>
        <v>0</v>
      </c>
      <c r="E18" s="28">
        <f>IF(SUMIFS('Activity map'!$O:$O, 'Activity map'!$A:$A, A18, 'Activity map'!$H:$H, "=TRUE") = 0, "n/a", 1/SUMIFS('Activity map'!$O:$O, 'Activity map'!$A:$A, A18, 'Activity map'!$H:$H, "=TRUE"))</f>
        <v>5.785920926</v>
      </c>
      <c r="F18" s="26">
        <f t="shared" si="1"/>
        <v>0.09643201543</v>
      </c>
      <c r="G18" s="26">
        <f>IF(MINIFS('Activity map'!$N:$N, 'Activity map'!$A:$A, A18, 'Activity map'!$H:$H, "=TRUE") = 0, "n/a", MINIFS('Activity map'!$N:$N, 'Activity map'!$A:$A, A18, 'Activity map'!$H:$H, "=TRUE"))</f>
        <v>1500</v>
      </c>
      <c r="H18" s="26">
        <f t="shared" si="2"/>
        <v>25</v>
      </c>
      <c r="I18" s="26" t="str">
        <f>IF(MINIFS('Activity map'!$M:$M, 'Activity map'!$A:$A, A18, 'Activity map'!$H:$H, "=TRUE") = 0, "n/a", MINIFS('Activity map'!$M:$M, 'Activity map'!$A:$A, A18, 'Activity map'!$H:$H, "=TRUE"))</f>
        <v>n/a</v>
      </c>
      <c r="J18" s="8" t="str">
        <f t="shared" si="3"/>
        <v/>
      </c>
      <c r="K18" s="26">
        <f>IF(MINIFS('Activity map'!$L:$L, 'Activity map'!$A:$A, A18, 'Activity map'!$H:$H, "=TRUE") = 0, "n/a", MINIFS('Activity map'!$L:$L, 'Activity map'!$A:$A, A18, 'Activity map'!$H:$H, "=TRUE"))</f>
        <v>1</v>
      </c>
      <c r="L18" s="8">
        <f t="shared" si="4"/>
        <v>0.01666666667</v>
      </c>
      <c r="M18" s="26">
        <f>MINIFS('Activity map'!$C:$C, 'Activity map'!$A:$A, $A18, 'Activity map'!$H:$H, "=TRUE", 'Activity map'!$K:$K, MINIFS('Activity map'!$K:$K, 'Activity map'!$A:$A, $A18, 'Activity map'!$H:$H, "=TRUE"))</f>
        <v>30640</v>
      </c>
      <c r="N18" s="26">
        <f>MINIFS('Activity map'!$C:$C, 'Activity map'!$A:$A, $A18, 'Activity map'!$H:$H, "=TRUE", 'Activity map'!$E:$E, $T18)</f>
        <v>30637</v>
      </c>
      <c r="O18" s="50">
        <f t="shared" si="5"/>
        <v>0.0006944444444</v>
      </c>
      <c r="P18" s="30" t="str">
        <f>IF($M18=0, "-", VLOOKUP($M18, 'List of log slots'!$A:$C, 2, FALSE))</f>
        <v>Desiccated page</v>
      </c>
      <c r="Q18" s="31">
        <f>IFERROR(__xludf.DUMMYFUNCTION("IF(ISERROR(FILTER('Activity map'!$C:$C, ('Activity map'!$A:$A=$A18)*('Activity map'!$F:$F=FALSE))), 0, COUNTA(UNIQUE(FILTER('Activity map'!$C:$C, ('Activity map'!$A:$A=$A18)*('Activity map'!$F:$F=FALSE)))))"),5.0)</f>
        <v>5</v>
      </c>
      <c r="R18" s="31">
        <f>IFERROR(__xludf.DUMMYFUNCTION("IF(ISERROR(FILTER('Activity map'!$C:$C, 'Activity map'!$A:$A=$A18)), 0, COUNTA(UNIQUE(FILTER('Activity map'!$C:$C, 'Activity map'!$A:$A=$A18))))"),5.0)</f>
        <v>5</v>
      </c>
      <c r="S18" s="51">
        <f t="shared" si="6"/>
        <v>0</v>
      </c>
      <c r="T18" s="31">
        <f>IFERROR(__xludf.DUMMYFUNCTION("IF(ISERROR(FILTER('Activity map'!$E:$E, ('Activity map'!$A:$A=$A18)*('Activity map'!$F:$F=FALSE))), ""-"", MIN(UNIQUE(FILTER('Activity map'!$E:$E, ('Activity map'!$A:$A=$A18)*('Activity map'!$F:$F=FALSE)))))"),3.0)</f>
        <v>3</v>
      </c>
      <c r="U18" s="30" t="str">
        <f>IF($N18=0, "-", VLOOKUP($N18, 'List of log slots'!$A:$C, 2, FALSE))</f>
        <v>Giantsoul amulet (uncharged)</v>
      </c>
    </row>
    <row r="19">
      <c r="A19" s="26">
        <v>98.0</v>
      </c>
      <c r="B19" s="23" t="str">
        <f>VLOOKUP($A19, 'Completion rates'!$A:$E, 2, FALSE)</f>
        <v>Earning pieces of eight (trouble brewing)</v>
      </c>
      <c r="C19" s="26">
        <f>IF(Notes!$E$27, VLOOKUP($A19, 'Completion rates'!$A:$E, 4, FALSE), VLOOKUP($A19, 'Completion rates'!$A:$E, 3, FALSE))</f>
        <v>1200</v>
      </c>
      <c r="D19" s="26">
        <f>VLOOKUP($A19, 'Completion rates'!$A:$E, 5, FALSE)</f>
        <v>0</v>
      </c>
      <c r="E19" s="28" t="str">
        <f>IF(SUMIFS('Activity map'!$O:$O, 'Activity map'!$A:$A, A19, 'Activity map'!$H:$H, "=TRUE") = 0, "n/a", 1/SUMIFS('Activity map'!$O:$O, 'Activity map'!$A:$A, A19, 'Activity map'!$H:$H, "=TRUE"))</f>
        <v>n/a</v>
      </c>
      <c r="F19" s="8" t="str">
        <f t="shared" si="1"/>
        <v/>
      </c>
      <c r="G19" s="26" t="str">
        <f>IF(MINIFS('Activity map'!$N:$N, 'Activity map'!$A:$A, A19, 'Activity map'!$H:$H, "=TRUE") = 0, "n/a", MINIFS('Activity map'!$N:$N, 'Activity map'!$A:$A, A19, 'Activity map'!$H:$H, "=TRUE"))</f>
        <v>n/a</v>
      </c>
      <c r="H19" s="8" t="str">
        <f t="shared" si="2"/>
        <v/>
      </c>
      <c r="I19" s="26" t="str">
        <f>IF(MINIFS('Activity map'!$M:$M, 'Activity map'!$A:$A, A19, 'Activity map'!$H:$H, "=TRUE") = 0, "n/a", MINIFS('Activity map'!$M:$M, 'Activity map'!$A:$A, A19, 'Activity map'!$H:$H, "=TRUE"))</f>
        <v>n/a</v>
      </c>
      <c r="J19" s="8" t="str">
        <f t="shared" si="3"/>
        <v/>
      </c>
      <c r="K19" s="26">
        <f>IF(MINIFS('Activity map'!$L:$L, 'Activity map'!$A:$A, A19, 'Activity map'!$H:$H, "=TRUE") = 0, "n/a", MINIFS('Activity map'!$L:$L, 'Activity map'!$A:$A, A19, 'Activity map'!$H:$H, "=TRUE"))</f>
        <v>20</v>
      </c>
      <c r="L19" s="26">
        <f t="shared" si="4"/>
        <v>0.01666666667</v>
      </c>
      <c r="M19" s="26">
        <f>MINIFS('Activity map'!$C:$C, 'Activity map'!$A:$A, $A19, 'Activity map'!$H:$H, "=TRUE", 'Activity map'!$K:$K, MINIFS('Activity map'!$K:$K, 'Activity map'!$A:$A, $A19, 'Activity map'!$H:$H, "=TRUE"))</f>
        <v>8940</v>
      </c>
      <c r="N19" s="26">
        <f>MINIFS('Activity map'!$C:$C, 'Activity map'!$A:$A, $A19, 'Activity map'!$H:$H, "=TRUE", 'Activity map'!$E:$E, $T19)</f>
        <v>8940</v>
      </c>
      <c r="O19" s="52">
        <f t="shared" si="5"/>
        <v>0.0006944444444</v>
      </c>
      <c r="P19" s="30" t="str">
        <f>IF($M19=0, "-", VLOOKUP($M19, 'List of log slots'!$A:$C, 2, FALSE))</f>
        <v>Rum</v>
      </c>
      <c r="Q19" s="31">
        <f>IFERROR(__xludf.DUMMYFUNCTION("IF(ISERROR(FILTER('Activity map'!$C:$C, ('Activity map'!$A:$A=$A19)*('Activity map'!$F:$F=FALSE))), 0, COUNTA(UNIQUE(FILTER('Activity map'!$C:$C, ('Activity map'!$A:$A=$A19)*('Activity map'!$F:$F=FALSE)))))"),30.0)</f>
        <v>30</v>
      </c>
      <c r="R19" s="31">
        <f>IFERROR(__xludf.DUMMYFUNCTION("IF(ISERROR(FILTER('Activity map'!$C:$C, 'Activity map'!$A:$A=$A19)), 0, COUNTA(UNIQUE(FILTER('Activity map'!$C:$C, 'Activity map'!$A:$A=$A19))))"),30.0)</f>
        <v>30</v>
      </c>
      <c r="S19" s="53">
        <f t="shared" si="6"/>
        <v>0</v>
      </c>
      <c r="T19" s="31">
        <f>IFERROR(__xludf.DUMMYFUNCTION("IF(ISERROR(FILTER('Activity map'!$E:$E, ('Activity map'!$A:$A=$A19)*('Activity map'!$F:$F=FALSE))), ""-"", MIN(UNIQUE(FILTER('Activity map'!$E:$E, ('Activity map'!$A:$A=$A19)*('Activity map'!$F:$F=FALSE)))))"),2.0)</f>
        <v>2</v>
      </c>
      <c r="U19" s="30" t="str">
        <f>IF($N19=0, "-", VLOOKUP($N19, 'List of log slots'!$A:$C, 2, FALSE))</f>
        <v>Rum</v>
      </c>
    </row>
    <row r="20">
      <c r="A20" s="26">
        <v>4.0</v>
      </c>
      <c r="B20" s="23" t="str">
        <f>VLOOKUP($A20, 'Completion rates'!$A:$E, 2, FALSE)</f>
        <v>Killing araxxor (on task)</v>
      </c>
      <c r="C20" s="26">
        <f>IF(Notes!$E$27, VLOOKUP($A20, 'Completion rates'!$A:$E, 4, FALSE), VLOOKUP($A20, 'Completion rates'!$A:$E, 3, FALSE))</f>
        <v>45</v>
      </c>
      <c r="D20" s="26">
        <f>VLOOKUP($A20, 'Completion rates'!$A:$E, 5, FALSE)</f>
        <v>0</v>
      </c>
      <c r="E20" s="28">
        <f>IF(SUMIFS('Activity map'!$O:$O, 'Activity map'!$A:$A, A20, 'Activity map'!$H:$H, "=TRUE") = 0, "n/a", 1/SUMIFS('Activity map'!$O:$O, 'Activity map'!$A:$A, A20, 'Activity map'!$H:$H, "=TRUE"))</f>
        <v>0.8277107316</v>
      </c>
      <c r="F20" s="26">
        <f t="shared" si="1"/>
        <v>0.01839357181</v>
      </c>
      <c r="G20" s="26">
        <f>IF(MINIFS('Activity map'!$N:$N, 'Activity map'!$A:$A, A20, 'Activity map'!$H:$H, "=TRUE") = 0, "n/a", MINIFS('Activity map'!$N:$N, 'Activity map'!$A:$A, A20, 'Activity map'!$H:$H, "=TRUE"))</f>
        <v>1500</v>
      </c>
      <c r="H20" s="26">
        <f t="shared" si="2"/>
        <v>33.33333333</v>
      </c>
      <c r="I20" s="26" t="str">
        <f>IF(MINIFS('Activity map'!$M:$M, 'Activity map'!$A:$A, A20, 'Activity map'!$H:$H, "=TRUE") = 0, "n/a", MINIFS('Activity map'!$M:$M, 'Activity map'!$A:$A, A20, 'Activity map'!$H:$H, "=TRUE"))</f>
        <v>n/a</v>
      </c>
      <c r="J20" s="8" t="str">
        <f t="shared" si="3"/>
        <v/>
      </c>
      <c r="K20" s="26" t="str">
        <f>IF(MINIFS('Activity map'!$L:$L, 'Activity map'!$A:$A, A20, 'Activity map'!$H:$H, "=TRUE") = 0, "n/a", MINIFS('Activity map'!$L:$L, 'Activity map'!$A:$A, A20, 'Activity map'!$H:$H, "=TRUE"))</f>
        <v>n/a</v>
      </c>
      <c r="L20" s="8" t="str">
        <f t="shared" si="4"/>
        <v/>
      </c>
      <c r="M20" s="26">
        <f>MINIFS('Activity map'!$C:$C, 'Activity map'!$A:$A, $A20, 'Activity map'!$H:$H, "=TRUE", 'Activity map'!$K:$K, MINIFS('Activity map'!$K:$K, 'Activity map'!$A:$A, $A20, 'Activity map'!$H:$H, "=TRUE"))</f>
        <v>29781</v>
      </c>
      <c r="N20" s="26">
        <f>MINIFS('Activity map'!$C:$C, 'Activity map'!$A:$A, $A20, 'Activity map'!$H:$H, "=TRUE", 'Activity map'!$E:$E, $T20)</f>
        <v>1249</v>
      </c>
      <c r="O20" s="48">
        <f t="shared" si="5"/>
        <v>0.0007663988255</v>
      </c>
      <c r="P20" s="30" t="str">
        <f>IF($M20=0, "-", VLOOKUP($M20, 'List of log slots'!$A:$C, 2, FALSE))</f>
        <v>Coagulated venom</v>
      </c>
      <c r="Q20" s="31">
        <f>IFERROR(__xludf.DUMMYFUNCTION("IF(ISERROR(FILTER('Activity map'!$C:$C, ('Activity map'!$A:$A=$A20)*('Activity map'!$F:$F=FALSE))), 0, COUNTA(UNIQUE(FILTER('Activity map'!$C:$C, ('Activity map'!$A:$A=$A20)*('Activity map'!$F:$F=FALSE)))))"),12.0)</f>
        <v>12</v>
      </c>
      <c r="R20" s="31">
        <f>IFERROR(__xludf.DUMMYFUNCTION("IF(ISERROR(FILTER('Activity map'!$C:$C, 'Activity map'!$A:$A=$A20)), 0, COUNTA(UNIQUE(FILTER('Activity map'!$C:$C, 'Activity map'!$A:$A=$A20))))"),12.0)</f>
        <v>12</v>
      </c>
      <c r="S20" s="32">
        <f t="shared" si="6"/>
        <v>0</v>
      </c>
      <c r="T20" s="31">
        <f>IFERROR(__xludf.DUMMYFUNCTION("IF(ISERROR(FILTER('Activity map'!$E:$E, ('Activity map'!$A:$A=$A20)*('Activity map'!$F:$F=FALSE))), ""-"", MIN(UNIQUE(FILTER('Activity map'!$E:$E, ('Activity map'!$A:$A=$A20)*('Activity map'!$F:$F=FALSE)))))"),5.0)</f>
        <v>5</v>
      </c>
      <c r="U20" s="30" t="str">
        <f>IF($N20=0, "-", VLOOKUP($N20, 'List of log slots'!$A:$C, 2, FALSE))</f>
        <v>Dragon spear</v>
      </c>
    </row>
    <row r="21">
      <c r="A21" s="26">
        <v>100.0</v>
      </c>
      <c r="B21" s="23" t="str">
        <f>VLOOKUP($A21, 'Completion rates'!$A:$E, 2, FALSE)</f>
        <v>Earning volcanic mine reward points</v>
      </c>
      <c r="C21" s="26">
        <f>IF(Notes!$E$27, VLOOKUP($A21, 'Completion rates'!$A:$E, 4, FALSE), VLOOKUP($A21, 'Completion rates'!$A:$E, 3, FALSE))</f>
        <v>10000</v>
      </c>
      <c r="D21" s="26">
        <f>VLOOKUP($A21, 'Completion rates'!$A:$E, 5, FALSE)</f>
        <v>0</v>
      </c>
      <c r="E21" s="28">
        <f>IF(SUMIFS('Activity map'!$O:$O, 'Activity map'!$A:$A, A21, 'Activity map'!$H:$H, "=TRUE") = 0, "n/a", 1/SUMIFS('Activity map'!$O:$O, 'Activity map'!$A:$A, A21, 'Activity map'!$H:$H, "=TRUE"))</f>
        <v>400000</v>
      </c>
      <c r="F21" s="26">
        <f t="shared" si="1"/>
        <v>40</v>
      </c>
      <c r="G21" s="26" t="str">
        <f>IF(MINIFS('Activity map'!$N:$N, 'Activity map'!$A:$A, A21, 'Activity map'!$H:$H, "=TRUE") = 0, "n/a", MINIFS('Activity map'!$N:$N, 'Activity map'!$A:$A, A21, 'Activity map'!$H:$H, "=TRUE"))</f>
        <v>n/a</v>
      </c>
      <c r="H21" s="8" t="str">
        <f t="shared" si="2"/>
        <v/>
      </c>
      <c r="I21" s="26" t="str">
        <f>IF(MINIFS('Activity map'!$M:$M, 'Activity map'!$A:$A, A21, 'Activity map'!$H:$H, "=TRUE") = 0, "n/a", MINIFS('Activity map'!$M:$M, 'Activity map'!$A:$A, A21, 'Activity map'!$H:$H, "=TRUE"))</f>
        <v>n/a</v>
      </c>
      <c r="J21" s="8" t="str">
        <f t="shared" si="3"/>
        <v/>
      </c>
      <c r="K21" s="26">
        <f>IF(MINIFS('Activity map'!$L:$L, 'Activity map'!$A:$A, A21, 'Activity map'!$H:$H, "=TRUE") = 0, "n/a", MINIFS('Activity map'!$L:$L, 'Activity map'!$A:$A, A21, 'Activity map'!$H:$H, "=TRUE"))</f>
        <v>200</v>
      </c>
      <c r="L21" s="26">
        <f t="shared" si="4"/>
        <v>0.02</v>
      </c>
      <c r="M21" s="26">
        <f>MINIFS('Activity map'!$C:$C, 'Activity map'!$A:$A, $A21, 'Activity map'!$H:$H, "=TRUE", 'Activity map'!$K:$K, MINIFS('Activity map'!$K:$K, 'Activity map'!$A:$A, $A21, 'Activity map'!$H:$H, "=TRUE"))</f>
        <v>21541</v>
      </c>
      <c r="N21" s="26">
        <f>MINIFS('Activity map'!$C:$C, 'Activity map'!$A:$A, $A21, 'Activity map'!$H:$H, "=TRUE", 'Activity map'!$E:$E, $T21)</f>
        <v>21541</v>
      </c>
      <c r="O21" s="54">
        <f t="shared" si="5"/>
        <v>0.0008333333333</v>
      </c>
      <c r="P21" s="30" t="str">
        <f>IF($M21=0, "-", VLOOKUP($M21, 'List of log slots'!$A:$C, 2, FALSE))</f>
        <v>Volcanic mine teleport</v>
      </c>
      <c r="Q21" s="31">
        <f>IFERROR(__xludf.DUMMYFUNCTION("IF(ISERROR(FILTER('Activity map'!$C:$C, ('Activity map'!$A:$A=$A21)*('Activity map'!$F:$F=FALSE))), 0, COUNTA(UNIQUE(FILTER('Activity map'!$C:$C, ('Activity map'!$A:$A=$A21)*('Activity map'!$F:$F=FALSE)))))"),4.0)</f>
        <v>4</v>
      </c>
      <c r="R21" s="31">
        <f>IFERROR(__xludf.DUMMYFUNCTION("IF(ISERROR(FILTER('Activity map'!$C:$C, 'Activity map'!$A:$A=$A21)), 0, COUNTA(UNIQUE(FILTER('Activity map'!$C:$C, 'Activity map'!$A:$A=$A21))))"),4.0)</f>
        <v>4</v>
      </c>
      <c r="S21" s="55">
        <f t="shared" si="6"/>
        <v>0</v>
      </c>
      <c r="T21" s="31">
        <f>IFERROR(__xludf.DUMMYFUNCTION("IF(ISERROR(FILTER('Activity map'!$E:$E, ('Activity map'!$A:$A=$A21)*('Activity map'!$F:$F=FALSE))), ""-"", MIN(UNIQUE(FILTER('Activity map'!$E:$E, ('Activity map'!$A:$A=$A21)*('Activity map'!$F:$F=FALSE)))))"),3.0)</f>
        <v>3</v>
      </c>
      <c r="U21" s="30" t="str">
        <f>IF($N21=0, "-", VLOOKUP($N21, 'List of log slots'!$A:$C, 2, FALSE))</f>
        <v>Volcanic mine teleport</v>
      </c>
    </row>
    <row r="22">
      <c r="A22" s="26">
        <v>59.0</v>
      </c>
      <c r="B22" s="23" t="str">
        <f>VLOOKUP($A22, 'Completion rates'!$A:$E, 2, FALSE)</f>
        <v>Killing zulrah</v>
      </c>
      <c r="C22" s="26">
        <f>IF(Notes!$E$27, VLOOKUP($A22, 'Completion rates'!$A:$E, 4, FALSE), VLOOKUP($A22, 'Completion rates'!$A:$E, 3, FALSE))</f>
        <v>44</v>
      </c>
      <c r="D22" s="26">
        <f>VLOOKUP($A22, 'Completion rates'!$A:$E, 5, FALSE)</f>
        <v>0</v>
      </c>
      <c r="E22" s="28">
        <f>IF(SUMIFS('Activity map'!$O:$O, 'Activity map'!$A:$A, A22, 'Activity map'!$H:$H, "=TRUE") = 0, "n/a", 1/SUMIFS('Activity map'!$O:$O, 'Activity map'!$A:$A, A22, 'Activity map'!$H:$H, "=TRUE"))</f>
        <v>9.199544246</v>
      </c>
      <c r="F22" s="26">
        <f t="shared" si="1"/>
        <v>0.209080551</v>
      </c>
      <c r="G22" s="26" t="str">
        <f>IF(MINIFS('Activity map'!$N:$N, 'Activity map'!$A:$A, A22, 'Activity map'!$H:$H, "=TRUE") = 0, "n/a", MINIFS('Activity map'!$N:$N, 'Activity map'!$A:$A, A22, 'Activity map'!$H:$H, "=TRUE"))</f>
        <v>n/a</v>
      </c>
      <c r="H22" s="8" t="str">
        <f t="shared" si="2"/>
        <v/>
      </c>
      <c r="I22" s="26">
        <f>IF(MINIFS('Activity map'!$M:$M, 'Activity map'!$A:$A, A22, 'Activity map'!$H:$H, "=TRUE") = 0, "n/a", MINIFS('Activity map'!$M:$M, 'Activity map'!$A:$A, A22, 'Activity map'!$H:$H, "=TRUE"))</f>
        <v>1</v>
      </c>
      <c r="J22" s="8">
        <f t="shared" si="3"/>
        <v>0.02272727273</v>
      </c>
      <c r="K22" s="26" t="str">
        <f>IF(MINIFS('Activity map'!$L:$L, 'Activity map'!$A:$A, A22, 'Activity map'!$H:$H, "=TRUE") = 0, "n/a", MINIFS('Activity map'!$L:$L, 'Activity map'!$A:$A, A22, 'Activity map'!$H:$H, "=TRUE"))</f>
        <v>n/a</v>
      </c>
      <c r="L22" s="8" t="str">
        <f t="shared" si="4"/>
        <v/>
      </c>
      <c r="M22" s="26">
        <f>MINIFS('Activity map'!$C:$C, 'Activity map'!$A:$A, $A22, 'Activity map'!$H:$H, "=TRUE", 'Activity map'!$K:$K, MINIFS('Activity map'!$K:$K, 'Activity map'!$A:$A, $A22, 'Activity map'!$H:$H, "=TRUE"))</f>
        <v>12934</v>
      </c>
      <c r="N22" s="26">
        <f>MINIFS('Activity map'!$C:$C, 'Activity map'!$A:$A, $A22, 'Activity map'!$H:$H, "=TRUE", 'Activity map'!$E:$E, $T22)</f>
        <v>12934</v>
      </c>
      <c r="O22" s="56">
        <f t="shared" si="5"/>
        <v>0.000946969697</v>
      </c>
      <c r="P22" s="30" t="str">
        <f>IF($M22=0, "-", VLOOKUP($M22, 'List of log slots'!$A:$C, 2, FALSE))</f>
        <v>Zulrah's scales</v>
      </c>
      <c r="Q22" s="31">
        <f>IFERROR(__xludf.DUMMYFUNCTION("IF(ISERROR(FILTER('Activity map'!$C:$C, ('Activity map'!$A:$A=$A22)*('Activity map'!$F:$F=FALSE))), 0, COUNTA(UNIQUE(FILTER('Activity map'!$C:$C, ('Activity map'!$A:$A=$A22)*('Activity map'!$F:$F=FALSE)))))"),10.0)</f>
        <v>10</v>
      </c>
      <c r="R22" s="31">
        <f>IFERROR(__xludf.DUMMYFUNCTION("IF(ISERROR(FILTER('Activity map'!$C:$C, 'Activity map'!$A:$A=$A22)), 0, COUNTA(UNIQUE(FILTER('Activity map'!$C:$C, 'Activity map'!$A:$A=$A22))))"),10.0)</f>
        <v>10</v>
      </c>
      <c r="S22" s="51">
        <f t="shared" si="6"/>
        <v>0</v>
      </c>
      <c r="T22" s="31">
        <f>IFERROR(__xludf.DUMMYFUNCTION("IF(ISERROR(FILTER('Activity map'!$E:$E, ('Activity map'!$A:$A=$A22)*('Activity map'!$F:$F=FALSE))), ""-"", MIN(UNIQUE(FILTER('Activity map'!$E:$E, ('Activity map'!$A:$A=$A22)*('Activity map'!$F:$F=FALSE)))))"),4.0)</f>
        <v>4</v>
      </c>
      <c r="U22" s="30" t="str">
        <f>IF($N22=0, "-", VLOOKUP($N22, 'List of log slots'!$A:$C, 2, FALSE))</f>
        <v>Zulrah's scales</v>
      </c>
    </row>
    <row r="23">
      <c r="A23" s="26">
        <v>75.0</v>
      </c>
      <c r="B23" s="23" t="str">
        <f>VLOOKUP($A23, 'Completion rates'!$A:$E, 2, FALSE)</f>
        <v>Completing tempor tantrum barracuda trials</v>
      </c>
      <c r="C23" s="26">
        <f>IF(Notes!$E$27, VLOOKUP($A23, 'Completion rates'!$A:$E, 4, FALSE), VLOOKUP($A23, 'Completion rates'!$A:$E, 3, FALSE))</f>
        <v>17.5</v>
      </c>
      <c r="D23" s="26">
        <f>VLOOKUP($A23, 'Completion rates'!$A:$E, 5, FALSE)</f>
        <v>0</v>
      </c>
      <c r="E23" s="28">
        <f>IF(SUMIFS('Activity map'!$O:$O, 'Activity map'!$A:$A, A23, 'Activity map'!$H:$H, "=TRUE") = 0, "n/a", 1/SUMIFS('Activity map'!$O:$O, 'Activity map'!$A:$A, A23, 'Activity map'!$H:$H, "=TRUE"))</f>
        <v>226.4150943</v>
      </c>
      <c r="F23" s="26">
        <f t="shared" si="1"/>
        <v>12.93800539</v>
      </c>
      <c r="G23" s="26" t="str">
        <f>IF(MINIFS('Activity map'!$N:$N, 'Activity map'!$A:$A, A23, 'Activity map'!$H:$H, "=TRUE") = 0, "n/a", MINIFS('Activity map'!$N:$N, 'Activity map'!$A:$A, A23, 'Activity map'!$H:$H, "=TRUE"))</f>
        <v>n/a</v>
      </c>
      <c r="H23" s="8" t="str">
        <f t="shared" si="2"/>
        <v/>
      </c>
      <c r="I23" s="26">
        <f>IF(MINIFS('Activity map'!$M:$M, 'Activity map'!$A:$A, A23, 'Activity map'!$H:$H, "=TRUE") = 0, "n/a", MINIFS('Activity map'!$M:$M, 'Activity map'!$A:$A, A23, 'Activity map'!$H:$H, "=TRUE"))</f>
        <v>1</v>
      </c>
      <c r="J23" s="8">
        <f t="shared" si="3"/>
        <v>0.05714285714</v>
      </c>
      <c r="K23" s="26">
        <f>IF(MINIFS('Activity map'!$L:$L, 'Activity map'!$A:$A, A23, 'Activity map'!$H:$H, "=TRUE") = 0, "n/a", MINIFS('Activity map'!$L:$L, 'Activity map'!$A:$A, A23, 'Activity map'!$H:$H, "=TRUE"))</f>
        <v>0.4</v>
      </c>
      <c r="L23" s="8">
        <f t="shared" si="4"/>
        <v>0.02285714286</v>
      </c>
      <c r="M23" s="26">
        <f>MINIFS('Activity map'!$C:$C, 'Activity map'!$A:$A, $A23, 'Activity map'!$H:$H, "=TRUE", 'Activity map'!$K:$K, MINIFS('Activity map'!$K:$K, 'Activity map'!$A:$A, $A23, 'Activity map'!$H:$H, "=TRUE"))</f>
        <v>31732</v>
      </c>
      <c r="N23" s="26">
        <f>MINIFS('Activity map'!$C:$C, 'Activity map'!$A:$A, $A23, 'Activity map'!$H:$H, "=TRUE", 'Activity map'!$E:$E, $T23)</f>
        <v>31732</v>
      </c>
      <c r="O23" s="57">
        <f t="shared" si="5"/>
        <v>0.0009523809524</v>
      </c>
      <c r="P23" s="30" t="str">
        <f>IF($M23=0, "-", VLOOKUP($M23, 'List of log slots'!$A:$C, 2, FALSE))</f>
        <v>Stormy key</v>
      </c>
      <c r="Q23" s="31">
        <f>IFERROR(__xludf.DUMMYFUNCTION("IF(ISERROR(FILTER('Activity map'!$C:$C, ('Activity map'!$A:$A=$A23)*('Activity map'!$F:$F=FALSE))), 0, COUNTA(UNIQUE(FILTER('Activity map'!$C:$C, ('Activity map'!$A:$A=$A23)*('Activity map'!$F:$F=FALSE)))))"),5.0)</f>
        <v>5</v>
      </c>
      <c r="R23" s="31">
        <f>IFERROR(__xludf.DUMMYFUNCTION("IF(ISERROR(FILTER('Activity map'!$C:$C, 'Activity map'!$A:$A=$A23)), 0, COUNTA(UNIQUE(FILTER('Activity map'!$C:$C, 'Activity map'!$A:$A=$A23))))"),5.0)</f>
        <v>5</v>
      </c>
      <c r="S23" s="58">
        <f t="shared" si="6"/>
        <v>0</v>
      </c>
      <c r="T23" s="31">
        <f>IFERROR(__xludf.DUMMYFUNCTION("IF(ISERROR(FILTER('Activity map'!$E:$E, ('Activity map'!$A:$A=$A23)*('Activity map'!$F:$F=FALSE))), ""-"", MIN(UNIQUE(FILTER('Activity map'!$E:$E, ('Activity map'!$A:$A=$A23)*('Activity map'!$F:$F=FALSE)))))"),3.0)</f>
        <v>3</v>
      </c>
      <c r="U23" s="30" t="str">
        <f>IF($N23=0, "-", VLOOKUP($N23, 'List of log slots'!$A:$C, 2, FALSE))</f>
        <v>Stormy key</v>
      </c>
    </row>
    <row r="24">
      <c r="A24" s="26">
        <v>118.0</v>
      </c>
      <c r="B24" s="23" t="str">
        <f>VLOOKUP($A24, 'Completion rates'!$A:$E, 2, FALSE)</f>
        <v>Killing frogeels (creature creation)</v>
      </c>
      <c r="C24" s="26">
        <f>IF(Notes!$E$27, VLOOKUP($A24, 'Completion rates'!$A:$E, 4, FALSE), VLOOKUP($A24, 'Completion rates'!$A:$E, 3, FALSE))</f>
        <v>150</v>
      </c>
      <c r="D24" s="26">
        <f>VLOOKUP($A24, 'Completion rates'!$A:$E, 5, FALSE)</f>
        <v>0</v>
      </c>
      <c r="E24" s="28">
        <f>IF(SUMIFS('Activity map'!$O:$O, 'Activity map'!$A:$A, A24, 'Activity map'!$H:$H, "=TRUE") = 0, "n/a", 1/SUMIFS('Activity map'!$O:$O, 'Activity map'!$A:$A, A24, 'Activity map'!$H:$H, "=TRUE"))</f>
        <v>3.5</v>
      </c>
      <c r="F24" s="8">
        <f t="shared" si="1"/>
        <v>0.02333333333</v>
      </c>
      <c r="G24" s="26" t="str">
        <f>IF(MINIFS('Activity map'!$N:$N, 'Activity map'!$A:$A, A24, 'Activity map'!$H:$H, "=TRUE") = 0, "n/a", MINIFS('Activity map'!$N:$N, 'Activity map'!$A:$A, A24, 'Activity map'!$H:$H, "=TRUE"))</f>
        <v>n/a</v>
      </c>
      <c r="H24" s="8" t="str">
        <f t="shared" si="2"/>
        <v/>
      </c>
      <c r="I24" s="26" t="str">
        <f>IF(MINIFS('Activity map'!$M:$M, 'Activity map'!$A:$A, A24, 'Activity map'!$H:$H, "=TRUE") = 0, "n/a", MINIFS('Activity map'!$M:$M, 'Activity map'!$A:$A, A24, 'Activity map'!$H:$H, "=TRUE"))</f>
        <v>n/a</v>
      </c>
      <c r="J24" s="8" t="str">
        <f t="shared" si="3"/>
        <v/>
      </c>
      <c r="K24" s="26" t="str">
        <f>IF(MINIFS('Activity map'!$L:$L, 'Activity map'!$A:$A, A24, 'Activity map'!$H:$H, "=TRUE") = 0, "n/a", MINIFS('Activity map'!$L:$L, 'Activity map'!$A:$A, A24, 'Activity map'!$H:$H, "=TRUE"))</f>
        <v>n/a</v>
      </c>
      <c r="L24" s="8" t="str">
        <f t="shared" si="4"/>
        <v/>
      </c>
      <c r="M24" s="26">
        <f>MINIFS('Activity map'!$C:$C, 'Activity map'!$A:$A, $A24, 'Activity map'!$H:$H, "=TRUE", 'Activity map'!$K:$K, MINIFS('Activity map'!$K:$K, 'Activity map'!$A:$A, $A24, 'Activity map'!$H:$H, "=TRUE"))</f>
        <v>25617</v>
      </c>
      <c r="N24" s="26">
        <f>MINIFS('Activity map'!$C:$C, 'Activity map'!$A:$A, $A24, 'Activity map'!$H:$H, "=TRUE", 'Activity map'!$E:$E, $T24)</f>
        <v>25617</v>
      </c>
      <c r="O24" s="35">
        <f t="shared" si="5"/>
        <v>0.0009722222222</v>
      </c>
      <c r="P24" s="30" t="str">
        <f>IF($M24=0, "-", VLOOKUP($M24, 'List of log slots'!$A:$C, 2, FALSE))</f>
        <v>Tea flask</v>
      </c>
      <c r="Q24" s="31">
        <f>IFERROR(__xludf.DUMMYFUNCTION("IF(ISERROR(FILTER('Activity map'!$C:$C, ('Activity map'!$A:$A=$A24)*('Activity map'!$F:$F=FALSE))), 0, COUNTA(UNIQUE(FILTER('Activity map'!$C:$C, ('Activity map'!$A:$A=$A24)*('Activity map'!$F:$F=FALSE)))))"),2.0)</f>
        <v>2</v>
      </c>
      <c r="R24" s="31">
        <f>IFERROR(__xludf.DUMMYFUNCTION("IF(ISERROR(FILTER('Activity map'!$C:$C, 'Activity map'!$A:$A=$A24)), 0, COUNTA(UNIQUE(FILTER('Activity map'!$C:$C, 'Activity map'!$A:$A=$A24))))"),2.0)</f>
        <v>2</v>
      </c>
      <c r="S24" s="36">
        <f t="shared" si="6"/>
        <v>0</v>
      </c>
      <c r="T24" s="31">
        <f>IFERROR(__xludf.DUMMYFUNCTION("IF(ISERROR(FILTER('Activity map'!$E:$E, ('Activity map'!$A:$A=$A24)*('Activity map'!$F:$F=FALSE))), ""-"", MIN(UNIQUE(FILTER('Activity map'!$E:$E, ('Activity map'!$A:$A=$A24)*('Activity map'!$F:$F=FALSE)))))"),1.0)</f>
        <v>1</v>
      </c>
      <c r="U24" s="30" t="str">
        <f>IF($N24=0, "-", VLOOKUP($N24, 'List of log slots'!$A:$C, 2, FALSE))</f>
        <v>Tea flask</v>
      </c>
    </row>
    <row r="25">
      <c r="A25" s="26">
        <v>76.0</v>
      </c>
      <c r="B25" s="23" t="str">
        <f>VLOOKUP($A25, 'Completion rates'!$A:$E, 2, FALSE)</f>
        <v>Completing jubbly jive barracuda trials</v>
      </c>
      <c r="C25" s="26">
        <f>IF(Notes!$E$27, VLOOKUP($A25, 'Completion rates'!$A:$E, 4, FALSE), VLOOKUP($A25, 'Completion rates'!$A:$E, 3, FALSE))</f>
        <v>16</v>
      </c>
      <c r="D25" s="26">
        <f>VLOOKUP($A25, 'Completion rates'!$A:$E, 5, FALSE)</f>
        <v>0</v>
      </c>
      <c r="E25" s="28">
        <f>IF(SUMIFS('Activity map'!$O:$O, 'Activity map'!$A:$A, A25, 'Activity map'!$H:$H, "=TRUE") = 0, "n/a", 1/SUMIFS('Activity map'!$O:$O, 'Activity map'!$A:$A, A25, 'Activity map'!$H:$H, "=TRUE"))</f>
        <v>204.361874</v>
      </c>
      <c r="F25" s="26">
        <f t="shared" si="1"/>
        <v>12.77261712</v>
      </c>
      <c r="G25" s="26" t="str">
        <f>IF(MINIFS('Activity map'!$N:$N, 'Activity map'!$A:$A, A25, 'Activity map'!$H:$H, "=TRUE") = 0, "n/a", MINIFS('Activity map'!$N:$N, 'Activity map'!$A:$A, A25, 'Activity map'!$H:$H, "=TRUE"))</f>
        <v>n/a</v>
      </c>
      <c r="H25" s="8" t="str">
        <f t="shared" si="2"/>
        <v/>
      </c>
      <c r="I25" s="26">
        <f>IF(MINIFS('Activity map'!$M:$M, 'Activity map'!$A:$A, A25, 'Activity map'!$H:$H, "=TRUE") = 0, "n/a", MINIFS('Activity map'!$M:$M, 'Activity map'!$A:$A, A25, 'Activity map'!$H:$H, "=TRUE"))</f>
        <v>1</v>
      </c>
      <c r="J25" s="8">
        <f t="shared" si="3"/>
        <v>0.0625</v>
      </c>
      <c r="K25" s="26">
        <f>IF(MINIFS('Activity map'!$L:$L, 'Activity map'!$A:$A, A25, 'Activity map'!$H:$H, "=TRUE") = 0, "n/a", MINIFS('Activity map'!$L:$L, 'Activity map'!$A:$A, A25, 'Activity map'!$H:$H, "=TRUE"))</f>
        <v>0.383</v>
      </c>
      <c r="L25" s="8">
        <f t="shared" si="4"/>
        <v>0.0239375</v>
      </c>
      <c r="M25" s="26">
        <f>MINIFS('Activity map'!$C:$C, 'Activity map'!$A:$A, $A25, 'Activity map'!$H:$H, "=TRUE", 'Activity map'!$K:$K, MINIFS('Activity map'!$K:$K, 'Activity map'!$A:$A, $A25, 'Activity map'!$H:$H, "=TRUE"))</f>
        <v>31744</v>
      </c>
      <c r="N25" s="26">
        <f>MINIFS('Activity map'!$C:$C, 'Activity map'!$A:$A, $A25, 'Activity map'!$H:$H, "=TRUE", 'Activity map'!$E:$E, $T25)</f>
        <v>31744</v>
      </c>
      <c r="O25" s="57">
        <f t="shared" si="5"/>
        <v>0.0009973958333</v>
      </c>
      <c r="P25" s="30" t="str">
        <f>IF($M25=0, "-", VLOOKUP($M25, 'List of log slots'!$A:$C, 2, FALSE))</f>
        <v>Fetid key</v>
      </c>
      <c r="Q25" s="31">
        <f>IFERROR(__xludf.DUMMYFUNCTION("IF(ISERROR(FILTER('Activity map'!$C:$C, ('Activity map'!$A:$A=$A25)*('Activity map'!$F:$F=FALSE))), 0, COUNTA(UNIQUE(FILTER('Activity map'!$C:$C, ('Activity map'!$A:$A=$A25)*('Activity map'!$F:$F=FALSE)))))"),5.0)</f>
        <v>5</v>
      </c>
      <c r="R25" s="31">
        <f>IFERROR(__xludf.DUMMYFUNCTION("IF(ISERROR(FILTER('Activity map'!$C:$C, 'Activity map'!$A:$A=$A25)), 0, COUNTA(UNIQUE(FILTER('Activity map'!$C:$C, 'Activity map'!$A:$A=$A25))))"),5.0)</f>
        <v>5</v>
      </c>
      <c r="S25" s="58">
        <f t="shared" si="6"/>
        <v>0</v>
      </c>
      <c r="T25" s="31">
        <f>IFERROR(__xludf.DUMMYFUNCTION("IF(ISERROR(FILTER('Activity map'!$E:$E, ('Activity map'!$A:$A=$A25)*('Activity map'!$F:$F=FALSE))), ""-"", MIN(UNIQUE(FILTER('Activity map'!$E:$E, ('Activity map'!$A:$A=$A25)*('Activity map'!$F:$F=FALSE)))))"),4.0)</f>
        <v>4</v>
      </c>
      <c r="U25" s="30" t="str">
        <f>IF($N25=0, "-", VLOOKUP($N25, 'List of log slots'!$A:$C, 2, FALSE))</f>
        <v>Fetid key</v>
      </c>
    </row>
    <row r="26">
      <c r="A26" s="26">
        <v>24.0</v>
      </c>
      <c r="B26" s="23" t="str">
        <f>VLOOKUP($A26, 'Completion rates'!$A:$E, 2, FALSE)</f>
        <v>Killing grotesque guardians (on task)</v>
      </c>
      <c r="C26" s="26">
        <f>IF(Notes!$E$27, VLOOKUP($A26, 'Completion rates'!$A:$E, 4, FALSE), VLOOKUP($A26, 'Completion rates'!$A:$E, 3, FALSE))</f>
        <v>37</v>
      </c>
      <c r="D26" s="26">
        <f>VLOOKUP($A26, 'Completion rates'!$A:$E, 5, FALSE)</f>
        <v>0</v>
      </c>
      <c r="E26" s="28">
        <f>IF(SUMIFS('Activity map'!$O:$O, 'Activity map'!$A:$A, A26, 'Activity map'!$H:$H, "=TRUE") = 0, "n/a", 1/SUMIFS('Activity map'!$O:$O, 'Activity map'!$A:$A, A26, 'Activity map'!$H:$H, "=TRUE"))</f>
        <v>27.85058978</v>
      </c>
      <c r="F26" s="26">
        <f t="shared" si="1"/>
        <v>0.7527186426</v>
      </c>
      <c r="G26" s="26" t="str">
        <f>IF(MINIFS('Activity map'!$N:$N, 'Activity map'!$A:$A, A26, 'Activity map'!$H:$H, "=TRUE") = 0, "n/a", MINIFS('Activity map'!$N:$N, 'Activity map'!$A:$A, A26, 'Activity map'!$H:$H, "=TRUE"))</f>
        <v>n/a</v>
      </c>
      <c r="H26" s="8" t="str">
        <f t="shared" si="2"/>
        <v/>
      </c>
      <c r="I26" s="26">
        <f>IF(MINIFS('Activity map'!$M:$M, 'Activity map'!$A:$A, A26, 'Activity map'!$H:$H, "=TRUE") = 0, "n/a", MINIFS('Activity map'!$M:$M, 'Activity map'!$A:$A, A26, 'Activity map'!$H:$H, "=TRUE"))</f>
        <v>1</v>
      </c>
      <c r="J26" s="8">
        <f t="shared" si="3"/>
        <v>0.02702702703</v>
      </c>
      <c r="K26" s="26" t="str">
        <f>IF(MINIFS('Activity map'!$L:$L, 'Activity map'!$A:$A, A26, 'Activity map'!$H:$H, "=TRUE") = 0, "n/a", MINIFS('Activity map'!$L:$L, 'Activity map'!$A:$A, A26, 'Activity map'!$H:$H, "=TRUE"))</f>
        <v>n/a</v>
      </c>
      <c r="L26" s="8" t="str">
        <f t="shared" si="4"/>
        <v/>
      </c>
      <c r="M26" s="26">
        <f>MINIFS('Activity map'!$C:$C, 'Activity map'!$A:$A, $A26, 'Activity map'!$H:$H, "=TRUE", 'Activity map'!$K:$K, MINIFS('Activity map'!$K:$K, 'Activity map'!$A:$A, $A26, 'Activity map'!$H:$H, "=TRUE"))</f>
        <v>21726</v>
      </c>
      <c r="N26" s="26">
        <f>MINIFS('Activity map'!$C:$C, 'Activity map'!$A:$A, $A26, 'Activity map'!$H:$H, "=TRUE", 'Activity map'!$E:$E, $T26)</f>
        <v>4129</v>
      </c>
      <c r="O26" s="59">
        <f t="shared" si="5"/>
        <v>0.001126126126</v>
      </c>
      <c r="P26" s="30" t="str">
        <f>IF($M26=0, "-", VLOOKUP($M26, 'List of log slots'!$A:$C, 2, FALSE))</f>
        <v>Granite dust</v>
      </c>
      <c r="Q26" s="31">
        <f>IFERROR(__xludf.DUMMYFUNCTION("IF(ISERROR(FILTER('Activity map'!$C:$C, ('Activity map'!$A:$A=$A26)*('Activity map'!$F:$F=FALSE))), 0, COUNTA(UNIQUE(FILTER('Activity map'!$C:$C, ('Activity map'!$A:$A=$A26)*('Activity map'!$F:$F=FALSE)))))"),9.0)</f>
        <v>9</v>
      </c>
      <c r="R26" s="31">
        <f>IFERROR(__xludf.DUMMYFUNCTION("IF(ISERROR(FILTER('Activity map'!$C:$C, 'Activity map'!$A:$A=$A26)), 0, COUNTA(UNIQUE(FILTER('Activity map'!$C:$C, 'Activity map'!$A:$A=$A26))))"),9.0)</f>
        <v>9</v>
      </c>
      <c r="S26" s="60">
        <f t="shared" si="6"/>
        <v>0</v>
      </c>
      <c r="T26" s="31">
        <f>IFERROR(__xludf.DUMMYFUNCTION("IF(ISERROR(FILTER('Activity map'!$E:$E, ('Activity map'!$A:$A=$A26)*('Activity map'!$F:$F=FALSE))), ""-"", MIN(UNIQUE(FILTER('Activity map'!$E:$E, ('Activity map'!$A:$A=$A26)*('Activity map'!$F:$F=FALSE)))))"),4.0)</f>
        <v>4</v>
      </c>
      <c r="U26" s="30" t="str">
        <f>IF($N26=0, "-", VLOOKUP($N26, 'List of log slots'!$A:$C, 2, FALSE))</f>
        <v>Adamant boots</v>
      </c>
    </row>
    <row r="27">
      <c r="A27" s="26">
        <v>77.0</v>
      </c>
      <c r="B27" s="23" t="str">
        <f>VLOOKUP($A27, 'Completion rates'!$A:$E, 2, FALSE)</f>
        <v>Completing gwenith glide barracuda trials</v>
      </c>
      <c r="C27" s="26">
        <f>IF(Notes!$E$27, VLOOKUP($A27, 'Completion rates'!$A:$E, 4, FALSE), VLOOKUP($A27, 'Completion rates'!$A:$E, 3, FALSE))</f>
        <v>12</v>
      </c>
      <c r="D27" s="26">
        <f>VLOOKUP($A27, 'Completion rates'!$A:$E, 5, FALSE)</f>
        <v>0</v>
      </c>
      <c r="E27" s="28">
        <f>IF(SUMIFS('Activity map'!$O:$O, 'Activity map'!$A:$A, A27, 'Activity map'!$H:$H, "=TRUE") = 0, "n/a", 1/SUMIFS('Activity map'!$O:$O, 'Activity map'!$A:$A, A27, 'Activity map'!$H:$H, "=TRUE"))</f>
        <v>339.6226415</v>
      </c>
      <c r="F27" s="26">
        <f t="shared" si="1"/>
        <v>28.30188679</v>
      </c>
      <c r="G27" s="26" t="str">
        <f>IF(MINIFS('Activity map'!$N:$N, 'Activity map'!$A:$A, A27, 'Activity map'!$H:$H, "=TRUE") = 0, "n/a", MINIFS('Activity map'!$N:$N, 'Activity map'!$A:$A, A27, 'Activity map'!$H:$H, "=TRUE"))</f>
        <v>n/a</v>
      </c>
      <c r="H27" s="8" t="str">
        <f t="shared" si="2"/>
        <v/>
      </c>
      <c r="I27" s="26">
        <f>IF(MINIFS('Activity map'!$M:$M, 'Activity map'!$A:$A, A27, 'Activity map'!$H:$H, "=TRUE") = 0, "n/a", MINIFS('Activity map'!$M:$M, 'Activity map'!$A:$A, A27, 'Activity map'!$H:$H, "=TRUE"))</f>
        <v>1</v>
      </c>
      <c r="J27" s="8">
        <f t="shared" si="3"/>
        <v>0.08333333333</v>
      </c>
      <c r="K27" s="26">
        <f>IF(MINIFS('Activity map'!$L:$L, 'Activity map'!$A:$A, A27, 'Activity map'!$H:$H, "=TRUE") = 0, "n/a", MINIFS('Activity map'!$L:$L, 'Activity map'!$A:$A, A27, 'Activity map'!$H:$H, "=TRUE"))</f>
        <v>0.325</v>
      </c>
      <c r="L27" s="8">
        <f t="shared" si="4"/>
        <v>0.02708333333</v>
      </c>
      <c r="M27" s="26">
        <f>MINIFS('Activity map'!$C:$C, 'Activity map'!$A:$A, $A27, 'Activity map'!$H:$H, "=TRUE", 'Activity map'!$K:$K, MINIFS('Activity map'!$K:$K, 'Activity map'!$A:$A, $A27, 'Activity map'!$H:$H, "=TRUE"))</f>
        <v>31756</v>
      </c>
      <c r="N27" s="26">
        <f>MINIFS('Activity map'!$C:$C, 'Activity map'!$A:$A, $A27, 'Activity map'!$H:$H, "=TRUE", 'Activity map'!$E:$E, $T27)</f>
        <v>31756</v>
      </c>
      <c r="O27" s="61">
        <f t="shared" si="5"/>
        <v>0.001128472222</v>
      </c>
      <c r="P27" s="30" t="str">
        <f>IF($M27=0, "-", VLOOKUP($M27, 'List of log slots'!$A:$C, 2, FALSE))</f>
        <v>Serrated key</v>
      </c>
      <c r="Q27" s="31">
        <f>IFERROR(__xludf.DUMMYFUNCTION("IF(ISERROR(FILTER('Activity map'!$C:$C, ('Activity map'!$A:$A=$A27)*('Activity map'!$F:$F=FALSE))), 0, COUNTA(UNIQUE(FILTER('Activity map'!$C:$C, ('Activity map'!$A:$A=$A27)*('Activity map'!$F:$F=FALSE)))))"),5.0)</f>
        <v>5</v>
      </c>
      <c r="R27" s="31">
        <f>IFERROR(__xludf.DUMMYFUNCTION("IF(ISERROR(FILTER('Activity map'!$C:$C, 'Activity map'!$A:$A=$A27)), 0, COUNTA(UNIQUE(FILTER('Activity map'!$C:$C, 'Activity map'!$A:$A=$A27))))"),5.0)</f>
        <v>5</v>
      </c>
      <c r="S27" s="58">
        <f t="shared" si="6"/>
        <v>0</v>
      </c>
      <c r="T27" s="31">
        <f>IFERROR(__xludf.DUMMYFUNCTION("IF(ISERROR(FILTER('Activity map'!$E:$E, ('Activity map'!$A:$A=$A27)*('Activity map'!$F:$F=FALSE))), ""-"", MIN(UNIQUE(FILTER('Activity map'!$E:$E, ('Activity map'!$A:$A=$A27)*('Activity map'!$F:$F=FALSE)))))"),5.0)</f>
        <v>5</v>
      </c>
      <c r="U27" s="30" t="str">
        <f>IF($N27=0, "-", VLOOKUP($N27, 'List of log slots'!$A:$C, 2, FALSE))</f>
        <v>Serrated key</v>
      </c>
    </row>
    <row r="28">
      <c r="A28" s="26">
        <v>119.0</v>
      </c>
      <c r="B28" s="23" t="str">
        <f>VLOOKUP($A28, 'Completion rates'!$A:$E, 2, FALSE)</f>
        <v>Killing unicows (creature creation)</v>
      </c>
      <c r="C28" s="26">
        <f>IF(Notes!$E$27, VLOOKUP($A28, 'Completion rates'!$A:$E, 4, FALSE), VLOOKUP($A28, 'Completion rates'!$A:$E, 3, FALSE))</f>
        <v>150</v>
      </c>
      <c r="D28" s="26">
        <f>VLOOKUP($A28, 'Completion rates'!$A:$E, 5, FALSE)</f>
        <v>0</v>
      </c>
      <c r="E28" s="28">
        <f>IF(SUMIFS('Activity map'!$O:$O, 'Activity map'!$A:$A, A28, 'Activity map'!$H:$H, "=TRUE") = 0, "n/a", 1/SUMIFS('Activity map'!$O:$O, 'Activity map'!$A:$A, A28, 'Activity map'!$H:$H, "=TRUE"))</f>
        <v>4.117647059</v>
      </c>
      <c r="F28" s="8">
        <f t="shared" si="1"/>
        <v>0.02745098039</v>
      </c>
      <c r="G28" s="26" t="str">
        <f>IF(MINIFS('Activity map'!$N:$N, 'Activity map'!$A:$A, A28, 'Activity map'!$H:$H, "=TRUE") = 0, "n/a", MINIFS('Activity map'!$N:$N, 'Activity map'!$A:$A, A28, 'Activity map'!$H:$H, "=TRUE"))</f>
        <v>n/a</v>
      </c>
      <c r="H28" s="8" t="str">
        <f t="shared" si="2"/>
        <v/>
      </c>
      <c r="I28" s="26" t="str">
        <f>IF(MINIFS('Activity map'!$M:$M, 'Activity map'!$A:$A, A28, 'Activity map'!$H:$H, "=TRUE") = 0, "n/a", MINIFS('Activity map'!$M:$M, 'Activity map'!$A:$A, A28, 'Activity map'!$H:$H, "=TRUE"))</f>
        <v>n/a</v>
      </c>
      <c r="J28" s="8" t="str">
        <f t="shared" si="3"/>
        <v/>
      </c>
      <c r="K28" s="26" t="str">
        <f>IF(MINIFS('Activity map'!$L:$L, 'Activity map'!$A:$A, A28, 'Activity map'!$H:$H, "=TRUE") = 0, "n/a", MINIFS('Activity map'!$L:$L, 'Activity map'!$A:$A, A28, 'Activity map'!$H:$H, "=TRUE"))</f>
        <v>n/a</v>
      </c>
      <c r="L28" s="8" t="str">
        <f t="shared" si="4"/>
        <v/>
      </c>
      <c r="M28" s="26">
        <f>MINIFS('Activity map'!$C:$C, 'Activity map'!$A:$A, $A28, 'Activity map'!$H:$H, "=TRUE", 'Activity map'!$K:$K, MINIFS('Activity map'!$K:$K, 'Activity map'!$A:$A, $A28, 'Activity map'!$H:$H, "=TRUE"))</f>
        <v>25619</v>
      </c>
      <c r="N28" s="26">
        <f>MINIFS('Activity map'!$C:$C, 'Activity map'!$A:$A, $A28, 'Activity map'!$H:$H, "=TRUE", 'Activity map'!$E:$E, $T28)</f>
        <v>25617</v>
      </c>
      <c r="O28" s="35">
        <f t="shared" si="5"/>
        <v>0.00114379085</v>
      </c>
      <c r="P28" s="30" t="str">
        <f>IF($M28=0, "-", VLOOKUP($M28, 'List of log slots'!$A:$C, 2, FALSE))</f>
        <v>Green satchel</v>
      </c>
      <c r="Q28" s="31">
        <f>IFERROR(__xludf.DUMMYFUNCTION("IF(ISERROR(FILTER('Activity map'!$C:$C, ('Activity map'!$A:$A=$A28)*('Activity map'!$F:$F=FALSE))), 0, COUNTA(UNIQUE(FILTER('Activity map'!$C:$C, ('Activity map'!$A:$A=$A28)*('Activity map'!$F:$F=FALSE)))))"),2.0)</f>
        <v>2</v>
      </c>
      <c r="R28" s="31">
        <f>IFERROR(__xludf.DUMMYFUNCTION("IF(ISERROR(FILTER('Activity map'!$C:$C, 'Activity map'!$A:$A=$A28)), 0, COUNTA(UNIQUE(FILTER('Activity map'!$C:$C, 'Activity map'!$A:$A=$A28))))"),2.0)</f>
        <v>2</v>
      </c>
      <c r="S28" s="36">
        <f t="shared" si="6"/>
        <v>0</v>
      </c>
      <c r="T28" s="31">
        <f>IFERROR(__xludf.DUMMYFUNCTION("IF(ISERROR(FILTER('Activity map'!$E:$E, ('Activity map'!$A:$A=$A28)*('Activity map'!$F:$F=FALSE))), ""-"", MIN(UNIQUE(FILTER('Activity map'!$E:$E, ('Activity map'!$A:$A=$A28)*('Activity map'!$F:$F=FALSE)))))"),1.0)</f>
        <v>1</v>
      </c>
      <c r="U28" s="30" t="str">
        <f>IF($N28=0, "-", VLOOKUP($N28, 'List of log slots'!$A:$C, 2, FALSE))</f>
        <v>Tea flask</v>
      </c>
    </row>
    <row r="29">
      <c r="A29" s="26">
        <v>120.0</v>
      </c>
      <c r="B29" s="23" t="str">
        <f>VLOOKUP($A29, 'Completion rates'!$A:$E, 2, FALSE)</f>
        <v>Killing spidines (creature creation)</v>
      </c>
      <c r="C29" s="26">
        <f>IF(Notes!$E$27, VLOOKUP($A29, 'Completion rates'!$A:$E, 4, FALSE), VLOOKUP($A29, 'Completion rates'!$A:$E, 3, FALSE))</f>
        <v>150</v>
      </c>
      <c r="D29" s="26">
        <f>VLOOKUP($A29, 'Completion rates'!$A:$E, 5, FALSE)</f>
        <v>0</v>
      </c>
      <c r="E29" s="28">
        <f>IF(SUMIFS('Activity map'!$O:$O, 'Activity map'!$A:$A, A29, 'Activity map'!$H:$H, "=TRUE") = 0, "n/a", 1/SUMIFS('Activity map'!$O:$O, 'Activity map'!$A:$A, A29, 'Activity map'!$H:$H, "=TRUE"))</f>
        <v>4.117647059</v>
      </c>
      <c r="F29" s="8">
        <f t="shared" si="1"/>
        <v>0.02745098039</v>
      </c>
      <c r="G29" s="26" t="str">
        <f>IF(MINIFS('Activity map'!$N:$N, 'Activity map'!$A:$A, A29, 'Activity map'!$H:$H, "=TRUE") = 0, "n/a", MINIFS('Activity map'!$N:$N, 'Activity map'!$A:$A, A29, 'Activity map'!$H:$H, "=TRUE"))</f>
        <v>n/a</v>
      </c>
      <c r="H29" s="8" t="str">
        <f t="shared" si="2"/>
        <v/>
      </c>
      <c r="I29" s="26" t="str">
        <f>IF(MINIFS('Activity map'!$M:$M, 'Activity map'!$A:$A, A29, 'Activity map'!$H:$H, "=TRUE") = 0, "n/a", MINIFS('Activity map'!$M:$M, 'Activity map'!$A:$A, A29, 'Activity map'!$H:$H, "=TRUE"))</f>
        <v>n/a</v>
      </c>
      <c r="J29" s="8" t="str">
        <f t="shared" si="3"/>
        <v/>
      </c>
      <c r="K29" s="26" t="str">
        <f>IF(MINIFS('Activity map'!$L:$L, 'Activity map'!$A:$A, A29, 'Activity map'!$H:$H, "=TRUE") = 0, "n/a", MINIFS('Activity map'!$L:$L, 'Activity map'!$A:$A, A29, 'Activity map'!$H:$H, "=TRUE"))</f>
        <v>n/a</v>
      </c>
      <c r="L29" s="8" t="str">
        <f t="shared" si="4"/>
        <v/>
      </c>
      <c r="M29" s="26">
        <f>MINIFS('Activity map'!$C:$C, 'Activity map'!$A:$A, $A29, 'Activity map'!$H:$H, "=TRUE", 'Activity map'!$K:$K, MINIFS('Activity map'!$K:$K, 'Activity map'!$A:$A, $A29, 'Activity map'!$H:$H, "=TRUE"))</f>
        <v>25620</v>
      </c>
      <c r="N29" s="26">
        <f>MINIFS('Activity map'!$C:$C, 'Activity map'!$A:$A, $A29, 'Activity map'!$H:$H, "=TRUE", 'Activity map'!$E:$E, $T29)</f>
        <v>25617</v>
      </c>
      <c r="O29" s="35">
        <f t="shared" si="5"/>
        <v>0.00114379085</v>
      </c>
      <c r="P29" s="30" t="str">
        <f>IF($M29=0, "-", VLOOKUP($M29, 'List of log slots'!$A:$C, 2, FALSE))</f>
        <v>Red satchel</v>
      </c>
      <c r="Q29" s="31">
        <f>IFERROR(__xludf.DUMMYFUNCTION("IF(ISERROR(FILTER('Activity map'!$C:$C, ('Activity map'!$A:$A=$A29)*('Activity map'!$F:$F=FALSE))), 0, COUNTA(UNIQUE(FILTER('Activity map'!$C:$C, ('Activity map'!$A:$A=$A29)*('Activity map'!$F:$F=FALSE)))))"),2.0)</f>
        <v>2</v>
      </c>
      <c r="R29" s="31">
        <f>IFERROR(__xludf.DUMMYFUNCTION("IF(ISERROR(FILTER('Activity map'!$C:$C, 'Activity map'!$A:$A=$A29)), 0, COUNTA(UNIQUE(FILTER('Activity map'!$C:$C, 'Activity map'!$A:$A=$A29))))"),2.0)</f>
        <v>2</v>
      </c>
      <c r="S29" s="36">
        <f t="shared" si="6"/>
        <v>0</v>
      </c>
      <c r="T29" s="31">
        <f>IFERROR(__xludf.DUMMYFUNCTION("IF(ISERROR(FILTER('Activity map'!$E:$E, ('Activity map'!$A:$A=$A29)*('Activity map'!$F:$F=FALSE))), ""-"", MIN(UNIQUE(FILTER('Activity map'!$E:$E, ('Activity map'!$A:$A=$A29)*('Activity map'!$F:$F=FALSE)))))"),1.0)</f>
        <v>1</v>
      </c>
      <c r="U29" s="30" t="str">
        <f>IF($N29=0, "-", VLOOKUP($N29, 'List of log slots'!$A:$C, 2, FALSE))</f>
        <v>Tea flask</v>
      </c>
    </row>
    <row r="30">
      <c r="A30" s="26">
        <v>121.0</v>
      </c>
      <c r="B30" s="23" t="str">
        <f>VLOOKUP($A30, 'Completion rates'!$A:$E, 2, FALSE)</f>
        <v>Killing swordchicks (creature creation)</v>
      </c>
      <c r="C30" s="26">
        <f>IF(Notes!$E$27, VLOOKUP($A30, 'Completion rates'!$A:$E, 4, FALSE), VLOOKUP($A30, 'Completion rates'!$A:$E, 3, FALSE))</f>
        <v>150</v>
      </c>
      <c r="D30" s="26">
        <f>VLOOKUP($A30, 'Completion rates'!$A:$E, 5, FALSE)</f>
        <v>0</v>
      </c>
      <c r="E30" s="28">
        <f>IF(SUMIFS('Activity map'!$O:$O, 'Activity map'!$A:$A, A30, 'Activity map'!$H:$H, "=TRUE") = 0, "n/a", 1/SUMIFS('Activity map'!$O:$O, 'Activity map'!$A:$A, A30, 'Activity map'!$H:$H, "=TRUE"))</f>
        <v>4.117647059</v>
      </c>
      <c r="F30" s="8">
        <f t="shared" si="1"/>
        <v>0.02745098039</v>
      </c>
      <c r="G30" s="26" t="str">
        <f>IF(MINIFS('Activity map'!$N:$N, 'Activity map'!$A:$A, A30, 'Activity map'!$H:$H, "=TRUE") = 0, "n/a", MINIFS('Activity map'!$N:$N, 'Activity map'!$A:$A, A30, 'Activity map'!$H:$H, "=TRUE"))</f>
        <v>n/a</v>
      </c>
      <c r="H30" s="8" t="str">
        <f t="shared" si="2"/>
        <v/>
      </c>
      <c r="I30" s="26" t="str">
        <f>IF(MINIFS('Activity map'!$M:$M, 'Activity map'!$A:$A, A30, 'Activity map'!$H:$H, "=TRUE") = 0, "n/a", MINIFS('Activity map'!$M:$M, 'Activity map'!$A:$A, A30, 'Activity map'!$H:$H, "=TRUE"))</f>
        <v>n/a</v>
      </c>
      <c r="J30" s="8" t="str">
        <f t="shared" si="3"/>
        <v/>
      </c>
      <c r="K30" s="26" t="str">
        <f>IF(MINIFS('Activity map'!$L:$L, 'Activity map'!$A:$A, A30, 'Activity map'!$H:$H, "=TRUE") = 0, "n/a", MINIFS('Activity map'!$L:$L, 'Activity map'!$A:$A, A30, 'Activity map'!$H:$H, "=TRUE"))</f>
        <v>n/a</v>
      </c>
      <c r="L30" s="8" t="str">
        <f t="shared" si="4"/>
        <v/>
      </c>
      <c r="M30" s="26">
        <f>MINIFS('Activity map'!$C:$C, 'Activity map'!$A:$A, $A30, 'Activity map'!$H:$H, "=TRUE", 'Activity map'!$K:$K, MINIFS('Activity map'!$K:$K, 'Activity map'!$A:$A, $A30, 'Activity map'!$H:$H, "=TRUE"))</f>
        <v>25621</v>
      </c>
      <c r="N30" s="26">
        <f>MINIFS('Activity map'!$C:$C, 'Activity map'!$A:$A, $A30, 'Activity map'!$H:$H, "=TRUE", 'Activity map'!$E:$E, $T30)</f>
        <v>25617</v>
      </c>
      <c r="O30" s="35">
        <f t="shared" si="5"/>
        <v>0.00114379085</v>
      </c>
      <c r="P30" s="30" t="str">
        <f>IF($M30=0, "-", VLOOKUP($M30, 'List of log slots'!$A:$C, 2, FALSE))</f>
        <v>Black satchel</v>
      </c>
      <c r="Q30" s="31">
        <f>IFERROR(__xludf.DUMMYFUNCTION("IF(ISERROR(FILTER('Activity map'!$C:$C, ('Activity map'!$A:$A=$A30)*('Activity map'!$F:$F=FALSE))), 0, COUNTA(UNIQUE(FILTER('Activity map'!$C:$C, ('Activity map'!$A:$A=$A30)*('Activity map'!$F:$F=FALSE)))))"),2.0)</f>
        <v>2</v>
      </c>
      <c r="R30" s="31">
        <f>IFERROR(__xludf.DUMMYFUNCTION("IF(ISERROR(FILTER('Activity map'!$C:$C, 'Activity map'!$A:$A=$A30)), 0, COUNTA(UNIQUE(FILTER('Activity map'!$C:$C, 'Activity map'!$A:$A=$A30))))"),2.0)</f>
        <v>2</v>
      </c>
      <c r="S30" s="36">
        <f t="shared" si="6"/>
        <v>0</v>
      </c>
      <c r="T30" s="31">
        <f>IFERROR(__xludf.DUMMYFUNCTION("IF(ISERROR(FILTER('Activity map'!$E:$E, ('Activity map'!$A:$A=$A30)*('Activity map'!$F:$F=FALSE))), ""-"", MIN(UNIQUE(FILTER('Activity map'!$E:$E, ('Activity map'!$A:$A=$A30)*('Activity map'!$F:$F=FALSE)))))"),1.0)</f>
        <v>1</v>
      </c>
      <c r="U30" s="30" t="str">
        <f>IF($N30=0, "-", VLOOKUP($N30, 'List of log slots'!$A:$C, 2, FALSE))</f>
        <v>Tea flask</v>
      </c>
    </row>
    <row r="31">
      <c r="A31" s="26">
        <v>122.0</v>
      </c>
      <c r="B31" s="23" t="str">
        <f>VLOOKUP($A31, 'Completion rates'!$A:$E, 2, FALSE)</f>
        <v>Killing jubsters (creature creation)</v>
      </c>
      <c r="C31" s="26">
        <f>IF(Notes!$E$27, VLOOKUP($A31, 'Completion rates'!$A:$E, 4, FALSE), VLOOKUP($A31, 'Completion rates'!$A:$E, 3, FALSE))</f>
        <v>150</v>
      </c>
      <c r="D31" s="26">
        <f>VLOOKUP($A31, 'Completion rates'!$A:$E, 5, FALSE)</f>
        <v>0</v>
      </c>
      <c r="E31" s="28">
        <f>IF(SUMIFS('Activity map'!$O:$O, 'Activity map'!$A:$A, A31, 'Activity map'!$H:$H, "=TRUE") = 0, "n/a", 1/SUMIFS('Activity map'!$O:$O, 'Activity map'!$A:$A, A31, 'Activity map'!$H:$H, "=TRUE"))</f>
        <v>4.117647059</v>
      </c>
      <c r="F31" s="8">
        <f t="shared" si="1"/>
        <v>0.02745098039</v>
      </c>
      <c r="G31" s="26" t="str">
        <f>IF(MINIFS('Activity map'!$N:$N, 'Activity map'!$A:$A, A31, 'Activity map'!$H:$H, "=TRUE") = 0, "n/a", MINIFS('Activity map'!$N:$N, 'Activity map'!$A:$A, A31, 'Activity map'!$H:$H, "=TRUE"))</f>
        <v>n/a</v>
      </c>
      <c r="H31" s="8" t="str">
        <f t="shared" si="2"/>
        <v/>
      </c>
      <c r="I31" s="26" t="str">
        <f>IF(MINIFS('Activity map'!$M:$M, 'Activity map'!$A:$A, A31, 'Activity map'!$H:$H, "=TRUE") = 0, "n/a", MINIFS('Activity map'!$M:$M, 'Activity map'!$A:$A, A31, 'Activity map'!$H:$H, "=TRUE"))</f>
        <v>n/a</v>
      </c>
      <c r="J31" s="8" t="str">
        <f t="shared" si="3"/>
        <v/>
      </c>
      <c r="K31" s="26" t="str">
        <f>IF(MINIFS('Activity map'!$L:$L, 'Activity map'!$A:$A, A31, 'Activity map'!$H:$H, "=TRUE") = 0, "n/a", MINIFS('Activity map'!$L:$L, 'Activity map'!$A:$A, A31, 'Activity map'!$H:$H, "=TRUE"))</f>
        <v>n/a</v>
      </c>
      <c r="L31" s="8" t="str">
        <f t="shared" si="4"/>
        <v/>
      </c>
      <c r="M31" s="26">
        <f>MINIFS('Activity map'!$C:$C, 'Activity map'!$A:$A, $A31, 'Activity map'!$H:$H, "=TRUE", 'Activity map'!$K:$K, MINIFS('Activity map'!$K:$K, 'Activity map'!$A:$A, $A31, 'Activity map'!$H:$H, "=TRUE"))</f>
        <v>25622</v>
      </c>
      <c r="N31" s="26">
        <f>MINIFS('Activity map'!$C:$C, 'Activity map'!$A:$A, $A31, 'Activity map'!$H:$H, "=TRUE", 'Activity map'!$E:$E, $T31)</f>
        <v>25617</v>
      </c>
      <c r="O31" s="35">
        <f t="shared" si="5"/>
        <v>0.00114379085</v>
      </c>
      <c r="P31" s="30" t="str">
        <f>IF($M31=0, "-", VLOOKUP($M31, 'List of log slots'!$A:$C, 2, FALSE))</f>
        <v>Gold satchel</v>
      </c>
      <c r="Q31" s="31">
        <f>IFERROR(__xludf.DUMMYFUNCTION("IF(ISERROR(FILTER('Activity map'!$C:$C, ('Activity map'!$A:$A=$A31)*('Activity map'!$F:$F=FALSE))), 0, COUNTA(UNIQUE(FILTER('Activity map'!$C:$C, ('Activity map'!$A:$A=$A31)*('Activity map'!$F:$F=FALSE)))))"),2.0)</f>
        <v>2</v>
      </c>
      <c r="R31" s="31">
        <f>IFERROR(__xludf.DUMMYFUNCTION("IF(ISERROR(FILTER('Activity map'!$C:$C, 'Activity map'!$A:$A=$A31)), 0, COUNTA(UNIQUE(FILTER('Activity map'!$C:$C, 'Activity map'!$A:$A=$A31))))"),2.0)</f>
        <v>2</v>
      </c>
      <c r="S31" s="36">
        <f t="shared" si="6"/>
        <v>0</v>
      </c>
      <c r="T31" s="31">
        <f>IFERROR(__xludf.DUMMYFUNCTION("IF(ISERROR(FILTER('Activity map'!$E:$E, ('Activity map'!$A:$A=$A31)*('Activity map'!$F:$F=FALSE))), ""-"", MIN(UNIQUE(FILTER('Activity map'!$E:$E, ('Activity map'!$A:$A=$A31)*('Activity map'!$F:$F=FALSE)))))"),1.0)</f>
        <v>1</v>
      </c>
      <c r="U31" s="30" t="str">
        <f>IF($N31=0, "-", VLOOKUP($N31, 'List of log slots'!$A:$C, 2, FALSE))</f>
        <v>Tea flask</v>
      </c>
    </row>
    <row r="32">
      <c r="A32" s="26">
        <v>123.0</v>
      </c>
      <c r="B32" s="23" t="str">
        <f>VLOOKUP($A32, 'Completion rates'!$A:$E, 2, FALSE)</f>
        <v>Killing newtroosts (creature creation)</v>
      </c>
      <c r="C32" s="26">
        <f>IF(Notes!$E$27, VLOOKUP($A32, 'Completion rates'!$A:$E, 4, FALSE), VLOOKUP($A32, 'Completion rates'!$A:$E, 3, FALSE))</f>
        <v>150</v>
      </c>
      <c r="D32" s="26">
        <f>VLOOKUP($A32, 'Completion rates'!$A:$E, 5, FALSE)</f>
        <v>0</v>
      </c>
      <c r="E32" s="28">
        <f>IF(SUMIFS('Activity map'!$O:$O, 'Activity map'!$A:$A, A32, 'Activity map'!$H:$H, "=TRUE") = 0, "n/a", 1/SUMIFS('Activity map'!$O:$O, 'Activity map'!$A:$A, A32, 'Activity map'!$H:$H, "=TRUE"))</f>
        <v>4.117647059</v>
      </c>
      <c r="F32" s="8">
        <f t="shared" si="1"/>
        <v>0.02745098039</v>
      </c>
      <c r="G32" s="26" t="str">
        <f>IF(MINIFS('Activity map'!$N:$N, 'Activity map'!$A:$A, A32, 'Activity map'!$H:$H, "=TRUE") = 0, "n/a", MINIFS('Activity map'!$N:$N, 'Activity map'!$A:$A, A32, 'Activity map'!$H:$H, "=TRUE"))</f>
        <v>n/a</v>
      </c>
      <c r="H32" s="8" t="str">
        <f t="shared" si="2"/>
        <v/>
      </c>
      <c r="I32" s="26" t="str">
        <f>IF(MINIFS('Activity map'!$M:$M, 'Activity map'!$A:$A, A32, 'Activity map'!$H:$H, "=TRUE") = 0, "n/a", MINIFS('Activity map'!$M:$M, 'Activity map'!$A:$A, A32, 'Activity map'!$H:$H, "=TRUE"))</f>
        <v>n/a</v>
      </c>
      <c r="J32" s="8" t="str">
        <f t="shared" si="3"/>
        <v/>
      </c>
      <c r="K32" s="26" t="str">
        <f>IF(MINIFS('Activity map'!$L:$L, 'Activity map'!$A:$A, A32, 'Activity map'!$H:$H, "=TRUE") = 0, "n/a", MINIFS('Activity map'!$L:$L, 'Activity map'!$A:$A, A32, 'Activity map'!$H:$H, "=TRUE"))</f>
        <v>n/a</v>
      </c>
      <c r="L32" s="8" t="str">
        <f t="shared" si="4"/>
        <v/>
      </c>
      <c r="M32" s="26">
        <f>MINIFS('Activity map'!$C:$C, 'Activity map'!$A:$A, $A32, 'Activity map'!$H:$H, "=TRUE", 'Activity map'!$K:$K, MINIFS('Activity map'!$K:$K, 'Activity map'!$A:$A, $A32, 'Activity map'!$H:$H, "=TRUE"))</f>
        <v>25623</v>
      </c>
      <c r="N32" s="26">
        <f>MINIFS('Activity map'!$C:$C, 'Activity map'!$A:$A, $A32, 'Activity map'!$H:$H, "=TRUE", 'Activity map'!$E:$E, $T32)</f>
        <v>25617</v>
      </c>
      <c r="O32" s="35">
        <f t="shared" si="5"/>
        <v>0.00114379085</v>
      </c>
      <c r="P32" s="30" t="str">
        <f>IF($M32=0, "-", VLOOKUP($M32, 'List of log slots'!$A:$C, 2, FALSE))</f>
        <v>Rune satchel</v>
      </c>
      <c r="Q32" s="31">
        <f>IFERROR(__xludf.DUMMYFUNCTION("IF(ISERROR(FILTER('Activity map'!$C:$C, ('Activity map'!$A:$A=$A32)*('Activity map'!$F:$F=FALSE))), 0, COUNTA(UNIQUE(FILTER('Activity map'!$C:$C, ('Activity map'!$A:$A=$A32)*('Activity map'!$F:$F=FALSE)))))"),2.0)</f>
        <v>2</v>
      </c>
      <c r="R32" s="31">
        <f>IFERROR(__xludf.DUMMYFUNCTION("IF(ISERROR(FILTER('Activity map'!$C:$C, 'Activity map'!$A:$A=$A32)), 0, COUNTA(UNIQUE(FILTER('Activity map'!$C:$C, 'Activity map'!$A:$A=$A32))))"),2.0)</f>
        <v>2</v>
      </c>
      <c r="S32" s="36">
        <f t="shared" si="6"/>
        <v>0</v>
      </c>
      <c r="T32" s="31">
        <f>IFERROR(__xludf.DUMMYFUNCTION("IF(ISERROR(FILTER('Activity map'!$E:$E, ('Activity map'!$A:$A=$A32)*('Activity map'!$F:$F=FALSE))), ""-"", MIN(UNIQUE(FILTER('Activity map'!$E:$E, ('Activity map'!$A:$A=$A32)*('Activity map'!$F:$F=FALSE)))))"),1.0)</f>
        <v>1</v>
      </c>
      <c r="U32" s="30" t="str">
        <f>IF($N32=0, "-", VLOOKUP($N32, 'List of log slots'!$A:$C, 2, FALSE))</f>
        <v>Tea flask</v>
      </c>
    </row>
    <row r="33">
      <c r="A33" s="26">
        <v>69.0</v>
      </c>
      <c r="B33" s="23" t="str">
        <f>VLOOKUP($A33, 'Completion rates'!$A:$E, 2, FALSE)</f>
        <v>Opening easy caskets</v>
      </c>
      <c r="C33" s="26">
        <f>IF(Notes!$E$27, VLOOKUP($A33, 'Completion rates'!$A:$E, 4, FALSE), VLOOKUP($A33, 'Completion rates'!$A:$E, 3, FALSE))</f>
        <v>45</v>
      </c>
      <c r="D33" s="26">
        <f>VLOOKUP($A33, 'Completion rates'!$A:$E, 5, FALSE)</f>
        <v>0</v>
      </c>
      <c r="E33" s="28">
        <f>IF(SUMIFS('Activity map'!$O:$O, 'Activity map'!$A:$A, A33, 'Activity map'!$H:$H, "=TRUE") = 0, "n/a", 1/SUMIFS('Activity map'!$O:$O, 'Activity map'!$A:$A, A33, 'Activity map'!$H:$H, "=TRUE"))</f>
        <v>1.433778571</v>
      </c>
      <c r="F33" s="26">
        <f t="shared" si="1"/>
        <v>0.03186174602</v>
      </c>
      <c r="G33" s="26" t="str">
        <f>IF(MINIFS('Activity map'!$N:$N, 'Activity map'!$A:$A, A33, 'Activity map'!$H:$H, "=TRUE") = 0, "n/a", MINIFS('Activity map'!$N:$N, 'Activity map'!$A:$A, A33, 'Activity map'!$H:$H, "=TRUE"))</f>
        <v>n/a</v>
      </c>
      <c r="H33" s="8" t="str">
        <f t="shared" si="2"/>
        <v/>
      </c>
      <c r="I33" s="26">
        <f>IF(MINIFS('Activity map'!$M:$M, 'Activity map'!$A:$A, A33, 'Activity map'!$H:$H, "=TRUE") = 0, "n/a", MINIFS('Activity map'!$M:$M, 'Activity map'!$A:$A, A33, 'Activity map'!$H:$H, "=TRUE"))</f>
        <v>100</v>
      </c>
      <c r="J33" s="26">
        <f t="shared" si="3"/>
        <v>2.222222222</v>
      </c>
      <c r="K33" s="26" t="str">
        <f>IF(MINIFS('Activity map'!$L:$L, 'Activity map'!$A:$A, A33, 'Activity map'!$H:$H, "=TRUE") = 0, "n/a", MINIFS('Activity map'!$L:$L, 'Activity map'!$A:$A, A33, 'Activity map'!$H:$H, "=TRUE"))</f>
        <v>n/a</v>
      </c>
      <c r="L33" s="8" t="str">
        <f t="shared" si="4"/>
        <v/>
      </c>
      <c r="M33" s="26">
        <f>MINIFS('Activity map'!$C:$C, 'Activity map'!$A:$A, $A33, 'Activity map'!$H:$H, "=TRUE", 'Activity map'!$K:$K, MINIFS('Activity map'!$K:$K, 'Activity map'!$A:$A, $A33, 'Activity map'!$H:$H, "=TRUE"))</f>
        <v>10476</v>
      </c>
      <c r="N33" s="26">
        <f>MINIFS('Activity map'!$C:$C, 'Activity map'!$A:$A, $A33, 'Activity map'!$H:$H, "=TRUE", 'Activity map'!$E:$E, $T33)</f>
        <v>3827</v>
      </c>
      <c r="O33" s="62">
        <f t="shared" si="5"/>
        <v>0.001327572751</v>
      </c>
      <c r="P33" s="30" t="str">
        <f>IF($M33=0, "-", VLOOKUP($M33, 'List of log slots'!$A:$C, 2, FALSE))</f>
        <v>Purple sweets</v>
      </c>
      <c r="Q33" s="31">
        <f>IFERROR(__xludf.DUMMYFUNCTION("IF(ISERROR(FILTER('Activity map'!$C:$C, ('Activity map'!$A:$A=$A33)*('Activity map'!$F:$F=FALSE))), 0, COUNTA(UNIQUE(FILTER('Activity map'!$C:$C, ('Activity map'!$A:$A=$A33)*('Activity map'!$F:$F=FALSE)))))"),182.0)</f>
        <v>182</v>
      </c>
      <c r="R33" s="31">
        <f>IFERROR(__xludf.DUMMYFUNCTION("IF(ISERROR(FILTER('Activity map'!$C:$C, 'Activity map'!$A:$A=$A33)), 0, COUNTA(UNIQUE(FILTER('Activity map'!$C:$C, 'Activity map'!$A:$A=$A33))))"),182.0)</f>
        <v>182</v>
      </c>
      <c r="S33" s="63">
        <f t="shared" si="6"/>
        <v>0</v>
      </c>
      <c r="T33" s="31">
        <f>IFERROR(__xludf.DUMMYFUNCTION("IF(ISERROR(FILTER('Activity map'!$E:$E, ('Activity map'!$A:$A=$A33)*('Activity map'!$F:$F=FALSE))), ""-"", MIN(UNIQUE(FILTER('Activity map'!$E:$E, ('Activity map'!$A:$A=$A33)*('Activity map'!$F:$F=FALSE)))))"),2.0)</f>
        <v>2</v>
      </c>
      <c r="U33" s="30" t="str">
        <f>IF($N33=0, "-", VLOOKUP($N33, 'List of log slots'!$A:$C, 2, FALSE))</f>
        <v>Saradomin page 1</v>
      </c>
    </row>
    <row r="34">
      <c r="A34" s="26">
        <v>70.0</v>
      </c>
      <c r="B34" s="23" t="str">
        <f>VLOOKUP($A34, 'Completion rates'!$A:$E, 2, FALSE)</f>
        <v>Opening medium caskets</v>
      </c>
      <c r="C34" s="26">
        <f>IF(Notes!$E$27, VLOOKUP($A34, 'Completion rates'!$A:$E, 4, FALSE), VLOOKUP($A34, 'Completion rates'!$A:$E, 3, FALSE))</f>
        <v>30</v>
      </c>
      <c r="D34" s="26">
        <f>VLOOKUP($A34, 'Completion rates'!$A:$E, 5, FALSE)</f>
        <v>0</v>
      </c>
      <c r="E34" s="28">
        <f>IF(SUMIFS('Activity map'!$O:$O, 'Activity map'!$A:$A, A34, 'Activity map'!$H:$H, "=TRUE") = 0, "n/a", 1/SUMIFS('Activity map'!$O:$O, 'Activity map'!$A:$A, A34, 'Activity map'!$H:$H, "=TRUE"))</f>
        <v>1.057681171</v>
      </c>
      <c r="F34" s="26">
        <f t="shared" si="1"/>
        <v>0.03525603902</v>
      </c>
      <c r="G34" s="26" t="str">
        <f>IF(MINIFS('Activity map'!$N:$N, 'Activity map'!$A:$A, A34, 'Activity map'!$H:$H, "=TRUE") = 0, "n/a", MINIFS('Activity map'!$N:$N, 'Activity map'!$A:$A, A34, 'Activity map'!$H:$H, "=TRUE"))</f>
        <v>n/a</v>
      </c>
      <c r="H34" s="8" t="str">
        <f t="shared" si="2"/>
        <v/>
      </c>
      <c r="I34" s="26">
        <f>IF(MINIFS('Activity map'!$M:$M, 'Activity map'!$A:$A, A34, 'Activity map'!$H:$H, "=TRUE") = 0, "n/a", MINIFS('Activity map'!$M:$M, 'Activity map'!$A:$A, A34, 'Activity map'!$H:$H, "=TRUE"))</f>
        <v>100</v>
      </c>
      <c r="J34" s="26">
        <f t="shared" si="3"/>
        <v>3.333333333</v>
      </c>
      <c r="K34" s="26" t="str">
        <f>IF(MINIFS('Activity map'!$L:$L, 'Activity map'!$A:$A, A34, 'Activity map'!$H:$H, "=TRUE") = 0, "n/a", MINIFS('Activity map'!$L:$L, 'Activity map'!$A:$A, A34, 'Activity map'!$H:$H, "=TRUE"))</f>
        <v>n/a</v>
      </c>
      <c r="L34" s="8" t="str">
        <f t="shared" si="4"/>
        <v/>
      </c>
      <c r="M34" s="26">
        <f>MINIFS('Activity map'!$C:$C, 'Activity map'!$A:$A, $A34, 'Activity map'!$H:$H, "=TRUE", 'Activity map'!$K:$K, MINIFS('Activity map'!$K:$K, 'Activity map'!$A:$A, $A34, 'Activity map'!$H:$H, "=TRUE"))</f>
        <v>10476</v>
      </c>
      <c r="N34" s="26">
        <f>MINIFS('Activity map'!$C:$C, 'Activity map'!$A:$A, $A34, 'Activity map'!$H:$H, "=TRUE", 'Activity map'!$E:$E, $T34)</f>
        <v>3827</v>
      </c>
      <c r="O34" s="64">
        <f t="shared" si="5"/>
        <v>0.001469001626</v>
      </c>
      <c r="P34" s="30" t="str">
        <f>IF($M34=0, "-", VLOOKUP($M34, 'List of log slots'!$A:$C, 2, FALSE))</f>
        <v>Purple sweets</v>
      </c>
      <c r="Q34" s="31">
        <f>IFERROR(__xludf.DUMMYFUNCTION("IF(ISERROR(FILTER('Activity map'!$C:$C, ('Activity map'!$A:$A=$A34)*('Activity map'!$F:$F=FALSE))), 0, COUNTA(UNIQUE(FILTER('Activity map'!$C:$C, ('Activity map'!$A:$A=$A34)*('Activity map'!$F:$F=FALSE)))))"),166.0)</f>
        <v>166</v>
      </c>
      <c r="R34" s="31">
        <f>IFERROR(__xludf.DUMMYFUNCTION("IF(ISERROR(FILTER('Activity map'!$C:$C, 'Activity map'!$A:$A=$A34)), 0, COUNTA(UNIQUE(FILTER('Activity map'!$C:$C, 'Activity map'!$A:$A=$A34))))"),166.0)</f>
        <v>166</v>
      </c>
      <c r="S34" s="65">
        <f t="shared" si="6"/>
        <v>0</v>
      </c>
      <c r="T34" s="31">
        <f>IFERROR(__xludf.DUMMYFUNCTION("IF(ISERROR(FILTER('Activity map'!$E:$E, ('Activity map'!$A:$A=$A34)*('Activity map'!$F:$F=FALSE))), ""-"", MIN(UNIQUE(FILTER('Activity map'!$E:$E, ('Activity map'!$A:$A=$A34)*('Activity map'!$F:$F=FALSE)))))"),2.0)</f>
        <v>2</v>
      </c>
      <c r="U34" s="30" t="str">
        <f>IF($N34=0, "-", VLOOKUP($N34, 'List of log slots'!$A:$C, 2, FALSE))</f>
        <v>Saradomin page 1</v>
      </c>
    </row>
    <row r="35">
      <c r="A35" s="26">
        <v>92.0</v>
      </c>
      <c r="B35" s="23" t="str">
        <f>VLOOKUP($A35, 'Completion rates'!$A:$E, 2, FALSE)</f>
        <v>Getting commendation points (pest control)</v>
      </c>
      <c r="C35" s="26">
        <f>IF(Notes!$E$27, VLOOKUP($A35, 'Completion rates'!$A:$E, 4, FALSE), VLOOKUP($A35, 'Completion rates'!$A:$E, 3, FALSE))</f>
        <v>270</v>
      </c>
      <c r="D35" s="26">
        <f>VLOOKUP($A35, 'Completion rates'!$A:$E, 5, FALSE)</f>
        <v>0</v>
      </c>
      <c r="E35" s="28" t="str">
        <f>IF(SUMIFS('Activity map'!$O:$O, 'Activity map'!$A:$A, A35, 'Activity map'!$H:$H, "=TRUE") = 0, "n/a", 1/SUMIFS('Activity map'!$O:$O, 'Activity map'!$A:$A, A35, 'Activity map'!$H:$H, "=TRUE"))</f>
        <v>n/a</v>
      </c>
      <c r="F35" s="8" t="str">
        <f t="shared" si="1"/>
        <v/>
      </c>
      <c r="G35" s="26" t="str">
        <f>IF(MINIFS('Activity map'!$N:$N, 'Activity map'!$A:$A, A35, 'Activity map'!$H:$H, "=TRUE") = 0, "n/a", MINIFS('Activity map'!$N:$N, 'Activity map'!$A:$A, A35, 'Activity map'!$H:$H, "=TRUE"))</f>
        <v>n/a</v>
      </c>
      <c r="H35" s="8" t="str">
        <f t="shared" si="2"/>
        <v/>
      </c>
      <c r="I35" s="26" t="str">
        <f>IF(MINIFS('Activity map'!$M:$M, 'Activity map'!$A:$A, A35, 'Activity map'!$H:$H, "=TRUE") = 0, "n/a", MINIFS('Activity map'!$M:$M, 'Activity map'!$A:$A, A35, 'Activity map'!$H:$H, "=TRUE"))</f>
        <v>n/a</v>
      </c>
      <c r="J35" s="8" t="str">
        <f t="shared" si="3"/>
        <v/>
      </c>
      <c r="K35" s="26">
        <f>IF(MINIFS('Activity map'!$L:$L, 'Activity map'!$A:$A, A35, 'Activity map'!$H:$H, "=TRUE") = 0, "n/a", MINIFS('Activity map'!$L:$L, 'Activity map'!$A:$A, A35, 'Activity map'!$H:$H, "=TRUE"))</f>
        <v>10</v>
      </c>
      <c r="L35" s="8">
        <f t="shared" si="4"/>
        <v>0.03703703704</v>
      </c>
      <c r="M35" s="26">
        <f>MINIFS('Activity map'!$C:$C, 'Activity map'!$A:$A, $A35, 'Activity map'!$H:$H, "=TRUE", 'Activity map'!$K:$K, MINIFS('Activity map'!$K:$K, 'Activity map'!$A:$A, $A35, 'Activity map'!$H:$H, "=TRUE"))</f>
        <v>11666</v>
      </c>
      <c r="N35" s="26">
        <f>MINIFS('Activity map'!$C:$C, 'Activity map'!$A:$A, $A35, 'Activity map'!$H:$H, "=TRUE", 'Activity map'!$E:$E, $T35)</f>
        <v>11666</v>
      </c>
      <c r="O35" s="35">
        <f t="shared" si="5"/>
        <v>0.001543209877</v>
      </c>
      <c r="P35" s="30" t="str">
        <f>IF($M35=0, "-", VLOOKUP($M35, 'List of log slots'!$A:$C, 2, FALSE))</f>
        <v>Void seal(8)</v>
      </c>
      <c r="Q35" s="31">
        <f>IFERROR(__xludf.DUMMYFUNCTION("IF(ISERROR(FILTER('Activity map'!$C:$C, ('Activity map'!$A:$A=$A35)*('Activity map'!$F:$F=FALSE))), 0, COUNTA(UNIQUE(FILTER('Activity map'!$C:$C, ('Activity map'!$A:$A=$A35)*('Activity map'!$F:$F=FALSE)))))"),10.0)</f>
        <v>10</v>
      </c>
      <c r="R35" s="31">
        <f>IFERROR(__xludf.DUMMYFUNCTION("IF(ISERROR(FILTER('Activity map'!$C:$C, 'Activity map'!$A:$A=$A35)), 0, COUNTA(UNIQUE(FILTER('Activity map'!$C:$C, 'Activity map'!$A:$A=$A35))))"),10.0)</f>
        <v>10</v>
      </c>
      <c r="S35" s="36">
        <f t="shared" si="6"/>
        <v>0</v>
      </c>
      <c r="T35" s="31">
        <f>IFERROR(__xludf.DUMMYFUNCTION("IF(ISERROR(FILTER('Activity map'!$E:$E, ('Activity map'!$A:$A=$A35)*('Activity map'!$F:$F=FALSE))), ""-"", MIN(UNIQUE(FILTER('Activity map'!$E:$E, ('Activity map'!$A:$A=$A35)*('Activity map'!$F:$F=FALSE)))))"),2.0)</f>
        <v>2</v>
      </c>
      <c r="U35" s="30" t="str">
        <f>IF($N35=0, "-", VLOOKUP($N35, 'List of log slots'!$A:$C, 2, FALSE))</f>
        <v>Void seal(8)</v>
      </c>
    </row>
    <row r="36">
      <c r="A36" s="26">
        <v>41.0</v>
      </c>
      <c r="B36" s="23" t="str">
        <f>VLOOKUP($A36, 'Completion rates'!$A:$E, 2, FALSE)</f>
        <v>Killing phantom muspah</v>
      </c>
      <c r="C36" s="26">
        <f>IF(Notes!$E$27, VLOOKUP($A36, 'Completion rates'!$A:$E, 4, FALSE), VLOOKUP($A36, 'Completion rates'!$A:$E, 3, FALSE))</f>
        <v>26</v>
      </c>
      <c r="D36" s="26">
        <f>VLOOKUP($A36, 'Completion rates'!$A:$E, 5, FALSE)</f>
        <v>0</v>
      </c>
      <c r="E36" s="28">
        <f>IF(SUMIFS('Activity map'!$O:$O, 'Activity map'!$A:$A, A36, 'Activity map'!$H:$H, "=TRUE") = 0, "n/a", 1/SUMIFS('Activity map'!$O:$O, 'Activity map'!$A:$A, A36, 'Activity map'!$H:$H, "=TRUE"))</f>
        <v>14.1454089</v>
      </c>
      <c r="F36" s="26">
        <f t="shared" si="1"/>
        <v>0.5440541886</v>
      </c>
      <c r="G36" s="26" t="str">
        <f>IF(MINIFS('Activity map'!$N:$N, 'Activity map'!$A:$A, A36, 'Activity map'!$H:$H, "=TRUE") = 0, "n/a", MINIFS('Activity map'!$N:$N, 'Activity map'!$A:$A, A36, 'Activity map'!$H:$H, "=TRUE"))</f>
        <v>n/a</v>
      </c>
      <c r="H36" s="8" t="str">
        <f t="shared" si="2"/>
        <v/>
      </c>
      <c r="I36" s="26">
        <f>IF(MINIFS('Activity map'!$M:$M, 'Activity map'!$A:$A, A36, 'Activity map'!$H:$H, "=TRUE") = 0, "n/a", MINIFS('Activity map'!$M:$M, 'Activity map'!$A:$A, A36, 'Activity map'!$H:$H, "=TRUE"))</f>
        <v>1</v>
      </c>
      <c r="J36" s="8">
        <f t="shared" si="3"/>
        <v>0.03846153846</v>
      </c>
      <c r="K36" s="26" t="str">
        <f>IF(MINIFS('Activity map'!$L:$L, 'Activity map'!$A:$A, A36, 'Activity map'!$H:$H, "=TRUE") = 0, "n/a", MINIFS('Activity map'!$L:$L, 'Activity map'!$A:$A, A36, 'Activity map'!$H:$H, "=TRUE"))</f>
        <v>n/a</v>
      </c>
      <c r="L36" s="8" t="str">
        <f t="shared" si="4"/>
        <v/>
      </c>
      <c r="M36" s="26">
        <f>MINIFS('Activity map'!$C:$C, 'Activity map'!$A:$A, $A36, 'Activity map'!$H:$H, "=TRUE", 'Activity map'!$K:$K, MINIFS('Activity map'!$K:$K, 'Activity map'!$A:$A, $A36, 'Activity map'!$H:$H, "=TRUE"))</f>
        <v>27616</v>
      </c>
      <c r="N36" s="26">
        <f>MINIFS('Activity map'!$C:$C, 'Activity map'!$A:$A, $A36, 'Activity map'!$H:$H, "=TRUE", 'Activity map'!$E:$E, $T36)</f>
        <v>27616</v>
      </c>
      <c r="O36" s="66">
        <f t="shared" si="5"/>
        <v>0.001602564103</v>
      </c>
      <c r="P36" s="30" t="str">
        <f>IF($M36=0, "-", VLOOKUP($M36, 'List of log slots'!$A:$C, 2, FALSE))</f>
        <v>Ancient essence</v>
      </c>
      <c r="Q36" s="31">
        <f>IFERROR(__xludf.DUMMYFUNCTION("IF(ISERROR(FILTER('Activity map'!$C:$C, ('Activity map'!$A:$A=$A36)*('Activity map'!$F:$F=FALSE))), 0, COUNTA(UNIQUE(FILTER('Activity map'!$C:$C, ('Activity map'!$A:$A=$A36)*('Activity map'!$F:$F=FALSE)))))"),8.0)</f>
        <v>8</v>
      </c>
      <c r="R36" s="31">
        <f>IFERROR(__xludf.DUMMYFUNCTION("IF(ISERROR(FILTER('Activity map'!$C:$C, 'Activity map'!$A:$A=$A36)), 0, COUNTA(UNIQUE(FILTER('Activity map'!$C:$C, 'Activity map'!$A:$A=$A36))))"),8.0)</f>
        <v>8</v>
      </c>
      <c r="S36" s="67">
        <f t="shared" si="6"/>
        <v>0</v>
      </c>
      <c r="T36" s="31">
        <f>IFERROR(__xludf.DUMMYFUNCTION("IF(ISERROR(FILTER('Activity map'!$E:$E, ('Activity map'!$A:$A=$A36)*('Activity map'!$F:$F=FALSE))), ""-"", MIN(UNIQUE(FILTER('Activity map'!$E:$E, ('Activity map'!$A:$A=$A36)*('Activity map'!$F:$F=FALSE)))))"),4.0)</f>
        <v>4</v>
      </c>
      <c r="U36" s="30" t="str">
        <f>IF($N36=0, "-", VLOOKUP($N36, 'List of log slots'!$A:$C, 2, FALSE))</f>
        <v>Ancient essence</v>
      </c>
    </row>
    <row r="37">
      <c r="A37" s="26">
        <v>71.0</v>
      </c>
      <c r="B37" s="23" t="str">
        <f>VLOOKUP($A37, 'Completion rates'!$A:$E, 2, FALSE)</f>
        <v>Opening hard caskets</v>
      </c>
      <c r="C37" s="26">
        <f>IF(Notes!$E$27, VLOOKUP($A37, 'Completion rates'!$A:$E, 4, FALSE), VLOOKUP($A37, 'Completion rates'!$A:$E, 3, FALSE))</f>
        <v>20</v>
      </c>
      <c r="D37" s="26">
        <f>VLOOKUP($A37, 'Completion rates'!$A:$E, 5, FALSE)</f>
        <v>0</v>
      </c>
      <c r="E37" s="28">
        <f>IF(SUMIFS('Activity map'!$O:$O, 'Activity map'!$A:$A, A37, 'Activity map'!$H:$H, "=TRUE") = 0, "n/a", 1/SUMIFS('Activity map'!$O:$O, 'Activity map'!$A:$A, A37, 'Activity map'!$H:$H, "=TRUE"))</f>
        <v>0.7923093957</v>
      </c>
      <c r="F37" s="26">
        <f t="shared" si="1"/>
        <v>0.03961546979</v>
      </c>
      <c r="G37" s="26" t="str">
        <f>IF(MINIFS('Activity map'!$N:$N, 'Activity map'!$A:$A, A37, 'Activity map'!$H:$H, "=TRUE") = 0, "n/a", MINIFS('Activity map'!$N:$N, 'Activity map'!$A:$A, A37, 'Activity map'!$H:$H, "=TRUE"))</f>
        <v>n/a</v>
      </c>
      <c r="H37" s="8" t="str">
        <f t="shared" si="2"/>
        <v/>
      </c>
      <c r="I37" s="26">
        <f>IF(MINIFS('Activity map'!$M:$M, 'Activity map'!$A:$A, A37, 'Activity map'!$H:$H, "=TRUE") = 0, "n/a", MINIFS('Activity map'!$M:$M, 'Activity map'!$A:$A, A37, 'Activity map'!$H:$H, "=TRUE"))</f>
        <v>50</v>
      </c>
      <c r="J37" s="8">
        <f t="shared" si="3"/>
        <v>2.5</v>
      </c>
      <c r="K37" s="26" t="str">
        <f>IF(MINIFS('Activity map'!$L:$L, 'Activity map'!$A:$A, A37, 'Activity map'!$H:$H, "=TRUE") = 0, "n/a", MINIFS('Activity map'!$L:$L, 'Activity map'!$A:$A, A37, 'Activity map'!$H:$H, "=TRUE"))</f>
        <v>n/a</v>
      </c>
      <c r="L37" s="8" t="str">
        <f t="shared" si="4"/>
        <v/>
      </c>
      <c r="M37" s="26">
        <f>MINIFS('Activity map'!$C:$C, 'Activity map'!$A:$A, $A37, 'Activity map'!$H:$H, "=TRUE", 'Activity map'!$K:$K, MINIFS('Activity map'!$K:$K, 'Activity map'!$A:$A, $A37, 'Activity map'!$H:$H, "=TRUE"))</f>
        <v>10476</v>
      </c>
      <c r="N37" s="26">
        <f>MINIFS('Activity map'!$C:$C, 'Activity map'!$A:$A, $A37, 'Activity map'!$H:$H, "=TRUE", 'Activity map'!$E:$E, $T37)</f>
        <v>3827</v>
      </c>
      <c r="O37" s="68">
        <f t="shared" si="5"/>
        <v>0.001650644574</v>
      </c>
      <c r="P37" s="30" t="str">
        <f>IF($M37=0, "-", VLOOKUP($M37, 'List of log slots'!$A:$C, 2, FALSE))</f>
        <v>Purple sweets</v>
      </c>
      <c r="Q37" s="31">
        <f>IFERROR(__xludf.DUMMYFUNCTION("IF(ISERROR(FILTER('Activity map'!$C:$C, ('Activity map'!$A:$A=$A37)*('Activity map'!$F:$F=FALSE))), 0, COUNTA(UNIQUE(FILTER('Activity map'!$C:$C, ('Activity map'!$A:$A=$A37)*('Activity map'!$F:$F=FALSE)))))"),209.0)</f>
        <v>209</v>
      </c>
      <c r="R37" s="31">
        <f>IFERROR(__xludf.DUMMYFUNCTION("IF(ISERROR(FILTER('Activity map'!$C:$C, 'Activity map'!$A:$A=$A37)), 0, COUNTA(UNIQUE(FILTER('Activity map'!$C:$C, 'Activity map'!$A:$A=$A37))))"),209.0)</f>
        <v>209</v>
      </c>
      <c r="S37" s="60">
        <f t="shared" si="6"/>
        <v>0</v>
      </c>
      <c r="T37" s="31">
        <f>IFERROR(__xludf.DUMMYFUNCTION("IF(ISERROR(FILTER('Activity map'!$E:$E, ('Activity map'!$A:$A=$A37)*('Activity map'!$F:$F=FALSE))), ""-"", MIN(UNIQUE(FILTER('Activity map'!$E:$E, ('Activity map'!$A:$A=$A37)*('Activity map'!$F:$F=FALSE)))))"),2.0)</f>
        <v>2</v>
      </c>
      <c r="U37" s="30" t="str">
        <f>IF($N37=0, "-", VLOOKUP($N37, 'List of log slots'!$A:$C, 2, FALSE))</f>
        <v>Saradomin page 1</v>
      </c>
    </row>
    <row r="38">
      <c r="A38" s="26">
        <v>138.0</v>
      </c>
      <c r="B38" s="23" t="str">
        <f>VLOOKUP($A38, 'Completion rates'!$A:$E, 2, FALSE)</f>
        <v>Collecting marks of grace (rooftop agility)</v>
      </c>
      <c r="C38" s="26">
        <f>IF(Notes!$E$27, VLOOKUP($A38, 'Completion rates'!$A:$E, 4, FALSE), VLOOKUP($A38, 'Completion rates'!$A:$E, 3, FALSE))</f>
        <v>25</v>
      </c>
      <c r="D38" s="26">
        <f>VLOOKUP($A38, 'Completion rates'!$A:$E, 5, FALSE)</f>
        <v>0</v>
      </c>
      <c r="E38" s="28" t="str">
        <f>IF(SUMIFS('Activity map'!$O:$O, 'Activity map'!$A:$A, A38, 'Activity map'!$H:$H, "=TRUE") = 0, "n/a", 1/SUMIFS('Activity map'!$O:$O, 'Activity map'!$A:$A, A38, 'Activity map'!$H:$H, "=TRUE"))</f>
        <v>n/a</v>
      </c>
      <c r="F38" s="8" t="str">
        <f t="shared" si="1"/>
        <v/>
      </c>
      <c r="G38" s="26" t="str">
        <f>IF(MINIFS('Activity map'!$N:$N, 'Activity map'!$A:$A, A38, 'Activity map'!$H:$H, "=TRUE") = 0, "n/a", MINIFS('Activity map'!$N:$N, 'Activity map'!$A:$A, A38, 'Activity map'!$H:$H, "=TRUE"))</f>
        <v>n/a</v>
      </c>
      <c r="H38" s="8" t="str">
        <f t="shared" si="2"/>
        <v/>
      </c>
      <c r="I38" s="26">
        <f>IF(MINIFS('Activity map'!$M:$M, 'Activity map'!$A:$A, A38, 'Activity map'!$H:$H, "=TRUE") = 0, "n/a", MINIFS('Activity map'!$M:$M, 'Activity map'!$A:$A, A38, 'Activity map'!$H:$H, "=TRUE"))</f>
        <v>1</v>
      </c>
      <c r="J38" s="8">
        <f t="shared" si="3"/>
        <v>0.04</v>
      </c>
      <c r="K38" s="26">
        <f>IF(MINIFS('Activity map'!$L:$L, 'Activity map'!$A:$A, A38, 'Activity map'!$H:$H, "=TRUE") = 0, "n/a", MINIFS('Activity map'!$L:$L, 'Activity map'!$A:$A, A38, 'Activity map'!$H:$H, "=TRUE"))</f>
        <v>30</v>
      </c>
      <c r="L38" s="8">
        <f t="shared" si="4"/>
        <v>1.2</v>
      </c>
      <c r="M38" s="26">
        <f>MINIFS('Activity map'!$C:$C, 'Activity map'!$A:$A, $A38, 'Activity map'!$H:$H, "=TRUE", 'Activity map'!$K:$K, MINIFS('Activity map'!$K:$K, 'Activity map'!$A:$A, $A38, 'Activity map'!$H:$H, "=TRUE"))</f>
        <v>11849</v>
      </c>
      <c r="N38" s="26">
        <f>MINIFS('Activity map'!$C:$C, 'Activity map'!$A:$A, $A38, 'Activity map'!$H:$H, "=TRUE", 'Activity map'!$E:$E, $T38)</f>
        <v>11849</v>
      </c>
      <c r="O38" s="35">
        <f t="shared" si="5"/>
        <v>0.001666666667</v>
      </c>
      <c r="P38" s="30" t="str">
        <f>IF($M38=0, "-", VLOOKUP($M38, 'List of log slots'!$A:$C, 2, FALSE))</f>
        <v>Mark of grace</v>
      </c>
      <c r="Q38" s="31">
        <f>IFERROR(__xludf.DUMMYFUNCTION("IF(ISERROR(FILTER('Activity map'!$C:$C, ('Activity map'!$A:$A=$A38)*('Activity map'!$F:$F=FALSE))), 0, COUNTA(UNIQUE(FILTER('Activity map'!$C:$C, ('Activity map'!$A:$A=$A38)*('Activity map'!$F:$F=FALSE)))))"),7.0)</f>
        <v>7</v>
      </c>
      <c r="R38" s="31">
        <f>IFERROR(__xludf.DUMMYFUNCTION("IF(ISERROR(FILTER('Activity map'!$C:$C, 'Activity map'!$A:$A=$A38)), 0, COUNTA(UNIQUE(FILTER('Activity map'!$C:$C, 'Activity map'!$A:$A=$A38))))"),7.0)</f>
        <v>7</v>
      </c>
      <c r="S38" s="36">
        <f t="shared" si="6"/>
        <v>0</v>
      </c>
      <c r="T38" s="31">
        <f>IFERROR(__xludf.DUMMYFUNCTION("IF(ISERROR(FILTER('Activity map'!$E:$E, ('Activity map'!$A:$A=$A38)*('Activity map'!$F:$F=FALSE))), ""-"", MIN(UNIQUE(FILTER('Activity map'!$E:$E, ('Activity map'!$A:$A=$A38)*('Activity map'!$F:$F=FALSE)))))"),1.0)</f>
        <v>1</v>
      </c>
      <c r="U38" s="30" t="str">
        <f>IF($N38=0, "-", VLOOKUP($N38, 'List of log slots'!$A:$C, 2, FALSE))</f>
        <v>Mark of grace</v>
      </c>
    </row>
    <row r="39">
      <c r="A39" s="26">
        <v>210.0</v>
      </c>
      <c r="B39" s="23" t="str">
        <f>VLOOKUP($A39, 'Completion rates'!$A:$E, 2, FALSE)</f>
        <v>Killing elder custodian stalkers</v>
      </c>
      <c r="C39" s="26">
        <f>IF(Notes!$E$27, VLOOKUP($A39, 'Completion rates'!$A:$E, 4, FALSE), VLOOKUP($A39, 'Completion rates'!$A:$E, 3, FALSE))</f>
        <v>400</v>
      </c>
      <c r="D39" s="26">
        <f>VLOOKUP($A39, 'Completion rates'!$A:$E, 5, FALSE)</f>
        <v>0</v>
      </c>
      <c r="E39" s="28">
        <f>IF(SUMIFS('Activity map'!$O:$O, 'Activity map'!$A:$A, A39, 'Activity map'!$H:$H, "=TRUE") = 0, "n/a", 1/SUMIFS('Activity map'!$O:$O, 'Activity map'!$A:$A, A39, 'Activity map'!$H:$H, "=TRUE"))</f>
        <v>16.45753242</v>
      </c>
      <c r="F39" s="26">
        <f t="shared" si="1"/>
        <v>0.04114383106</v>
      </c>
      <c r="G39" s="26" t="str">
        <f>IF(MINIFS('Activity map'!$N:$N, 'Activity map'!$A:$A, A39, 'Activity map'!$H:$H, "=TRUE") = 0, "n/a", MINIFS('Activity map'!$N:$N, 'Activity map'!$A:$A, A39, 'Activity map'!$H:$H, "=TRUE"))</f>
        <v>n/a</v>
      </c>
      <c r="H39" s="8" t="str">
        <f t="shared" si="2"/>
        <v/>
      </c>
      <c r="I39" s="26" t="str">
        <f>IF(MINIFS('Activity map'!$M:$M, 'Activity map'!$A:$A, A39, 'Activity map'!$H:$H, "=TRUE") = 0, "n/a", MINIFS('Activity map'!$M:$M, 'Activity map'!$A:$A, A39, 'Activity map'!$H:$H, "=TRUE"))</f>
        <v>n/a</v>
      </c>
      <c r="J39" s="8" t="str">
        <f t="shared" si="3"/>
        <v/>
      </c>
      <c r="K39" s="26" t="str">
        <f>IF(MINIFS('Activity map'!$L:$L, 'Activity map'!$A:$A, A39, 'Activity map'!$H:$H, "=TRUE") = 0, "n/a", MINIFS('Activity map'!$L:$L, 'Activity map'!$A:$A, A39, 'Activity map'!$H:$H, "=TRUE"))</f>
        <v>n/a</v>
      </c>
      <c r="L39" s="8" t="str">
        <f t="shared" si="4"/>
        <v/>
      </c>
      <c r="M39" s="26">
        <f>MINIFS('Activity map'!$C:$C, 'Activity map'!$A:$A, $A39, 'Activity map'!$H:$H, "=TRUE", 'Activity map'!$K:$K, MINIFS('Activity map'!$K:$K, 'Activity map'!$A:$A, $A39, 'Activity map'!$H:$H, "=TRUE"))</f>
        <v>31086</v>
      </c>
      <c r="N39" s="26">
        <f>MINIFS('Activity map'!$C:$C, 'Activity map'!$A:$A, $A39, 'Activity map'!$H:$H, "=TRUE", 'Activity map'!$E:$E, $T39)</f>
        <v>10976</v>
      </c>
      <c r="O39" s="41">
        <f t="shared" si="5"/>
        <v>0.001714326294</v>
      </c>
      <c r="P39" s="30" t="str">
        <f>IF($M39=0, "-", VLOOKUP($M39, 'List of log slots'!$A:$C, 2, FALSE))</f>
        <v>Broken antler</v>
      </c>
      <c r="Q39" s="31">
        <f>IFERROR(__xludf.DUMMYFUNCTION("IF(ISERROR(FILTER('Activity map'!$C:$C, ('Activity map'!$A:$A=$A39)*('Activity map'!$F:$F=FALSE))), 0, COUNTA(UNIQUE(FILTER('Activity map'!$C:$C, ('Activity map'!$A:$A=$A39)*('Activity map'!$F:$F=FALSE)))))"),8.0)</f>
        <v>8</v>
      </c>
      <c r="R39" s="31">
        <f>IFERROR(__xludf.DUMMYFUNCTION("IF(ISERROR(FILTER('Activity map'!$C:$C, 'Activity map'!$A:$A=$A39)), 0, COUNTA(UNIQUE(FILTER('Activity map'!$C:$C, 'Activity map'!$A:$A=$A39))))"),8.0)</f>
        <v>8</v>
      </c>
      <c r="S39" s="69">
        <f t="shared" si="6"/>
        <v>0</v>
      </c>
      <c r="T39" s="31">
        <f>IFERROR(__xludf.DUMMYFUNCTION("IF(ISERROR(FILTER('Activity map'!$E:$E, ('Activity map'!$A:$A=$A39)*('Activity map'!$F:$F=FALSE))), ""-"", MIN(UNIQUE(FILTER('Activity map'!$E:$E, ('Activity map'!$A:$A=$A39)*('Activity map'!$F:$F=FALSE)))))"),3.0)</f>
        <v>3</v>
      </c>
      <c r="U39" s="30" t="str">
        <f>IF($N39=0, "-", VLOOKUP($N39, 'List of log slots'!$A:$C, 2, FALSE))</f>
        <v>Long bone</v>
      </c>
    </row>
    <row r="40">
      <c r="A40" s="26">
        <v>49.0</v>
      </c>
      <c r="B40" s="23" t="str">
        <f>VLOOKUP($A40, 'Completion rates'!$A:$E, 2, FALSE)</f>
        <v>Fishing from the reward pool (tempoross)</v>
      </c>
      <c r="C40" s="26">
        <f>IF(Notes!$E$27, VLOOKUP($A40, 'Completion rates'!$A:$E, 4, FALSE), VLOOKUP($A40, 'Completion rates'!$A:$E, 3, FALSE))</f>
        <v>80</v>
      </c>
      <c r="D40" s="26">
        <f>VLOOKUP($A40, 'Completion rates'!$A:$E, 5, FALSE)</f>
        <v>0</v>
      </c>
      <c r="E40" s="28">
        <f>IF(SUMIFS('Activity map'!$O:$O, 'Activity map'!$A:$A, A40, 'Activity map'!$H:$H, "=TRUE") = 0, "n/a", 1/SUMIFS('Activity map'!$O:$O, 'Activity map'!$A:$A, A40, 'Activity map'!$H:$H, "=TRUE"))</f>
        <v>3.63611878</v>
      </c>
      <c r="F40" s="26">
        <f t="shared" si="1"/>
        <v>0.04545148475</v>
      </c>
      <c r="G40" s="26">
        <f>IF(MINIFS('Activity map'!$N:$N, 'Activity map'!$A:$A, A40, 'Activity map'!$H:$H, "=TRUE") = 0, "n/a", MINIFS('Activity map'!$N:$N, 'Activity map'!$A:$A, A40, 'Activity map'!$H:$H, "=TRUE"))</f>
        <v>100</v>
      </c>
      <c r="H40" s="26">
        <f t="shared" si="2"/>
        <v>1.25</v>
      </c>
      <c r="I40" s="26" t="str">
        <f>IF(MINIFS('Activity map'!$M:$M, 'Activity map'!$A:$A, A40, 'Activity map'!$H:$H, "=TRUE") = 0, "n/a", MINIFS('Activity map'!$M:$M, 'Activity map'!$A:$A, A40, 'Activity map'!$H:$H, "=TRUE"))</f>
        <v>n/a</v>
      </c>
      <c r="J40" s="8" t="str">
        <f t="shared" si="3"/>
        <v/>
      </c>
      <c r="K40" s="26" t="str">
        <f>IF(MINIFS('Activity map'!$L:$L, 'Activity map'!$A:$A, A40, 'Activity map'!$H:$H, "=TRUE") = 0, "n/a", MINIFS('Activity map'!$L:$L, 'Activity map'!$A:$A, A40, 'Activity map'!$H:$H, "=TRUE"))</f>
        <v>n/a</v>
      </c>
      <c r="L40" s="8" t="str">
        <f t="shared" si="4"/>
        <v/>
      </c>
      <c r="M40" s="26">
        <f>MINIFS('Activity map'!$C:$C, 'Activity map'!$A:$A, $A40, 'Activity map'!$H:$H, "=TRUE", 'Activity map'!$K:$K, MINIFS('Activity map'!$K:$K, 'Activity map'!$A:$A, $A40, 'Activity map'!$H:$H, "=TRUE"))</f>
        <v>25588</v>
      </c>
      <c r="N40" s="26">
        <f>MINIFS('Activity map'!$C:$C, 'Activity map'!$A:$A, $A40, 'Activity map'!$H:$H, "=TRUE", 'Activity map'!$E:$E, $T40)</f>
        <v>25578</v>
      </c>
      <c r="O40" s="70">
        <f t="shared" si="5"/>
        <v>0.001893811865</v>
      </c>
      <c r="P40" s="30" t="str">
        <f>IF($M40=0, "-", VLOOKUP($M40, 'List of log slots'!$A:$C, 2, FALSE))</f>
        <v>Spirit flakes</v>
      </c>
      <c r="Q40" s="31">
        <f>IFERROR(__xludf.DUMMYFUNCTION("IF(ISERROR(FILTER('Activity map'!$C:$C, ('Activity map'!$A:$A=$A40)*('Activity map'!$F:$F=FALSE))), 0, COUNTA(UNIQUE(FILTER('Activity map'!$C:$C, ('Activity map'!$A:$A=$A40)*('Activity map'!$F:$F=FALSE)))))"),12.0)</f>
        <v>12</v>
      </c>
      <c r="R40" s="31">
        <f>IFERROR(__xludf.DUMMYFUNCTION("IF(ISERROR(FILTER('Activity map'!$C:$C, 'Activity map'!$A:$A=$A40)), 0, COUNTA(UNIQUE(FILTER('Activity map'!$C:$C, 'Activity map'!$A:$A=$A40))))"),12.0)</f>
        <v>12</v>
      </c>
      <c r="S40" s="71">
        <f t="shared" si="6"/>
        <v>0</v>
      </c>
      <c r="T40" s="31">
        <f>IFERROR(__xludf.DUMMYFUNCTION("IF(ISERROR(FILTER('Activity map'!$E:$E, ('Activity map'!$A:$A=$A40)*('Activity map'!$F:$F=FALSE))), ""-"", MIN(UNIQUE(FILTER('Activity map'!$E:$E, ('Activity map'!$A:$A=$A40)*('Activity map'!$F:$F=FALSE)))))"),2.0)</f>
        <v>2</v>
      </c>
      <c r="U40" s="30" t="str">
        <f>IF($N40=0, "-", VLOOKUP($N40, 'List of log slots'!$A:$C, 2, FALSE))</f>
        <v>Soaked page</v>
      </c>
    </row>
    <row r="41">
      <c r="A41" s="26">
        <v>202.0</v>
      </c>
      <c r="B41" s="23" t="str">
        <f>VLOOKUP($A41, 'Completion rates'!$A:$E, 2, FALSE)</f>
        <v>Opening larran's big chest</v>
      </c>
      <c r="C41" s="26">
        <f>IF(Notes!$E$27, VLOOKUP($A41, 'Completion rates'!$A:$E, 4, FALSE), VLOOKUP($A41, 'Completion rates'!$A:$E, 3, FALSE))</f>
        <v>1500</v>
      </c>
      <c r="D41" s="26">
        <f>VLOOKUP($A41, 'Completion rates'!$A:$E, 5, FALSE)</f>
        <v>0</v>
      </c>
      <c r="E41" s="28">
        <f>IF(SUMIFS('Activity map'!$O:$O, 'Activity map'!$A:$A, A41, 'Activity map'!$H:$H, "=TRUE") = 0, "n/a", 1/SUMIFS('Activity map'!$O:$O, 'Activity map'!$A:$A, A41, 'Activity map'!$H:$H, "=TRUE"))</f>
        <v>85.33333333</v>
      </c>
      <c r="F41" s="26">
        <f t="shared" si="1"/>
        <v>0.05688888889</v>
      </c>
      <c r="G41" s="26" t="str">
        <f>IF(MINIFS('Activity map'!$N:$N, 'Activity map'!$A:$A, A41, 'Activity map'!$H:$H, "=TRUE") = 0, "n/a", MINIFS('Activity map'!$N:$N, 'Activity map'!$A:$A, A41, 'Activity map'!$H:$H, "=TRUE"))</f>
        <v>n/a</v>
      </c>
      <c r="H41" s="8" t="str">
        <f t="shared" si="2"/>
        <v/>
      </c>
      <c r="I41" s="26" t="str">
        <f>IF(MINIFS('Activity map'!$M:$M, 'Activity map'!$A:$A, A41, 'Activity map'!$H:$H, "=TRUE") = 0, "n/a", MINIFS('Activity map'!$M:$M, 'Activity map'!$A:$A, A41, 'Activity map'!$H:$H, "=TRUE"))</f>
        <v>n/a</v>
      </c>
      <c r="J41" s="8" t="str">
        <f t="shared" si="3"/>
        <v/>
      </c>
      <c r="K41" s="26" t="str">
        <f>IF(MINIFS('Activity map'!$L:$L, 'Activity map'!$A:$A, A41, 'Activity map'!$H:$H, "=TRUE") = 0, "n/a", MINIFS('Activity map'!$L:$L, 'Activity map'!$A:$A, A41, 'Activity map'!$H:$H, "=TRUE"))</f>
        <v>n/a</v>
      </c>
      <c r="L41" s="8" t="str">
        <f t="shared" si="4"/>
        <v/>
      </c>
      <c r="M41" s="26">
        <f>MINIFS('Activity map'!$C:$C, 'Activity map'!$A:$A, $A41, 'Activity map'!$H:$H, "=TRUE", 'Activity map'!$K:$K, MINIFS('Activity map'!$K:$K, 'Activity map'!$A:$A, $A41, 'Activity map'!$H:$H, "=TRUE"))</f>
        <v>24288</v>
      </c>
      <c r="N41" s="26">
        <f>MINIFS('Activity map'!$C:$C, 'Activity map'!$A:$A, $A41, 'Activity map'!$H:$H, "=TRUE", 'Activity map'!$E:$E, $T41)</f>
        <v>24288</v>
      </c>
      <c r="O41" s="41">
        <f t="shared" si="5"/>
        <v>0.00237037037</v>
      </c>
      <c r="P41" s="30" t="str">
        <f>IF($M41=0, "-", VLOOKUP($M41, 'List of log slots'!$A:$C, 2, FALSE))</f>
        <v>Dagon'hai hat</v>
      </c>
      <c r="Q41" s="31">
        <f>IFERROR(__xludf.DUMMYFUNCTION("IF(ISERROR(FILTER('Activity map'!$C:$C, ('Activity map'!$A:$A=$A41)*('Activity map'!$F:$F=FALSE))), 0, COUNTA(UNIQUE(FILTER('Activity map'!$C:$C, ('Activity map'!$A:$A=$A41)*('Activity map'!$F:$F=FALSE)))))"),3.0)</f>
        <v>3</v>
      </c>
      <c r="R41" s="31">
        <f>IFERROR(__xludf.DUMMYFUNCTION("IF(ISERROR(FILTER('Activity map'!$C:$C, 'Activity map'!$A:$A=$A41)), 0, COUNTA(UNIQUE(FILTER('Activity map'!$C:$C, 'Activity map'!$A:$A=$A41))))"),3.0)</f>
        <v>3</v>
      </c>
      <c r="S41" s="72">
        <f t="shared" si="6"/>
        <v>0</v>
      </c>
      <c r="T41" s="31">
        <f>IFERROR(__xludf.DUMMYFUNCTION("IF(ISERROR(FILTER('Activity map'!$E:$E, ('Activity map'!$A:$A=$A41)*('Activity map'!$F:$F=FALSE))), ""-"", MIN(UNIQUE(FILTER('Activity map'!$E:$E, ('Activity map'!$A:$A=$A41)*('Activity map'!$F:$F=FALSE)))))"),6.0)</f>
        <v>6</v>
      </c>
      <c r="U41" s="30" t="str">
        <f>IF($N41=0, "-", VLOOKUP($N41, 'List of log slots'!$A:$C, 2, FALSE))</f>
        <v>Dagon'hai hat</v>
      </c>
    </row>
    <row r="42">
      <c r="A42" s="26">
        <v>99.0</v>
      </c>
      <c r="B42" s="23" t="str">
        <f>VLOOKUP($A42, 'Completion rates'!$A:$E, 2, FALSE)</f>
        <v>Rummaging vale offerings (vale totems)</v>
      </c>
      <c r="C42" s="26">
        <f>IF(Notes!$E$27, VLOOKUP($A42, 'Completion rates'!$A:$E, 4, FALSE), VLOOKUP($A42, 'Completion rates'!$A:$E, 3, FALSE))</f>
        <v>90</v>
      </c>
      <c r="D42" s="26">
        <f>VLOOKUP($A42, 'Completion rates'!$A:$E, 5, FALSE)</f>
        <v>0</v>
      </c>
      <c r="E42" s="28">
        <f>IF(SUMIFS('Activity map'!$O:$O, 'Activity map'!$A:$A, A42, 'Activity map'!$H:$H, "=TRUE") = 0, "n/a", 1/SUMIFS('Activity map'!$O:$O, 'Activity map'!$A:$A, A42, 'Activity map'!$H:$H, "=TRUE"))</f>
        <v>5.664958187</v>
      </c>
      <c r="F42" s="8">
        <f t="shared" si="1"/>
        <v>0.06294397986</v>
      </c>
      <c r="G42" s="26" t="str">
        <f>IF(MINIFS('Activity map'!$N:$N, 'Activity map'!$A:$A, A42, 'Activity map'!$H:$H, "=TRUE") = 0, "n/a", MINIFS('Activity map'!$N:$N, 'Activity map'!$A:$A, A42, 'Activity map'!$H:$H, "=TRUE"))</f>
        <v>n/a</v>
      </c>
      <c r="H42" s="8" t="str">
        <f t="shared" si="2"/>
        <v/>
      </c>
      <c r="I42" s="26" t="str">
        <f>IF(MINIFS('Activity map'!$M:$M, 'Activity map'!$A:$A, A42, 'Activity map'!$H:$H, "=TRUE") = 0, "n/a", MINIFS('Activity map'!$M:$M, 'Activity map'!$A:$A, A42, 'Activity map'!$H:$H, "=TRUE"))</f>
        <v>n/a</v>
      </c>
      <c r="J42" s="8" t="str">
        <f t="shared" si="3"/>
        <v/>
      </c>
      <c r="K42" s="26" t="str">
        <f>IF(MINIFS('Activity map'!$L:$L, 'Activity map'!$A:$A, A42, 'Activity map'!$H:$H, "=TRUE") = 0, "n/a", MINIFS('Activity map'!$L:$L, 'Activity map'!$A:$A, A42, 'Activity map'!$H:$H, "=TRUE"))</f>
        <v>n/a</v>
      </c>
      <c r="L42" s="8" t="str">
        <f t="shared" si="4"/>
        <v/>
      </c>
      <c r="M42" s="26">
        <f>MINIFS('Activity map'!$C:$C, 'Activity map'!$A:$A, $A42, 'Activity map'!$H:$H, "=TRUE", 'Activity map'!$K:$K, MINIFS('Activity map'!$K:$K, 'Activity map'!$A:$A, $A42, 'Activity map'!$H:$H, "=TRUE"))</f>
        <v>31032</v>
      </c>
      <c r="N42" s="26">
        <f>MINIFS('Activity map'!$C:$C, 'Activity map'!$A:$A, $A42, 'Activity map'!$H:$H, "=TRUE", 'Activity map'!$E:$E, $T42)</f>
        <v>31032</v>
      </c>
      <c r="O42" s="35">
        <f t="shared" si="5"/>
        <v>0.002622665827</v>
      </c>
      <c r="P42" s="30" t="str">
        <f>IF($M42=0, "-", VLOOKUP($M42, 'List of log slots'!$A:$C, 2, FALSE))</f>
        <v>Ent branch</v>
      </c>
      <c r="Q42" s="31">
        <f>IFERROR(__xludf.DUMMYFUNCTION("IF(ISERROR(FILTER('Activity map'!$C:$C, ('Activity map'!$A:$A=$A42)*('Activity map'!$F:$F=FALSE))), 0, COUNTA(UNIQUE(FILTER('Activity map'!$C:$C, ('Activity map'!$A:$A=$A42)*('Activity map'!$F:$F=FALSE)))))"),4.0)</f>
        <v>4</v>
      </c>
      <c r="R42" s="31">
        <f>IFERROR(__xludf.DUMMYFUNCTION("IF(ISERROR(FILTER('Activity map'!$C:$C, 'Activity map'!$A:$A=$A42)), 0, COUNTA(UNIQUE(FILTER('Activity map'!$C:$C, 'Activity map'!$A:$A=$A42))))"),4.0)</f>
        <v>4</v>
      </c>
      <c r="S42" s="36">
        <f t="shared" si="6"/>
        <v>0</v>
      </c>
      <c r="T42" s="31">
        <f>IFERROR(__xludf.DUMMYFUNCTION("IF(ISERROR(FILTER('Activity map'!$E:$E, ('Activity map'!$A:$A=$A42)*('Activity map'!$F:$F=FALSE))), ""-"", MIN(UNIQUE(FILTER('Activity map'!$E:$E, ('Activity map'!$A:$A=$A42)*('Activity map'!$F:$F=FALSE)))))"),1.0)</f>
        <v>1</v>
      </c>
      <c r="U42" s="30" t="str">
        <f>IF($N42=0, "-", VLOOKUP($N42, 'List of log slots'!$A:$C, 2, FALSE))</f>
        <v>Ent branch</v>
      </c>
    </row>
    <row r="43">
      <c r="A43" s="26">
        <v>234.0</v>
      </c>
      <c r="B43" s="23" t="str">
        <f>VLOOKUP($A43, 'Completion rates'!$A:$E, 2, FALSE)</f>
        <v>Killing minotaurs (stronghold of security)</v>
      </c>
      <c r="C43" s="26">
        <f>IF(Notes!$E$27, VLOOKUP($A43, 'Completion rates'!$A:$E, 4, FALSE), VLOOKUP($A43, 'Completion rates'!$A:$E, 3, FALSE))</f>
        <v>500</v>
      </c>
      <c r="D43" s="26">
        <f>VLOOKUP($A43, 'Completion rates'!$A:$E, 5, FALSE)</f>
        <v>0</v>
      </c>
      <c r="E43" s="28">
        <f>IF(SUMIFS('Activity map'!$O:$O, 'Activity map'!$A:$A, A43, 'Activity map'!$H:$H, "=TRUE") = 0, "n/a", 1/SUMIFS('Activity map'!$O:$O, 'Activity map'!$A:$A, A43, 'Activity map'!$H:$H, "=TRUE"))</f>
        <v>34</v>
      </c>
      <c r="F43" s="8">
        <f t="shared" si="1"/>
        <v>0.068</v>
      </c>
      <c r="G43" s="26" t="str">
        <f>IF(MINIFS('Activity map'!$N:$N, 'Activity map'!$A:$A, A43, 'Activity map'!$H:$H, "=TRUE") = 0, "n/a", MINIFS('Activity map'!$N:$N, 'Activity map'!$A:$A, A43, 'Activity map'!$H:$H, "=TRUE"))</f>
        <v>n/a</v>
      </c>
      <c r="H43" s="8" t="str">
        <f t="shared" si="2"/>
        <v/>
      </c>
      <c r="I43" s="26" t="str">
        <f>IF(MINIFS('Activity map'!$M:$M, 'Activity map'!$A:$A, A43, 'Activity map'!$H:$H, "=TRUE") = 0, "n/a", MINIFS('Activity map'!$M:$M, 'Activity map'!$A:$A, A43, 'Activity map'!$H:$H, "=TRUE"))</f>
        <v>n/a</v>
      </c>
      <c r="J43" s="8" t="str">
        <f t="shared" si="3"/>
        <v/>
      </c>
      <c r="K43" s="26" t="str">
        <f>IF(MINIFS('Activity map'!$L:$L, 'Activity map'!$A:$A, A43, 'Activity map'!$H:$H, "=TRUE") = 0, "n/a", MINIFS('Activity map'!$L:$L, 'Activity map'!$A:$A, A43, 'Activity map'!$H:$H, "=TRUE"))</f>
        <v>n/a</v>
      </c>
      <c r="L43" s="8" t="str">
        <f t="shared" si="4"/>
        <v/>
      </c>
      <c r="M43" s="26">
        <f>MINIFS('Activity map'!$C:$C, 'Activity map'!$A:$A, $A43, 'Activity map'!$H:$H, "=TRUE", 'Activity map'!$K:$K, MINIFS('Activity map'!$K:$K, 'Activity map'!$A:$A, $A43, 'Activity map'!$H:$H, "=TRUE"))</f>
        <v>9007</v>
      </c>
      <c r="N43" s="26">
        <f>MINIFS('Activity map'!$C:$C, 'Activity map'!$A:$A, $A43, 'Activity map'!$H:$H, "=TRUE", 'Activity map'!$E:$E, $T43)</f>
        <v>9007</v>
      </c>
      <c r="O43" s="35">
        <f t="shared" si="5"/>
        <v>0.002833333333</v>
      </c>
      <c r="P43" s="30" t="str">
        <f>IF($M43=0, "-", VLOOKUP($M43, 'List of log slots'!$A:$C, 2, FALSE))</f>
        <v>Right skull half</v>
      </c>
      <c r="Q43" s="31">
        <f>IFERROR(__xludf.DUMMYFUNCTION("IF(ISERROR(FILTER('Activity map'!$C:$C, ('Activity map'!$A:$A=$A43)*('Activity map'!$F:$F=FALSE))), 0, COUNTA(UNIQUE(FILTER('Activity map'!$C:$C, ('Activity map'!$A:$A=$A43)*('Activity map'!$F:$F=FALSE)))))"),1.0)</f>
        <v>1</v>
      </c>
      <c r="R43" s="31">
        <f>IFERROR(__xludf.DUMMYFUNCTION("IF(ISERROR(FILTER('Activity map'!$C:$C, 'Activity map'!$A:$A=$A43)), 0, COUNTA(UNIQUE(FILTER('Activity map'!$C:$C, 'Activity map'!$A:$A=$A43))))"),1.0)</f>
        <v>1</v>
      </c>
      <c r="S43" s="36">
        <f t="shared" si="6"/>
        <v>0</v>
      </c>
      <c r="T43" s="31">
        <f>IFERROR(__xludf.DUMMYFUNCTION("IF(ISERROR(FILTER('Activity map'!$E:$E, ('Activity map'!$A:$A=$A43)*('Activity map'!$F:$F=FALSE))), ""-"", MIN(UNIQUE(FILTER('Activity map'!$E:$E, ('Activity map'!$A:$A=$A43)*('Activity map'!$F:$F=FALSE)))))"),2.0)</f>
        <v>2</v>
      </c>
      <c r="U43" s="30" t="str">
        <f>IF($N43=0, "-", VLOOKUP($N43, 'List of log slots'!$A:$C, 2, FALSE))</f>
        <v>Right skull half</v>
      </c>
    </row>
    <row r="44">
      <c r="A44" s="26">
        <v>187.0</v>
      </c>
      <c r="B44" s="23" t="str">
        <f>VLOOKUP($A44, 'Completion rates'!$A:$E, 2, FALSE)</f>
        <v>Killing warped jellies</v>
      </c>
      <c r="C44" s="26">
        <f>IF(Notes!$E$27, VLOOKUP($A44, 'Completion rates'!$A:$E, 4, FALSE), VLOOKUP($A44, 'Completion rates'!$A:$E, 3, FALSE))</f>
        <v>650</v>
      </c>
      <c r="D44" s="26">
        <f>VLOOKUP($A44, 'Completion rates'!$A:$E, 5, FALSE)</f>
        <v>0</v>
      </c>
      <c r="E44" s="28">
        <f>IF(SUMIFS('Activity map'!$O:$O, 'Activity map'!$A:$A, A44, 'Activity map'!$H:$H, "=TRUE") = 0, "n/a", 1/SUMIFS('Activity map'!$O:$O, 'Activity map'!$A:$A, A44, 'Activity map'!$H:$H, "=TRUE"))</f>
        <v>44.28149666</v>
      </c>
      <c r="F44" s="8">
        <f t="shared" si="1"/>
        <v>0.06812537947</v>
      </c>
      <c r="G44" s="26" t="str">
        <f>IF(MINIFS('Activity map'!$N:$N, 'Activity map'!$A:$A, A44, 'Activity map'!$H:$H, "=TRUE") = 0, "n/a", MINIFS('Activity map'!$N:$N, 'Activity map'!$A:$A, A44, 'Activity map'!$H:$H, "=TRUE"))</f>
        <v>n/a</v>
      </c>
      <c r="H44" s="8" t="str">
        <f t="shared" si="2"/>
        <v/>
      </c>
      <c r="I44" s="26" t="str">
        <f>IF(MINIFS('Activity map'!$M:$M, 'Activity map'!$A:$A, A44, 'Activity map'!$H:$H, "=TRUE") = 0, "n/a", MINIFS('Activity map'!$M:$M, 'Activity map'!$A:$A, A44, 'Activity map'!$H:$H, "=TRUE"))</f>
        <v>n/a</v>
      </c>
      <c r="J44" s="8" t="str">
        <f t="shared" si="3"/>
        <v/>
      </c>
      <c r="K44" s="26" t="str">
        <f>IF(MINIFS('Activity map'!$L:$L, 'Activity map'!$A:$A, A44, 'Activity map'!$H:$H, "=TRUE") = 0, "n/a", MINIFS('Activity map'!$L:$L, 'Activity map'!$A:$A, A44, 'Activity map'!$H:$H, "=TRUE"))</f>
        <v>n/a</v>
      </c>
      <c r="L44" s="8" t="str">
        <f t="shared" si="4"/>
        <v/>
      </c>
      <c r="M44" s="26">
        <f>MINIFS('Activity map'!$C:$C, 'Activity map'!$A:$A, $A44, 'Activity map'!$H:$H, "=TRUE", 'Activity map'!$K:$K, MINIFS('Activity map'!$K:$K, 'Activity map'!$A:$A, $A44, 'Activity map'!$H:$H, "=TRUE"))</f>
        <v>4127</v>
      </c>
      <c r="N44" s="26">
        <f>MINIFS('Activity map'!$C:$C, 'Activity map'!$A:$A, $A44, 'Activity map'!$H:$H, "=TRUE", 'Activity map'!$E:$E, $T44)</f>
        <v>4127</v>
      </c>
      <c r="O44" s="35">
        <f t="shared" si="5"/>
        <v>0.002838557478</v>
      </c>
      <c r="P44" s="30" t="str">
        <f>IF($M44=0, "-", VLOOKUP($M44, 'List of log slots'!$A:$C, 2, FALSE))</f>
        <v>Mithril boots</v>
      </c>
      <c r="Q44" s="31">
        <f>IFERROR(__xludf.DUMMYFUNCTION("IF(ISERROR(FILTER('Activity map'!$C:$C, ('Activity map'!$A:$A=$A44)*('Activity map'!$F:$F=FALSE))), 0, COUNTA(UNIQUE(FILTER('Activity map'!$C:$C, ('Activity map'!$A:$A=$A44)*('Activity map'!$F:$F=FALSE)))))"),7.0)</f>
        <v>7</v>
      </c>
      <c r="R44" s="31">
        <f>IFERROR(__xludf.DUMMYFUNCTION("IF(ISERROR(FILTER('Activity map'!$C:$C, 'Activity map'!$A:$A=$A44)), 0, COUNTA(UNIQUE(FILTER('Activity map'!$C:$C, 'Activity map'!$A:$A=$A44))))"),7.0)</f>
        <v>7</v>
      </c>
      <c r="S44" s="36">
        <f t="shared" si="6"/>
        <v>0</v>
      </c>
      <c r="T44" s="31">
        <f>IFERROR(__xludf.DUMMYFUNCTION("IF(ISERROR(FILTER('Activity map'!$E:$E, ('Activity map'!$A:$A=$A44)*('Activity map'!$F:$F=FALSE))), ""-"", MIN(UNIQUE(FILTER('Activity map'!$E:$E, ('Activity map'!$A:$A=$A44)*('Activity map'!$F:$F=FALSE)))))"),3.0)</f>
        <v>3</v>
      </c>
      <c r="U44" s="30" t="str">
        <f>IF($N44=0, "-", VLOOKUP($N44, 'List of log slots'!$A:$C, 2, FALSE))</f>
        <v>Mithril boots</v>
      </c>
    </row>
    <row r="45">
      <c r="A45" s="26">
        <v>116.0</v>
      </c>
      <c r="B45" s="23" t="str">
        <f>VLOOKUP($A45, 'Completion rates'!$A:$E, 2, FALSE)</f>
        <v>Killing chompies</v>
      </c>
      <c r="C45" s="26">
        <f>IF(Notes!$E$27, VLOOKUP($A45, 'Completion rates'!$A:$E, 4, FALSE), VLOOKUP($A45, 'Completion rates'!$A:$E, 3, FALSE))</f>
        <v>400</v>
      </c>
      <c r="D45" s="26">
        <f>VLOOKUP($A45, 'Completion rates'!$A:$E, 5, FALSE)</f>
        <v>0</v>
      </c>
      <c r="E45" s="28">
        <f>IF(SUMIFS('Activity map'!$O:$O, 'Activity map'!$A:$A, A45, 'Activity map'!$H:$H, "=TRUE") = 0, "n/a", 1/SUMIFS('Activity map'!$O:$O, 'Activity map'!$A:$A, A45, 'Activity map'!$H:$H, "=TRUE"))</f>
        <v>500</v>
      </c>
      <c r="F45" s="26">
        <f t="shared" si="1"/>
        <v>1.25</v>
      </c>
      <c r="G45" s="26" t="str">
        <f>IF(MINIFS('Activity map'!$N:$N, 'Activity map'!$A:$A, A45, 'Activity map'!$H:$H, "=TRUE") = 0, "n/a", MINIFS('Activity map'!$N:$N, 'Activity map'!$A:$A, A45, 'Activity map'!$H:$H, "=TRUE"))</f>
        <v>n/a</v>
      </c>
      <c r="H45" s="8" t="str">
        <f t="shared" si="2"/>
        <v/>
      </c>
      <c r="I45" s="26">
        <f>IF(MINIFS('Activity map'!$M:$M, 'Activity map'!$A:$A, A45, 'Activity map'!$H:$H, "=TRUE") = 0, "n/a", MINIFS('Activity map'!$M:$M, 'Activity map'!$A:$A, A45, 'Activity map'!$H:$H, "=TRUE"))</f>
        <v>30</v>
      </c>
      <c r="J45" s="26">
        <f t="shared" si="3"/>
        <v>0.075</v>
      </c>
      <c r="K45" s="26" t="str">
        <f>IF(MINIFS('Activity map'!$L:$L, 'Activity map'!$A:$A, A45, 'Activity map'!$H:$H, "=TRUE") = 0, "n/a", MINIFS('Activity map'!$L:$L, 'Activity map'!$A:$A, A45, 'Activity map'!$H:$H, "=TRUE"))</f>
        <v>n/a</v>
      </c>
      <c r="L45" s="8" t="str">
        <f t="shared" si="4"/>
        <v/>
      </c>
      <c r="M45" s="26">
        <f>MINIFS('Activity map'!$C:$C, 'Activity map'!$A:$A, $A45, 'Activity map'!$H:$H, "=TRUE", 'Activity map'!$K:$K, MINIFS('Activity map'!$K:$K, 'Activity map'!$A:$A, $A45, 'Activity map'!$H:$H, "=TRUE"))</f>
        <v>2978</v>
      </c>
      <c r="N45" s="26">
        <f>MINIFS('Activity map'!$C:$C, 'Activity map'!$A:$A, $A45, 'Activity map'!$H:$H, "=TRUE", 'Activity map'!$E:$E, $T45)</f>
        <v>2978</v>
      </c>
      <c r="O45" s="73">
        <f t="shared" si="5"/>
        <v>0.003125</v>
      </c>
      <c r="P45" s="30" t="str">
        <f>IF($M45=0, "-", VLOOKUP($M45, 'List of log slots'!$A:$C, 2, FALSE))</f>
        <v>Chompy bird hat</v>
      </c>
      <c r="Q45" s="31">
        <f>IFERROR(__xludf.DUMMYFUNCTION("IF(ISERROR(FILTER('Activity map'!$C:$C, ('Activity map'!$A:$A=$A45)*('Activity map'!$F:$F=FALSE))), 0, COUNTA(UNIQUE(FILTER('Activity map'!$C:$C, ('Activity map'!$A:$A=$A45)*('Activity map'!$F:$F=FALSE)))))"),19.0)</f>
        <v>19</v>
      </c>
      <c r="R45" s="31">
        <f>IFERROR(__xludf.DUMMYFUNCTION("IF(ISERROR(FILTER('Activity map'!$C:$C, 'Activity map'!$A:$A=$A45)), 0, COUNTA(UNIQUE(FILTER('Activity map'!$C:$C, 'Activity map'!$A:$A=$A45))))"),19.0)</f>
        <v>19</v>
      </c>
      <c r="S45" s="74">
        <f t="shared" si="6"/>
        <v>0</v>
      </c>
      <c r="T45" s="31">
        <f>IFERROR(__xludf.DUMMYFUNCTION("IF(ISERROR(FILTER('Activity map'!$E:$E, ('Activity map'!$A:$A=$A45)*('Activity map'!$F:$F=FALSE))), ""-"", MIN(UNIQUE(FILTER('Activity map'!$E:$E, ('Activity map'!$A:$A=$A45)*('Activity map'!$F:$F=FALSE)))))"),2.0)</f>
        <v>2</v>
      </c>
      <c r="U45" s="30" t="str">
        <f>IF($N45=0, "-", VLOOKUP($N45, 'List of log slots'!$A:$C, 2, FALSE))</f>
        <v>Chompy bird hat</v>
      </c>
    </row>
    <row r="46">
      <c r="A46" s="26">
        <v>130.0</v>
      </c>
      <c r="B46" s="23" t="str">
        <f>VLOOKUP($A46, 'Completion rates'!$A:$E, 2, FALSE)</f>
        <v>Exploring sailing islands</v>
      </c>
      <c r="C46" s="26">
        <f>IF(Notes!$E$27, VLOOKUP($A46, 'Completion rates'!$A:$E, 4, FALSE), VLOOKUP($A46, 'Completion rates'!$A:$E, 3, FALSE))</f>
        <v>12</v>
      </c>
      <c r="D46" s="26">
        <f>VLOOKUP($A46, 'Completion rates'!$A:$E, 5, FALSE)</f>
        <v>0</v>
      </c>
      <c r="E46" s="28" t="str">
        <f>IF(SUMIFS('Activity map'!$O:$O, 'Activity map'!$A:$A, A46, 'Activity map'!$H:$H, "=TRUE") = 0, "n/a", 1/SUMIFS('Activity map'!$O:$O, 'Activity map'!$A:$A, A46, 'Activity map'!$H:$H, "=TRUE"))</f>
        <v>n/a</v>
      </c>
      <c r="F46" s="8" t="str">
        <f t="shared" si="1"/>
        <v/>
      </c>
      <c r="G46" s="26" t="str">
        <f>IF(MINIFS('Activity map'!$N:$N, 'Activity map'!$A:$A, A46, 'Activity map'!$H:$H, "=TRUE") = 0, "n/a", MINIFS('Activity map'!$N:$N, 'Activity map'!$A:$A, A46, 'Activity map'!$H:$H, "=TRUE"))</f>
        <v>n/a</v>
      </c>
      <c r="H46" s="8" t="str">
        <f t="shared" si="2"/>
        <v/>
      </c>
      <c r="I46" s="26" t="str">
        <f>IF(MINIFS('Activity map'!$M:$M, 'Activity map'!$A:$A, A46, 'Activity map'!$H:$H, "=TRUE") = 0, "n/a", MINIFS('Activity map'!$M:$M, 'Activity map'!$A:$A, A46, 'Activity map'!$H:$H, "=TRUE"))</f>
        <v>n/a</v>
      </c>
      <c r="J46" s="8" t="str">
        <f t="shared" si="3"/>
        <v/>
      </c>
      <c r="K46" s="26">
        <f>IF(MINIFS('Activity map'!$L:$L, 'Activity map'!$A:$A, A46, 'Activity map'!$H:$H, "=TRUE") = 0, "n/a", MINIFS('Activity map'!$L:$L, 'Activity map'!$A:$A, A46, 'Activity map'!$H:$H, "=TRUE"))</f>
        <v>1</v>
      </c>
      <c r="L46" s="26">
        <f t="shared" si="4"/>
        <v>0.08333333333</v>
      </c>
      <c r="M46" s="26">
        <f>MINIFS('Activity map'!$C:$C, 'Activity map'!$A:$A, $A46, 'Activity map'!$H:$H, "=TRUE", 'Activity map'!$K:$K, MINIFS('Activity map'!$K:$K, 'Activity map'!$A:$A, $A46, 'Activity map'!$H:$H, "=TRUE"))</f>
        <v>32102</v>
      </c>
      <c r="N46" s="26">
        <f>MINIFS('Activity map'!$C:$C, 'Activity map'!$A:$A, $A46, 'Activity map'!$H:$H, "=TRUE", 'Activity map'!$E:$E, $T46)</f>
        <v>32104</v>
      </c>
      <c r="O46" s="62">
        <f t="shared" si="5"/>
        <v>0.003472222222</v>
      </c>
      <c r="P46" s="30" t="str">
        <f>IF($M46=0, "-", VLOOKUP($M46, 'List of log slots'!$A:$C, 2, FALSE))</f>
        <v>Armadylean paint</v>
      </c>
      <c r="Q46" s="31">
        <f>IFERROR(__xludf.DUMMYFUNCTION("IF(ISERROR(FILTER('Activity map'!$C:$C, ('Activity map'!$A:$A=$A46)*('Activity map'!$F:$F=FALSE))), 0, COUNTA(UNIQUE(FILTER('Activity map'!$C:$C, ('Activity map'!$A:$A=$A46)*('Activity map'!$F:$F=FALSE)))))"),24.0)</f>
        <v>24</v>
      </c>
      <c r="R46" s="31">
        <f>IFERROR(__xludf.DUMMYFUNCTION("IF(ISERROR(FILTER('Activity map'!$C:$C, 'Activity map'!$A:$A=$A46)), 0, COUNTA(UNIQUE(FILTER('Activity map'!$C:$C, 'Activity map'!$A:$A=$A46))))"),24.0)</f>
        <v>24</v>
      </c>
      <c r="S46" s="32">
        <f t="shared" si="6"/>
        <v>0</v>
      </c>
      <c r="T46" s="31">
        <f>IFERROR(__xludf.DUMMYFUNCTION("IF(ISERROR(FILTER('Activity map'!$E:$E, ('Activity map'!$A:$A=$A46)*('Activity map'!$F:$F=FALSE))), ""-"", MIN(UNIQUE(FILTER('Activity map'!$E:$E, ('Activity map'!$A:$A=$A46)*('Activity map'!$F:$F=FALSE)))))"),2.0)</f>
        <v>2</v>
      </c>
      <c r="U46" s="30" t="str">
        <f>IF($N46=0, "-", VLOOKUP($N46, 'List of log slots'!$A:$C, 2, FALSE))</f>
        <v>Zamorakian paint</v>
      </c>
    </row>
    <row r="47">
      <c r="A47" s="26">
        <v>235.0</v>
      </c>
      <c r="B47" s="23" t="str">
        <f>VLOOKUP($A47, 'Completion rates'!$A:$E, 2, FALSE)</f>
        <v>Killing flesh crawlers (stronghold of security)</v>
      </c>
      <c r="C47" s="26">
        <f>IF(Notes!$E$27, VLOOKUP($A47, 'Completion rates'!$A:$E, 4, FALSE), VLOOKUP($A47, 'Completion rates'!$A:$E, 3, FALSE))</f>
        <v>400</v>
      </c>
      <c r="D47" s="26">
        <f>VLOOKUP($A47, 'Completion rates'!$A:$E, 5, FALSE)</f>
        <v>0</v>
      </c>
      <c r="E47" s="28">
        <f>IF(SUMIFS('Activity map'!$O:$O, 'Activity map'!$A:$A, A47, 'Activity map'!$H:$H, "=TRUE") = 0, "n/a", 1/SUMIFS('Activity map'!$O:$O, 'Activity map'!$A:$A, A47, 'Activity map'!$H:$H, "=TRUE"))</f>
        <v>34</v>
      </c>
      <c r="F47" s="8">
        <f t="shared" si="1"/>
        <v>0.085</v>
      </c>
      <c r="G47" s="26" t="str">
        <f>IF(MINIFS('Activity map'!$N:$N, 'Activity map'!$A:$A, A47, 'Activity map'!$H:$H, "=TRUE") = 0, "n/a", MINIFS('Activity map'!$N:$N, 'Activity map'!$A:$A, A47, 'Activity map'!$H:$H, "=TRUE"))</f>
        <v>n/a</v>
      </c>
      <c r="H47" s="8" t="str">
        <f t="shared" si="2"/>
        <v/>
      </c>
      <c r="I47" s="26" t="str">
        <f>IF(MINIFS('Activity map'!$M:$M, 'Activity map'!$A:$A, A47, 'Activity map'!$H:$H, "=TRUE") = 0, "n/a", MINIFS('Activity map'!$M:$M, 'Activity map'!$A:$A, A47, 'Activity map'!$H:$H, "=TRUE"))</f>
        <v>n/a</v>
      </c>
      <c r="J47" s="8" t="str">
        <f t="shared" si="3"/>
        <v/>
      </c>
      <c r="K47" s="26" t="str">
        <f>IF(MINIFS('Activity map'!$L:$L, 'Activity map'!$A:$A, A47, 'Activity map'!$H:$H, "=TRUE") = 0, "n/a", MINIFS('Activity map'!$L:$L, 'Activity map'!$A:$A, A47, 'Activity map'!$H:$H, "=TRUE"))</f>
        <v>n/a</v>
      </c>
      <c r="L47" s="8" t="str">
        <f t="shared" si="4"/>
        <v/>
      </c>
      <c r="M47" s="26">
        <f>MINIFS('Activity map'!$C:$C, 'Activity map'!$A:$A, $A47, 'Activity map'!$H:$H, "=TRUE", 'Activity map'!$K:$K, MINIFS('Activity map'!$K:$K, 'Activity map'!$A:$A, $A47, 'Activity map'!$H:$H, "=TRUE"))</f>
        <v>9011</v>
      </c>
      <c r="N47" s="26">
        <f>MINIFS('Activity map'!$C:$C, 'Activity map'!$A:$A, $A47, 'Activity map'!$H:$H, "=TRUE", 'Activity map'!$E:$E, $T47)</f>
        <v>9011</v>
      </c>
      <c r="O47" s="35">
        <f t="shared" si="5"/>
        <v>0.003541666667</v>
      </c>
      <c r="P47" s="30" t="str">
        <f>IF($M47=0, "-", VLOOKUP($M47, 'List of log slots'!$A:$C, 2, FALSE))</f>
        <v>Bottom of sceptre</v>
      </c>
      <c r="Q47" s="31">
        <f>IFERROR(__xludf.DUMMYFUNCTION("IF(ISERROR(FILTER('Activity map'!$C:$C, ('Activity map'!$A:$A=$A47)*('Activity map'!$F:$F=FALSE))), 0, COUNTA(UNIQUE(FILTER('Activity map'!$C:$C, ('Activity map'!$A:$A=$A47)*('Activity map'!$F:$F=FALSE)))))"),1.0)</f>
        <v>1</v>
      </c>
      <c r="R47" s="31">
        <f>IFERROR(__xludf.DUMMYFUNCTION("IF(ISERROR(FILTER('Activity map'!$C:$C, 'Activity map'!$A:$A=$A47)), 0, COUNTA(UNIQUE(FILTER('Activity map'!$C:$C, 'Activity map'!$A:$A=$A47))))"),1.0)</f>
        <v>1</v>
      </c>
      <c r="S47" s="36">
        <f t="shared" si="6"/>
        <v>0</v>
      </c>
      <c r="T47" s="31">
        <f>IFERROR(__xludf.DUMMYFUNCTION("IF(ISERROR(FILTER('Activity map'!$E:$E, ('Activity map'!$A:$A=$A47)*('Activity map'!$F:$F=FALSE))), ""-"", MIN(UNIQUE(FILTER('Activity map'!$E:$E, ('Activity map'!$A:$A=$A47)*('Activity map'!$F:$F=FALSE)))))"),2.0)</f>
        <v>2</v>
      </c>
      <c r="U47" s="30" t="str">
        <f>IF($N47=0, "-", VLOOKUP($N47, 'List of log slots'!$A:$C, 2, FALSE))</f>
        <v>Bottom of sceptre</v>
      </c>
    </row>
    <row r="48">
      <c r="A48" s="26">
        <v>90.0</v>
      </c>
      <c r="B48" s="23" t="str">
        <f>VLOOKUP($A48, 'Completion rates'!$A:$E, 2, FALSE)</f>
        <v>Earning mahogany homes carpenter points</v>
      </c>
      <c r="C48" s="26">
        <f>IF(Notes!$E$27, VLOOKUP($A48, 'Completion rates'!$A:$E, 4, FALSE), VLOOKUP($A48, 'Completion rates'!$A:$E, 3, FALSE))</f>
        <v>285</v>
      </c>
      <c r="D48" s="26">
        <f>VLOOKUP($A48, 'Completion rates'!$A:$E, 5, FALSE)</f>
        <v>0</v>
      </c>
      <c r="E48" s="28" t="str">
        <f>IF(SUMIFS('Activity map'!$O:$O, 'Activity map'!$A:$A, A48, 'Activity map'!$H:$H, "=TRUE") = 0, "n/a", 1/SUMIFS('Activity map'!$O:$O, 'Activity map'!$A:$A, A48, 'Activity map'!$H:$H, "=TRUE"))</f>
        <v>n/a</v>
      </c>
      <c r="F48" s="8" t="str">
        <f t="shared" si="1"/>
        <v/>
      </c>
      <c r="G48" s="26" t="str">
        <f>IF(MINIFS('Activity map'!$N:$N, 'Activity map'!$A:$A, A48, 'Activity map'!$H:$H, "=TRUE") = 0, "n/a", MINIFS('Activity map'!$N:$N, 'Activity map'!$A:$A, A48, 'Activity map'!$H:$H, "=TRUE"))</f>
        <v>n/a</v>
      </c>
      <c r="H48" s="8" t="str">
        <f t="shared" si="2"/>
        <v/>
      </c>
      <c r="I48" s="26" t="str">
        <f>IF(MINIFS('Activity map'!$M:$M, 'Activity map'!$A:$A, A48, 'Activity map'!$H:$H, "=TRUE") = 0, "n/a", MINIFS('Activity map'!$M:$M, 'Activity map'!$A:$A, A48, 'Activity map'!$H:$H, "=TRUE"))</f>
        <v>n/a</v>
      </c>
      <c r="J48" s="8" t="str">
        <f t="shared" si="3"/>
        <v/>
      </c>
      <c r="K48" s="26">
        <f>IF(MINIFS('Activity map'!$L:$L, 'Activity map'!$A:$A, A48, 'Activity map'!$H:$H, "=TRUE") = 0, "n/a", MINIFS('Activity map'!$L:$L, 'Activity map'!$A:$A, A48, 'Activity map'!$H:$H, "=TRUE"))</f>
        <v>25</v>
      </c>
      <c r="L48" s="8">
        <f t="shared" si="4"/>
        <v>0.08771929825</v>
      </c>
      <c r="M48" s="26">
        <f>MINIFS('Activity map'!$C:$C, 'Activity map'!$A:$A, $A48, 'Activity map'!$H:$H, "=TRUE", 'Activity map'!$K:$K, MINIFS('Activity map'!$K:$K, 'Activity map'!$A:$A, $A48, 'Activity map'!$H:$H, "=TRUE"))</f>
        <v>24884</v>
      </c>
      <c r="N48" s="26">
        <f>MINIFS('Activity map'!$C:$C, 'Activity map'!$A:$A, $A48, 'Activity map'!$H:$H, "=TRUE", 'Activity map'!$E:$E, $T48)</f>
        <v>24884</v>
      </c>
      <c r="O48" s="35">
        <f t="shared" si="5"/>
        <v>0.00365497076</v>
      </c>
      <c r="P48" s="30" t="str">
        <f>IF($M48=0, "-", VLOOKUP($M48, 'List of log slots'!$A:$C, 2, FALSE))</f>
        <v>Supply crate</v>
      </c>
      <c r="Q48" s="31">
        <f>IFERROR(__xludf.DUMMYFUNCTION("IF(ISERROR(FILTER('Activity map'!$C:$C, ('Activity map'!$A:$A=$A48)*('Activity map'!$F:$F=FALSE))), 0, COUNTA(UNIQUE(FILTER('Activity map'!$C:$C, ('Activity map'!$A:$A=$A48)*('Activity map'!$F:$F=FALSE)))))"),8.0)</f>
        <v>8</v>
      </c>
      <c r="R48" s="31">
        <f>IFERROR(__xludf.DUMMYFUNCTION("IF(ISERROR(FILTER('Activity map'!$C:$C, 'Activity map'!$A:$A=$A48)), 0, COUNTA(UNIQUE(FILTER('Activity map'!$C:$C, 'Activity map'!$A:$A=$A48))))"),8.0)</f>
        <v>8</v>
      </c>
      <c r="S48" s="36">
        <f t="shared" si="6"/>
        <v>0</v>
      </c>
      <c r="T48" s="31">
        <f>IFERROR(__xludf.DUMMYFUNCTION("IF(ISERROR(FILTER('Activity map'!$E:$E, ('Activity map'!$A:$A=$A48)*('Activity map'!$F:$F=FALSE))), ""-"", MIN(UNIQUE(FILTER('Activity map'!$E:$E, ('Activity map'!$A:$A=$A48)*('Activity map'!$F:$F=FALSE)))))"),3.0)</f>
        <v>3</v>
      </c>
      <c r="U48" s="30" t="str">
        <f>IF($N48=0, "-", VLOOKUP($N48, 'List of log slots'!$A:$C, 2, FALSE))</f>
        <v>Supply crate</v>
      </c>
    </row>
    <row r="49">
      <c r="A49" s="26">
        <v>143.0</v>
      </c>
      <c r="B49" s="23" t="str">
        <f>VLOOKUP($A49, 'Completion rates'!$A:$E, 2, FALSE)</f>
        <v>Killing stingray (boat combat)</v>
      </c>
      <c r="C49" s="26">
        <f>IF(Notes!$E$27, VLOOKUP($A49, 'Completion rates'!$A:$E, 4, FALSE), VLOOKUP($A49, 'Completion rates'!$A:$E, 3, FALSE))</f>
        <v>250</v>
      </c>
      <c r="D49" s="26">
        <f>VLOOKUP($A49, 'Completion rates'!$A:$E, 5, FALSE)</f>
        <v>0</v>
      </c>
      <c r="E49" s="28">
        <f>IF(SUMIFS('Activity map'!$O:$O, 'Activity map'!$A:$A, A49, 'Activity map'!$H:$H, "=TRUE") = 0, "n/a", 1/SUMIFS('Activity map'!$O:$O, 'Activity map'!$A:$A, A49, 'Activity map'!$H:$H, "=TRUE"))</f>
        <v>23</v>
      </c>
      <c r="F49" s="26">
        <f t="shared" si="1"/>
        <v>0.092</v>
      </c>
      <c r="G49" s="26" t="str">
        <f>IF(MINIFS('Activity map'!$N:$N, 'Activity map'!$A:$A, A49, 'Activity map'!$H:$H, "=TRUE") = 0, "n/a", MINIFS('Activity map'!$N:$N, 'Activity map'!$A:$A, A49, 'Activity map'!$H:$H, "=TRUE"))</f>
        <v>n/a</v>
      </c>
      <c r="H49" s="8" t="str">
        <f t="shared" si="2"/>
        <v/>
      </c>
      <c r="I49" s="26" t="str">
        <f>IF(MINIFS('Activity map'!$M:$M, 'Activity map'!$A:$A, A49, 'Activity map'!$H:$H, "=TRUE") = 0, "n/a", MINIFS('Activity map'!$M:$M, 'Activity map'!$A:$A, A49, 'Activity map'!$H:$H, "=TRUE"))</f>
        <v>n/a</v>
      </c>
      <c r="J49" s="8" t="str">
        <f t="shared" si="3"/>
        <v/>
      </c>
      <c r="K49" s="26" t="str">
        <f>IF(MINIFS('Activity map'!$L:$L, 'Activity map'!$A:$A, A49, 'Activity map'!$H:$H, "=TRUE") = 0, "n/a", MINIFS('Activity map'!$L:$L, 'Activity map'!$A:$A, A49, 'Activity map'!$H:$H, "=TRUE"))</f>
        <v>n/a</v>
      </c>
      <c r="L49" s="8" t="str">
        <f t="shared" si="4"/>
        <v/>
      </c>
      <c r="M49" s="26">
        <f>MINIFS('Activity map'!$C:$C, 'Activity map'!$A:$A, $A49, 'Activity map'!$H:$H, "=TRUE", 'Activity map'!$K:$K, MINIFS('Activity map'!$K:$K, 'Activity map'!$A:$A, $A49, 'Activity map'!$H:$H, "=TRUE"))</f>
        <v>31959</v>
      </c>
      <c r="N49" s="26">
        <f>MINIFS('Activity map'!$C:$C, 'Activity map'!$A:$A, $A49, 'Activity map'!$H:$H, "=TRUE", 'Activity map'!$E:$E, $T49)</f>
        <v>31959</v>
      </c>
      <c r="O49" s="62">
        <f t="shared" si="5"/>
        <v>0.003833333333</v>
      </c>
      <c r="P49" s="30" t="str">
        <f>IF($M49=0, "-", VLOOKUP($M49, 'List of log slots'!$A:$C, 2, FALSE))</f>
        <v>Ray barbs</v>
      </c>
      <c r="Q49" s="31">
        <f>IFERROR(__xludf.DUMMYFUNCTION("IF(ISERROR(FILTER('Activity map'!$C:$C, ('Activity map'!$A:$A=$A49)*('Activity map'!$F:$F=FALSE))), 0, COUNTA(UNIQUE(FILTER('Activity map'!$C:$C, ('Activity map'!$A:$A=$A49)*('Activity map'!$F:$F=FALSE)))))"),1.0)</f>
        <v>1</v>
      </c>
      <c r="R49" s="31">
        <f>IFERROR(__xludf.DUMMYFUNCTION("IF(ISERROR(FILTER('Activity map'!$C:$C, 'Activity map'!$A:$A=$A49)), 0, COUNTA(UNIQUE(FILTER('Activity map'!$C:$C, 'Activity map'!$A:$A=$A49))))"),1.0)</f>
        <v>1</v>
      </c>
      <c r="S49" s="72">
        <f t="shared" si="6"/>
        <v>0</v>
      </c>
      <c r="T49" s="31">
        <f>IFERROR(__xludf.DUMMYFUNCTION("IF(ISERROR(FILTER('Activity map'!$E:$E, ('Activity map'!$A:$A=$A49)*('Activity map'!$F:$F=FALSE))), ""-"", MIN(UNIQUE(FILTER('Activity map'!$E:$E, ('Activity map'!$A:$A=$A49)*('Activity map'!$F:$F=FALSE)))))"),2.0)</f>
        <v>2</v>
      </c>
      <c r="U49" s="30" t="str">
        <f>IF($N49=0, "-", VLOOKUP($N49, 'List of log slots'!$A:$C, 2, FALSE))</f>
        <v>Ray barbs</v>
      </c>
    </row>
    <row r="50">
      <c r="A50" s="26">
        <v>96.0</v>
      </c>
      <c r="B50" s="23" t="str">
        <f>VLOOKUP($A50, 'Completion rates'!$A:$E, 2, FALSE)</f>
        <v>Finding lumberjack zombie events (temple trekking)</v>
      </c>
      <c r="C50" s="26">
        <f>IF(Notes!$E$27, VLOOKUP($A50, 'Completion rates'!$A:$E, 4, FALSE), VLOOKUP($A50, 'Completion rates'!$A:$E, 3, FALSE))</f>
        <v>10</v>
      </c>
      <c r="D50" s="26">
        <f>VLOOKUP($A50, 'Completion rates'!$A:$E, 5, FALSE)</f>
        <v>0</v>
      </c>
      <c r="E50" s="28" t="str">
        <f>IF(SUMIFS('Activity map'!$O:$O, 'Activity map'!$A:$A, A50, 'Activity map'!$H:$H, "=TRUE") = 0, "n/a", 1/SUMIFS('Activity map'!$O:$O, 'Activity map'!$A:$A, A50, 'Activity map'!$H:$H, "=TRUE"))</f>
        <v>n/a</v>
      </c>
      <c r="F50" s="8" t="str">
        <f t="shared" si="1"/>
        <v/>
      </c>
      <c r="G50" s="26" t="str">
        <f>IF(MINIFS('Activity map'!$N:$N, 'Activity map'!$A:$A, A50, 'Activity map'!$H:$H, "=TRUE") = 0, "n/a", MINIFS('Activity map'!$N:$N, 'Activity map'!$A:$A, A50, 'Activity map'!$H:$H, "=TRUE"))</f>
        <v>n/a</v>
      </c>
      <c r="H50" s="8" t="str">
        <f t="shared" si="2"/>
        <v/>
      </c>
      <c r="I50" s="26">
        <f>IF(MINIFS('Activity map'!$M:$M, 'Activity map'!$A:$A, A50, 'Activity map'!$H:$H, "=TRUE") = 0, "n/a", MINIFS('Activity map'!$M:$M, 'Activity map'!$A:$A, A50, 'Activity map'!$H:$H, "=TRUE"))</f>
        <v>1</v>
      </c>
      <c r="J50" s="8">
        <f t="shared" si="3"/>
        <v>0.1</v>
      </c>
      <c r="K50" s="26" t="str">
        <f>IF(MINIFS('Activity map'!$L:$L, 'Activity map'!$A:$A, A50, 'Activity map'!$H:$H, "=TRUE") = 0, "n/a", MINIFS('Activity map'!$L:$L, 'Activity map'!$A:$A, A50, 'Activity map'!$H:$H, "=TRUE"))</f>
        <v>n/a</v>
      </c>
      <c r="L50" s="8" t="str">
        <f t="shared" si="4"/>
        <v/>
      </c>
      <c r="M50" s="26">
        <f>MINIFS('Activity map'!$C:$C, 'Activity map'!$A:$A, $A50, 'Activity map'!$H:$H, "=TRUE", 'Activity map'!$K:$K, MINIFS('Activity map'!$K:$K, 'Activity map'!$A:$A, $A50, 'Activity map'!$H:$H, "=TRUE"))</f>
        <v>10941</v>
      </c>
      <c r="N50" s="26">
        <f>MINIFS('Activity map'!$C:$C, 'Activity map'!$A:$A, $A50, 'Activity map'!$H:$H, "=TRUE", 'Activity map'!$E:$E, $T50)</f>
        <v>10941</v>
      </c>
      <c r="O50" s="35">
        <f t="shared" si="5"/>
        <v>0.004166666667</v>
      </c>
      <c r="P50" s="30" t="str">
        <f>IF($M50=0, "-", VLOOKUP($M50, 'List of log slots'!$A:$C, 2, FALSE))</f>
        <v>Lumberjack hat</v>
      </c>
      <c r="Q50" s="31">
        <f>IFERROR(__xludf.DUMMYFUNCTION("IF(ISERROR(FILTER('Activity map'!$C:$C, ('Activity map'!$A:$A=$A50)*('Activity map'!$F:$F=FALSE))), 0, COUNTA(UNIQUE(FILTER('Activity map'!$C:$C, ('Activity map'!$A:$A=$A50)*('Activity map'!$F:$F=FALSE)))))"),4.0)</f>
        <v>4</v>
      </c>
      <c r="R50" s="31">
        <f>IFERROR(__xludf.DUMMYFUNCTION("IF(ISERROR(FILTER('Activity map'!$C:$C, 'Activity map'!$A:$A=$A50)), 0, COUNTA(UNIQUE(FILTER('Activity map'!$C:$C, 'Activity map'!$A:$A=$A50))))"),4.0)</f>
        <v>4</v>
      </c>
      <c r="S50" s="36">
        <f t="shared" si="6"/>
        <v>0</v>
      </c>
      <c r="T50" s="31">
        <f>IFERROR(__xludf.DUMMYFUNCTION("IF(ISERROR(FILTER('Activity map'!$E:$E, ('Activity map'!$A:$A=$A50)*('Activity map'!$F:$F=FALSE))), ""-"", MIN(UNIQUE(FILTER('Activity map'!$E:$E, ('Activity map'!$A:$A=$A50)*('Activity map'!$F:$F=FALSE)))))"),2.0)</f>
        <v>2</v>
      </c>
      <c r="U50" s="30" t="str">
        <f>IF($N50=0, "-", VLOOKUP($N50, 'List of log slots'!$A:$C, 2, FALSE))</f>
        <v>Lumberjack hat</v>
      </c>
    </row>
    <row r="51">
      <c r="A51" s="26">
        <v>239.0</v>
      </c>
      <c r="B51" s="23" t="str">
        <f>VLOOKUP($A51, 'Completion rates'!$A:$E, 2, FALSE)</f>
        <v>Killing hill giants</v>
      </c>
      <c r="C51" s="26">
        <f>IF(Notes!$E$27, VLOOKUP($A51, 'Completion rates'!$A:$E, 4, FALSE), VLOOKUP($A51, 'Completion rates'!$A:$E, 3, FALSE))</f>
        <v>900</v>
      </c>
      <c r="D51" s="26">
        <f>VLOOKUP($A51, 'Completion rates'!$A:$E, 5, FALSE)</f>
        <v>0</v>
      </c>
      <c r="E51" s="28">
        <f>IF(SUMIFS('Activity map'!$O:$O, 'Activity map'!$A:$A, A51, 'Activity map'!$H:$H, "=TRUE") = 0, "n/a", 1/SUMIFS('Activity map'!$O:$O, 'Activity map'!$A:$A, A51, 'Activity map'!$H:$H, "=TRUE"))</f>
        <v>92.65593878</v>
      </c>
      <c r="F51" s="26">
        <f t="shared" si="1"/>
        <v>0.1029510431</v>
      </c>
      <c r="G51" s="26" t="str">
        <f>IF(MINIFS('Activity map'!$N:$N, 'Activity map'!$A:$A, A51, 'Activity map'!$H:$H, "=TRUE") = 0, "n/a", MINIFS('Activity map'!$N:$N, 'Activity map'!$A:$A, A51, 'Activity map'!$H:$H, "=TRUE"))</f>
        <v>n/a</v>
      </c>
      <c r="H51" s="8" t="str">
        <f t="shared" si="2"/>
        <v/>
      </c>
      <c r="I51" s="26" t="str">
        <f>IF(MINIFS('Activity map'!$M:$M, 'Activity map'!$A:$A, A51, 'Activity map'!$H:$H, "=TRUE") = 0, "n/a", MINIFS('Activity map'!$M:$M, 'Activity map'!$A:$A, A51, 'Activity map'!$H:$H, "=TRUE"))</f>
        <v>n/a</v>
      </c>
      <c r="J51" s="8" t="str">
        <f t="shared" si="3"/>
        <v/>
      </c>
      <c r="K51" s="26" t="str">
        <f>IF(MINIFS('Activity map'!$L:$L, 'Activity map'!$A:$A, A51, 'Activity map'!$H:$H, "=TRUE") = 0, "n/a", MINIFS('Activity map'!$L:$L, 'Activity map'!$A:$A, A51, 'Activity map'!$H:$H, "=TRUE"))</f>
        <v>n/a</v>
      </c>
      <c r="L51" s="8" t="str">
        <f t="shared" si="4"/>
        <v/>
      </c>
      <c r="M51" s="26">
        <f>MINIFS('Activity map'!$C:$C, 'Activity map'!$A:$A, $A51, 'Activity map'!$H:$H, "=TRUE", 'Activity map'!$K:$K, MINIFS('Activity map'!$K:$K, 'Activity map'!$A:$A, $A51, 'Activity map'!$H:$H, "=TRUE"))</f>
        <v>20754</v>
      </c>
      <c r="N51" s="26">
        <f>MINIFS('Activity map'!$C:$C, 'Activity map'!$A:$A, $A51, 'Activity map'!$H:$H, "=TRUE", 'Activity map'!$E:$E, $T51)</f>
        <v>20754</v>
      </c>
      <c r="O51" s="75">
        <f t="shared" si="5"/>
        <v>0.004289626795</v>
      </c>
      <c r="P51" s="30" t="str">
        <f>IF($M51=0, "-", VLOOKUP($M51, 'List of log slots'!$A:$C, 2, FALSE))</f>
        <v>Giant key</v>
      </c>
      <c r="Q51" s="31">
        <f>IFERROR(__xludf.DUMMYFUNCTION("IF(ISERROR(FILTER('Activity map'!$C:$C, ('Activity map'!$A:$A=$A51)*('Activity map'!$F:$F=FALSE))), 0, COUNTA(UNIQUE(FILTER('Activity map'!$C:$C, ('Activity map'!$A:$A=$A51)*('Activity map'!$F:$F=FALSE)))))"),7.0)</f>
        <v>7</v>
      </c>
      <c r="R51" s="31">
        <f>IFERROR(__xludf.DUMMYFUNCTION("IF(ISERROR(FILTER('Activity map'!$C:$C, 'Activity map'!$A:$A=$A51)), 0, COUNTA(UNIQUE(FILTER('Activity map'!$C:$C, 'Activity map'!$A:$A=$A51))))"),7.0)</f>
        <v>7</v>
      </c>
      <c r="S51" s="76">
        <f t="shared" si="6"/>
        <v>0</v>
      </c>
      <c r="T51" s="31">
        <f>IFERROR(__xludf.DUMMYFUNCTION("IF(ISERROR(FILTER('Activity map'!$E:$E, ('Activity map'!$A:$A=$A51)*('Activity map'!$F:$F=FALSE))), ""-"", MIN(UNIQUE(FILTER('Activity map'!$E:$E, ('Activity map'!$A:$A=$A51)*('Activity map'!$F:$F=FALSE)))))"),2.0)</f>
        <v>2</v>
      </c>
      <c r="U51" s="30" t="str">
        <f>IF($N51=0, "-", VLOOKUP($N51, 'List of log slots'!$A:$C, 2, FALSE))</f>
        <v>Giant key</v>
      </c>
    </row>
    <row r="52">
      <c r="A52" s="26">
        <v>246.0</v>
      </c>
      <c r="B52" s="23" t="str">
        <f>VLOOKUP($A52, 'Completion rates'!$A:$E, 2, FALSE)</f>
        <v>Opening the elven crystal chest</v>
      </c>
      <c r="C52" s="26">
        <f>IF(Notes!$E$27, VLOOKUP($A52, 'Completion rates'!$A:$E, 4, FALSE), VLOOKUP($A52, 'Completion rates'!$A:$E, 3, FALSE))</f>
        <v>1500</v>
      </c>
      <c r="D52" s="26">
        <f>VLOOKUP($A52, 'Completion rates'!$A:$E, 5, FALSE)</f>
        <v>0</v>
      </c>
      <c r="E52" s="28">
        <f>IF(SUMIFS('Activity map'!$O:$O, 'Activity map'!$A:$A, A52, 'Activity map'!$H:$H, "=TRUE") = 0, "n/a", 1/SUMIFS('Activity map'!$O:$O, 'Activity map'!$A:$A, A52, 'Activity map'!$H:$H, "=TRUE"))</f>
        <v>166.4932362</v>
      </c>
      <c r="F52" s="26">
        <f t="shared" si="1"/>
        <v>0.1109954908</v>
      </c>
      <c r="G52" s="26" t="str">
        <f>IF(MINIFS('Activity map'!$N:$N, 'Activity map'!$A:$A, A52, 'Activity map'!$H:$H, "=TRUE") = 0, "n/a", MINIFS('Activity map'!$N:$N, 'Activity map'!$A:$A, A52, 'Activity map'!$H:$H, "=TRUE"))</f>
        <v>n/a</v>
      </c>
      <c r="H52" s="8" t="str">
        <f t="shared" si="2"/>
        <v/>
      </c>
      <c r="I52" s="26" t="str">
        <f>IF(MINIFS('Activity map'!$M:$M, 'Activity map'!$A:$A, A52, 'Activity map'!$H:$H, "=TRUE") = 0, "n/a", MINIFS('Activity map'!$M:$M, 'Activity map'!$A:$A, A52, 'Activity map'!$H:$H, "=TRUE"))</f>
        <v>n/a</v>
      </c>
      <c r="J52" s="8" t="str">
        <f t="shared" si="3"/>
        <v/>
      </c>
      <c r="K52" s="26" t="str">
        <f>IF(MINIFS('Activity map'!$L:$L, 'Activity map'!$A:$A, A52, 'Activity map'!$H:$H, "=TRUE") = 0, "n/a", MINIFS('Activity map'!$L:$L, 'Activity map'!$A:$A, A52, 'Activity map'!$H:$H, "=TRUE"))</f>
        <v>n/a</v>
      </c>
      <c r="L52" s="8" t="str">
        <f t="shared" si="4"/>
        <v/>
      </c>
      <c r="M52" s="26">
        <f>MINIFS('Activity map'!$C:$C, 'Activity map'!$A:$A, $A52, 'Activity map'!$H:$H, "=TRUE", 'Activity map'!$K:$K, MINIFS('Activity map'!$K:$K, 'Activity map'!$A:$A, $A52, 'Activity map'!$H:$H, "=TRUE"))</f>
        <v>2366</v>
      </c>
      <c r="N52" s="26">
        <f>MINIFS('Activity map'!$C:$C, 'Activity map'!$A:$A, $A52, 'Activity map'!$H:$H, "=TRUE", 'Activity map'!$E:$E, $T52)</f>
        <v>2366</v>
      </c>
      <c r="O52" s="47">
        <f t="shared" si="5"/>
        <v>0.004624812117</v>
      </c>
      <c r="P52" s="30" t="str">
        <f>IF($M52=0, "-", VLOOKUP($M52, 'List of log slots'!$A:$C, 2, FALSE))</f>
        <v>Shield left half</v>
      </c>
      <c r="Q52" s="31">
        <f>IFERROR(__xludf.DUMMYFUNCTION("IF(ISERROR(FILTER('Activity map'!$C:$C, ('Activity map'!$A:$A=$A52)*('Activity map'!$F:$F=FALSE))), 0, COUNTA(UNIQUE(FILTER('Activity map'!$C:$C, ('Activity map'!$A:$A=$A52)*('Activity map'!$F:$F=FALSE)))))"),7.0)</f>
        <v>7</v>
      </c>
      <c r="R52" s="31">
        <f>IFERROR(__xludf.DUMMYFUNCTION("IF(ISERROR(FILTER('Activity map'!$C:$C, 'Activity map'!$A:$A=$A52)), 0, COUNTA(UNIQUE(FILTER('Activity map'!$C:$C, 'Activity map'!$A:$A=$A52))))"),7.0)</f>
        <v>7</v>
      </c>
      <c r="S52" s="77">
        <f t="shared" si="6"/>
        <v>0</v>
      </c>
      <c r="T52" s="31">
        <f>IFERROR(__xludf.DUMMYFUNCTION("IF(ISERROR(FILTER('Activity map'!$E:$E, ('Activity map'!$A:$A=$A52)*('Activity map'!$F:$F=FALSE))), ""-"", MIN(UNIQUE(FILTER('Activity map'!$E:$E, ('Activity map'!$A:$A=$A52)*('Activity map'!$F:$F=FALSE)))))"),5.0)</f>
        <v>5</v>
      </c>
      <c r="U52" s="30" t="str">
        <f>IF($N52=0, "-", VLOOKUP($N52, 'List of log slots'!$A:$C, 2, FALSE))</f>
        <v>Shield left half</v>
      </c>
    </row>
    <row r="53">
      <c r="A53" s="26">
        <v>34.0</v>
      </c>
      <c r="B53" s="23" t="str">
        <f>VLOOKUP($A53, 'Completion rates'!$A:$E, 2, FALSE)</f>
        <v>Killing eclipse moon (moons of peril)</v>
      </c>
      <c r="C53" s="26">
        <f>IF(Notes!$E$27, VLOOKUP($A53, 'Completion rates'!$A:$E, 4, FALSE), VLOOKUP($A53, 'Completion rates'!$A:$E, 3, FALSE))</f>
        <v>18</v>
      </c>
      <c r="D53" s="26">
        <f>VLOOKUP($A53, 'Completion rates'!$A:$E, 5, FALSE)</f>
        <v>0</v>
      </c>
      <c r="E53" s="28">
        <f>IF(SUMIFS('Activity map'!$O:$O, 'Activity map'!$A:$A, A53, 'Activity map'!$H:$H, "=TRUE") = 0, "n/a", 1/SUMIFS('Activity map'!$O:$O, 'Activity map'!$A:$A, A53, 'Activity map'!$H:$H, "=TRUE"))</f>
        <v>2</v>
      </c>
      <c r="F53" s="8">
        <f t="shared" si="1"/>
        <v>0.1111111111</v>
      </c>
      <c r="G53" s="26">
        <f>IF(MINIFS('Activity map'!$N:$N, 'Activity map'!$A:$A, A53, 'Activity map'!$H:$H, "=TRUE") = 0, "n/a", MINIFS('Activity map'!$N:$N, 'Activity map'!$A:$A, A53, 'Activity map'!$H:$H, "=TRUE"))</f>
        <v>56</v>
      </c>
      <c r="H53" s="26">
        <f t="shared" si="2"/>
        <v>3.111111111</v>
      </c>
      <c r="I53" s="26" t="str">
        <f>IF(MINIFS('Activity map'!$M:$M, 'Activity map'!$A:$A, A53, 'Activity map'!$H:$H, "=TRUE") = 0, "n/a", MINIFS('Activity map'!$M:$M, 'Activity map'!$A:$A, A53, 'Activity map'!$H:$H, "=TRUE"))</f>
        <v>n/a</v>
      </c>
      <c r="J53" s="8" t="str">
        <f t="shared" si="3"/>
        <v/>
      </c>
      <c r="K53" s="26" t="str">
        <f>IF(MINIFS('Activity map'!$L:$L, 'Activity map'!$A:$A, A53, 'Activity map'!$H:$H, "=TRUE") = 0, "n/a", MINIFS('Activity map'!$L:$L, 'Activity map'!$A:$A, A53, 'Activity map'!$H:$H, "=TRUE"))</f>
        <v>n/a</v>
      </c>
      <c r="L53" s="8" t="str">
        <f t="shared" si="4"/>
        <v/>
      </c>
      <c r="M53" s="26">
        <f>MINIFS('Activity map'!$C:$C, 'Activity map'!$A:$A, $A53, 'Activity map'!$H:$H, "=TRUE", 'Activity map'!$K:$K, MINIFS('Activity map'!$K:$K, 'Activity map'!$A:$A, $A53, 'Activity map'!$H:$H, "=TRUE"))</f>
        <v>28991</v>
      </c>
      <c r="N53" s="26">
        <f>MINIFS('Activity map'!$C:$C, 'Activity map'!$A:$A, $A53, 'Activity map'!$H:$H, "=TRUE", 'Activity map'!$E:$E, $T53)</f>
        <v>28991</v>
      </c>
      <c r="O53" s="78">
        <f t="shared" si="5"/>
        <v>0.00462962963</v>
      </c>
      <c r="P53" s="30" t="str">
        <f>IF($M53=0, "-", VLOOKUP($M53, 'List of log slots'!$A:$C, 2, FALSE))</f>
        <v>Atlatl dart</v>
      </c>
      <c r="Q53" s="31">
        <f>IFERROR(__xludf.DUMMYFUNCTION("IF(ISERROR(FILTER('Activity map'!$C:$C, ('Activity map'!$A:$A=$A53)*('Activity map'!$F:$F=FALSE))), 0, COUNTA(UNIQUE(FILTER('Activity map'!$C:$C, ('Activity map'!$A:$A=$A53)*('Activity map'!$F:$F=FALSE)))))"),5.0)</f>
        <v>5</v>
      </c>
      <c r="R53" s="31">
        <f>IFERROR(__xludf.DUMMYFUNCTION("IF(ISERROR(FILTER('Activity map'!$C:$C, 'Activity map'!$A:$A=$A53)), 0, COUNTA(UNIQUE(FILTER('Activity map'!$C:$C, 'Activity map'!$A:$A=$A53))))"),5.0)</f>
        <v>5</v>
      </c>
      <c r="S53" s="51">
        <f t="shared" si="6"/>
        <v>0</v>
      </c>
      <c r="T53" s="31">
        <f>IFERROR(__xludf.DUMMYFUNCTION("IF(ISERROR(FILTER('Activity map'!$E:$E, ('Activity map'!$A:$A=$A53)*('Activity map'!$F:$F=FALSE))), ""-"", MIN(UNIQUE(FILTER('Activity map'!$E:$E, ('Activity map'!$A:$A=$A53)*('Activity map'!$F:$F=FALSE)))))"),4.0)</f>
        <v>4</v>
      </c>
      <c r="U53" s="30" t="str">
        <f>IF($N53=0, "-", VLOOKUP($N53, 'List of log slots'!$A:$C, 2, FALSE))</f>
        <v>Atlatl dart</v>
      </c>
    </row>
    <row r="54">
      <c r="A54" s="26">
        <v>35.0</v>
      </c>
      <c r="B54" s="23" t="str">
        <f>VLOOKUP($A54, 'Completion rates'!$A:$E, 2, FALSE)</f>
        <v>Killing blue moon (moons of peril)</v>
      </c>
      <c r="C54" s="26">
        <f>IF(Notes!$E$27, VLOOKUP($A54, 'Completion rates'!$A:$E, 4, FALSE), VLOOKUP($A54, 'Completion rates'!$A:$E, 3, FALSE))</f>
        <v>18</v>
      </c>
      <c r="D54" s="26">
        <f>VLOOKUP($A54, 'Completion rates'!$A:$E, 5, FALSE)</f>
        <v>0</v>
      </c>
      <c r="E54" s="28">
        <f>IF(SUMIFS('Activity map'!$O:$O, 'Activity map'!$A:$A, A54, 'Activity map'!$H:$H, "=TRUE") = 0, "n/a", 1/SUMIFS('Activity map'!$O:$O, 'Activity map'!$A:$A, A54, 'Activity map'!$H:$H, "=TRUE"))</f>
        <v>2</v>
      </c>
      <c r="F54" s="8">
        <f t="shared" si="1"/>
        <v>0.1111111111</v>
      </c>
      <c r="G54" s="26">
        <f>IF(MINIFS('Activity map'!$N:$N, 'Activity map'!$A:$A, A54, 'Activity map'!$H:$H, "=TRUE") = 0, "n/a", MINIFS('Activity map'!$N:$N, 'Activity map'!$A:$A, A54, 'Activity map'!$H:$H, "=TRUE"))</f>
        <v>56</v>
      </c>
      <c r="H54" s="26">
        <f t="shared" si="2"/>
        <v>3.111111111</v>
      </c>
      <c r="I54" s="26" t="str">
        <f>IF(MINIFS('Activity map'!$M:$M, 'Activity map'!$A:$A, A54, 'Activity map'!$H:$H, "=TRUE") = 0, "n/a", MINIFS('Activity map'!$M:$M, 'Activity map'!$A:$A, A54, 'Activity map'!$H:$H, "=TRUE"))</f>
        <v>n/a</v>
      </c>
      <c r="J54" s="8" t="str">
        <f t="shared" si="3"/>
        <v/>
      </c>
      <c r="K54" s="26" t="str">
        <f>IF(MINIFS('Activity map'!$L:$L, 'Activity map'!$A:$A, A54, 'Activity map'!$H:$H, "=TRUE") = 0, "n/a", MINIFS('Activity map'!$L:$L, 'Activity map'!$A:$A, A54, 'Activity map'!$H:$H, "=TRUE"))</f>
        <v>n/a</v>
      </c>
      <c r="L54" s="8" t="str">
        <f t="shared" si="4"/>
        <v/>
      </c>
      <c r="M54" s="26">
        <f>MINIFS('Activity map'!$C:$C, 'Activity map'!$A:$A, $A54, 'Activity map'!$H:$H, "=TRUE", 'Activity map'!$K:$K, MINIFS('Activity map'!$K:$K, 'Activity map'!$A:$A, $A54, 'Activity map'!$H:$H, "=TRUE"))</f>
        <v>28991</v>
      </c>
      <c r="N54" s="26">
        <f>MINIFS('Activity map'!$C:$C, 'Activity map'!$A:$A, $A54, 'Activity map'!$H:$H, "=TRUE", 'Activity map'!$E:$E, $T54)</f>
        <v>28991</v>
      </c>
      <c r="O54" s="78">
        <f t="shared" si="5"/>
        <v>0.00462962963</v>
      </c>
      <c r="P54" s="30" t="str">
        <f>IF($M54=0, "-", VLOOKUP($M54, 'List of log slots'!$A:$C, 2, FALSE))</f>
        <v>Atlatl dart</v>
      </c>
      <c r="Q54" s="31">
        <f>IFERROR(__xludf.DUMMYFUNCTION("IF(ISERROR(FILTER('Activity map'!$C:$C, ('Activity map'!$A:$A=$A54)*('Activity map'!$F:$F=FALSE))), 0, COUNTA(UNIQUE(FILTER('Activity map'!$C:$C, ('Activity map'!$A:$A=$A54)*('Activity map'!$F:$F=FALSE)))))"),5.0)</f>
        <v>5</v>
      </c>
      <c r="R54" s="31">
        <f>IFERROR(__xludf.DUMMYFUNCTION("IF(ISERROR(FILTER('Activity map'!$C:$C, 'Activity map'!$A:$A=$A54)), 0, COUNTA(UNIQUE(FILTER('Activity map'!$C:$C, 'Activity map'!$A:$A=$A54))))"),5.0)</f>
        <v>5</v>
      </c>
      <c r="S54" s="51">
        <f t="shared" si="6"/>
        <v>0</v>
      </c>
      <c r="T54" s="31">
        <f>IFERROR(__xludf.DUMMYFUNCTION("IF(ISERROR(FILTER('Activity map'!$E:$E, ('Activity map'!$A:$A=$A54)*('Activity map'!$F:$F=FALSE))), ""-"", MIN(UNIQUE(FILTER('Activity map'!$E:$E, ('Activity map'!$A:$A=$A54)*('Activity map'!$F:$F=FALSE)))))"),4.0)</f>
        <v>4</v>
      </c>
      <c r="U54" s="30" t="str">
        <f>IF($N54=0, "-", VLOOKUP($N54, 'List of log slots'!$A:$C, 2, FALSE))</f>
        <v>Atlatl dart</v>
      </c>
    </row>
    <row r="55">
      <c r="A55" s="26">
        <v>36.0</v>
      </c>
      <c r="B55" s="23" t="str">
        <f>VLOOKUP($A55, 'Completion rates'!$A:$E, 2, FALSE)</f>
        <v>Killing blood moon (moons of peril)</v>
      </c>
      <c r="C55" s="26">
        <f>IF(Notes!$E$27, VLOOKUP($A55, 'Completion rates'!$A:$E, 4, FALSE), VLOOKUP($A55, 'Completion rates'!$A:$E, 3, FALSE))</f>
        <v>18</v>
      </c>
      <c r="D55" s="26">
        <f>VLOOKUP($A55, 'Completion rates'!$A:$E, 5, FALSE)</f>
        <v>0</v>
      </c>
      <c r="E55" s="28">
        <f>IF(SUMIFS('Activity map'!$O:$O, 'Activity map'!$A:$A, A55, 'Activity map'!$H:$H, "=TRUE") = 0, "n/a", 1/SUMIFS('Activity map'!$O:$O, 'Activity map'!$A:$A, A55, 'Activity map'!$H:$H, "=TRUE"))</f>
        <v>2</v>
      </c>
      <c r="F55" s="8">
        <f t="shared" si="1"/>
        <v>0.1111111111</v>
      </c>
      <c r="G55" s="26">
        <f>IF(MINIFS('Activity map'!$N:$N, 'Activity map'!$A:$A, A55, 'Activity map'!$H:$H, "=TRUE") = 0, "n/a", MINIFS('Activity map'!$N:$N, 'Activity map'!$A:$A, A55, 'Activity map'!$H:$H, "=TRUE"))</f>
        <v>56</v>
      </c>
      <c r="H55" s="26">
        <f t="shared" si="2"/>
        <v>3.111111111</v>
      </c>
      <c r="I55" s="26" t="str">
        <f>IF(MINIFS('Activity map'!$M:$M, 'Activity map'!$A:$A, A55, 'Activity map'!$H:$H, "=TRUE") = 0, "n/a", MINIFS('Activity map'!$M:$M, 'Activity map'!$A:$A, A55, 'Activity map'!$H:$H, "=TRUE"))</f>
        <v>n/a</v>
      </c>
      <c r="J55" s="8" t="str">
        <f t="shared" si="3"/>
        <v/>
      </c>
      <c r="K55" s="26" t="str">
        <f>IF(MINIFS('Activity map'!$L:$L, 'Activity map'!$A:$A, A55, 'Activity map'!$H:$H, "=TRUE") = 0, "n/a", MINIFS('Activity map'!$L:$L, 'Activity map'!$A:$A, A55, 'Activity map'!$H:$H, "=TRUE"))</f>
        <v>n/a</v>
      </c>
      <c r="L55" s="8" t="str">
        <f t="shared" si="4"/>
        <v/>
      </c>
      <c r="M55" s="26">
        <f>MINIFS('Activity map'!$C:$C, 'Activity map'!$A:$A, $A55, 'Activity map'!$H:$H, "=TRUE", 'Activity map'!$K:$K, MINIFS('Activity map'!$K:$K, 'Activity map'!$A:$A, $A55, 'Activity map'!$H:$H, "=TRUE"))</f>
        <v>28991</v>
      </c>
      <c r="N55" s="26">
        <f>MINIFS('Activity map'!$C:$C, 'Activity map'!$A:$A, $A55, 'Activity map'!$H:$H, "=TRUE", 'Activity map'!$E:$E, $T55)</f>
        <v>28991</v>
      </c>
      <c r="O55" s="78">
        <f t="shared" si="5"/>
        <v>0.00462962963</v>
      </c>
      <c r="P55" s="30" t="str">
        <f>IF($M55=0, "-", VLOOKUP($M55, 'List of log slots'!$A:$C, 2, FALSE))</f>
        <v>Atlatl dart</v>
      </c>
      <c r="Q55" s="31">
        <f>IFERROR(__xludf.DUMMYFUNCTION("IF(ISERROR(FILTER('Activity map'!$C:$C, ('Activity map'!$A:$A=$A55)*('Activity map'!$F:$F=FALSE))), 0, COUNTA(UNIQUE(FILTER('Activity map'!$C:$C, ('Activity map'!$A:$A=$A55)*('Activity map'!$F:$F=FALSE)))))"),5.0)</f>
        <v>5</v>
      </c>
      <c r="R55" s="31">
        <f>IFERROR(__xludf.DUMMYFUNCTION("IF(ISERROR(FILTER('Activity map'!$C:$C, 'Activity map'!$A:$A=$A55)), 0, COUNTA(UNIQUE(FILTER('Activity map'!$C:$C, 'Activity map'!$A:$A=$A55))))"),5.0)</f>
        <v>5</v>
      </c>
      <c r="S55" s="79">
        <f t="shared" si="6"/>
        <v>0</v>
      </c>
      <c r="T55" s="31">
        <f>IFERROR(__xludf.DUMMYFUNCTION("IF(ISERROR(FILTER('Activity map'!$E:$E, ('Activity map'!$A:$A=$A55)*('Activity map'!$F:$F=FALSE))), ""-"", MIN(UNIQUE(FILTER('Activity map'!$E:$E, ('Activity map'!$A:$A=$A55)*('Activity map'!$F:$F=FALSE)))))"),4.0)</f>
        <v>4</v>
      </c>
      <c r="U55" s="30" t="str">
        <f>IF($N55=0, "-", VLOOKUP($N55, 'List of log slots'!$A:$C, 2, FALSE))</f>
        <v>Atlatl dart</v>
      </c>
    </row>
    <row r="56">
      <c r="A56" s="26">
        <v>5.0</v>
      </c>
      <c r="B56" s="23" t="str">
        <f>VLOOKUP($A56, 'Completion rates'!$A:$E, 2, FALSE)</f>
        <v>Opening barrows chests</v>
      </c>
      <c r="C56" s="26">
        <f>IF(Notes!$E$27, VLOOKUP($A56, 'Completion rates'!$A:$E, 4, FALSE), VLOOKUP($A56, 'Completion rates'!$A:$E, 3, FALSE))</f>
        <v>22</v>
      </c>
      <c r="D56" s="26">
        <f>VLOOKUP($A56, 'Completion rates'!$A:$E, 5, FALSE)</f>
        <v>0</v>
      </c>
      <c r="E56" s="28">
        <f>IF(SUMIFS('Activity map'!$O:$O, 'Activity map'!$A:$A, A56, 'Activity map'!$H:$H, "=TRUE") = 0, "n/a", 1/SUMIFS('Activity map'!$O:$O, 'Activity map'!$A:$A, A56, 'Activity map'!$H:$H, "=TRUE"))</f>
        <v>2.488151659</v>
      </c>
      <c r="F56" s="26">
        <f t="shared" si="1"/>
        <v>0.1130978027</v>
      </c>
      <c r="G56" s="26" t="str">
        <f>IF(MINIFS('Activity map'!$N:$N, 'Activity map'!$A:$A, A56, 'Activity map'!$H:$H, "=TRUE") = 0, "n/a", MINIFS('Activity map'!$N:$N, 'Activity map'!$A:$A, A56, 'Activity map'!$H:$H, "=TRUE"))</f>
        <v>n/a</v>
      </c>
      <c r="H56" s="8" t="str">
        <f t="shared" si="2"/>
        <v/>
      </c>
      <c r="I56" s="26" t="str">
        <f>IF(MINIFS('Activity map'!$M:$M, 'Activity map'!$A:$A, A56, 'Activity map'!$H:$H, "=TRUE") = 0, "n/a", MINIFS('Activity map'!$M:$M, 'Activity map'!$A:$A, A56, 'Activity map'!$H:$H, "=TRUE"))</f>
        <v>n/a</v>
      </c>
      <c r="J56" s="8" t="str">
        <f t="shared" si="3"/>
        <v/>
      </c>
      <c r="K56" s="26" t="str">
        <f>IF(MINIFS('Activity map'!$L:$L, 'Activity map'!$A:$A, A56, 'Activity map'!$H:$H, "=TRUE") = 0, "n/a", MINIFS('Activity map'!$L:$L, 'Activity map'!$A:$A, A56, 'Activity map'!$H:$H, "=TRUE"))</f>
        <v>n/a</v>
      </c>
      <c r="L56" s="8" t="str">
        <f t="shared" si="4"/>
        <v/>
      </c>
      <c r="M56" s="26">
        <f>MINIFS('Activity map'!$C:$C, 'Activity map'!$A:$A, $A56, 'Activity map'!$H:$H, "=TRUE", 'Activity map'!$K:$K, MINIFS('Activity map'!$K:$K, 'Activity map'!$A:$A, $A56, 'Activity map'!$H:$H, "=TRUE"))</f>
        <v>4740</v>
      </c>
      <c r="N56" s="26">
        <f>MINIFS('Activity map'!$C:$C, 'Activity map'!$A:$A, $A56, 'Activity map'!$H:$H, "=TRUE", 'Activity map'!$E:$E, $T56)</f>
        <v>4740</v>
      </c>
      <c r="O56" s="73">
        <f t="shared" si="5"/>
        <v>0.004712408445</v>
      </c>
      <c r="P56" s="30" t="str">
        <f>IF($M56=0, "-", VLOOKUP($M56, 'List of log slots'!$A:$C, 2, FALSE))</f>
        <v>Bolt rack</v>
      </c>
      <c r="Q56" s="31">
        <f>IFERROR(__xludf.DUMMYFUNCTION("IF(ISERROR(FILTER('Activity map'!$C:$C, ('Activity map'!$A:$A=$A56)*('Activity map'!$F:$F=FALSE))), 0, COUNTA(UNIQUE(FILTER('Activity map'!$C:$C, ('Activity map'!$A:$A=$A56)*('Activity map'!$F:$F=FALSE)))))"),25.0)</f>
        <v>25</v>
      </c>
      <c r="R56" s="31">
        <f>IFERROR(__xludf.DUMMYFUNCTION("IF(ISERROR(FILTER('Activity map'!$C:$C, 'Activity map'!$A:$A=$A56)), 0, COUNTA(UNIQUE(FILTER('Activity map'!$C:$C, 'Activity map'!$A:$A=$A56))))"),25.0)</f>
        <v>25</v>
      </c>
      <c r="S56" s="80">
        <f t="shared" si="6"/>
        <v>0</v>
      </c>
      <c r="T56" s="31">
        <f>IFERROR(__xludf.DUMMYFUNCTION("IF(ISERROR(FILTER('Activity map'!$E:$E, ('Activity map'!$A:$A=$A56)*('Activity map'!$F:$F=FALSE))), ""-"", MIN(UNIQUE(FILTER('Activity map'!$E:$E, ('Activity map'!$A:$A=$A56)*('Activity map'!$F:$F=FALSE)))))"),3.0)</f>
        <v>3</v>
      </c>
      <c r="U56" s="30" t="str">
        <f>IF($N56=0, "-", VLOOKUP($N56, 'List of log slots'!$A:$C, 2, FALSE))</f>
        <v>Bolt rack</v>
      </c>
    </row>
    <row r="57">
      <c r="A57" s="26">
        <v>236.0</v>
      </c>
      <c r="B57" s="23" t="str">
        <f>VLOOKUP($A57, 'Completion rates'!$A:$E, 2, FALSE)</f>
        <v>Killing catablepons (stronghold of security)</v>
      </c>
      <c r="C57" s="26">
        <f>IF(Notes!$E$27, VLOOKUP($A57, 'Completion rates'!$A:$E, 4, FALSE), VLOOKUP($A57, 'Completion rates'!$A:$E, 3, FALSE))</f>
        <v>300</v>
      </c>
      <c r="D57" s="26">
        <f>VLOOKUP($A57, 'Completion rates'!$A:$E, 5, FALSE)</f>
        <v>0</v>
      </c>
      <c r="E57" s="28">
        <f>IF(SUMIFS('Activity map'!$O:$O, 'Activity map'!$A:$A, A57, 'Activity map'!$H:$H, "=TRUE") = 0, "n/a", 1/SUMIFS('Activity map'!$O:$O, 'Activity map'!$A:$A, A57, 'Activity map'!$H:$H, "=TRUE"))</f>
        <v>34</v>
      </c>
      <c r="F57" s="8">
        <f t="shared" si="1"/>
        <v>0.1133333333</v>
      </c>
      <c r="G57" s="26" t="str">
        <f>IF(MINIFS('Activity map'!$N:$N, 'Activity map'!$A:$A, A57, 'Activity map'!$H:$H, "=TRUE") = 0, "n/a", MINIFS('Activity map'!$N:$N, 'Activity map'!$A:$A, A57, 'Activity map'!$H:$H, "=TRUE"))</f>
        <v>n/a</v>
      </c>
      <c r="H57" s="8" t="str">
        <f t="shared" si="2"/>
        <v/>
      </c>
      <c r="I57" s="26" t="str">
        <f>IF(MINIFS('Activity map'!$M:$M, 'Activity map'!$A:$A, A57, 'Activity map'!$H:$H, "=TRUE") = 0, "n/a", MINIFS('Activity map'!$M:$M, 'Activity map'!$A:$A, A57, 'Activity map'!$H:$H, "=TRUE"))</f>
        <v>n/a</v>
      </c>
      <c r="J57" s="8" t="str">
        <f t="shared" si="3"/>
        <v/>
      </c>
      <c r="K57" s="26" t="str">
        <f>IF(MINIFS('Activity map'!$L:$L, 'Activity map'!$A:$A, A57, 'Activity map'!$H:$H, "=TRUE") = 0, "n/a", MINIFS('Activity map'!$L:$L, 'Activity map'!$A:$A, A57, 'Activity map'!$H:$H, "=TRUE"))</f>
        <v>n/a</v>
      </c>
      <c r="L57" s="8" t="str">
        <f t="shared" si="4"/>
        <v/>
      </c>
      <c r="M57" s="26">
        <f>MINIFS('Activity map'!$C:$C, 'Activity map'!$A:$A, $A57, 'Activity map'!$H:$H, "=TRUE", 'Activity map'!$K:$K, MINIFS('Activity map'!$K:$K, 'Activity map'!$A:$A, $A57, 'Activity map'!$H:$H, "=TRUE"))</f>
        <v>9010</v>
      </c>
      <c r="N57" s="26">
        <f>MINIFS('Activity map'!$C:$C, 'Activity map'!$A:$A, $A57, 'Activity map'!$H:$H, "=TRUE", 'Activity map'!$E:$E, $T57)</f>
        <v>9010</v>
      </c>
      <c r="O57" s="35">
        <f t="shared" si="5"/>
        <v>0.004722222222</v>
      </c>
      <c r="P57" s="30" t="str">
        <f>IF($M57=0, "-", VLOOKUP($M57, 'List of log slots'!$A:$C, 2, FALSE))</f>
        <v>Top of sceptre</v>
      </c>
      <c r="Q57" s="31">
        <f>IFERROR(__xludf.DUMMYFUNCTION("IF(ISERROR(FILTER('Activity map'!$C:$C, ('Activity map'!$A:$A=$A57)*('Activity map'!$F:$F=FALSE))), 0, COUNTA(UNIQUE(FILTER('Activity map'!$C:$C, ('Activity map'!$A:$A=$A57)*('Activity map'!$F:$F=FALSE)))))"),1.0)</f>
        <v>1</v>
      </c>
      <c r="R57" s="31">
        <f>IFERROR(__xludf.DUMMYFUNCTION("IF(ISERROR(FILTER('Activity map'!$C:$C, 'Activity map'!$A:$A=$A57)), 0, COUNTA(UNIQUE(FILTER('Activity map'!$C:$C, 'Activity map'!$A:$A=$A57))))"),1.0)</f>
        <v>1</v>
      </c>
      <c r="S57" s="36">
        <f t="shared" si="6"/>
        <v>0</v>
      </c>
      <c r="T57" s="31">
        <f>IFERROR(__xludf.DUMMYFUNCTION("IF(ISERROR(FILTER('Activity map'!$E:$E, ('Activity map'!$A:$A=$A57)*('Activity map'!$F:$F=FALSE))), ""-"", MIN(UNIQUE(FILTER('Activity map'!$E:$E, ('Activity map'!$A:$A=$A57)*('Activity map'!$F:$F=FALSE)))))"),2.0)</f>
        <v>2</v>
      </c>
      <c r="U57" s="30" t="str">
        <f>IF($N57=0, "-", VLOOKUP($N57, 'List of log slots'!$A:$C, 2, FALSE))</f>
        <v>Top of sceptre</v>
      </c>
    </row>
    <row r="58">
      <c r="A58" s="26">
        <v>166.0</v>
      </c>
      <c r="B58" s="23" t="str">
        <f>VLOOKUP($A58, 'Completion rates'!$A:$E, 2, FALSE)</f>
        <v>Killing cockatrice</v>
      </c>
      <c r="C58" s="26">
        <f>IF(Notes!$E$27, VLOOKUP($A58, 'Completion rates'!$A:$E, 4, FALSE), VLOOKUP($A58, 'Completion rates'!$A:$E, 3, FALSE))</f>
        <v>800</v>
      </c>
      <c r="D58" s="26">
        <f>VLOOKUP($A58, 'Completion rates'!$A:$E, 5, FALSE)</f>
        <v>0</v>
      </c>
      <c r="E58" s="28">
        <f>IF(SUMIFS('Activity map'!$O:$O, 'Activity map'!$A:$A, A58, 'Activity map'!$H:$H, "=TRUE") = 0, "n/a", 1/SUMIFS('Activity map'!$O:$O, 'Activity map'!$A:$A, A58, 'Activity map'!$H:$H, "=TRUE"))</f>
        <v>92.83067988</v>
      </c>
      <c r="F58" s="8">
        <f t="shared" si="1"/>
        <v>0.1160383499</v>
      </c>
      <c r="G58" s="26" t="str">
        <f>IF(MINIFS('Activity map'!$N:$N, 'Activity map'!$A:$A, A58, 'Activity map'!$H:$H, "=TRUE") = 0, "n/a", MINIFS('Activity map'!$N:$N, 'Activity map'!$A:$A, A58, 'Activity map'!$H:$H, "=TRUE"))</f>
        <v>n/a</v>
      </c>
      <c r="H58" s="8" t="str">
        <f t="shared" si="2"/>
        <v/>
      </c>
      <c r="I58" s="26" t="str">
        <f>IF(MINIFS('Activity map'!$M:$M, 'Activity map'!$A:$A, A58, 'Activity map'!$H:$H, "=TRUE") = 0, "n/a", MINIFS('Activity map'!$M:$M, 'Activity map'!$A:$A, A58, 'Activity map'!$H:$H, "=TRUE"))</f>
        <v>n/a</v>
      </c>
      <c r="J58" s="8" t="str">
        <f t="shared" si="3"/>
        <v/>
      </c>
      <c r="K58" s="26" t="str">
        <f>IF(MINIFS('Activity map'!$L:$L, 'Activity map'!$A:$A, A58, 'Activity map'!$H:$H, "=TRUE") = 0, "n/a", MINIFS('Activity map'!$L:$L, 'Activity map'!$A:$A, A58, 'Activity map'!$H:$H, "=TRUE"))</f>
        <v>n/a</v>
      </c>
      <c r="L58" s="8" t="str">
        <f t="shared" si="4"/>
        <v/>
      </c>
      <c r="M58" s="26">
        <f>MINIFS('Activity map'!$C:$C, 'Activity map'!$A:$A, $A58, 'Activity map'!$H:$H, "=TRUE", 'Activity map'!$K:$K, MINIFS('Activity map'!$K:$K, 'Activity map'!$A:$A, $A58, 'Activity map'!$H:$H, "=TRUE"))</f>
        <v>4121</v>
      </c>
      <c r="N58" s="26">
        <f>MINIFS('Activity map'!$C:$C, 'Activity map'!$A:$A, $A58, 'Activity map'!$H:$H, "=TRUE", 'Activity map'!$E:$E, $T58)</f>
        <v>4121</v>
      </c>
      <c r="O58" s="35">
        <f t="shared" si="5"/>
        <v>0.004834931244</v>
      </c>
      <c r="P58" s="30" t="str">
        <f>IF($M58=0, "-", VLOOKUP($M58, 'List of log slots'!$A:$C, 2, FALSE))</f>
        <v>Iron boots</v>
      </c>
      <c r="Q58" s="31">
        <f>IFERROR(__xludf.DUMMYFUNCTION("IF(ISERROR(FILTER('Activity map'!$C:$C, ('Activity map'!$A:$A=$A58)*('Activity map'!$F:$F=FALSE))), 0, COUNTA(UNIQUE(FILTER('Activity map'!$C:$C, ('Activity map'!$A:$A=$A58)*('Activity map'!$F:$F=FALSE)))))"),5.0)</f>
        <v>5</v>
      </c>
      <c r="R58" s="31">
        <f>IFERROR(__xludf.DUMMYFUNCTION("IF(ISERROR(FILTER('Activity map'!$C:$C, 'Activity map'!$A:$A=$A58)), 0, COUNTA(UNIQUE(FILTER('Activity map'!$C:$C, 'Activity map'!$A:$A=$A58))))"),5.0)</f>
        <v>5</v>
      </c>
      <c r="S58" s="36">
        <f t="shared" si="6"/>
        <v>0</v>
      </c>
      <c r="T58" s="31">
        <f>IFERROR(__xludf.DUMMYFUNCTION("IF(ISERROR(FILTER('Activity map'!$E:$E, ('Activity map'!$A:$A=$A58)*('Activity map'!$F:$F=FALSE))), ""-"", MIN(UNIQUE(FILTER('Activity map'!$E:$E, ('Activity map'!$A:$A=$A58)*('Activity map'!$F:$F=FALSE)))))"),1.0)</f>
        <v>1</v>
      </c>
      <c r="U58" s="30" t="str">
        <f>IF($N58=0, "-", VLOOKUP($N58, 'List of log slots'!$A:$C, 2, FALSE))</f>
        <v>Iron boots</v>
      </c>
    </row>
    <row r="59">
      <c r="A59" s="26">
        <v>226.0</v>
      </c>
      <c r="B59" s="23" t="str">
        <f>VLOOKUP($A59, 'Completion rates'!$A:$E, 2, FALSE)</f>
        <v>Killing in the wilderness god wars dungeon (barrage)</v>
      </c>
      <c r="C59" s="26">
        <f>IF(Notes!$E$27, VLOOKUP($A59, 'Completion rates'!$A:$E, 4, FALSE), VLOOKUP($A59, 'Completion rates'!$A:$E, 3, FALSE))</f>
        <v>500</v>
      </c>
      <c r="D59" s="26">
        <f>VLOOKUP($A59, 'Completion rates'!$A:$E, 5, FALSE)</f>
        <v>0</v>
      </c>
      <c r="E59" s="28">
        <f>IF(SUMIFS('Activity map'!$O:$O, 'Activity map'!$A:$A, A59, 'Activity map'!$H:$H, "=TRUE") = 0, "n/a", 1/SUMIFS('Activity map'!$O:$O, 'Activity map'!$A:$A, A59, 'Activity map'!$H:$H, "=TRUE"))</f>
        <v>60</v>
      </c>
      <c r="F59" s="8">
        <f t="shared" si="1"/>
        <v>0.12</v>
      </c>
      <c r="G59" s="26" t="str">
        <f>IF(MINIFS('Activity map'!$N:$N, 'Activity map'!$A:$A, A59, 'Activity map'!$H:$H, "=TRUE") = 0, "n/a", MINIFS('Activity map'!$N:$N, 'Activity map'!$A:$A, A59, 'Activity map'!$H:$H, "=TRUE"))</f>
        <v>n/a</v>
      </c>
      <c r="H59" s="8" t="str">
        <f t="shared" si="2"/>
        <v/>
      </c>
      <c r="I59" s="26" t="str">
        <f>IF(MINIFS('Activity map'!$M:$M, 'Activity map'!$A:$A, A59, 'Activity map'!$H:$H, "=TRUE") = 0, "n/a", MINIFS('Activity map'!$M:$M, 'Activity map'!$A:$A, A59, 'Activity map'!$H:$H, "=TRUE"))</f>
        <v>n/a</v>
      </c>
      <c r="J59" s="8" t="str">
        <f t="shared" si="3"/>
        <v/>
      </c>
      <c r="K59" s="26" t="str">
        <f>IF(MINIFS('Activity map'!$L:$L, 'Activity map'!$A:$A, A59, 'Activity map'!$H:$H, "=TRUE") = 0, "n/a", MINIFS('Activity map'!$L:$L, 'Activity map'!$A:$A, A59, 'Activity map'!$H:$H, "=TRUE"))</f>
        <v>n/a</v>
      </c>
      <c r="L59" s="8" t="str">
        <f t="shared" si="4"/>
        <v/>
      </c>
      <c r="M59" s="26">
        <f>MINIFS('Activity map'!$C:$C, 'Activity map'!$A:$A, $A59, 'Activity map'!$H:$H, "=TRUE", 'Activity map'!$K:$K, MINIFS('Activity map'!$K:$K, 'Activity map'!$A:$A, $A59, 'Activity map'!$H:$H, "=TRUE"))</f>
        <v>11942</v>
      </c>
      <c r="N59" s="26">
        <f>MINIFS('Activity map'!$C:$C, 'Activity map'!$A:$A, $A59, 'Activity map'!$H:$H, "=TRUE", 'Activity map'!$E:$E, $T59)</f>
        <v>11942</v>
      </c>
      <c r="O59" s="35">
        <f t="shared" si="5"/>
        <v>0.005</v>
      </c>
      <c r="P59" s="30" t="str">
        <f>IF($M59=0, "-", VLOOKUP($M59, 'List of log slots'!$A:$C, 2, FALSE))</f>
        <v>Ecumenical key</v>
      </c>
      <c r="Q59" s="31">
        <f>IFERROR(__xludf.DUMMYFUNCTION("IF(ISERROR(FILTER('Activity map'!$C:$C, ('Activity map'!$A:$A=$A59)*('Activity map'!$F:$F=FALSE))), 0, COUNTA(UNIQUE(FILTER('Activity map'!$C:$C, ('Activity map'!$A:$A=$A59)*('Activity map'!$F:$F=FALSE)))))"),1.0)</f>
        <v>1</v>
      </c>
      <c r="R59" s="31">
        <f>IFERROR(__xludf.DUMMYFUNCTION("IF(ISERROR(FILTER('Activity map'!$C:$C, 'Activity map'!$A:$A=$A59)), 0, COUNTA(UNIQUE(FILTER('Activity map'!$C:$C, 'Activity map'!$A:$A=$A59))))"),1.0)</f>
        <v>1</v>
      </c>
      <c r="S59" s="36">
        <f t="shared" si="6"/>
        <v>0</v>
      </c>
      <c r="T59" s="31">
        <f>IFERROR(__xludf.DUMMYFUNCTION("IF(ISERROR(FILTER('Activity map'!$E:$E, ('Activity map'!$A:$A=$A59)*('Activity map'!$F:$F=FALSE))), ""-"", MIN(UNIQUE(FILTER('Activity map'!$E:$E, ('Activity map'!$A:$A=$A59)*('Activity map'!$F:$F=FALSE)))))"),2.0)</f>
        <v>2</v>
      </c>
      <c r="U59" s="30" t="str">
        <f>IF($N59=0, "-", VLOOKUP($N59, 'List of log slots'!$A:$C, 2, FALSE))</f>
        <v>Ecumenical key</v>
      </c>
    </row>
    <row r="60">
      <c r="A60" s="26">
        <v>40.0</v>
      </c>
      <c r="B60" s="23" t="str">
        <f>VLOOKUP($A60, 'Completion rates'!$A:$E, 2, FALSE)</f>
        <v>Killing obor</v>
      </c>
      <c r="C60" s="26">
        <f>IF(Notes!$E$27, VLOOKUP($A60, 'Completion rates'!$A:$E, 4, FALSE), VLOOKUP($A60, 'Completion rates'!$A:$E, 3, FALSE))</f>
        <v>120</v>
      </c>
      <c r="D60" s="26">
        <f>VLOOKUP($A60, 'Completion rates'!$A:$E, 5, FALSE)</f>
        <v>0</v>
      </c>
      <c r="E60" s="28">
        <f>IF(SUMIFS('Activity map'!$O:$O, 'Activity map'!$A:$A, A60, 'Activity map'!$H:$H, "=TRUE") = 0, "n/a", 1/SUMIFS('Activity map'!$O:$O, 'Activity map'!$A:$A, A60, 'Activity map'!$H:$H, "=TRUE"))</f>
        <v>15.15750105</v>
      </c>
      <c r="F60" s="26">
        <f t="shared" si="1"/>
        <v>0.1263125088</v>
      </c>
      <c r="G60" s="26" t="str">
        <f>IF(MINIFS('Activity map'!$N:$N, 'Activity map'!$A:$A, A60, 'Activity map'!$H:$H, "=TRUE") = 0, "n/a", MINIFS('Activity map'!$N:$N, 'Activity map'!$A:$A, A60, 'Activity map'!$H:$H, "=TRUE"))</f>
        <v>n/a</v>
      </c>
      <c r="H60" s="8" t="str">
        <f t="shared" si="2"/>
        <v/>
      </c>
      <c r="I60" s="26" t="str">
        <f>IF(MINIFS('Activity map'!$M:$M, 'Activity map'!$A:$A, A60, 'Activity map'!$H:$H, "=TRUE") = 0, "n/a", MINIFS('Activity map'!$M:$M, 'Activity map'!$A:$A, A60, 'Activity map'!$H:$H, "=TRUE"))</f>
        <v>n/a</v>
      </c>
      <c r="J60" s="8" t="str">
        <f t="shared" si="3"/>
        <v/>
      </c>
      <c r="K60" s="26" t="str">
        <f>IF(MINIFS('Activity map'!$L:$L, 'Activity map'!$A:$A, A60, 'Activity map'!$H:$H, "=TRUE") = 0, "n/a", MINIFS('Activity map'!$L:$L, 'Activity map'!$A:$A, A60, 'Activity map'!$H:$H, "=TRUE"))</f>
        <v>n/a</v>
      </c>
      <c r="L60" s="8" t="str">
        <f t="shared" si="4"/>
        <v/>
      </c>
      <c r="M60" s="26">
        <f>MINIFS('Activity map'!$C:$C, 'Activity map'!$A:$A, $A60, 'Activity map'!$H:$H, "=TRUE", 'Activity map'!$K:$K, MINIFS('Activity map'!$K:$K, 'Activity map'!$A:$A, $A60, 'Activity map'!$H:$H, "=TRUE"))</f>
        <v>20754</v>
      </c>
      <c r="N60" s="26">
        <f>MINIFS('Activity map'!$C:$C, 'Activity map'!$A:$A, $A60, 'Activity map'!$H:$H, "=TRUE", 'Activity map'!$E:$E, $T60)</f>
        <v>20754</v>
      </c>
      <c r="O60" s="81">
        <f t="shared" si="5"/>
        <v>0.005263021199</v>
      </c>
      <c r="P60" s="30" t="str">
        <f>IF($M60=0, "-", VLOOKUP($M60, 'List of log slots'!$A:$C, 2, FALSE))</f>
        <v>Giant key</v>
      </c>
      <c r="Q60" s="31">
        <f>IFERROR(__xludf.DUMMYFUNCTION("IF(ISERROR(FILTER('Activity map'!$C:$C, ('Activity map'!$A:$A=$A60)*('Activity map'!$F:$F=FALSE))), 0, COUNTA(UNIQUE(FILTER('Activity map'!$C:$C, ('Activity map'!$A:$A=$A60)*('Activity map'!$F:$F=FALSE)))))"),7.0)</f>
        <v>7</v>
      </c>
      <c r="R60" s="31">
        <f>IFERROR(__xludf.DUMMYFUNCTION("IF(ISERROR(FILTER('Activity map'!$C:$C, 'Activity map'!$A:$A=$A60)), 0, COUNTA(UNIQUE(FILTER('Activity map'!$C:$C, 'Activity map'!$A:$A=$A60))))"),7.0)</f>
        <v>7</v>
      </c>
      <c r="S60" s="76">
        <f t="shared" si="6"/>
        <v>0</v>
      </c>
      <c r="T60" s="31">
        <f>IFERROR(__xludf.DUMMYFUNCTION("IF(ISERROR(FILTER('Activity map'!$E:$E, ('Activity map'!$A:$A=$A60)*('Activity map'!$F:$F=FALSE))), ""-"", MIN(UNIQUE(FILTER('Activity map'!$E:$E, ('Activity map'!$A:$A=$A60)*('Activity map'!$F:$F=FALSE)))))"),2.0)</f>
        <v>2</v>
      </c>
      <c r="U60" s="30" t="str">
        <f>IF($N60=0, "-", VLOOKUP($N60, 'List of log slots'!$A:$C, 2, FALSE))</f>
        <v>Giant key</v>
      </c>
    </row>
    <row r="61">
      <c r="A61" s="26">
        <v>21.0</v>
      </c>
      <c r="B61" s="23" t="str">
        <f>VLOOKUP($A61, 'Completion rates'!$A:$E, 2, FALSE)</f>
        <v>Opening reward chest (corrupted gauntlet)</v>
      </c>
      <c r="C61" s="26">
        <f>IF(Notes!$E$27, VLOOKUP($A61, 'Completion rates'!$A:$E, 4, FALSE), VLOOKUP($A61, 'Completion rates'!$A:$E, 3, FALSE))</f>
        <v>7</v>
      </c>
      <c r="D61" s="26">
        <f>VLOOKUP($A61, 'Completion rates'!$A:$E, 5, FALSE)</f>
        <v>0</v>
      </c>
      <c r="E61" s="28">
        <f>IF(SUMIFS('Activity map'!$O:$O, 'Activity map'!$A:$A, A61, 'Activity map'!$H:$H, "=TRUE") = 0, "n/a", 1/SUMIFS('Activity map'!$O:$O, 'Activity map'!$A:$A, A61, 'Activity map'!$H:$H, "=TRUE"))</f>
        <v>22.85714286</v>
      </c>
      <c r="F61" s="26">
        <f t="shared" si="1"/>
        <v>3.265306122</v>
      </c>
      <c r="G61" s="26" t="str">
        <f>IF(MINIFS('Activity map'!$N:$N, 'Activity map'!$A:$A, A61, 'Activity map'!$H:$H, "=TRUE") = 0, "n/a", MINIFS('Activity map'!$N:$N, 'Activity map'!$A:$A, A61, 'Activity map'!$H:$H, "=TRUE"))</f>
        <v>n/a</v>
      </c>
      <c r="H61" s="8" t="str">
        <f t="shared" si="2"/>
        <v/>
      </c>
      <c r="I61" s="26">
        <f>IF(MINIFS('Activity map'!$M:$M, 'Activity map'!$A:$A, A61, 'Activity map'!$H:$H, "=TRUE") = 0, "n/a", MINIFS('Activity map'!$M:$M, 'Activity map'!$A:$A, A61, 'Activity map'!$H:$H, "=TRUE"))</f>
        <v>1</v>
      </c>
      <c r="J61" s="8">
        <f t="shared" si="3"/>
        <v>0.1428571429</v>
      </c>
      <c r="K61" s="26" t="str">
        <f>IF(MINIFS('Activity map'!$L:$L, 'Activity map'!$A:$A, A61, 'Activity map'!$H:$H, "=TRUE") = 0, "n/a", MINIFS('Activity map'!$L:$L, 'Activity map'!$A:$A, A61, 'Activity map'!$H:$H, "=TRUE"))</f>
        <v>n/a</v>
      </c>
      <c r="L61" s="8" t="str">
        <f t="shared" si="4"/>
        <v/>
      </c>
      <c r="M61" s="26">
        <f>MINIFS('Activity map'!$C:$C, 'Activity map'!$A:$A, $A61, 'Activity map'!$H:$H, "=TRUE", 'Activity map'!$K:$K, MINIFS('Activity map'!$K:$K, 'Activity map'!$A:$A, $A61, 'Activity map'!$H:$H, "=TRUE"))</f>
        <v>23859</v>
      </c>
      <c r="N61" s="26">
        <f>MINIFS('Activity map'!$C:$C, 'Activity map'!$A:$A, $A61, 'Activity map'!$H:$H, "=TRUE", 'Activity map'!$E:$E, $T61)</f>
        <v>23859</v>
      </c>
      <c r="O61" s="82">
        <f t="shared" si="5"/>
        <v>0.005952380952</v>
      </c>
      <c r="P61" s="30" t="str">
        <f>IF($M61=0, "-", VLOOKUP($M61, 'List of log slots'!$A:$C, 2, FALSE))</f>
        <v>Gauntlet cape</v>
      </c>
      <c r="Q61" s="31">
        <f>IFERROR(__xludf.DUMMYFUNCTION("IF(ISERROR(FILTER('Activity map'!$C:$C, ('Activity map'!$A:$A=$A61)*('Activity map'!$F:$F=FALSE))), 0, COUNTA(UNIQUE(FILTER('Activity map'!$C:$C, ('Activity map'!$A:$A=$A61)*('Activity map'!$F:$F=FALSE)))))"),5.0)</f>
        <v>5</v>
      </c>
      <c r="R61" s="31">
        <f>IFERROR(__xludf.DUMMYFUNCTION("IF(ISERROR(FILTER('Activity map'!$C:$C, 'Activity map'!$A:$A=$A61)), 0, COUNTA(UNIQUE(FILTER('Activity map'!$C:$C, 'Activity map'!$A:$A=$A61))))"),5.0)</f>
        <v>5</v>
      </c>
      <c r="S61" s="51">
        <f t="shared" si="6"/>
        <v>0</v>
      </c>
      <c r="T61" s="31">
        <f>IFERROR(__xludf.DUMMYFUNCTION("IF(ISERROR(FILTER('Activity map'!$E:$E, ('Activity map'!$A:$A=$A61)*('Activity map'!$F:$F=FALSE))), ""-"", MIN(UNIQUE(FILTER('Activity map'!$E:$E, ('Activity map'!$A:$A=$A61)*('Activity map'!$F:$F=FALSE)))))"),4.0)</f>
        <v>4</v>
      </c>
      <c r="U61" s="30" t="str">
        <f>IF($N61=0, "-", VLOOKUP($N61, 'List of log slots'!$A:$C, 2, FALSE))</f>
        <v>Gauntlet cape</v>
      </c>
    </row>
    <row r="62">
      <c r="A62" s="26">
        <v>243.0</v>
      </c>
      <c r="B62" s="23" t="str">
        <f>VLOOKUP($A62, 'Completion rates'!$A:$E, 2, FALSE)</f>
        <v>Killing the prifddinas rabbit</v>
      </c>
      <c r="C62" s="26">
        <f>IF(Notes!$E$27, VLOOKUP($A62, 'Completion rates'!$A:$E, 4, FALSE), VLOOKUP($A62, 'Completion rates'!$A:$E, 3, FALSE))</f>
        <v>7</v>
      </c>
      <c r="D62" s="26">
        <f>VLOOKUP($A62, 'Completion rates'!$A:$E, 5, FALSE)</f>
        <v>0</v>
      </c>
      <c r="E62" s="28" t="str">
        <f>IF(SUMIFS('Activity map'!$O:$O, 'Activity map'!$A:$A, A62, 'Activity map'!$H:$H, "=TRUE") = 0, "n/a", 1/SUMIFS('Activity map'!$O:$O, 'Activity map'!$A:$A, A62, 'Activity map'!$H:$H, "=TRUE"))</f>
        <v>n/a</v>
      </c>
      <c r="F62" s="8" t="str">
        <f t="shared" si="1"/>
        <v/>
      </c>
      <c r="G62" s="26" t="str">
        <f>IF(MINIFS('Activity map'!$N:$N, 'Activity map'!$A:$A, A62, 'Activity map'!$H:$H, "=TRUE") = 0, "n/a", MINIFS('Activity map'!$N:$N, 'Activity map'!$A:$A, A62, 'Activity map'!$H:$H, "=TRUE"))</f>
        <v>n/a</v>
      </c>
      <c r="H62" s="8" t="str">
        <f t="shared" si="2"/>
        <v/>
      </c>
      <c r="I62" s="26">
        <f>IF(MINIFS('Activity map'!$M:$M, 'Activity map'!$A:$A, A62, 'Activity map'!$H:$H, "=TRUE") = 0, "n/a", MINIFS('Activity map'!$M:$M, 'Activity map'!$A:$A, A62, 'Activity map'!$H:$H, "=TRUE"))</f>
        <v>1</v>
      </c>
      <c r="J62" s="26">
        <f t="shared" si="3"/>
        <v>0.1428571429</v>
      </c>
      <c r="K62" s="26" t="str">
        <f>IF(MINIFS('Activity map'!$L:$L, 'Activity map'!$A:$A, A62, 'Activity map'!$H:$H, "=TRUE") = 0, "n/a", MINIFS('Activity map'!$L:$L, 'Activity map'!$A:$A, A62, 'Activity map'!$H:$H, "=TRUE"))</f>
        <v>n/a</v>
      </c>
      <c r="L62" s="8" t="str">
        <f t="shared" si="4"/>
        <v/>
      </c>
      <c r="M62" s="26">
        <f>MINIFS('Activity map'!$C:$C, 'Activity map'!$A:$A, $A62, 'Activity map'!$H:$H, "=TRUE", 'Activity map'!$K:$K, MINIFS('Activity map'!$K:$K, 'Activity map'!$A:$A, $A62, 'Activity map'!$H:$H, "=TRUE"))</f>
        <v>24000</v>
      </c>
      <c r="N62" s="26">
        <f>MINIFS('Activity map'!$C:$C, 'Activity map'!$A:$A, $A62, 'Activity map'!$H:$H, "=TRUE", 'Activity map'!$E:$E, $T62)</f>
        <v>24000</v>
      </c>
      <c r="O62" s="83">
        <f t="shared" si="5"/>
        <v>0.005952380952</v>
      </c>
      <c r="P62" s="30" t="str">
        <f>IF($M62=0, "-", VLOOKUP($M62, 'List of log slots'!$A:$C, 2, FALSE))</f>
        <v>Crystal grail</v>
      </c>
      <c r="Q62" s="31">
        <f>IFERROR(__xludf.DUMMYFUNCTION("IF(ISERROR(FILTER('Activity map'!$C:$C, ('Activity map'!$A:$A=$A62)*('Activity map'!$F:$F=FALSE))), 0, COUNTA(UNIQUE(FILTER('Activity map'!$C:$C, ('Activity map'!$A:$A=$A62)*('Activity map'!$F:$F=FALSE)))))"),1.0)</f>
        <v>1</v>
      </c>
      <c r="R62" s="31">
        <f>IFERROR(__xludf.DUMMYFUNCTION("IF(ISERROR(FILTER('Activity map'!$C:$C, 'Activity map'!$A:$A=$A62)), 0, COUNTA(UNIQUE(FILTER('Activity map'!$C:$C, 'Activity map'!$A:$A=$A62))))"),1.0)</f>
        <v>1</v>
      </c>
      <c r="S62" s="72">
        <f t="shared" si="6"/>
        <v>0</v>
      </c>
      <c r="T62" s="31">
        <f>IFERROR(__xludf.DUMMYFUNCTION("IF(ISERROR(FILTER('Activity map'!$E:$E, ('Activity map'!$A:$A=$A62)*('Activity map'!$F:$F=FALSE))), ""-"", MIN(UNIQUE(FILTER('Activity map'!$E:$E, ('Activity map'!$A:$A=$A62)*('Activity map'!$F:$F=FALSE)))))"),4.0)</f>
        <v>4</v>
      </c>
      <c r="U62" s="30" t="str">
        <f>IF($N62=0, "-", VLOOKUP($N62, 'List of log slots'!$A:$C, 2, FALSE))</f>
        <v>Crystal grail</v>
      </c>
    </row>
    <row r="63">
      <c r="A63" s="26">
        <v>6.0</v>
      </c>
      <c r="B63" s="23" t="str">
        <f>VLOOKUP($A63, 'Completion rates'!$A:$E, 2, FALSE)</f>
        <v>Killing bryophyta</v>
      </c>
      <c r="C63" s="26">
        <f>IF(Notes!$E$27, VLOOKUP($A63, 'Completion rates'!$A:$E, 4, FALSE), VLOOKUP($A63, 'Completion rates'!$A:$E, 3, FALSE))</f>
        <v>100</v>
      </c>
      <c r="D63" s="26">
        <f>VLOOKUP($A63, 'Completion rates'!$A:$E, 5, FALSE)</f>
        <v>0</v>
      </c>
      <c r="E63" s="28">
        <f>IF(SUMIFS('Activity map'!$O:$O, 'Activity map'!$A:$A, A63, 'Activity map'!$H:$H, "=TRUE") = 0, "n/a", 1/SUMIFS('Activity map'!$O:$O, 'Activity map'!$A:$A, A63, 'Activity map'!$H:$H, "=TRUE"))</f>
        <v>15.15661224</v>
      </c>
      <c r="F63" s="26">
        <f t="shared" si="1"/>
        <v>0.1515661224</v>
      </c>
      <c r="G63" s="26" t="str">
        <f>IF(MINIFS('Activity map'!$N:$N, 'Activity map'!$A:$A, A63, 'Activity map'!$H:$H, "=TRUE") = 0, "n/a", MINIFS('Activity map'!$N:$N, 'Activity map'!$A:$A, A63, 'Activity map'!$H:$H, "=TRUE"))</f>
        <v>n/a</v>
      </c>
      <c r="H63" s="8" t="str">
        <f t="shared" si="2"/>
        <v/>
      </c>
      <c r="I63" s="26" t="str">
        <f>IF(MINIFS('Activity map'!$M:$M, 'Activity map'!$A:$A, A63, 'Activity map'!$H:$H, "=TRUE") = 0, "n/a", MINIFS('Activity map'!$M:$M, 'Activity map'!$A:$A, A63, 'Activity map'!$H:$H, "=TRUE"))</f>
        <v>n/a</v>
      </c>
      <c r="J63" s="8" t="str">
        <f t="shared" si="3"/>
        <v/>
      </c>
      <c r="K63" s="26" t="str">
        <f>IF(MINIFS('Activity map'!$L:$L, 'Activity map'!$A:$A, A63, 'Activity map'!$H:$H, "=TRUE") = 0, "n/a", MINIFS('Activity map'!$L:$L, 'Activity map'!$A:$A, A63, 'Activity map'!$H:$H, "=TRUE"))</f>
        <v>n/a</v>
      </c>
      <c r="L63" s="8" t="str">
        <f t="shared" si="4"/>
        <v/>
      </c>
      <c r="M63" s="26">
        <f>MINIFS('Activity map'!$C:$C, 'Activity map'!$A:$A, $A63, 'Activity map'!$H:$H, "=TRUE", 'Activity map'!$K:$K, MINIFS('Activity map'!$K:$K, 'Activity map'!$A:$A, $A63, 'Activity map'!$H:$H, "=TRUE"))</f>
        <v>22374</v>
      </c>
      <c r="N63" s="26">
        <f>MINIFS('Activity map'!$C:$C, 'Activity map'!$A:$A, $A63, 'Activity map'!$H:$H, "=TRUE", 'Activity map'!$E:$E, $T63)</f>
        <v>22374</v>
      </c>
      <c r="O63" s="84">
        <f t="shared" si="5"/>
        <v>0.006315255102</v>
      </c>
      <c r="P63" s="30" t="str">
        <f>IF($M63=0, "-", VLOOKUP($M63, 'List of log slots'!$A:$C, 2, FALSE))</f>
        <v>Mossy key</v>
      </c>
      <c r="Q63" s="31">
        <f>IFERROR(__xludf.DUMMYFUNCTION("IF(ISERROR(FILTER('Activity map'!$C:$C, ('Activity map'!$A:$A=$A63)*('Activity map'!$F:$F=FALSE))), 0, COUNTA(UNIQUE(FILTER('Activity map'!$C:$C, ('Activity map'!$A:$A=$A63)*('Activity map'!$F:$F=FALSE)))))"),7.0)</f>
        <v>7</v>
      </c>
      <c r="R63" s="31">
        <f>IFERROR(__xludf.DUMMYFUNCTION("IF(ISERROR(FILTER('Activity map'!$C:$C, 'Activity map'!$A:$A=$A63)), 0, COUNTA(UNIQUE(FILTER('Activity map'!$C:$C, 'Activity map'!$A:$A=$A63))))"),7.0)</f>
        <v>7</v>
      </c>
      <c r="S63" s="76">
        <f t="shared" si="6"/>
        <v>0</v>
      </c>
      <c r="T63" s="31">
        <f>IFERROR(__xludf.DUMMYFUNCTION("IF(ISERROR(FILTER('Activity map'!$E:$E, ('Activity map'!$A:$A=$A63)*('Activity map'!$F:$F=FALSE))), ""-"", MIN(UNIQUE(FILTER('Activity map'!$E:$E, ('Activity map'!$A:$A=$A63)*('Activity map'!$F:$F=FALSE)))))"),2.0)</f>
        <v>2</v>
      </c>
      <c r="U63" s="30" t="str">
        <f>IF($N63=0, "-", VLOOKUP($N63, 'List of log slots'!$A:$C, 2, FALSE))</f>
        <v>Mossy key</v>
      </c>
    </row>
    <row r="64">
      <c r="A64" s="26">
        <v>188.0</v>
      </c>
      <c r="B64" s="23" t="str">
        <f>VLOOKUP($A64, 'Completion rates'!$A:$E, 2, FALSE)</f>
        <v>Killing greater nechryael (on task)</v>
      </c>
      <c r="C64" s="26">
        <f>IF(Notes!$E$27, VLOOKUP($A64, 'Completion rates'!$A:$E, 4, FALSE), VLOOKUP($A64, 'Completion rates'!$A:$E, 3, FALSE))</f>
        <v>400</v>
      </c>
      <c r="D64" s="26">
        <f>VLOOKUP($A64, 'Completion rates'!$A:$E, 5, FALSE)</f>
        <v>0</v>
      </c>
      <c r="E64" s="28">
        <f>IF(SUMIFS('Activity map'!$O:$O, 'Activity map'!$A:$A, A64, 'Activity map'!$H:$H, "=TRUE") = 0, "n/a", 1/SUMIFS('Activity map'!$O:$O, 'Activity map'!$A:$A, A64, 'Activity map'!$H:$H, "=TRUE"))</f>
        <v>60.84354582</v>
      </c>
      <c r="F64" s="26">
        <f t="shared" si="1"/>
        <v>0.1521088646</v>
      </c>
      <c r="G64" s="26" t="str">
        <f>IF(MINIFS('Activity map'!$N:$N, 'Activity map'!$A:$A, A64, 'Activity map'!$H:$H, "=TRUE") = 0, "n/a", MINIFS('Activity map'!$N:$N, 'Activity map'!$A:$A, A64, 'Activity map'!$H:$H, "=TRUE"))</f>
        <v>n/a</v>
      </c>
      <c r="H64" s="8" t="str">
        <f t="shared" si="2"/>
        <v/>
      </c>
      <c r="I64" s="26" t="str">
        <f>IF(MINIFS('Activity map'!$M:$M, 'Activity map'!$A:$A, A64, 'Activity map'!$H:$H, "=TRUE") = 0, "n/a", MINIFS('Activity map'!$M:$M, 'Activity map'!$A:$A, A64, 'Activity map'!$H:$H, "=TRUE"))</f>
        <v>n/a</v>
      </c>
      <c r="J64" s="8" t="str">
        <f t="shared" si="3"/>
        <v/>
      </c>
      <c r="K64" s="26" t="str">
        <f>IF(MINIFS('Activity map'!$L:$L, 'Activity map'!$A:$A, A64, 'Activity map'!$H:$H, "=TRUE") = 0, "n/a", MINIFS('Activity map'!$L:$L, 'Activity map'!$A:$A, A64, 'Activity map'!$H:$H, "=TRUE"))</f>
        <v>n/a</v>
      </c>
      <c r="L64" s="8" t="str">
        <f t="shared" si="4"/>
        <v/>
      </c>
      <c r="M64" s="26">
        <f>MINIFS('Activity map'!$C:$C, 'Activity map'!$A:$A, $A64, 'Activity map'!$H:$H, "=TRUE", 'Activity map'!$K:$K, MINIFS('Activity map'!$K:$K, 'Activity map'!$A:$A, $A64, 'Activity map'!$H:$H, "=TRUE"))</f>
        <v>4131</v>
      </c>
      <c r="N64" s="26">
        <f>MINIFS('Activity map'!$C:$C, 'Activity map'!$A:$A, $A64, 'Activity map'!$H:$H, "=TRUE", 'Activity map'!$E:$E, $T64)</f>
        <v>19679</v>
      </c>
      <c r="O64" s="66">
        <f t="shared" si="5"/>
        <v>0.006337869356</v>
      </c>
      <c r="P64" s="30" t="str">
        <f>IF($M64=0, "-", VLOOKUP($M64, 'List of log slots'!$A:$C, 2, FALSE))</f>
        <v>Rune boots</v>
      </c>
      <c r="Q64" s="31">
        <f>IFERROR(__xludf.DUMMYFUNCTION("IF(ISERROR(FILTER('Activity map'!$C:$C, ('Activity map'!$A:$A=$A64)*('Activity map'!$F:$F=FALSE))), 0, COUNTA(UNIQUE(FILTER('Activity map'!$C:$C, ('Activity map'!$A:$A=$A64)*('Activity map'!$F:$F=FALSE)))))"),11.0)</f>
        <v>11</v>
      </c>
      <c r="R64" s="31">
        <f>IFERROR(__xludf.DUMMYFUNCTION("IF(ISERROR(FILTER('Activity map'!$C:$C, 'Activity map'!$A:$A=$A64)), 0, COUNTA(UNIQUE(FILTER('Activity map'!$C:$C, 'Activity map'!$A:$A=$A64))))"),11.0)</f>
        <v>11</v>
      </c>
      <c r="S64" s="85">
        <f t="shared" si="6"/>
        <v>0</v>
      </c>
      <c r="T64" s="31">
        <f>IFERROR(__xludf.DUMMYFUNCTION("IF(ISERROR(FILTER('Activity map'!$E:$E, ('Activity map'!$A:$A=$A64)*('Activity map'!$F:$F=FALSE))), ""-"", MIN(UNIQUE(FILTER('Activity map'!$E:$E, ('Activity map'!$A:$A=$A64)*('Activity map'!$F:$F=FALSE)))))"),3.0)</f>
        <v>3</v>
      </c>
      <c r="U64" s="30" t="str">
        <f>IF($N64=0, "-", VLOOKUP($N64, 'List of log slots'!$A:$C, 2, FALSE))</f>
        <v>Dark totem base</v>
      </c>
    </row>
    <row r="65">
      <c r="A65" s="26">
        <v>84.0</v>
      </c>
      <c r="B65" s="23" t="str">
        <f>VLOOKUP($A65, 'Completion rates'!$A:$E, 2, FALSE)</f>
        <v>Pulling from the reward guardian (guardians of the rift)</v>
      </c>
      <c r="C65" s="26">
        <f>IF(Notes!$E$27, VLOOKUP($A65, 'Completion rates'!$A:$E, 4, FALSE), VLOOKUP($A65, 'Completion rates'!$A:$E, 3, FALSE))</f>
        <v>33</v>
      </c>
      <c r="D65" s="26">
        <f>VLOOKUP($A65, 'Completion rates'!$A:$E, 5, FALSE)</f>
        <v>0</v>
      </c>
      <c r="E65" s="28">
        <f>IF(SUMIFS('Activity map'!$O:$O, 'Activity map'!$A:$A, A65, 'Activity map'!$H:$H, "=TRUE") = 0, "n/a", 1/SUMIFS('Activity map'!$O:$O, 'Activity map'!$A:$A, A65, 'Activity map'!$H:$H, "=TRUE"))</f>
        <v>5.075222041</v>
      </c>
      <c r="F65" s="26">
        <f t="shared" si="1"/>
        <v>0.1537946073</v>
      </c>
      <c r="G65" s="26">
        <f>IF(MINIFS('Activity map'!$N:$N, 'Activity map'!$A:$A, A65, 'Activity map'!$H:$H, "=TRUE") = 0, "n/a", MINIFS('Activity map'!$N:$N, 'Activity map'!$A:$A, A65, 'Activity map'!$H:$H, "=TRUE"))</f>
        <v>117</v>
      </c>
      <c r="H65" s="26">
        <f t="shared" si="2"/>
        <v>3.545454545</v>
      </c>
      <c r="I65" s="26" t="str">
        <f>IF(MINIFS('Activity map'!$M:$M, 'Activity map'!$A:$A, A65, 'Activity map'!$H:$H, "=TRUE") = 0, "n/a", MINIFS('Activity map'!$M:$M, 'Activity map'!$A:$A, A65, 'Activity map'!$H:$H, "=TRUE"))</f>
        <v>n/a</v>
      </c>
      <c r="J65" s="8" t="str">
        <f t="shared" si="3"/>
        <v/>
      </c>
      <c r="K65" s="26" t="str">
        <f>IF(MINIFS('Activity map'!$L:$L, 'Activity map'!$A:$A, A65, 'Activity map'!$H:$H, "=TRUE") = 0, "n/a", MINIFS('Activity map'!$L:$L, 'Activity map'!$A:$A, A65, 'Activity map'!$H:$H, "=TRUE"))</f>
        <v>n/a</v>
      </c>
      <c r="L65" s="8" t="str">
        <f t="shared" si="4"/>
        <v/>
      </c>
      <c r="M65" s="26">
        <f>MINIFS('Activity map'!$C:$C, 'Activity map'!$A:$A, $A65, 'Activity map'!$H:$H, "=TRUE", 'Activity map'!$K:$K, MINIFS('Activity map'!$K:$K, 'Activity map'!$A:$A, $A65, 'Activity map'!$H:$H, "=TRUE"))</f>
        <v>26792</v>
      </c>
      <c r="N65" s="26">
        <f>MINIFS('Activity map'!$C:$C, 'Activity map'!$A:$A, $A65, 'Activity map'!$H:$H, "=TRUE", 'Activity map'!$E:$E, $T65)</f>
        <v>26792</v>
      </c>
      <c r="O65" s="86">
        <f t="shared" si="5"/>
        <v>0.006408108638</v>
      </c>
      <c r="P65" s="30" t="str">
        <f>IF($M65=0, "-", VLOOKUP($M65, 'List of log slots'!$A:$C, 2, FALSE))</f>
        <v>Abyssal pearls</v>
      </c>
      <c r="Q65" s="31">
        <f>IFERROR(__xludf.DUMMYFUNCTION("IF(ISERROR(FILTER('Activity map'!$C:$C, ('Activity map'!$A:$A=$A65)*('Activity map'!$F:$F=FALSE))), 0, COUNTA(UNIQUE(FILTER('Activity map'!$C:$C, ('Activity map'!$A:$A=$A65)*('Activity map'!$F:$F=FALSE)))))"),17.0)</f>
        <v>17</v>
      </c>
      <c r="R65" s="31">
        <f>IFERROR(__xludf.DUMMYFUNCTION("IF(ISERROR(FILTER('Activity map'!$C:$C, 'Activity map'!$A:$A=$A65)), 0, COUNTA(UNIQUE(FILTER('Activity map'!$C:$C, 'Activity map'!$A:$A=$A65))))"),17.0)</f>
        <v>17</v>
      </c>
      <c r="S65" s="87">
        <f t="shared" si="6"/>
        <v>0</v>
      </c>
      <c r="T65" s="31">
        <f>IFERROR(__xludf.DUMMYFUNCTION("IF(ISERROR(FILTER('Activity map'!$E:$E, ('Activity map'!$A:$A=$A65)*('Activity map'!$F:$F=FALSE))), ""-"", MIN(UNIQUE(FILTER('Activity map'!$E:$E, ('Activity map'!$A:$A=$A65)*('Activity map'!$F:$F=FALSE)))))"),2.0)</f>
        <v>2</v>
      </c>
      <c r="U65" s="30" t="str">
        <f>IF($N65=0, "-", VLOOKUP($N65, 'List of log slots'!$A:$C, 2, FALSE))</f>
        <v>Abyssal pearls</v>
      </c>
    </row>
    <row r="66">
      <c r="A66" s="26">
        <v>141.0</v>
      </c>
      <c r="B66" s="23" t="str">
        <f>VLOOKUP($A66, 'Completion rates'!$A:$E, 2, FALSE)</f>
        <v>Killing albatross (boat combat)</v>
      </c>
      <c r="C66" s="26">
        <f>IF(Notes!$E$27, VLOOKUP($A66, 'Completion rates'!$A:$E, 4, FALSE), VLOOKUP($A66, 'Completion rates'!$A:$E, 3, FALSE))</f>
        <v>190</v>
      </c>
      <c r="D66" s="26">
        <f>VLOOKUP($A66, 'Completion rates'!$A:$E, 5, FALSE)</f>
        <v>0</v>
      </c>
      <c r="E66" s="28">
        <f>IF(SUMIFS('Activity map'!$O:$O, 'Activity map'!$A:$A, A66, 'Activity map'!$H:$H, "=TRUE") = 0, "n/a", 1/SUMIFS('Activity map'!$O:$O, 'Activity map'!$A:$A, A66, 'Activity map'!$H:$H, "=TRUE"))</f>
        <v>30</v>
      </c>
      <c r="F66" s="26">
        <f t="shared" si="1"/>
        <v>0.1578947368</v>
      </c>
      <c r="G66" s="26" t="str">
        <f>IF(MINIFS('Activity map'!$N:$N, 'Activity map'!$A:$A, A66, 'Activity map'!$H:$H, "=TRUE") = 0, "n/a", MINIFS('Activity map'!$N:$N, 'Activity map'!$A:$A, A66, 'Activity map'!$H:$H, "=TRUE"))</f>
        <v>n/a</v>
      </c>
      <c r="H66" s="8" t="str">
        <f t="shared" si="2"/>
        <v/>
      </c>
      <c r="I66" s="26" t="str">
        <f>IF(MINIFS('Activity map'!$M:$M, 'Activity map'!$A:$A, A66, 'Activity map'!$H:$H, "=TRUE") = 0, "n/a", MINIFS('Activity map'!$M:$M, 'Activity map'!$A:$A, A66, 'Activity map'!$H:$H, "=TRUE"))</f>
        <v>n/a</v>
      </c>
      <c r="J66" s="8" t="str">
        <f t="shared" si="3"/>
        <v/>
      </c>
      <c r="K66" s="26" t="str">
        <f>IF(MINIFS('Activity map'!$L:$L, 'Activity map'!$A:$A, A66, 'Activity map'!$H:$H, "=TRUE") = 0, "n/a", MINIFS('Activity map'!$L:$L, 'Activity map'!$A:$A, A66, 'Activity map'!$H:$H, "=TRUE"))</f>
        <v>n/a</v>
      </c>
      <c r="L66" s="8" t="str">
        <f t="shared" si="4"/>
        <v/>
      </c>
      <c r="M66" s="26">
        <f>MINIFS('Activity map'!$C:$C, 'Activity map'!$A:$A, $A66, 'Activity map'!$H:$H, "=TRUE", 'Activity map'!$K:$K, MINIFS('Activity map'!$K:$K, 'Activity map'!$A:$A, $A66, 'Activity map'!$H:$H, "=TRUE"))</f>
        <v>31952</v>
      </c>
      <c r="N66" s="26">
        <f>MINIFS('Activity map'!$C:$C, 'Activity map'!$A:$A, $A66, 'Activity map'!$H:$H, "=TRUE", 'Activity map'!$E:$E, $T66)</f>
        <v>31952</v>
      </c>
      <c r="O66" s="83">
        <f t="shared" si="5"/>
        <v>0.006578947368</v>
      </c>
      <c r="P66" s="30" t="str">
        <f>IF($M66=0, "-", VLOOKUP($M66, 'List of log slots'!$A:$C, 2, FALSE))</f>
        <v>Swift albatross feather</v>
      </c>
      <c r="Q66" s="31">
        <f>IFERROR(__xludf.DUMMYFUNCTION("IF(ISERROR(FILTER('Activity map'!$C:$C, ('Activity map'!$A:$A=$A66)*('Activity map'!$F:$F=FALSE))), 0, COUNTA(UNIQUE(FILTER('Activity map'!$C:$C, ('Activity map'!$A:$A=$A66)*('Activity map'!$F:$F=FALSE)))))"),1.0)</f>
        <v>1</v>
      </c>
      <c r="R66" s="31">
        <f>IFERROR(__xludf.DUMMYFUNCTION("IF(ISERROR(FILTER('Activity map'!$C:$C, 'Activity map'!$A:$A=$A66)), 0, COUNTA(UNIQUE(FILTER('Activity map'!$C:$C, 'Activity map'!$A:$A=$A66))))"),1.0)</f>
        <v>1</v>
      </c>
      <c r="S66" s="72">
        <f t="shared" si="6"/>
        <v>0</v>
      </c>
      <c r="T66" s="31">
        <f>IFERROR(__xludf.DUMMYFUNCTION("IF(ISERROR(FILTER('Activity map'!$E:$E, ('Activity map'!$A:$A=$A66)*('Activity map'!$F:$F=FALSE))), ""-"", MIN(UNIQUE(FILTER('Activity map'!$E:$E, ('Activity map'!$A:$A=$A66)*('Activity map'!$F:$F=FALSE)))))"),2.0)</f>
        <v>2</v>
      </c>
      <c r="U66" s="30" t="str">
        <f>IF($N66=0, "-", VLOOKUP($N66, 'List of log slots'!$A:$C, 2, FALSE))</f>
        <v>Swift albatross feather</v>
      </c>
    </row>
    <row r="67">
      <c r="A67" s="26">
        <v>182.0</v>
      </c>
      <c r="B67" s="23" t="str">
        <f>VLOOKUP($A67, 'Completion rates'!$A:$E, 2, FALSE)</f>
        <v>Killing cave crawlers</v>
      </c>
      <c r="C67" s="26">
        <f>IF(Notes!$E$27, VLOOKUP($A67, 'Completion rates'!$A:$E, 4, FALSE), VLOOKUP($A67, 'Completion rates'!$A:$E, 3, FALSE))</f>
        <v>800</v>
      </c>
      <c r="D67" s="26">
        <f>VLOOKUP($A67, 'Completion rates'!$A:$E, 5, FALSE)</f>
        <v>0</v>
      </c>
      <c r="E67" s="28">
        <f>IF(SUMIFS('Activity map'!$O:$O, 'Activity map'!$A:$A, A67, 'Activity map'!$H:$H, "=TRUE") = 0, "n/a", 1/SUMIFS('Activity map'!$O:$O, 'Activity map'!$A:$A, A67, 'Activity map'!$H:$H, "=TRUE"))</f>
        <v>127.9453359</v>
      </c>
      <c r="F67" s="8">
        <f t="shared" si="1"/>
        <v>0.1599316698</v>
      </c>
      <c r="G67" s="26" t="str">
        <f>IF(MINIFS('Activity map'!$N:$N, 'Activity map'!$A:$A, A67, 'Activity map'!$H:$H, "=TRUE") = 0, "n/a", MINIFS('Activity map'!$N:$N, 'Activity map'!$A:$A, A67, 'Activity map'!$H:$H, "=TRUE"))</f>
        <v>n/a</v>
      </c>
      <c r="H67" s="8" t="str">
        <f t="shared" si="2"/>
        <v/>
      </c>
      <c r="I67" s="26" t="str">
        <f>IF(MINIFS('Activity map'!$M:$M, 'Activity map'!$A:$A, A67, 'Activity map'!$H:$H, "=TRUE") = 0, "n/a", MINIFS('Activity map'!$M:$M, 'Activity map'!$A:$A, A67, 'Activity map'!$H:$H, "=TRUE"))</f>
        <v>n/a</v>
      </c>
      <c r="J67" s="8" t="str">
        <f t="shared" si="3"/>
        <v/>
      </c>
      <c r="K67" s="26" t="str">
        <f>IF(MINIFS('Activity map'!$L:$L, 'Activity map'!$A:$A, A67, 'Activity map'!$H:$H, "=TRUE") = 0, "n/a", MINIFS('Activity map'!$L:$L, 'Activity map'!$A:$A, A67, 'Activity map'!$H:$H, "=TRUE"))</f>
        <v>n/a</v>
      </c>
      <c r="L67" s="8" t="str">
        <f t="shared" si="4"/>
        <v/>
      </c>
      <c r="M67" s="26">
        <f>MINIFS('Activity map'!$C:$C, 'Activity map'!$A:$A, $A67, 'Activity map'!$H:$H, "=TRUE", 'Activity map'!$K:$K, MINIFS('Activity map'!$K:$K, 'Activity map'!$A:$A, $A67, 'Activity map'!$H:$H, "=TRUE"))</f>
        <v>4119</v>
      </c>
      <c r="N67" s="26">
        <f>MINIFS('Activity map'!$C:$C, 'Activity map'!$A:$A, $A67, 'Activity map'!$H:$H, "=TRUE", 'Activity map'!$E:$E, $T67)</f>
        <v>4119</v>
      </c>
      <c r="O67" s="35">
        <f t="shared" si="5"/>
        <v>0.006663819576</v>
      </c>
      <c r="P67" s="30" t="str">
        <f>IF($M67=0, "-", VLOOKUP($M67, 'List of log slots'!$A:$C, 2, FALSE))</f>
        <v>Bronze boots</v>
      </c>
      <c r="Q67" s="31">
        <f>IFERROR(__xludf.DUMMYFUNCTION("IF(ISERROR(FILTER('Activity map'!$C:$C, ('Activity map'!$A:$A=$A67)*('Activity map'!$F:$F=FALSE))), 0, COUNTA(UNIQUE(FILTER('Activity map'!$C:$C, ('Activity map'!$A:$A=$A67)*('Activity map'!$F:$F=FALSE)))))"),3.0)</f>
        <v>3</v>
      </c>
      <c r="R67" s="31">
        <f>IFERROR(__xludf.DUMMYFUNCTION("IF(ISERROR(FILTER('Activity map'!$C:$C, 'Activity map'!$A:$A=$A67)), 0, COUNTA(UNIQUE(FILTER('Activity map'!$C:$C, 'Activity map'!$A:$A=$A67))))"),3.0)</f>
        <v>3</v>
      </c>
      <c r="S67" s="36">
        <f t="shared" si="6"/>
        <v>0</v>
      </c>
      <c r="T67" s="31">
        <f>IFERROR(__xludf.DUMMYFUNCTION("IF(ISERROR(FILTER('Activity map'!$E:$E, ('Activity map'!$A:$A=$A67)*('Activity map'!$F:$F=FALSE))), ""-"", MIN(UNIQUE(FILTER('Activity map'!$E:$E, ('Activity map'!$A:$A=$A67)*('Activity map'!$F:$F=FALSE)))))"),1.0)</f>
        <v>1</v>
      </c>
      <c r="U67" s="30" t="str">
        <f>IF($N67=0, "-", VLOOKUP($N67, 'List of log slots'!$A:$C, 2, FALSE))</f>
        <v>Bronze boots</v>
      </c>
    </row>
    <row r="68">
      <c r="A68" s="26">
        <v>237.0</v>
      </c>
      <c r="B68" s="23" t="str">
        <f>VLOOKUP($A68, 'Completion rates'!$A:$E, 2, FALSE)</f>
        <v>Killing ankou (stronghold of security)</v>
      </c>
      <c r="C68" s="26">
        <f>IF(Notes!$E$27, VLOOKUP($A68, 'Completion rates'!$A:$E, 4, FALSE), VLOOKUP($A68, 'Completion rates'!$A:$E, 3, FALSE))</f>
        <v>200</v>
      </c>
      <c r="D68" s="26">
        <f>VLOOKUP($A68, 'Completion rates'!$A:$E, 5, FALSE)</f>
        <v>0</v>
      </c>
      <c r="E68" s="28">
        <f>IF(SUMIFS('Activity map'!$O:$O, 'Activity map'!$A:$A, A68, 'Activity map'!$H:$H, "=TRUE") = 0, "n/a", 1/SUMIFS('Activity map'!$O:$O, 'Activity map'!$A:$A, A68, 'Activity map'!$H:$H, "=TRUE"))</f>
        <v>34</v>
      </c>
      <c r="F68" s="8">
        <f t="shared" si="1"/>
        <v>0.17</v>
      </c>
      <c r="G68" s="26" t="str">
        <f>IF(MINIFS('Activity map'!$N:$N, 'Activity map'!$A:$A, A68, 'Activity map'!$H:$H, "=TRUE") = 0, "n/a", MINIFS('Activity map'!$N:$N, 'Activity map'!$A:$A, A68, 'Activity map'!$H:$H, "=TRUE"))</f>
        <v>n/a</v>
      </c>
      <c r="H68" s="8" t="str">
        <f t="shared" si="2"/>
        <v/>
      </c>
      <c r="I68" s="26" t="str">
        <f>IF(MINIFS('Activity map'!$M:$M, 'Activity map'!$A:$A, A68, 'Activity map'!$H:$H, "=TRUE") = 0, "n/a", MINIFS('Activity map'!$M:$M, 'Activity map'!$A:$A, A68, 'Activity map'!$H:$H, "=TRUE"))</f>
        <v>n/a</v>
      </c>
      <c r="J68" s="8" t="str">
        <f t="shared" si="3"/>
        <v/>
      </c>
      <c r="K68" s="26" t="str">
        <f>IF(MINIFS('Activity map'!$L:$L, 'Activity map'!$A:$A, A68, 'Activity map'!$H:$H, "=TRUE") = 0, "n/a", MINIFS('Activity map'!$L:$L, 'Activity map'!$A:$A, A68, 'Activity map'!$H:$H, "=TRUE"))</f>
        <v>n/a</v>
      </c>
      <c r="L68" s="8" t="str">
        <f t="shared" si="4"/>
        <v/>
      </c>
      <c r="M68" s="26">
        <f>MINIFS('Activity map'!$C:$C, 'Activity map'!$A:$A, $A68, 'Activity map'!$H:$H, "=TRUE", 'Activity map'!$K:$K, MINIFS('Activity map'!$K:$K, 'Activity map'!$A:$A, $A68, 'Activity map'!$H:$H, "=TRUE"))</f>
        <v>9008</v>
      </c>
      <c r="N68" s="26">
        <f>MINIFS('Activity map'!$C:$C, 'Activity map'!$A:$A, $A68, 'Activity map'!$H:$H, "=TRUE", 'Activity map'!$E:$E, $T68)</f>
        <v>9008</v>
      </c>
      <c r="O68" s="35">
        <f t="shared" si="5"/>
        <v>0.007083333333</v>
      </c>
      <c r="P68" s="30" t="str">
        <f>IF($M68=0, "-", VLOOKUP($M68, 'List of log slots'!$A:$C, 2, FALSE))</f>
        <v>Left skull half</v>
      </c>
      <c r="Q68" s="31">
        <f>IFERROR(__xludf.DUMMYFUNCTION("IF(ISERROR(FILTER('Activity map'!$C:$C, ('Activity map'!$A:$A=$A68)*('Activity map'!$F:$F=FALSE))), 0, COUNTA(UNIQUE(FILTER('Activity map'!$C:$C, ('Activity map'!$A:$A=$A68)*('Activity map'!$F:$F=FALSE)))))"),1.0)</f>
        <v>1</v>
      </c>
      <c r="R68" s="31">
        <f>IFERROR(__xludf.DUMMYFUNCTION("IF(ISERROR(FILTER('Activity map'!$C:$C, 'Activity map'!$A:$A=$A68)), 0, COUNTA(UNIQUE(FILTER('Activity map'!$C:$C, 'Activity map'!$A:$A=$A68))))"),1.0)</f>
        <v>1</v>
      </c>
      <c r="S68" s="36">
        <f t="shared" si="6"/>
        <v>0</v>
      </c>
      <c r="T68" s="31">
        <f>IFERROR(__xludf.DUMMYFUNCTION("IF(ISERROR(FILTER('Activity map'!$E:$E, ('Activity map'!$A:$A=$A68)*('Activity map'!$F:$F=FALSE))), ""-"", MIN(UNIQUE(FILTER('Activity map'!$E:$E, ('Activity map'!$A:$A=$A68)*('Activity map'!$F:$F=FALSE)))))"),2.0)</f>
        <v>2</v>
      </c>
      <c r="U68" s="30" t="str">
        <f>IF($N68=0, "-", VLOOKUP($N68, 'List of log slots'!$A:$C, 2, FALSE))</f>
        <v>Left skull half</v>
      </c>
    </row>
    <row r="69">
      <c r="A69" s="26">
        <v>117.0</v>
      </c>
      <c r="B69" s="23" t="str">
        <f>VLOOKUP($A69, 'Completion rates'!$A:$E, 2, FALSE)</f>
        <v>Collecting termites (colossal wyrm agility)</v>
      </c>
      <c r="C69" s="26">
        <f>IF(Notes!$E$27, VLOOKUP($A69, 'Completion rates'!$A:$E, 4, FALSE), VLOOKUP($A69, 'Completion rates'!$A:$E, 3, FALSE))</f>
        <v>235</v>
      </c>
      <c r="D69" s="26">
        <f>VLOOKUP($A69, 'Completion rates'!$A:$E, 5, FALSE)</f>
        <v>0</v>
      </c>
      <c r="E69" s="28" t="str">
        <f>IF(SUMIFS('Activity map'!$O:$O, 'Activity map'!$A:$A, A69, 'Activity map'!$H:$H, "=TRUE") = 0, "n/a", 1/SUMIFS('Activity map'!$O:$O, 'Activity map'!$A:$A, A69, 'Activity map'!$H:$H, "=TRUE"))</f>
        <v>n/a</v>
      </c>
      <c r="F69" s="8" t="str">
        <f t="shared" si="1"/>
        <v/>
      </c>
      <c r="G69" s="26" t="str">
        <f>IF(MINIFS('Activity map'!$N:$N, 'Activity map'!$A:$A, A69, 'Activity map'!$H:$H, "=TRUE") = 0, "n/a", MINIFS('Activity map'!$N:$N, 'Activity map'!$A:$A, A69, 'Activity map'!$H:$H, "=TRUE"))</f>
        <v>n/a</v>
      </c>
      <c r="H69" s="8" t="str">
        <f t="shared" si="2"/>
        <v/>
      </c>
      <c r="I69" s="26" t="str">
        <f>IF(MINIFS('Activity map'!$M:$M, 'Activity map'!$A:$A, A69, 'Activity map'!$H:$H, "=TRUE") = 0, "n/a", MINIFS('Activity map'!$M:$M, 'Activity map'!$A:$A, A69, 'Activity map'!$H:$H, "=TRUE"))</f>
        <v>n/a</v>
      </c>
      <c r="J69" s="8" t="str">
        <f t="shared" si="3"/>
        <v/>
      </c>
      <c r="K69" s="26">
        <f>IF(MINIFS('Activity map'!$L:$L, 'Activity map'!$A:$A, A69, 'Activity map'!$H:$H, "=TRUE") = 0, "n/a", MINIFS('Activity map'!$L:$L, 'Activity map'!$A:$A, A69, 'Activity map'!$H:$H, "=TRUE"))</f>
        <v>40</v>
      </c>
      <c r="L69" s="8">
        <f t="shared" si="4"/>
        <v>0.170212766</v>
      </c>
      <c r="M69" s="26">
        <f>MINIFS('Activity map'!$C:$C, 'Activity map'!$A:$A, $A69, 'Activity map'!$H:$H, "=TRUE", 'Activity map'!$K:$K, MINIFS('Activity map'!$K:$K, 'Activity map'!$A:$A, $A69, 'Activity map'!$H:$H, "=TRUE"))</f>
        <v>30040</v>
      </c>
      <c r="N69" s="26">
        <f>MINIFS('Activity map'!$C:$C, 'Activity map'!$A:$A, $A69, 'Activity map'!$H:$H, "=TRUE", 'Activity map'!$E:$E, $T69)</f>
        <v>30040</v>
      </c>
      <c r="O69" s="35">
        <f t="shared" si="5"/>
        <v>0.007092198582</v>
      </c>
      <c r="P69" s="30" t="str">
        <f>IF($M69=0, "-", VLOOKUP($M69, 'List of log slots'!$A:$C, 2, FALSE))</f>
        <v>Colossal wyrm teleport scroll</v>
      </c>
      <c r="Q69" s="31">
        <f>IFERROR(__xludf.DUMMYFUNCTION("IF(ISERROR(FILTER('Activity map'!$C:$C, ('Activity map'!$A:$A=$A69)*('Activity map'!$F:$F=FALSE))), 0, COUNTA(UNIQUE(FILTER('Activity map'!$C:$C, ('Activity map'!$A:$A=$A69)*('Activity map'!$F:$F=FALSE)))))"),8.0)</f>
        <v>8</v>
      </c>
      <c r="R69" s="31">
        <f>IFERROR(__xludf.DUMMYFUNCTION("IF(ISERROR(FILTER('Activity map'!$C:$C, 'Activity map'!$A:$A=$A69)), 0, COUNTA(UNIQUE(FILTER('Activity map'!$C:$C, 'Activity map'!$A:$A=$A69))))"),8.0)</f>
        <v>8</v>
      </c>
      <c r="S69" s="36">
        <f t="shared" si="6"/>
        <v>0</v>
      </c>
      <c r="T69" s="31">
        <f>IFERROR(__xludf.DUMMYFUNCTION("IF(ISERROR(FILTER('Activity map'!$E:$E, ('Activity map'!$A:$A=$A69)*('Activity map'!$F:$F=FALSE))), ""-"", MIN(UNIQUE(FILTER('Activity map'!$E:$E, ('Activity map'!$A:$A=$A69)*('Activity map'!$F:$F=FALSE)))))"),3.0)</f>
        <v>3</v>
      </c>
      <c r="U69" s="30" t="str">
        <f>IF($N69=0, "-", VLOOKUP($N69, 'List of log slots'!$A:$C, 2, FALSE))</f>
        <v>Colossal wyrm teleport scroll</v>
      </c>
    </row>
    <row r="70">
      <c r="A70" s="26">
        <v>238.0</v>
      </c>
      <c r="B70" s="23" t="str">
        <f>VLOOKUP($A70, 'Completion rates'!$A:$E, 2, FALSE)</f>
        <v>Killing moss giants</v>
      </c>
      <c r="C70" s="26">
        <f>IF(Notes!$E$27, VLOOKUP($A70, 'Completion rates'!$A:$E, 4, FALSE), VLOOKUP($A70, 'Completion rates'!$A:$E, 3, FALSE))</f>
        <v>450</v>
      </c>
      <c r="D70" s="26">
        <f>VLOOKUP($A70, 'Completion rates'!$A:$E, 5, FALSE)</f>
        <v>0</v>
      </c>
      <c r="E70" s="28">
        <f>IF(SUMIFS('Activity map'!$O:$O, 'Activity map'!$A:$A, A70, 'Activity map'!$H:$H, "=TRUE") = 0, "n/a", 1/SUMIFS('Activity map'!$O:$O, 'Activity map'!$A:$A, A70, 'Activity map'!$H:$H, "=TRUE"))</f>
        <v>76.90395538</v>
      </c>
      <c r="F70" s="26">
        <f t="shared" si="1"/>
        <v>0.1708976786</v>
      </c>
      <c r="G70" s="26" t="str">
        <f>IF(MINIFS('Activity map'!$N:$N, 'Activity map'!$A:$A, A70, 'Activity map'!$H:$H, "=TRUE") = 0, "n/a", MINIFS('Activity map'!$N:$N, 'Activity map'!$A:$A, A70, 'Activity map'!$H:$H, "=TRUE"))</f>
        <v>n/a</v>
      </c>
      <c r="H70" s="8" t="str">
        <f t="shared" si="2"/>
        <v/>
      </c>
      <c r="I70" s="26" t="str">
        <f>IF(MINIFS('Activity map'!$M:$M, 'Activity map'!$A:$A, A70, 'Activity map'!$H:$H, "=TRUE") = 0, "n/a", MINIFS('Activity map'!$M:$M, 'Activity map'!$A:$A, A70, 'Activity map'!$H:$H, "=TRUE"))</f>
        <v>n/a</v>
      </c>
      <c r="J70" s="8" t="str">
        <f t="shared" si="3"/>
        <v/>
      </c>
      <c r="K70" s="26" t="str">
        <f>IF(MINIFS('Activity map'!$L:$L, 'Activity map'!$A:$A, A70, 'Activity map'!$H:$H, "=TRUE") = 0, "n/a", MINIFS('Activity map'!$L:$L, 'Activity map'!$A:$A, A70, 'Activity map'!$H:$H, "=TRUE"))</f>
        <v>n/a</v>
      </c>
      <c r="L70" s="8" t="str">
        <f t="shared" si="4"/>
        <v/>
      </c>
      <c r="M70" s="26">
        <f>MINIFS('Activity map'!$C:$C, 'Activity map'!$A:$A, $A70, 'Activity map'!$H:$H, "=TRUE", 'Activity map'!$K:$K, MINIFS('Activity map'!$K:$K, 'Activity map'!$A:$A, $A70, 'Activity map'!$H:$H, "=TRUE"))</f>
        <v>22374</v>
      </c>
      <c r="N70" s="26">
        <f>MINIFS('Activity map'!$C:$C, 'Activity map'!$A:$A, $A70, 'Activity map'!$H:$H, "=TRUE", 'Activity map'!$E:$E, $T70)</f>
        <v>22374</v>
      </c>
      <c r="O70" s="88">
        <f t="shared" si="5"/>
        <v>0.007120736609</v>
      </c>
      <c r="P70" s="30" t="str">
        <f>IF($M70=0, "-", VLOOKUP($M70, 'List of log slots'!$A:$C, 2, FALSE))</f>
        <v>Mossy key</v>
      </c>
      <c r="Q70" s="31">
        <f>IFERROR(__xludf.DUMMYFUNCTION("IF(ISERROR(FILTER('Activity map'!$C:$C, ('Activity map'!$A:$A=$A70)*('Activity map'!$F:$F=FALSE))), 0, COUNTA(UNIQUE(FILTER('Activity map'!$C:$C, ('Activity map'!$A:$A=$A70)*('Activity map'!$F:$F=FALSE)))))"),7.0)</f>
        <v>7</v>
      </c>
      <c r="R70" s="31">
        <f>IFERROR(__xludf.DUMMYFUNCTION("IF(ISERROR(FILTER('Activity map'!$C:$C, 'Activity map'!$A:$A=$A70)), 0, COUNTA(UNIQUE(FILTER('Activity map'!$C:$C, 'Activity map'!$A:$A=$A70))))"),7.0)</f>
        <v>7</v>
      </c>
      <c r="S70" s="76">
        <f t="shared" si="6"/>
        <v>0</v>
      </c>
      <c r="T70" s="31">
        <f>IFERROR(__xludf.DUMMYFUNCTION("IF(ISERROR(FILTER('Activity map'!$E:$E, ('Activity map'!$A:$A=$A70)*('Activity map'!$F:$F=FALSE))), ""-"", MIN(UNIQUE(FILTER('Activity map'!$E:$E, ('Activity map'!$A:$A=$A70)*('Activity map'!$F:$F=FALSE)))))"),2.0)</f>
        <v>2</v>
      </c>
      <c r="U70" s="30" t="str">
        <f>IF($N70=0, "-", VLOOKUP($N70, 'List of log slots'!$A:$C, 2, FALSE))</f>
        <v>Mossy key</v>
      </c>
    </row>
    <row r="71">
      <c r="A71" s="26">
        <v>207.0</v>
      </c>
      <c r="B71" s="23" t="str">
        <f>VLOOKUP($A71, 'Completion rates'!$A:$E, 2, FALSE)</f>
        <v>Looting zombie pirate's lockers</v>
      </c>
      <c r="C71" s="26">
        <f>IF(Notes!$E$27, VLOOKUP($A71, 'Completion rates'!$A:$E, 4, FALSE), VLOOKUP($A71, 'Completion rates'!$A:$E, 3, FALSE))</f>
        <v>1500</v>
      </c>
      <c r="D71" s="26">
        <f>VLOOKUP($A71, 'Completion rates'!$A:$E, 5, FALSE)</f>
        <v>0</v>
      </c>
      <c r="E71" s="28">
        <f>IF(SUMIFS('Activity map'!$O:$O, 'Activity map'!$A:$A, A71, 'Activity map'!$H:$H, "=TRUE") = 0, "n/a", 1/SUMIFS('Activity map'!$O:$O, 'Activity map'!$A:$A, A71, 'Activity map'!$H:$H, "=TRUE"))</f>
        <v>275</v>
      </c>
      <c r="F71" s="8">
        <f t="shared" si="1"/>
        <v>0.1833333333</v>
      </c>
      <c r="G71" s="26" t="str">
        <f>IF(MINIFS('Activity map'!$N:$N, 'Activity map'!$A:$A, A71, 'Activity map'!$H:$H, "=TRUE") = 0, "n/a", MINIFS('Activity map'!$N:$N, 'Activity map'!$A:$A, A71, 'Activity map'!$H:$H, "=TRUE"))</f>
        <v>n/a</v>
      </c>
      <c r="H71" s="8" t="str">
        <f t="shared" si="2"/>
        <v/>
      </c>
      <c r="I71" s="26" t="str">
        <f>IF(MINIFS('Activity map'!$M:$M, 'Activity map'!$A:$A, A71, 'Activity map'!$H:$H, "=TRUE") = 0, "n/a", MINIFS('Activity map'!$M:$M, 'Activity map'!$A:$A, A71, 'Activity map'!$H:$H, "=TRUE"))</f>
        <v>n/a</v>
      </c>
      <c r="J71" s="8" t="str">
        <f t="shared" si="3"/>
        <v/>
      </c>
      <c r="K71" s="26" t="str">
        <f>IF(MINIFS('Activity map'!$L:$L, 'Activity map'!$A:$A, A71, 'Activity map'!$H:$H, "=TRUE") = 0, "n/a", MINIFS('Activity map'!$L:$L, 'Activity map'!$A:$A, A71, 'Activity map'!$H:$H, "=TRUE"))</f>
        <v>n/a</v>
      </c>
      <c r="L71" s="8" t="str">
        <f t="shared" si="4"/>
        <v/>
      </c>
      <c r="M71" s="26">
        <f>MINIFS('Activity map'!$C:$C, 'Activity map'!$A:$A, $A71, 'Activity map'!$H:$H, "=TRUE", 'Activity map'!$K:$K, MINIFS('Activity map'!$K:$K, 'Activity map'!$A:$A, $A71, 'Activity map'!$H:$H, "=TRUE"))</f>
        <v>29455</v>
      </c>
      <c r="N71" s="26">
        <f>MINIFS('Activity map'!$C:$C, 'Activity map'!$A:$A, $A71, 'Activity map'!$H:$H, "=TRUE", 'Activity map'!$E:$E, $T71)</f>
        <v>29455</v>
      </c>
      <c r="O71" s="35">
        <f t="shared" si="5"/>
        <v>0.007638888889</v>
      </c>
      <c r="P71" s="30" t="str">
        <f>IF($M71=0, "-", VLOOKUP($M71, 'List of log slots'!$A:$C, 2, FALSE))</f>
        <v>Teleport anchoring scroll</v>
      </c>
      <c r="Q71" s="31">
        <f>IFERROR(__xludf.DUMMYFUNCTION("IF(ISERROR(FILTER('Activity map'!$C:$C, ('Activity map'!$A:$A=$A71)*('Activity map'!$F:$F=FALSE))), 0, COUNTA(UNIQUE(FILTER('Activity map'!$C:$C, ('Activity map'!$A:$A=$A71)*('Activity map'!$F:$F=FALSE)))))"),1.0)</f>
        <v>1</v>
      </c>
      <c r="R71" s="31">
        <f>IFERROR(__xludf.DUMMYFUNCTION("IF(ISERROR(FILTER('Activity map'!$C:$C, 'Activity map'!$A:$A=$A71)), 0, COUNTA(UNIQUE(FILTER('Activity map'!$C:$C, 'Activity map'!$A:$A=$A71))))"),1.0)</f>
        <v>1</v>
      </c>
      <c r="S71" s="36">
        <f t="shared" si="6"/>
        <v>0</v>
      </c>
      <c r="T71" s="31">
        <f>IFERROR(__xludf.DUMMYFUNCTION("IF(ISERROR(FILTER('Activity map'!$E:$E, ('Activity map'!$A:$A=$A71)*('Activity map'!$F:$F=FALSE))), ""-"", MIN(UNIQUE(FILTER('Activity map'!$E:$E, ('Activity map'!$A:$A=$A71)*('Activity map'!$F:$F=FALSE)))))"),5.0)</f>
        <v>5</v>
      </c>
      <c r="U71" s="30" t="str">
        <f>IF($N71=0, "-", VLOOKUP($N71, 'List of log slots'!$A:$C, 2, FALSE))</f>
        <v>Teleport anchoring scroll</v>
      </c>
    </row>
    <row r="72">
      <c r="A72" s="26">
        <v>139.0</v>
      </c>
      <c r="B72" s="23" t="str">
        <f>VLOOKUP($A72, 'Completion rates'!$A:$E, 2, FALSE)</f>
        <v>Killing frost dragons</v>
      </c>
      <c r="C72" s="26">
        <f>IF(Notes!$E$27, VLOOKUP($A72, 'Completion rates'!$A:$E, 4, FALSE), VLOOKUP($A72, 'Completion rates'!$A:$E, 3, FALSE))</f>
        <v>150</v>
      </c>
      <c r="D72" s="26">
        <f>VLOOKUP($A72, 'Completion rates'!$A:$E, 5, FALSE)</f>
        <v>0</v>
      </c>
      <c r="E72" s="28">
        <f>IF(SUMIFS('Activity map'!$O:$O, 'Activity map'!$A:$A, A72, 'Activity map'!$H:$H, "=TRUE") = 0, "n/a", 1/SUMIFS('Activity map'!$O:$O, 'Activity map'!$A:$A, A72, 'Activity map'!$H:$H, "=TRUE"))</f>
        <v>27.79421261</v>
      </c>
      <c r="F72" s="26">
        <f t="shared" si="1"/>
        <v>0.1852947507</v>
      </c>
      <c r="G72" s="26" t="str">
        <f>IF(MINIFS('Activity map'!$N:$N, 'Activity map'!$A:$A, A72, 'Activity map'!$H:$H, "=TRUE") = 0, "n/a", MINIFS('Activity map'!$N:$N, 'Activity map'!$A:$A, A72, 'Activity map'!$H:$H, "=TRUE"))</f>
        <v>n/a</v>
      </c>
      <c r="H72" s="8" t="str">
        <f t="shared" si="2"/>
        <v/>
      </c>
      <c r="I72" s="26" t="str">
        <f>IF(MINIFS('Activity map'!$M:$M, 'Activity map'!$A:$A, A72, 'Activity map'!$H:$H, "=TRUE") = 0, "n/a", MINIFS('Activity map'!$M:$M, 'Activity map'!$A:$A, A72, 'Activity map'!$H:$H, "=TRUE"))</f>
        <v>n/a</v>
      </c>
      <c r="J72" s="8" t="str">
        <f t="shared" si="3"/>
        <v/>
      </c>
      <c r="K72" s="26" t="str">
        <f>IF(MINIFS('Activity map'!$L:$L, 'Activity map'!$A:$A, A72, 'Activity map'!$H:$H, "=TRUE") = 0, "n/a", MINIFS('Activity map'!$L:$L, 'Activity map'!$A:$A, A72, 'Activity map'!$H:$H, "=TRUE"))</f>
        <v>n/a</v>
      </c>
      <c r="L72" s="8" t="str">
        <f t="shared" si="4"/>
        <v/>
      </c>
      <c r="M72" s="26">
        <f>MINIFS('Activity map'!$C:$C, 'Activity map'!$A:$A, $A72, 'Activity map'!$H:$H, "=TRUE", 'Activity map'!$K:$K, MINIFS('Activity map'!$K:$K, 'Activity map'!$A:$A, $A72, 'Activity map'!$H:$H, "=TRUE"))</f>
        <v>31406</v>
      </c>
      <c r="N72" s="26">
        <f>MINIFS('Activity map'!$C:$C, 'Activity map'!$A:$A, $A72, 'Activity map'!$H:$H, "=TRUE", 'Activity map'!$E:$E, $T72)</f>
        <v>31406</v>
      </c>
      <c r="O72" s="66">
        <f t="shared" si="5"/>
        <v>0.007720614614</v>
      </c>
      <c r="P72" s="30" t="str">
        <f>IF($M72=0, "-", VLOOKUP($M72, 'List of log slots'!$A:$C, 2, FALSE))</f>
        <v>Dragon nails</v>
      </c>
      <c r="Q72" s="31">
        <f>IFERROR(__xludf.DUMMYFUNCTION("IF(ISERROR(FILTER('Activity map'!$C:$C, ('Activity map'!$A:$A=$A72)*('Activity map'!$F:$F=FALSE))), 0, COUNTA(UNIQUE(FILTER('Activity map'!$C:$C, ('Activity map'!$A:$A=$A72)*('Activity map'!$F:$F=FALSE)))))"),6.0)</f>
        <v>6</v>
      </c>
      <c r="R72" s="31">
        <f>IFERROR(__xludf.DUMMYFUNCTION("IF(ISERROR(FILTER('Activity map'!$C:$C, 'Activity map'!$A:$A=$A72)), 0, COUNTA(UNIQUE(FILTER('Activity map'!$C:$C, 'Activity map'!$A:$A=$A72))))"),6.0)</f>
        <v>6</v>
      </c>
      <c r="S72" s="89">
        <f t="shared" si="6"/>
        <v>0</v>
      </c>
      <c r="T72" s="31">
        <f>IFERROR(__xludf.DUMMYFUNCTION("IF(ISERROR(FILTER('Activity map'!$E:$E, ('Activity map'!$A:$A=$A72)*('Activity map'!$F:$F=FALSE))), ""-"", MIN(UNIQUE(FILTER('Activity map'!$E:$E, ('Activity map'!$A:$A=$A72)*('Activity map'!$F:$F=FALSE)))))"),3.0)</f>
        <v>3</v>
      </c>
      <c r="U72" s="30" t="str">
        <f>IF($N72=0, "-", VLOOKUP($N72, 'List of log slots'!$A:$C, 2, FALSE))</f>
        <v>Dragon nails</v>
      </c>
    </row>
    <row r="73">
      <c r="A73" s="26">
        <v>212.0</v>
      </c>
      <c r="B73" s="23" t="str">
        <f>VLOOKUP($A73, 'Completion rates'!$A:$E, 2, FALSE)</f>
        <v>Killing tormented demons</v>
      </c>
      <c r="C73" s="26">
        <f>IF(Notes!$E$27, VLOOKUP($A73, 'Completion rates'!$A:$E, 4, FALSE), VLOOKUP($A73, 'Completion rates'!$A:$E, 3, FALSE))</f>
        <v>60</v>
      </c>
      <c r="D73" s="26">
        <f>VLOOKUP($A73, 'Completion rates'!$A:$E, 5, FALSE)</f>
        <v>0</v>
      </c>
      <c r="E73" s="28">
        <f>IF(SUMIFS('Activity map'!$O:$O, 'Activity map'!$A:$A, A73, 'Activity map'!$H:$H, "=TRUE") = 0, "n/a", 1/SUMIFS('Activity map'!$O:$O, 'Activity map'!$A:$A, A73, 'Activity map'!$H:$H, "=TRUE"))</f>
        <v>11.4509051</v>
      </c>
      <c r="F73" s="26">
        <f t="shared" si="1"/>
        <v>0.1908484184</v>
      </c>
      <c r="G73" s="26" t="str">
        <f>IF(MINIFS('Activity map'!$N:$N, 'Activity map'!$A:$A, A73, 'Activity map'!$H:$H, "=TRUE") = 0, "n/a", MINIFS('Activity map'!$N:$N, 'Activity map'!$A:$A, A73, 'Activity map'!$H:$H, "=TRUE"))</f>
        <v>n/a</v>
      </c>
      <c r="H73" s="8" t="str">
        <f t="shared" si="2"/>
        <v/>
      </c>
      <c r="I73" s="26" t="str">
        <f>IF(MINIFS('Activity map'!$M:$M, 'Activity map'!$A:$A, A73, 'Activity map'!$H:$H, "=TRUE") = 0, "n/a", MINIFS('Activity map'!$M:$M, 'Activity map'!$A:$A, A73, 'Activity map'!$H:$H, "=TRUE"))</f>
        <v>n/a</v>
      </c>
      <c r="J73" s="8" t="str">
        <f t="shared" si="3"/>
        <v/>
      </c>
      <c r="K73" s="26" t="str">
        <f>IF(MINIFS('Activity map'!$L:$L, 'Activity map'!$A:$A, A73, 'Activity map'!$H:$H, "=TRUE") = 0, "n/a", MINIFS('Activity map'!$L:$L, 'Activity map'!$A:$A, A73, 'Activity map'!$H:$H, "=TRUE"))</f>
        <v>n/a</v>
      </c>
      <c r="L73" s="8" t="str">
        <f t="shared" si="4"/>
        <v/>
      </c>
      <c r="M73" s="26">
        <f>MINIFS('Activity map'!$C:$C, 'Activity map'!$A:$A, $A73, 'Activity map'!$H:$H, "=TRUE", 'Activity map'!$K:$K, MINIFS('Activity map'!$K:$K, 'Activity map'!$A:$A, $A73, 'Activity map'!$H:$H, "=TRUE"))</f>
        <v>29684</v>
      </c>
      <c r="N73" s="26">
        <f>MINIFS('Activity map'!$C:$C, 'Activity map'!$A:$A, $A73, 'Activity map'!$H:$H, "=TRUE", 'Activity map'!$E:$E, $T73)</f>
        <v>29684</v>
      </c>
      <c r="O73" s="90">
        <f t="shared" si="5"/>
        <v>0.007952017432</v>
      </c>
      <c r="P73" s="30" t="str">
        <f>IF($M73=0, "-", VLOOKUP($M73, 'List of log slots'!$A:$C, 2, FALSE))</f>
        <v>Guthixian temple teleport</v>
      </c>
      <c r="Q73" s="31">
        <f>IFERROR(__xludf.DUMMYFUNCTION("IF(ISERROR(FILTER('Activity map'!$C:$C, ('Activity map'!$A:$A=$A73)*('Activity map'!$F:$F=FALSE))), 0, COUNTA(UNIQUE(FILTER('Activity map'!$C:$C, ('Activity map'!$A:$A=$A73)*('Activity map'!$F:$F=FALSE)))))"),3.0)</f>
        <v>3</v>
      </c>
      <c r="R73" s="31">
        <f>IFERROR(__xludf.DUMMYFUNCTION("IF(ISERROR(FILTER('Activity map'!$C:$C, 'Activity map'!$A:$A=$A73)), 0, COUNTA(UNIQUE(FILTER('Activity map'!$C:$C, 'Activity map'!$A:$A=$A73))))"),3.0)</f>
        <v>3</v>
      </c>
      <c r="S73" s="91">
        <f t="shared" si="6"/>
        <v>0</v>
      </c>
      <c r="T73" s="31">
        <f>IFERROR(__xludf.DUMMYFUNCTION("IF(ISERROR(FILTER('Activity map'!$E:$E, ('Activity map'!$A:$A=$A73)*('Activity map'!$F:$F=FALSE))), ""-"", MIN(UNIQUE(FILTER('Activity map'!$E:$E, ('Activity map'!$A:$A=$A73)*('Activity map'!$F:$F=FALSE)))))"),5.0)</f>
        <v>5</v>
      </c>
      <c r="U73" s="30" t="str">
        <f>IF($N73=0, "-", VLOOKUP($N73, 'List of log slots'!$A:$C, 2, FALSE))</f>
        <v>Guthixian temple teleport</v>
      </c>
    </row>
    <row r="74">
      <c r="A74" s="26">
        <v>57.0</v>
      </c>
      <c r="B74" s="23" t="str">
        <f>VLOOKUP($A74, 'Completion rates'!$A:$E, 2, FALSE)</f>
        <v>Defeating yama (duo)</v>
      </c>
      <c r="C74" s="26">
        <f>IF(Notes!$E$27, VLOOKUP($A74, 'Completion rates'!$A:$E, 4, FALSE), VLOOKUP($A74, 'Completion rates'!$A:$E, 3, FALSE))</f>
        <v>20</v>
      </c>
      <c r="D74" s="26">
        <f>VLOOKUP($A74, 'Completion rates'!$A:$E, 5, FALSE)</f>
        <v>0</v>
      </c>
      <c r="E74" s="28">
        <f>IF(SUMIFS('Activity map'!$O:$O, 'Activity map'!$A:$A, A74, 'Activity map'!$H:$H, "=TRUE") = 0, "n/a", 1/SUMIFS('Activity map'!$O:$O, 'Activity map'!$A:$A, A74, 'Activity map'!$H:$H, "=TRUE"))</f>
        <v>3.882442461</v>
      </c>
      <c r="F74" s="26">
        <f t="shared" si="1"/>
        <v>0.1941221231</v>
      </c>
      <c r="G74" s="26" t="str">
        <f>IF(MINIFS('Activity map'!$N:$N, 'Activity map'!$A:$A, A74, 'Activity map'!$H:$H, "=TRUE") = 0, "n/a", MINIFS('Activity map'!$N:$N, 'Activity map'!$A:$A, A74, 'Activity map'!$H:$H, "=TRUE"))</f>
        <v>n/a</v>
      </c>
      <c r="H74" s="8" t="str">
        <f t="shared" si="2"/>
        <v/>
      </c>
      <c r="I74" s="26">
        <f>IF(MINIFS('Activity map'!$M:$M, 'Activity map'!$A:$A, A74, 'Activity map'!$H:$H, "=TRUE") = 0, "n/a", MINIFS('Activity map'!$M:$M, 'Activity map'!$A:$A, A74, 'Activity map'!$H:$H, "=TRUE"))</f>
        <v>100</v>
      </c>
      <c r="J74" s="26">
        <f t="shared" si="3"/>
        <v>5</v>
      </c>
      <c r="K74" s="26" t="str">
        <f>IF(MINIFS('Activity map'!$L:$L, 'Activity map'!$A:$A, A74, 'Activity map'!$H:$H, "=TRUE") = 0, "n/a", MINIFS('Activity map'!$L:$L, 'Activity map'!$A:$A, A74, 'Activity map'!$H:$H, "=TRUE"))</f>
        <v>n/a</v>
      </c>
      <c r="L74" s="8" t="str">
        <f t="shared" si="4"/>
        <v/>
      </c>
      <c r="M74" s="26">
        <f>MINIFS('Activity map'!$C:$C, 'Activity map'!$A:$A, $A74, 'Activity map'!$H:$H, "=TRUE", 'Activity map'!$K:$K, MINIFS('Activity map'!$K:$K, 'Activity map'!$A:$A, $A74, 'Activity map'!$H:$H, "=TRUE"))</f>
        <v>30805</v>
      </c>
      <c r="N74" s="26">
        <f>MINIFS('Activity map'!$C:$C, 'Activity map'!$A:$A, $A74, 'Activity map'!$H:$H, "=TRUE", 'Activity map'!$E:$E, $T74)</f>
        <v>30763</v>
      </c>
      <c r="O74" s="68">
        <f t="shared" si="5"/>
        <v>0.008088421794</v>
      </c>
      <c r="P74" s="30" t="str">
        <f>IF($M74=0, "-", VLOOKUP($M74, 'List of log slots'!$A:$C, 2, FALSE))</f>
        <v>Dossier</v>
      </c>
      <c r="Q74" s="31">
        <f>IFERROR(__xludf.DUMMYFUNCTION("IF(ISERROR(FILTER('Activity map'!$C:$C, ('Activity map'!$A:$A=$A74)*('Activity map'!$F:$F=FALSE))), 0, COUNTA(UNIQUE(FILTER('Activity map'!$C:$C, ('Activity map'!$A:$A=$A74)*('Activity map'!$F:$F=FALSE)))))"),11.0)</f>
        <v>11</v>
      </c>
      <c r="R74" s="31">
        <f>IFERROR(__xludf.DUMMYFUNCTION("IF(ISERROR(FILTER('Activity map'!$C:$C, 'Activity map'!$A:$A=$A74)), 0, COUNTA(UNIQUE(FILTER('Activity map'!$C:$C, 'Activity map'!$A:$A=$A74))))"),11.0)</f>
        <v>11</v>
      </c>
      <c r="S74" s="72">
        <f t="shared" si="6"/>
        <v>0</v>
      </c>
      <c r="T74" s="31">
        <f>IFERROR(__xludf.DUMMYFUNCTION("IF(ISERROR(FILTER('Activity map'!$E:$E, ('Activity map'!$A:$A=$A74)*('Activity map'!$F:$F=FALSE))), ""-"", MIN(UNIQUE(FILTER('Activity map'!$E:$E, ('Activity map'!$A:$A=$A74)*('Activity map'!$F:$F=FALSE)))))"),5.0)</f>
        <v>5</v>
      </c>
      <c r="U74" s="30" t="str">
        <f>IF($N74=0, "-", VLOOKUP($N74, 'List of log slots'!$A:$C, 2, FALSE))</f>
        <v>Forgotten lockbox</v>
      </c>
    </row>
    <row r="75">
      <c r="A75" s="26">
        <v>174.0</v>
      </c>
      <c r="B75" s="23" t="str">
        <f>VLOOKUP($A75, 'Completion rates'!$A:$E, 2, FALSE)</f>
        <v>Killing mogres</v>
      </c>
      <c r="C75" s="26">
        <f>IF(Notes!$E$27, VLOOKUP($A75, 'Completion rates'!$A:$E, 4, FALSE), VLOOKUP($A75, 'Completion rates'!$A:$E, 3, FALSE))</f>
        <v>90</v>
      </c>
      <c r="D75" s="26">
        <f>VLOOKUP($A75, 'Completion rates'!$A:$E, 5, FALSE)</f>
        <v>0</v>
      </c>
      <c r="E75" s="28">
        <f>IF(SUMIFS('Activity map'!$O:$O, 'Activity map'!$A:$A, A75, 'Activity map'!$H:$H, "=TRUE") = 0, "n/a", 1/SUMIFS('Activity map'!$O:$O, 'Activity map'!$A:$A, A75, 'Activity map'!$H:$H, "=TRUE"))</f>
        <v>17.60996815</v>
      </c>
      <c r="F75" s="26">
        <f t="shared" si="1"/>
        <v>0.1956663127</v>
      </c>
      <c r="G75" s="26" t="str">
        <f>IF(MINIFS('Activity map'!$N:$N, 'Activity map'!$A:$A, A75, 'Activity map'!$H:$H, "=TRUE") = 0, "n/a", MINIFS('Activity map'!$N:$N, 'Activity map'!$A:$A, A75, 'Activity map'!$H:$H, "=TRUE"))</f>
        <v>n/a</v>
      </c>
      <c r="H75" s="8" t="str">
        <f t="shared" si="2"/>
        <v/>
      </c>
      <c r="I75" s="26" t="str">
        <f>IF(MINIFS('Activity map'!$M:$M, 'Activity map'!$A:$A, A75, 'Activity map'!$H:$H, "=TRUE") = 0, "n/a", MINIFS('Activity map'!$M:$M, 'Activity map'!$A:$A, A75, 'Activity map'!$H:$H, "=TRUE"))</f>
        <v>n/a</v>
      </c>
      <c r="J75" s="8" t="str">
        <f t="shared" si="3"/>
        <v/>
      </c>
      <c r="K75" s="26" t="str">
        <f>IF(MINIFS('Activity map'!$L:$L, 'Activity map'!$A:$A, A75, 'Activity map'!$H:$H, "=TRUE") = 0, "n/a", MINIFS('Activity map'!$L:$L, 'Activity map'!$A:$A, A75, 'Activity map'!$H:$H, "=TRUE"))</f>
        <v>n/a</v>
      </c>
      <c r="L75" s="8" t="str">
        <f t="shared" si="4"/>
        <v/>
      </c>
      <c r="M75" s="26">
        <f>MINIFS('Activity map'!$C:$C, 'Activity map'!$A:$A, $A75, 'Activity map'!$H:$H, "=TRUE", 'Activity map'!$K:$K, MINIFS('Activity map'!$K:$K, 'Activity map'!$A:$A, $A75, 'Activity map'!$H:$H, "=TRUE"))</f>
        <v>6665</v>
      </c>
      <c r="N75" s="26">
        <f>MINIFS('Activity map'!$C:$C, 'Activity map'!$A:$A, $A75, 'Activity map'!$H:$H, "=TRUE", 'Activity map'!$E:$E, $T75)</f>
        <v>6665</v>
      </c>
      <c r="O75" s="66">
        <f t="shared" si="5"/>
        <v>0.008152763031</v>
      </c>
      <c r="P75" s="30" t="str">
        <f>IF($M75=0, "-", VLOOKUP($M75, 'List of log slots'!$A:$C, 2, FALSE))</f>
        <v>Mudskipper hat</v>
      </c>
      <c r="Q75" s="31">
        <f>IFERROR(__xludf.DUMMYFUNCTION("IF(ISERROR(FILTER('Activity map'!$C:$C, ('Activity map'!$A:$A=$A75)*('Activity map'!$F:$F=FALSE))), 0, COUNTA(UNIQUE(FILTER('Activity map'!$C:$C, ('Activity map'!$A:$A=$A75)*('Activity map'!$F:$F=FALSE)))))"),4.0)</f>
        <v>4</v>
      </c>
      <c r="R75" s="31">
        <f>IFERROR(__xludf.DUMMYFUNCTION("IF(ISERROR(FILTER('Activity map'!$C:$C, 'Activity map'!$A:$A=$A75)), 0, COUNTA(UNIQUE(FILTER('Activity map'!$C:$C, 'Activity map'!$A:$A=$A75))))"),4.0)</f>
        <v>4</v>
      </c>
      <c r="S75" s="32">
        <f t="shared" si="6"/>
        <v>0</v>
      </c>
      <c r="T75" s="31">
        <f>IFERROR(__xludf.DUMMYFUNCTION("IF(ISERROR(FILTER('Activity map'!$E:$E, ('Activity map'!$A:$A=$A75)*('Activity map'!$F:$F=FALSE))), ""-"", MIN(UNIQUE(FILTER('Activity map'!$E:$E, ('Activity map'!$A:$A=$A75)*('Activity map'!$F:$F=FALSE)))))"),3.0)</f>
        <v>3</v>
      </c>
      <c r="U75" s="30" t="str">
        <f>IF($N75=0, "-", VLOOKUP($N75, 'List of log slots'!$A:$C, 2, FALSE))</f>
        <v>Mudskipper hat</v>
      </c>
    </row>
    <row r="76">
      <c r="A76" s="26">
        <v>89.0</v>
      </c>
      <c r="B76" s="23" t="str">
        <f>VLOOKUP($A76, 'Completion rates'!$A:$E, 2, FALSE)</f>
        <v>Wasting hours at the magic training arena</v>
      </c>
      <c r="C76" s="26">
        <f>IF(Notes!$E$27, VLOOKUP($A76, 'Completion rates'!$A:$E, 4, FALSE), VLOOKUP($A76, 'Completion rates'!$A:$E, 3, FALSE))</f>
        <v>1</v>
      </c>
      <c r="D76" s="26">
        <f>VLOOKUP($A76, 'Completion rates'!$A:$E, 5, FALSE)</f>
        <v>0</v>
      </c>
      <c r="E76" s="28" t="str">
        <f>IF(SUMIFS('Activity map'!$O:$O, 'Activity map'!$A:$A, A76, 'Activity map'!$H:$H, "=TRUE") = 0, "n/a", 1/SUMIFS('Activity map'!$O:$O, 'Activity map'!$A:$A, A76, 'Activity map'!$H:$H, "=TRUE"))</f>
        <v>n/a</v>
      </c>
      <c r="F76" s="8" t="str">
        <f t="shared" si="1"/>
        <v/>
      </c>
      <c r="G76" s="26" t="str">
        <f>IF(MINIFS('Activity map'!$N:$N, 'Activity map'!$A:$A, A76, 'Activity map'!$H:$H, "=TRUE") = 0, "n/a", MINIFS('Activity map'!$N:$N, 'Activity map'!$A:$A, A76, 'Activity map'!$H:$H, "=TRUE"))</f>
        <v>n/a</v>
      </c>
      <c r="H76" s="8" t="str">
        <f t="shared" si="2"/>
        <v/>
      </c>
      <c r="I76" s="26" t="str">
        <f>IF(MINIFS('Activity map'!$M:$M, 'Activity map'!$A:$A, A76, 'Activity map'!$H:$H, "=TRUE") = 0, "n/a", MINIFS('Activity map'!$M:$M, 'Activity map'!$A:$A, A76, 'Activity map'!$H:$H, "=TRUE"))</f>
        <v>n/a</v>
      </c>
      <c r="J76" s="8" t="str">
        <f t="shared" si="3"/>
        <v/>
      </c>
      <c r="K76" s="26">
        <f>IF(MINIFS('Activity map'!$L:$L, 'Activity map'!$A:$A, A76, 'Activity map'!$H:$H, "=TRUE") = 0, "n/a", MINIFS('Activity map'!$L:$L, 'Activity map'!$A:$A, A76, 'Activity map'!$H:$H, "=TRUE"))</f>
        <v>0.2</v>
      </c>
      <c r="L76" s="26">
        <f t="shared" si="4"/>
        <v>0.2</v>
      </c>
      <c r="M76" s="26">
        <f>MINIFS('Activity map'!$C:$C, 'Activity map'!$A:$A, $A76, 'Activity map'!$H:$H, "=TRUE", 'Activity map'!$K:$K, MINIFS('Activity map'!$K:$K, 'Activity map'!$A:$A, $A76, 'Activity map'!$H:$H, "=TRUE"))</f>
        <v>6908</v>
      </c>
      <c r="N76" s="26">
        <f>MINIFS('Activity map'!$C:$C, 'Activity map'!$A:$A, $A76, 'Activity map'!$H:$H, "=TRUE", 'Activity map'!$E:$E, $T76)</f>
        <v>6908</v>
      </c>
      <c r="O76" s="52">
        <f t="shared" si="5"/>
        <v>0.008333333333</v>
      </c>
      <c r="P76" s="30" t="str">
        <f>IF($M76=0, "-", VLOOKUP($M76, 'List of log slots'!$A:$C, 2, FALSE))</f>
        <v>Beginner wand</v>
      </c>
      <c r="Q76" s="31">
        <f>IFERROR(__xludf.DUMMYFUNCTION("IF(ISERROR(FILTER('Activity map'!$C:$C, ('Activity map'!$A:$A=$A76)*('Activity map'!$F:$F=FALSE))), 0, COUNTA(UNIQUE(FILTER('Activity map'!$C:$C, ('Activity map'!$A:$A=$A76)*('Activity map'!$F:$F=FALSE)))))"),11.0)</f>
        <v>11</v>
      </c>
      <c r="R76" s="31">
        <f>IFERROR(__xludf.DUMMYFUNCTION("IF(ISERROR(FILTER('Activity map'!$C:$C, 'Activity map'!$A:$A=$A76)), 0, COUNTA(UNIQUE(FILTER('Activity map'!$C:$C, 'Activity map'!$A:$A=$A76))))"),11.0)</f>
        <v>11</v>
      </c>
      <c r="S76" s="92">
        <f t="shared" si="6"/>
        <v>0</v>
      </c>
      <c r="T76" s="31">
        <f>IFERROR(__xludf.DUMMYFUNCTION("IF(ISERROR(FILTER('Activity map'!$E:$E, ('Activity map'!$A:$A=$A76)*('Activity map'!$F:$F=FALSE))), ""-"", MIN(UNIQUE(FILTER('Activity map'!$E:$E, ('Activity map'!$A:$A=$A76)*('Activity map'!$F:$F=FALSE)))))"),2.0)</f>
        <v>2</v>
      </c>
      <c r="U76" s="30" t="str">
        <f>IF($N76=0, "-", VLOOKUP($N76, 'List of log slots'!$A:$C, 2, FALSE))</f>
        <v>Beginner wand</v>
      </c>
    </row>
    <row r="77">
      <c r="A77" s="26">
        <v>93.0</v>
      </c>
      <c r="B77" s="23" t="str">
        <f>VLOOKUP($A77, 'Completion rates'!$A:$E, 2, FALSE)</f>
        <v>Stealing from the rogues' den maze</v>
      </c>
      <c r="C77" s="26">
        <f>IF(Notes!$E$27, VLOOKUP($A77, 'Completion rates'!$A:$E, 4, FALSE), VLOOKUP($A77, 'Completion rates'!$A:$E, 3, FALSE))</f>
        <v>15</v>
      </c>
      <c r="D77" s="26">
        <f>VLOOKUP($A77, 'Completion rates'!$A:$E, 5, FALSE)</f>
        <v>0</v>
      </c>
      <c r="E77" s="28" t="str">
        <f>IF(SUMIFS('Activity map'!$O:$O, 'Activity map'!$A:$A, A77, 'Activity map'!$H:$H, "=TRUE") = 0, "n/a", 1/SUMIFS('Activity map'!$O:$O, 'Activity map'!$A:$A, A77, 'Activity map'!$H:$H, "=TRUE"))</f>
        <v>n/a</v>
      </c>
      <c r="F77" s="8" t="str">
        <f t="shared" si="1"/>
        <v/>
      </c>
      <c r="G77" s="26">
        <f>IF(MINIFS('Activity map'!$N:$N, 'Activity map'!$A:$A, A77, 'Activity map'!$H:$H, "=TRUE") = 0, "n/a", MINIFS('Activity map'!$N:$N, 'Activity map'!$A:$A, A77, 'Activity map'!$H:$H, "=TRUE"))</f>
        <v>3</v>
      </c>
      <c r="H77" s="8">
        <f t="shared" si="2"/>
        <v>0.2</v>
      </c>
      <c r="I77" s="26" t="str">
        <f>IF(MINIFS('Activity map'!$M:$M, 'Activity map'!$A:$A, A77, 'Activity map'!$H:$H, "=TRUE") = 0, "n/a", MINIFS('Activity map'!$M:$M, 'Activity map'!$A:$A, A77, 'Activity map'!$H:$H, "=TRUE"))</f>
        <v>n/a</v>
      </c>
      <c r="J77" s="8" t="str">
        <f t="shared" si="3"/>
        <v/>
      </c>
      <c r="K77" s="26" t="str">
        <f>IF(MINIFS('Activity map'!$L:$L, 'Activity map'!$A:$A, A77, 'Activity map'!$H:$H, "=TRUE") = 0, "n/a", MINIFS('Activity map'!$L:$L, 'Activity map'!$A:$A, A77, 'Activity map'!$H:$H, "=TRUE"))</f>
        <v>n/a</v>
      </c>
      <c r="L77" s="8" t="str">
        <f t="shared" si="4"/>
        <v/>
      </c>
      <c r="M77" s="26">
        <f>MINIFS('Activity map'!$C:$C, 'Activity map'!$A:$A, $A77, 'Activity map'!$H:$H, "=TRUE", 'Activity map'!$K:$K, MINIFS('Activity map'!$K:$K, 'Activity map'!$A:$A, $A77, 'Activity map'!$H:$H, "=TRUE"))</f>
        <v>5553</v>
      </c>
      <c r="N77" s="26">
        <f>MINIFS('Activity map'!$C:$C, 'Activity map'!$A:$A, $A77, 'Activity map'!$H:$H, "=TRUE", 'Activity map'!$E:$E, $T77)</f>
        <v>5553</v>
      </c>
      <c r="O77" s="35">
        <f t="shared" si="5"/>
        <v>0.008333333333</v>
      </c>
      <c r="P77" s="30" t="str">
        <f>IF($M77=0, "-", VLOOKUP($M77, 'List of log slots'!$A:$C, 2, FALSE))</f>
        <v>Rogue top</v>
      </c>
      <c r="Q77" s="31">
        <f>IFERROR(__xludf.DUMMYFUNCTION("IF(ISERROR(FILTER('Activity map'!$C:$C, ('Activity map'!$A:$A=$A77)*('Activity map'!$F:$F=FALSE))), 0, COUNTA(UNIQUE(FILTER('Activity map'!$C:$C, ('Activity map'!$A:$A=$A77)*('Activity map'!$F:$F=FALSE)))))"),5.0)</f>
        <v>5</v>
      </c>
      <c r="R77" s="31">
        <f>IFERROR(__xludf.DUMMYFUNCTION("IF(ISERROR(FILTER('Activity map'!$C:$C, 'Activity map'!$A:$A=$A77)), 0, COUNTA(UNIQUE(FILTER('Activity map'!$C:$C, 'Activity map'!$A:$A=$A77))))"),5.0)</f>
        <v>5</v>
      </c>
      <c r="S77" s="36">
        <f t="shared" si="6"/>
        <v>0</v>
      </c>
      <c r="T77" s="31">
        <f>IFERROR(__xludf.DUMMYFUNCTION("IF(ISERROR(FILTER('Activity map'!$E:$E, ('Activity map'!$A:$A=$A77)*('Activity map'!$F:$F=FALSE))), ""-"", MIN(UNIQUE(FILTER('Activity map'!$E:$E, ('Activity map'!$A:$A=$A77)*('Activity map'!$F:$F=FALSE)))))"),2.0)</f>
        <v>2</v>
      </c>
      <c r="U77" s="30" t="str">
        <f>IF($N77=0, "-", VLOOKUP($N77, 'List of log slots'!$A:$C, 2, FALSE))</f>
        <v>Rogue top</v>
      </c>
    </row>
    <row r="78">
      <c r="A78" s="26">
        <v>44.0</v>
      </c>
      <c r="B78" s="23" t="str">
        <f>VLOOKUP($A78, 'Completion rates'!$A:$E, 2, FALSE)</f>
        <v>Killing sarachnis</v>
      </c>
      <c r="C78" s="26">
        <f>IF(Notes!$E$27, VLOOKUP($A78, 'Completion rates'!$A:$E, 4, FALSE), VLOOKUP($A78, 'Completion rates'!$A:$E, 3, FALSE))</f>
        <v>80</v>
      </c>
      <c r="D78" s="26">
        <f>VLOOKUP($A78, 'Completion rates'!$A:$E, 5, FALSE)</f>
        <v>0</v>
      </c>
      <c r="E78" s="28">
        <f>IF(SUMIFS('Activity map'!$O:$O, 'Activity map'!$A:$A, A78, 'Activity map'!$H:$H, "=TRUE") = 0, "n/a", 1/SUMIFS('Activity map'!$O:$O, 'Activity map'!$A:$A, A78, 'Activity map'!$H:$H, "=TRUE"))</f>
        <v>17.01400595</v>
      </c>
      <c r="F78" s="26">
        <f t="shared" si="1"/>
        <v>0.2126750744</v>
      </c>
      <c r="G78" s="26" t="str">
        <f>IF(MINIFS('Activity map'!$N:$N, 'Activity map'!$A:$A, A78, 'Activity map'!$H:$H, "=TRUE") = 0, "n/a", MINIFS('Activity map'!$N:$N, 'Activity map'!$A:$A, A78, 'Activity map'!$H:$H, "=TRUE"))</f>
        <v>n/a</v>
      </c>
      <c r="H78" s="8" t="str">
        <f t="shared" si="2"/>
        <v/>
      </c>
      <c r="I78" s="26" t="str">
        <f>IF(MINIFS('Activity map'!$M:$M, 'Activity map'!$A:$A, A78, 'Activity map'!$H:$H, "=TRUE") = 0, "n/a", MINIFS('Activity map'!$M:$M, 'Activity map'!$A:$A, A78, 'Activity map'!$H:$H, "=TRUE"))</f>
        <v>n/a</v>
      </c>
      <c r="J78" s="8" t="str">
        <f t="shared" si="3"/>
        <v/>
      </c>
      <c r="K78" s="26" t="str">
        <f>IF(MINIFS('Activity map'!$L:$L, 'Activity map'!$A:$A, A78, 'Activity map'!$H:$H, "=TRUE") = 0, "n/a", MINIFS('Activity map'!$L:$L, 'Activity map'!$A:$A, A78, 'Activity map'!$H:$H, "=TRUE"))</f>
        <v>n/a</v>
      </c>
      <c r="L78" s="8" t="str">
        <f t="shared" si="4"/>
        <v/>
      </c>
      <c r="M78" s="26">
        <f>MINIFS('Activity map'!$C:$C, 'Activity map'!$A:$A, $A78, 'Activity map'!$H:$H, "=TRUE", 'Activity map'!$K:$K, MINIFS('Activity map'!$K:$K, 'Activity map'!$A:$A, $A78, 'Activity map'!$H:$H, "=TRUE"))</f>
        <v>23517</v>
      </c>
      <c r="N78" s="26">
        <f>MINIFS('Activity map'!$C:$C, 'Activity map'!$A:$A, $A78, 'Activity map'!$H:$H, "=TRUE", 'Activity map'!$E:$E, $T78)</f>
        <v>1249</v>
      </c>
      <c r="O78" s="93">
        <f t="shared" si="5"/>
        <v>0.008861461435</v>
      </c>
      <c r="P78" s="30" t="str">
        <f>IF($M78=0, "-", VLOOKUP($M78, 'List of log slots'!$A:$C, 2, FALSE))</f>
        <v>Giant egg sac (full)</v>
      </c>
      <c r="Q78" s="31">
        <f>IFERROR(__xludf.DUMMYFUNCTION("IF(ISERROR(FILTER('Activity map'!$C:$C, ('Activity map'!$A:$A=$A78)*('Activity map'!$F:$F=FALSE))), 0, COUNTA(UNIQUE(FILTER('Activity map'!$C:$C, ('Activity map'!$A:$A=$A78)*('Activity map'!$F:$F=FALSE)))))"),8.0)</f>
        <v>8</v>
      </c>
      <c r="R78" s="31">
        <f>IFERROR(__xludf.DUMMYFUNCTION("IF(ISERROR(FILTER('Activity map'!$C:$C, 'Activity map'!$A:$A=$A78)), 0, COUNTA(UNIQUE(FILTER('Activity map'!$C:$C, 'Activity map'!$A:$A=$A78))))"),8.0)</f>
        <v>8</v>
      </c>
      <c r="S78" s="32">
        <f t="shared" si="6"/>
        <v>0</v>
      </c>
      <c r="T78" s="31">
        <f>IFERROR(__xludf.DUMMYFUNCTION("IF(ISERROR(FILTER('Activity map'!$E:$E, ('Activity map'!$A:$A=$A78)*('Activity map'!$F:$F=FALSE))), ""-"", MIN(UNIQUE(FILTER('Activity map'!$E:$E, ('Activity map'!$A:$A=$A78)*('Activity map'!$F:$F=FALSE)))))"),5.0)</f>
        <v>5</v>
      </c>
      <c r="U78" s="30" t="str">
        <f>IF($N78=0, "-", VLOOKUP($N78, 'List of log slots'!$A:$C, 2, FALSE))</f>
        <v>Dragon spear</v>
      </c>
    </row>
    <row r="79">
      <c r="A79" s="26">
        <v>183.0</v>
      </c>
      <c r="B79" s="23" t="str">
        <f>VLOOKUP($A79, 'Completion rates'!$A:$E, 2, FALSE)</f>
        <v>Killing cave slimes</v>
      </c>
      <c r="C79" s="26">
        <f>IF(Notes!$E$27, VLOOKUP($A79, 'Completion rates'!$A:$E, 4, FALSE), VLOOKUP($A79, 'Completion rates'!$A:$E, 3, FALSE))</f>
        <v>600</v>
      </c>
      <c r="D79" s="26">
        <f>VLOOKUP($A79, 'Completion rates'!$A:$E, 5, FALSE)</f>
        <v>0</v>
      </c>
      <c r="E79" s="28">
        <f>IF(SUMIFS('Activity map'!$O:$O, 'Activity map'!$A:$A, A79, 'Activity map'!$H:$H, "=TRUE") = 0, "n/a", 1/SUMIFS('Activity map'!$O:$O, 'Activity map'!$A:$A, A79, 'Activity map'!$H:$H, "=TRUE"))</f>
        <v>127.7816234</v>
      </c>
      <c r="F79" s="8">
        <f t="shared" si="1"/>
        <v>0.2129693723</v>
      </c>
      <c r="G79" s="26" t="str">
        <f>IF(MINIFS('Activity map'!$N:$N, 'Activity map'!$A:$A, A79, 'Activity map'!$H:$H, "=TRUE") = 0, "n/a", MINIFS('Activity map'!$N:$N, 'Activity map'!$A:$A, A79, 'Activity map'!$H:$H, "=TRUE"))</f>
        <v>n/a</v>
      </c>
      <c r="H79" s="8" t="str">
        <f t="shared" si="2"/>
        <v/>
      </c>
      <c r="I79" s="26" t="str">
        <f>IF(MINIFS('Activity map'!$M:$M, 'Activity map'!$A:$A, A79, 'Activity map'!$H:$H, "=TRUE") = 0, "n/a", MINIFS('Activity map'!$M:$M, 'Activity map'!$A:$A, A79, 'Activity map'!$H:$H, "=TRUE"))</f>
        <v>n/a</v>
      </c>
      <c r="J79" s="8" t="str">
        <f t="shared" si="3"/>
        <v/>
      </c>
      <c r="K79" s="26" t="str">
        <f>IF(MINIFS('Activity map'!$L:$L, 'Activity map'!$A:$A, A79, 'Activity map'!$H:$H, "=TRUE") = 0, "n/a", MINIFS('Activity map'!$L:$L, 'Activity map'!$A:$A, A79, 'Activity map'!$H:$H, "=TRUE"))</f>
        <v>n/a</v>
      </c>
      <c r="L79" s="8" t="str">
        <f t="shared" si="4"/>
        <v/>
      </c>
      <c r="M79" s="26">
        <f>MINIFS('Activity map'!$C:$C, 'Activity map'!$A:$A, $A79, 'Activity map'!$H:$H, "=TRUE", 'Activity map'!$K:$K, MINIFS('Activity map'!$K:$K, 'Activity map'!$A:$A, $A79, 'Activity map'!$H:$H, "=TRUE"))</f>
        <v>4121</v>
      </c>
      <c r="N79" s="26">
        <f>MINIFS('Activity map'!$C:$C, 'Activity map'!$A:$A, $A79, 'Activity map'!$H:$H, "=TRUE", 'Activity map'!$E:$E, $T79)</f>
        <v>4121</v>
      </c>
      <c r="O79" s="35">
        <f t="shared" si="5"/>
        <v>0.008873723846</v>
      </c>
      <c r="P79" s="30" t="str">
        <f>IF($M79=0, "-", VLOOKUP($M79, 'List of log slots'!$A:$C, 2, FALSE))</f>
        <v>Iron boots</v>
      </c>
      <c r="Q79" s="31">
        <f>IFERROR(__xludf.DUMMYFUNCTION("IF(ISERROR(FILTER('Activity map'!$C:$C, ('Activity map'!$A:$A=$A79)*('Activity map'!$F:$F=FALSE))), 0, COUNTA(UNIQUE(FILTER('Activity map'!$C:$C, ('Activity map'!$A:$A=$A79)*('Activity map'!$F:$F=FALSE)))))"),3.0)</f>
        <v>3</v>
      </c>
      <c r="R79" s="31">
        <f>IFERROR(__xludf.DUMMYFUNCTION("IF(ISERROR(FILTER('Activity map'!$C:$C, 'Activity map'!$A:$A=$A79)), 0, COUNTA(UNIQUE(FILTER('Activity map'!$C:$C, 'Activity map'!$A:$A=$A79))))"),3.0)</f>
        <v>3</v>
      </c>
      <c r="S79" s="36">
        <f t="shared" si="6"/>
        <v>0</v>
      </c>
      <c r="T79" s="31">
        <f>IFERROR(__xludf.DUMMYFUNCTION("IF(ISERROR(FILTER('Activity map'!$E:$E, ('Activity map'!$A:$A=$A79)*('Activity map'!$F:$F=FALSE))), ""-"", MIN(UNIQUE(FILTER('Activity map'!$E:$E, ('Activity map'!$A:$A=$A79)*('Activity map'!$F:$F=FALSE)))))"),1.0)</f>
        <v>1</v>
      </c>
      <c r="U79" s="30" t="str">
        <f>IF($N79=0, "-", VLOOKUP($N79, 'List of log slots'!$A:$C, 2, FALSE))</f>
        <v>Iron boots</v>
      </c>
    </row>
    <row r="80">
      <c r="A80" s="26">
        <v>171.0</v>
      </c>
      <c r="B80" s="23" t="str">
        <f>VLOOKUP($A80, 'Completion rates'!$A:$E, 2, FALSE)</f>
        <v>Killing dust devils (on task)</v>
      </c>
      <c r="C80" s="26">
        <f>IF(Notes!$E$27, VLOOKUP($A80, 'Completion rates'!$A:$E, 4, FALSE), VLOOKUP($A80, 'Completion rates'!$A:$E, 3, FALSE))</f>
        <v>650</v>
      </c>
      <c r="D80" s="26">
        <f>VLOOKUP($A80, 'Completion rates'!$A:$E, 5, FALSE)</f>
        <v>0</v>
      </c>
      <c r="E80" s="28">
        <f>IF(SUMIFS('Activity map'!$O:$O, 'Activity map'!$A:$A, A80, 'Activity map'!$H:$H, "=TRUE") = 0, "n/a", 1/SUMIFS('Activity map'!$O:$O, 'Activity map'!$A:$A, A80, 'Activity map'!$H:$H, "=TRUE"))</f>
        <v>139.5984275</v>
      </c>
      <c r="F80" s="26">
        <f t="shared" si="1"/>
        <v>0.2147668116</v>
      </c>
      <c r="G80" s="26" t="str">
        <f>IF(MINIFS('Activity map'!$N:$N, 'Activity map'!$A:$A, A80, 'Activity map'!$H:$H, "=TRUE") = 0, "n/a", MINIFS('Activity map'!$N:$N, 'Activity map'!$A:$A, A80, 'Activity map'!$H:$H, "=TRUE"))</f>
        <v>n/a</v>
      </c>
      <c r="H80" s="8" t="str">
        <f t="shared" si="2"/>
        <v/>
      </c>
      <c r="I80" s="26" t="str">
        <f>IF(MINIFS('Activity map'!$M:$M, 'Activity map'!$A:$A, A80, 'Activity map'!$H:$H, "=TRUE") = 0, "n/a", MINIFS('Activity map'!$M:$M, 'Activity map'!$A:$A, A80, 'Activity map'!$H:$H, "=TRUE"))</f>
        <v>n/a</v>
      </c>
      <c r="J80" s="8" t="str">
        <f t="shared" si="3"/>
        <v/>
      </c>
      <c r="K80" s="26" t="str">
        <f>IF(MINIFS('Activity map'!$L:$L, 'Activity map'!$A:$A, A80, 'Activity map'!$H:$H, "=TRUE") = 0, "n/a", MINIFS('Activity map'!$L:$L, 'Activity map'!$A:$A, A80, 'Activity map'!$H:$H, "=TRUE"))</f>
        <v>n/a</v>
      </c>
      <c r="L80" s="8" t="str">
        <f t="shared" si="4"/>
        <v/>
      </c>
      <c r="M80" s="26">
        <f>MINIFS('Activity map'!$C:$C, 'Activity map'!$A:$A, $A80, 'Activity map'!$H:$H, "=TRUE", 'Activity map'!$K:$K, MINIFS('Activity map'!$K:$K, 'Activity map'!$A:$A, $A80, 'Activity map'!$H:$H, "=TRUE"))</f>
        <v>19677</v>
      </c>
      <c r="N80" s="26">
        <f>MINIFS('Activity map'!$C:$C, 'Activity map'!$A:$A, $A80, 'Activity map'!$H:$H, "=TRUE", 'Activity map'!$E:$E, $T80)</f>
        <v>19679</v>
      </c>
      <c r="O80" s="66">
        <f t="shared" si="5"/>
        <v>0.00894861715</v>
      </c>
      <c r="P80" s="30" t="str">
        <f>IF($M80=0, "-", VLOOKUP($M80, 'List of log slots'!$A:$C, 2, FALSE))</f>
        <v>Ancient shard</v>
      </c>
      <c r="Q80" s="31">
        <f>IFERROR(__xludf.DUMMYFUNCTION("IF(ISERROR(FILTER('Activity map'!$C:$C, ('Activity map'!$A:$A=$A80)*('Activity map'!$F:$F=FALSE))), 0, COUNTA(UNIQUE(FILTER('Activity map'!$C:$C, ('Activity map'!$A:$A=$A80)*('Activity map'!$F:$F=FALSE)))))"),11.0)</f>
        <v>11</v>
      </c>
      <c r="R80" s="31">
        <f>IFERROR(__xludf.DUMMYFUNCTION("IF(ISERROR(FILTER('Activity map'!$C:$C, 'Activity map'!$A:$A=$A80)), 0, COUNTA(UNIQUE(FILTER('Activity map'!$C:$C, 'Activity map'!$A:$A=$A80))))"),11.0)</f>
        <v>11</v>
      </c>
      <c r="S80" s="85">
        <f t="shared" si="6"/>
        <v>0</v>
      </c>
      <c r="T80" s="31">
        <f>IFERROR(__xludf.DUMMYFUNCTION("IF(ISERROR(FILTER('Activity map'!$E:$E, ('Activity map'!$A:$A=$A80)*('Activity map'!$F:$F=FALSE))), ""-"", MIN(UNIQUE(FILTER('Activity map'!$E:$E, ('Activity map'!$A:$A=$A80)*('Activity map'!$F:$F=FALSE)))))"),3.0)</f>
        <v>3</v>
      </c>
      <c r="U80" s="30" t="str">
        <f>IF($N80=0, "-", VLOOKUP($N80, 'List of log slots'!$A:$C, 2, FALSE))</f>
        <v>Dark totem base</v>
      </c>
    </row>
    <row r="81">
      <c r="A81" s="26">
        <v>124.0</v>
      </c>
      <c r="B81" s="23" t="str">
        <f>VLOOKUP($A81, 'Completion rates'!$A:$E, 2, FALSE)</f>
        <v>Killing cyclopes at the warriors' guild</v>
      </c>
      <c r="C81" s="26">
        <f>IF(Notes!$E$27, VLOOKUP($A81, 'Completion rates'!$A:$E, 4, FALSE), VLOOKUP($A81, 'Completion rates'!$A:$E, 3, FALSE))</f>
        <v>200</v>
      </c>
      <c r="D81" s="26">
        <f>VLOOKUP($A81, 'Completion rates'!$A:$E, 5, FALSE)</f>
        <v>0</v>
      </c>
      <c r="E81" s="28">
        <f>IF(SUMIFS('Activity map'!$O:$O, 'Activity map'!$A:$A, A81, 'Activity map'!$H:$H, "=TRUE") = 0, "n/a", 1/SUMIFS('Activity map'!$O:$O, 'Activity map'!$A:$A, A81, 'Activity map'!$H:$H, "=TRUE"))</f>
        <v>44.03729273</v>
      </c>
      <c r="F81" s="26">
        <f t="shared" si="1"/>
        <v>0.2201864637</v>
      </c>
      <c r="G81" s="26" t="str">
        <f>IF(MINIFS('Activity map'!$N:$N, 'Activity map'!$A:$A, A81, 'Activity map'!$H:$H, "=TRUE") = 0, "n/a", MINIFS('Activity map'!$N:$N, 'Activity map'!$A:$A, A81, 'Activity map'!$H:$H, "=TRUE"))</f>
        <v>n/a</v>
      </c>
      <c r="H81" s="8" t="str">
        <f t="shared" si="2"/>
        <v/>
      </c>
      <c r="I81" s="26" t="str">
        <f>IF(MINIFS('Activity map'!$M:$M, 'Activity map'!$A:$A, A81, 'Activity map'!$H:$H, "=TRUE") = 0, "n/a", MINIFS('Activity map'!$M:$M, 'Activity map'!$A:$A, A81, 'Activity map'!$H:$H, "=TRUE"))</f>
        <v>n/a</v>
      </c>
      <c r="J81" s="8" t="str">
        <f t="shared" si="3"/>
        <v/>
      </c>
      <c r="K81" s="26" t="str">
        <f>IF(MINIFS('Activity map'!$L:$L, 'Activity map'!$A:$A, A81, 'Activity map'!$H:$H, "=TRUE") = 0, "n/a", MINIFS('Activity map'!$L:$L, 'Activity map'!$A:$A, A81, 'Activity map'!$H:$H, "=TRUE"))</f>
        <v>n/a</v>
      </c>
      <c r="L81" s="8" t="str">
        <f t="shared" si="4"/>
        <v/>
      </c>
      <c r="M81" s="26">
        <f>MINIFS('Activity map'!$C:$C, 'Activity map'!$A:$A, $A81, 'Activity map'!$H:$H, "=TRUE", 'Activity map'!$K:$K, MINIFS('Activity map'!$K:$K, 'Activity map'!$A:$A, $A81, 'Activity map'!$H:$H, "=TRUE"))</f>
        <v>8844</v>
      </c>
      <c r="N81" s="26">
        <f>MINIFS('Activity map'!$C:$C, 'Activity map'!$A:$A, $A81, 'Activity map'!$H:$H, "=TRUE", 'Activity map'!$E:$E, $T81)</f>
        <v>8844</v>
      </c>
      <c r="O81" s="94">
        <f t="shared" si="5"/>
        <v>0.009174435985</v>
      </c>
      <c r="P81" s="30" t="str">
        <f>IF($M81=0, "-", VLOOKUP($M81, 'List of log slots'!$A:$C, 2, FALSE))</f>
        <v>Bronze defender</v>
      </c>
      <c r="Q81" s="31">
        <f>IFERROR(__xludf.DUMMYFUNCTION("IF(ISERROR(FILTER('Activity map'!$C:$C, ('Activity map'!$A:$A=$A81)*('Activity map'!$F:$F=FALSE))), 0, COUNTA(UNIQUE(FILTER('Activity map'!$C:$C, ('Activity map'!$A:$A=$A81)*('Activity map'!$F:$F=FALSE)))))"),12.0)</f>
        <v>12</v>
      </c>
      <c r="R81" s="31">
        <f>IFERROR(__xludf.DUMMYFUNCTION("IF(ISERROR(FILTER('Activity map'!$C:$C, 'Activity map'!$A:$A=$A81)), 0, COUNTA(UNIQUE(FILTER('Activity map'!$C:$C, 'Activity map'!$A:$A=$A81))))"),12.0)</f>
        <v>12</v>
      </c>
      <c r="S81" s="95">
        <f t="shared" si="6"/>
        <v>0</v>
      </c>
      <c r="T81" s="31">
        <f>IFERROR(__xludf.DUMMYFUNCTION("IF(ISERROR(FILTER('Activity map'!$E:$E, ('Activity map'!$A:$A=$A81)*('Activity map'!$F:$F=FALSE))), ""-"", MIN(UNIQUE(FILTER('Activity map'!$E:$E, ('Activity map'!$A:$A=$A81)*('Activity map'!$F:$F=FALSE)))))"),2.0)</f>
        <v>2</v>
      </c>
      <c r="U81" s="30" t="str">
        <f>IF($N81=0, "-", VLOOKUP($N81, 'List of log slots'!$A:$C, 2, FALSE))</f>
        <v>Bronze defender</v>
      </c>
    </row>
    <row r="82">
      <c r="A82" s="26">
        <v>68.0</v>
      </c>
      <c r="B82" s="23" t="str">
        <f>VLOOKUP($A82, 'Completion rates'!$A:$E, 2, FALSE)</f>
        <v>Opening beginner caskets</v>
      </c>
      <c r="C82" s="26">
        <f>IF(Notes!$E$27, VLOOKUP($A82, 'Completion rates'!$A:$E, 4, FALSE), VLOOKUP($A82, 'Completion rates'!$A:$E, 3, FALSE))</f>
        <v>50</v>
      </c>
      <c r="D82" s="26">
        <f>VLOOKUP($A82, 'Completion rates'!$A:$E, 5, FALSE)</f>
        <v>0</v>
      </c>
      <c r="E82" s="28">
        <f>IF(SUMIFS('Activity map'!$O:$O, 'Activity map'!$A:$A, A82, 'Activity map'!$H:$H, "=TRUE") = 0, "n/a", 1/SUMIFS('Activity map'!$O:$O, 'Activity map'!$A:$A, A82, 'Activity map'!$H:$H, "=TRUE"))</f>
        <v>11.65301205</v>
      </c>
      <c r="F82" s="26">
        <f t="shared" si="1"/>
        <v>0.233060241</v>
      </c>
      <c r="G82" s="26" t="str">
        <f>IF(MINIFS('Activity map'!$N:$N, 'Activity map'!$A:$A, A82, 'Activity map'!$H:$H, "=TRUE") = 0, "n/a", MINIFS('Activity map'!$N:$N, 'Activity map'!$A:$A, A82, 'Activity map'!$H:$H, "=TRUE"))</f>
        <v>n/a</v>
      </c>
      <c r="H82" s="8" t="str">
        <f t="shared" si="2"/>
        <v/>
      </c>
      <c r="I82" s="26">
        <f>IF(MINIFS('Activity map'!$M:$M, 'Activity map'!$A:$A, A82, 'Activity map'!$H:$H, "=TRUE") = 0, "n/a", MINIFS('Activity map'!$M:$M, 'Activity map'!$A:$A, A82, 'Activity map'!$H:$H, "=TRUE"))</f>
        <v>50</v>
      </c>
      <c r="J82" s="8">
        <f t="shared" si="3"/>
        <v>1</v>
      </c>
      <c r="K82" s="26" t="str">
        <f>IF(MINIFS('Activity map'!$L:$L, 'Activity map'!$A:$A, A82, 'Activity map'!$H:$H, "=TRUE") = 0, "n/a", MINIFS('Activity map'!$L:$L, 'Activity map'!$A:$A, A82, 'Activity map'!$H:$H, "=TRUE"))</f>
        <v>n/a</v>
      </c>
      <c r="L82" s="8" t="str">
        <f t="shared" si="4"/>
        <v/>
      </c>
      <c r="M82" s="26">
        <f>MINIFS('Activity map'!$C:$C, 'Activity map'!$A:$A, $A82, 'Activity map'!$H:$H, "=TRUE", 'Activity map'!$K:$K, MINIFS('Activity map'!$K:$K, 'Activity map'!$A:$A, $A82, 'Activity map'!$H:$H, "=TRUE"))</f>
        <v>30902</v>
      </c>
      <c r="N82" s="26">
        <f>MINIFS('Activity map'!$C:$C, 'Activity map'!$A:$A, $A82, 'Activity map'!$H:$H, "=TRUE", 'Activity map'!$E:$E, $T82)</f>
        <v>12297</v>
      </c>
      <c r="O82" s="96">
        <f t="shared" si="5"/>
        <v>0.009710843373</v>
      </c>
      <c r="P82" s="30" t="str">
        <f>IF($M82=0, "-", VLOOKUP($M82, 'List of log slots'!$A:$C, 2, FALSE))</f>
        <v>Minor beginner scroll case</v>
      </c>
      <c r="Q82" s="31">
        <f>IFERROR(__xludf.DUMMYFUNCTION("IF(ISERROR(FILTER('Activity map'!$C:$C, ('Activity map'!$A:$A=$A82)*('Activity map'!$F:$F=FALSE))), 0, COUNTA(UNIQUE(FILTER('Activity map'!$C:$C, ('Activity map'!$A:$A=$A82)*('Activity map'!$F:$F=FALSE)))))"),18.0)</f>
        <v>18</v>
      </c>
      <c r="R82" s="31">
        <f>IFERROR(__xludf.DUMMYFUNCTION("IF(ISERROR(FILTER('Activity map'!$C:$C, 'Activity map'!$A:$A=$A82)), 0, COUNTA(UNIQUE(FILTER('Activity map'!$C:$C, 'Activity map'!$A:$A=$A82))))"),18.0)</f>
        <v>18</v>
      </c>
      <c r="S82" s="97">
        <f t="shared" si="6"/>
        <v>0</v>
      </c>
      <c r="T82" s="31">
        <f>IFERROR(__xludf.DUMMYFUNCTION("IF(ISERROR(FILTER('Activity map'!$E:$E, ('Activity map'!$A:$A=$A82)*('Activity map'!$F:$F=FALSE))), ""-"", MIN(UNIQUE(FILTER('Activity map'!$E:$E, ('Activity map'!$A:$A=$A82)*('Activity map'!$F:$F=FALSE)))))"),2.0)</f>
        <v>2</v>
      </c>
      <c r="U82" s="30" t="str">
        <f>IF($N82=0, "-", VLOOKUP($N82, 'List of log slots'!$A:$C, 2, FALSE))</f>
        <v>Black pickaxe</v>
      </c>
    </row>
    <row r="83">
      <c r="A83" s="26">
        <v>133.0</v>
      </c>
      <c r="B83" s="23" t="str">
        <f>VLOOKUP($A83, 'Completion rates'!$A:$E, 2, FALSE)</f>
        <v>Looting skeletons in the ancient cavern (my notes / ancient page)</v>
      </c>
      <c r="C83" s="26">
        <f>IF(Notes!$E$27, VLOOKUP($A83, 'Completion rates'!$A:$E, 4, FALSE), VLOOKUP($A83, 'Completion rates'!$A:$E, 3, FALSE))</f>
        <v>360</v>
      </c>
      <c r="D83" s="26">
        <f>VLOOKUP($A83, 'Completion rates'!$A:$E, 5, FALSE)</f>
        <v>0.2</v>
      </c>
      <c r="E83" s="28">
        <f>IF(SUMIFS('Activity map'!$O:$O, 'Activity map'!$A:$A, A83, 'Activity map'!$H:$H, "=TRUE") = 0, "n/a", 1/SUMIFS('Activity map'!$O:$O, 'Activity map'!$A:$A, A83, 'Activity map'!$H:$H, "=TRUE"))</f>
        <v>12.61538462</v>
      </c>
      <c r="F83" s="26">
        <f t="shared" si="1"/>
        <v>0.235042735</v>
      </c>
      <c r="G83" s="26" t="str">
        <f>IF(MINIFS('Activity map'!$N:$N, 'Activity map'!$A:$A, A83, 'Activity map'!$H:$H, "=TRUE") = 0, "n/a", MINIFS('Activity map'!$N:$N, 'Activity map'!$A:$A, A83, 'Activity map'!$H:$H, "=TRUE"))</f>
        <v>n/a</v>
      </c>
      <c r="H83" s="8" t="str">
        <f t="shared" si="2"/>
        <v/>
      </c>
      <c r="I83" s="26" t="str">
        <f>IF(MINIFS('Activity map'!$M:$M, 'Activity map'!$A:$A, A83, 'Activity map'!$H:$H, "=TRUE") = 0, "n/a", MINIFS('Activity map'!$M:$M, 'Activity map'!$A:$A, A83, 'Activity map'!$H:$H, "=TRUE"))</f>
        <v>n/a</v>
      </c>
      <c r="J83" s="8" t="str">
        <f t="shared" si="3"/>
        <v/>
      </c>
      <c r="K83" s="26" t="str">
        <f>IF(MINIFS('Activity map'!$L:$L, 'Activity map'!$A:$A, A83, 'Activity map'!$H:$H, "=TRUE") = 0, "n/a", MINIFS('Activity map'!$L:$L, 'Activity map'!$A:$A, A83, 'Activity map'!$H:$H, "=TRUE"))</f>
        <v>n/a</v>
      </c>
      <c r="L83" s="8" t="str">
        <f t="shared" si="4"/>
        <v/>
      </c>
      <c r="M83" s="26">
        <f>MINIFS('Activity map'!$C:$C, 'Activity map'!$A:$A, $A83, 'Activity map'!$H:$H, "=TRUE", 'Activity map'!$K:$K, MINIFS('Activity map'!$K:$K, 'Activity map'!$A:$A, $A83, 'Activity map'!$H:$H, "=TRUE"))</f>
        <v>11341</v>
      </c>
      <c r="N83" s="26">
        <f>MINIFS('Activity map'!$C:$C, 'Activity map'!$A:$A, $A83, 'Activity map'!$H:$H, "=TRUE", 'Activity map'!$E:$E, $T83)</f>
        <v>11341</v>
      </c>
      <c r="O83" s="39">
        <f t="shared" si="5"/>
        <v>0.009793447293</v>
      </c>
      <c r="P83" s="30" t="str">
        <f>IF($M83=0, "-", VLOOKUP($M83, 'List of log slots'!$A:$C, 2, FALSE))</f>
        <v>Ancient page</v>
      </c>
      <c r="Q83" s="31">
        <f>IFERROR(__xludf.DUMMYFUNCTION("IF(ISERROR(FILTER('Activity map'!$C:$C, ('Activity map'!$A:$A=$A83)*('Activity map'!$F:$F=FALSE))), 0, COUNTA(UNIQUE(FILTER('Activity map'!$C:$C, ('Activity map'!$A:$A=$A83)*('Activity map'!$F:$F=FALSE)))))"),26.0)</f>
        <v>26</v>
      </c>
      <c r="R83" s="31">
        <f>IFERROR(__xludf.DUMMYFUNCTION("IF(ISERROR(FILTER('Activity map'!$C:$C, 'Activity map'!$A:$A=$A83)), 0, COUNTA(UNIQUE(FILTER('Activity map'!$C:$C, 'Activity map'!$A:$A=$A83))))"),26.0)</f>
        <v>26</v>
      </c>
      <c r="S83" s="98">
        <f t="shared" si="6"/>
        <v>0</v>
      </c>
      <c r="T83" s="31">
        <f>IFERROR(__xludf.DUMMYFUNCTION("IF(ISERROR(FILTER('Activity map'!$E:$E, ('Activity map'!$A:$A=$A83)*('Activity map'!$F:$F=FALSE))), ""-"", MIN(UNIQUE(FILTER('Activity map'!$E:$E, ('Activity map'!$A:$A=$A83)*('Activity map'!$F:$F=FALSE)))))"),3.0)</f>
        <v>3</v>
      </c>
      <c r="U83" s="30" t="str">
        <f>IF($N83=0, "-", VLOOKUP($N83, 'List of log slots'!$A:$C, 2, FALSE))</f>
        <v>Ancient page</v>
      </c>
    </row>
    <row r="84">
      <c r="A84" s="26">
        <v>88.0</v>
      </c>
      <c r="B84" s="23" t="str">
        <f>VLOOKUP($A84, 'Completion rates'!$A:$E, 2, FALSE)</f>
        <v>Surviving the round (last man standing)</v>
      </c>
      <c r="C84" s="26">
        <f>IF(Notes!$E$27, VLOOKUP($A84, 'Completion rates'!$A:$E, 4, FALSE), VLOOKUP($A84, 'Completion rates'!$A:$E, 3, FALSE))</f>
        <v>4</v>
      </c>
      <c r="D84" s="26">
        <f>VLOOKUP($A84, 'Completion rates'!$A:$E, 5, FALSE)</f>
        <v>0</v>
      </c>
      <c r="E84" s="28" t="str">
        <f>IF(SUMIFS('Activity map'!$O:$O, 'Activity map'!$A:$A, A84, 'Activity map'!$H:$H, "=TRUE") = 0, "n/a", 1/SUMIFS('Activity map'!$O:$O, 'Activity map'!$A:$A, A84, 'Activity map'!$H:$H, "=TRUE"))</f>
        <v>n/a</v>
      </c>
      <c r="F84" s="8" t="str">
        <f t="shared" si="1"/>
        <v/>
      </c>
      <c r="G84" s="26" t="str">
        <f>IF(MINIFS('Activity map'!$N:$N, 'Activity map'!$A:$A, A84, 'Activity map'!$H:$H, "=TRUE") = 0, "n/a", MINIFS('Activity map'!$N:$N, 'Activity map'!$A:$A, A84, 'Activity map'!$H:$H, "=TRUE"))</f>
        <v>n/a</v>
      </c>
      <c r="H84" s="8" t="str">
        <f t="shared" si="2"/>
        <v/>
      </c>
      <c r="I84" s="26">
        <f>IF(MINIFS('Activity map'!$M:$M, 'Activity map'!$A:$A, A84, 'Activity map'!$H:$H, "=TRUE") = 0, "n/a", MINIFS('Activity map'!$M:$M, 'Activity map'!$A:$A, A84, 'Activity map'!$H:$H, "=TRUE"))</f>
        <v>1</v>
      </c>
      <c r="J84" s="26">
        <f t="shared" si="3"/>
        <v>0.25</v>
      </c>
      <c r="K84" s="26" t="str">
        <f>IF(MINIFS('Activity map'!$L:$L, 'Activity map'!$A:$A, A84, 'Activity map'!$H:$H, "=TRUE") = 0, "n/a", MINIFS('Activity map'!$L:$L, 'Activity map'!$A:$A, A84, 'Activity map'!$H:$H, "=TRUE"))</f>
        <v>n/a</v>
      </c>
      <c r="L84" s="8" t="str">
        <f t="shared" si="4"/>
        <v/>
      </c>
      <c r="M84" s="26">
        <f>MINIFS('Activity map'!$C:$C, 'Activity map'!$A:$A, $A84, 'Activity map'!$H:$H, "=TRUE", 'Activity map'!$K:$K, MINIFS('Activity map'!$K:$K, 'Activity map'!$A:$A, $A84, 'Activity map'!$H:$H, "=TRUE"))</f>
        <v>24207</v>
      </c>
      <c r="N84" s="26">
        <f>MINIFS('Activity map'!$C:$C, 'Activity map'!$A:$A, $A84, 'Activity map'!$H:$H, "=TRUE", 'Activity map'!$E:$E, $T84)</f>
        <v>24207</v>
      </c>
      <c r="O84" s="39">
        <f t="shared" si="5"/>
        <v>0.01041666667</v>
      </c>
      <c r="P84" s="30" t="str">
        <f>IF($M84=0, "-", VLOOKUP($M84, 'List of log slots'!$A:$C, 2, FALSE))</f>
        <v>Victor's cape (1)</v>
      </c>
      <c r="Q84" s="31">
        <f>IFERROR(__xludf.DUMMYFUNCTION("IF(ISERROR(FILTER('Activity map'!$C:$C, ('Activity map'!$A:$A=$A84)*('Activity map'!$F:$F=FALSE))), 0, COUNTA(UNIQUE(FILTER('Activity map'!$C:$C, ('Activity map'!$A:$A=$A84)*('Activity map'!$F:$F=FALSE)))))"),6.0)</f>
        <v>6</v>
      </c>
      <c r="R84" s="31">
        <f>IFERROR(__xludf.DUMMYFUNCTION("IF(ISERROR(FILTER('Activity map'!$C:$C, 'Activity map'!$A:$A=$A84)), 0, COUNTA(UNIQUE(FILTER('Activity map'!$C:$C, 'Activity map'!$A:$A=$A84))))"),6.0)</f>
        <v>6</v>
      </c>
      <c r="S84" s="72">
        <f t="shared" si="6"/>
        <v>0</v>
      </c>
      <c r="T84" s="31">
        <f>IFERROR(__xludf.DUMMYFUNCTION("IF(ISERROR(FILTER('Activity map'!$E:$E, ('Activity map'!$A:$A=$A84)*('Activity map'!$F:$F=FALSE))), ""-"", MIN(UNIQUE(FILTER('Activity map'!$E:$E, ('Activity map'!$A:$A=$A84)*('Activity map'!$F:$F=FALSE)))))"),3.0)</f>
        <v>3</v>
      </c>
      <c r="U84" s="30" t="str">
        <f>IF($N84=0, "-", VLOOKUP($N84, 'List of log slots'!$A:$C, 2, FALSE))</f>
        <v>Victor's cape (1)</v>
      </c>
    </row>
    <row r="85">
      <c r="A85" s="26">
        <v>103.0</v>
      </c>
      <c r="B85" s="23" t="str">
        <f>VLOOKUP($A85, 'Completion rates'!$A:$E, 2, FALSE)</f>
        <v>Fishing in camdozaal</v>
      </c>
      <c r="C85" s="26">
        <f>IF(Notes!$E$27, VLOOKUP($A85, 'Completion rates'!$A:$E, 4, FALSE), VLOOKUP($A85, 'Completion rates'!$A:$E, 3, FALSE))</f>
        <v>800</v>
      </c>
      <c r="D85" s="26">
        <f>VLOOKUP($A85, 'Completion rates'!$A:$E, 5, FALSE)</f>
        <v>0</v>
      </c>
      <c r="E85" s="28">
        <f>IF(SUMIFS('Activity map'!$O:$O, 'Activity map'!$A:$A, A85, 'Activity map'!$H:$H, "=TRUE") = 0, "n/a", 1/SUMIFS('Activity map'!$O:$O, 'Activity map'!$A:$A, A85, 'Activity map'!$H:$H, "=TRUE"))</f>
        <v>200</v>
      </c>
      <c r="F85" s="8">
        <f t="shared" si="1"/>
        <v>0.25</v>
      </c>
      <c r="G85" s="26" t="str">
        <f>IF(MINIFS('Activity map'!$N:$N, 'Activity map'!$A:$A, A85, 'Activity map'!$H:$H, "=TRUE") = 0, "n/a", MINIFS('Activity map'!$N:$N, 'Activity map'!$A:$A, A85, 'Activity map'!$H:$H, "=TRUE"))</f>
        <v>n/a</v>
      </c>
      <c r="H85" s="8" t="str">
        <f t="shared" si="2"/>
        <v/>
      </c>
      <c r="I85" s="26" t="str">
        <f>IF(MINIFS('Activity map'!$M:$M, 'Activity map'!$A:$A, A85, 'Activity map'!$H:$H, "=TRUE") = 0, "n/a", MINIFS('Activity map'!$M:$M, 'Activity map'!$A:$A, A85, 'Activity map'!$H:$H, "=TRUE"))</f>
        <v>n/a</v>
      </c>
      <c r="J85" s="8" t="str">
        <f t="shared" si="3"/>
        <v/>
      </c>
      <c r="K85" s="26" t="str">
        <f>IF(MINIFS('Activity map'!$L:$L, 'Activity map'!$A:$A, A85, 'Activity map'!$H:$H, "=TRUE") = 0, "n/a", MINIFS('Activity map'!$L:$L, 'Activity map'!$A:$A, A85, 'Activity map'!$H:$H, "=TRUE"))</f>
        <v>n/a</v>
      </c>
      <c r="L85" s="8" t="str">
        <f t="shared" si="4"/>
        <v/>
      </c>
      <c r="M85" s="26">
        <f>MINIFS('Activity map'!$C:$C, 'Activity map'!$A:$A, $A85, 'Activity map'!$H:$H, "=TRUE", 'Activity map'!$K:$K, MINIFS('Activity map'!$K:$K, 'Activity map'!$A:$A, $A85, 'Activity map'!$H:$H, "=TRUE"))</f>
        <v>25637</v>
      </c>
      <c r="N85" s="26">
        <f>MINIFS('Activity map'!$C:$C, 'Activity map'!$A:$A, $A85, 'Activity map'!$H:$H, "=TRUE", 'Activity map'!$E:$E, $T85)</f>
        <v>25637</v>
      </c>
      <c r="O85" s="35">
        <f t="shared" si="5"/>
        <v>0.01041666667</v>
      </c>
      <c r="P85" s="30" t="str">
        <f>IF($M85=0, "-", VLOOKUP($M85, 'List of log slots'!$A:$C, 2, FALSE))</f>
        <v>Barronite handle</v>
      </c>
      <c r="Q85" s="31">
        <f>IFERROR(__xludf.DUMMYFUNCTION("IF(ISERROR(FILTER('Activity map'!$C:$C, ('Activity map'!$A:$A=$A85)*('Activity map'!$F:$F=FALSE))), 0, COUNTA(UNIQUE(FILTER('Activity map'!$C:$C, ('Activity map'!$A:$A=$A85)*('Activity map'!$F:$F=FALSE)))))"),1.0)</f>
        <v>1</v>
      </c>
      <c r="R85" s="31">
        <f>IFERROR(__xludf.DUMMYFUNCTION("IF(ISERROR(FILTER('Activity map'!$C:$C, 'Activity map'!$A:$A=$A85)), 0, COUNTA(UNIQUE(FILTER('Activity map'!$C:$C, 'Activity map'!$A:$A=$A85))))"),1.0)</f>
        <v>1</v>
      </c>
      <c r="S85" s="36">
        <f t="shared" si="6"/>
        <v>0</v>
      </c>
      <c r="T85" s="31">
        <f>IFERROR(__xludf.DUMMYFUNCTION("IF(ISERROR(FILTER('Activity map'!$E:$E, ('Activity map'!$A:$A=$A85)*('Activity map'!$F:$F=FALSE))), ""-"", MIN(UNIQUE(FILTER('Activity map'!$E:$E, ('Activity map'!$A:$A=$A85)*('Activity map'!$F:$F=FALSE)))))"),2.0)</f>
        <v>2</v>
      </c>
      <c r="U85" s="30" t="str">
        <f>IF($N85=0, "-", VLOOKUP($N85, 'List of log slots'!$A:$C, 2, FALSE))</f>
        <v>Barronite handle</v>
      </c>
    </row>
    <row r="86">
      <c r="A86" s="26">
        <v>144.0</v>
      </c>
      <c r="B86" s="23" t="str">
        <f>VLOOKUP($A86, 'Completion rates'!$A:$E, 2, FALSE)</f>
        <v>Killing great white shark (boat combat)</v>
      </c>
      <c r="C86" s="26">
        <f>IF(Notes!$E$27, VLOOKUP($A86, 'Completion rates'!$A:$E, 4, FALSE), VLOOKUP($A86, 'Completion rates'!$A:$E, 3, FALSE))</f>
        <v>180</v>
      </c>
      <c r="D86" s="26">
        <f>VLOOKUP($A86, 'Completion rates'!$A:$E, 5, FALSE)</f>
        <v>0</v>
      </c>
      <c r="E86" s="28">
        <f>IF(SUMIFS('Activity map'!$O:$O, 'Activity map'!$A:$A, A86, 'Activity map'!$H:$H, "=TRUE") = 0, "n/a", 1/SUMIFS('Activity map'!$O:$O, 'Activity map'!$A:$A, A86, 'Activity map'!$H:$H, "=TRUE"))</f>
        <v>46.22512807</v>
      </c>
      <c r="F86" s="26">
        <f t="shared" si="1"/>
        <v>0.2568062671</v>
      </c>
      <c r="G86" s="26" t="str">
        <f>IF(MINIFS('Activity map'!$N:$N, 'Activity map'!$A:$A, A86, 'Activity map'!$H:$H, "=TRUE") = 0, "n/a", MINIFS('Activity map'!$N:$N, 'Activity map'!$A:$A, A86, 'Activity map'!$H:$H, "=TRUE"))</f>
        <v>n/a</v>
      </c>
      <c r="H86" s="8" t="str">
        <f t="shared" si="2"/>
        <v/>
      </c>
      <c r="I86" s="26" t="str">
        <f>IF(MINIFS('Activity map'!$M:$M, 'Activity map'!$A:$A, A86, 'Activity map'!$H:$H, "=TRUE") = 0, "n/a", MINIFS('Activity map'!$M:$M, 'Activity map'!$A:$A, A86, 'Activity map'!$H:$H, "=TRUE"))</f>
        <v>n/a</v>
      </c>
      <c r="J86" s="8" t="str">
        <f t="shared" si="3"/>
        <v/>
      </c>
      <c r="K86" s="26" t="str">
        <f>IF(MINIFS('Activity map'!$L:$L, 'Activity map'!$A:$A, A86, 'Activity map'!$H:$H, "=TRUE") = 0, "n/a", MINIFS('Activity map'!$L:$L, 'Activity map'!$A:$A, A86, 'Activity map'!$H:$H, "=TRUE"))</f>
        <v>n/a</v>
      </c>
      <c r="L86" s="8" t="str">
        <f t="shared" si="4"/>
        <v/>
      </c>
      <c r="M86" s="26">
        <f>MINIFS('Activity map'!$C:$C, 'Activity map'!$A:$A, $A86, 'Activity map'!$H:$H, "=TRUE", 'Activity map'!$K:$K, MINIFS('Activity map'!$K:$K, 'Activity map'!$A:$A, $A86, 'Activity map'!$H:$H, "=TRUE"))</f>
        <v>31916</v>
      </c>
      <c r="N86" s="26">
        <f>MINIFS('Activity map'!$C:$C, 'Activity map'!$A:$A, $A86, 'Activity map'!$H:$H, "=TRUE", 'Activity map'!$E:$E, $T86)</f>
        <v>31916</v>
      </c>
      <c r="O86" s="99">
        <f t="shared" si="5"/>
        <v>0.01070026113</v>
      </c>
      <c r="P86" s="30" t="str">
        <f>IF($M86=0, "-", VLOOKUP($M86, 'List of log slots'!$A:$C, 2, FALSE))</f>
        <v>Dragon cannonball</v>
      </c>
      <c r="Q86" s="31">
        <f>IFERROR(__xludf.DUMMYFUNCTION("IF(ISERROR(FILTER('Activity map'!$C:$C, ('Activity map'!$A:$A=$A86)*('Activity map'!$F:$F=FALSE))), 0, COUNTA(UNIQUE(FILTER('Activity map'!$C:$C, ('Activity map'!$A:$A=$A86)*('Activity map'!$F:$F=FALSE)))))"),5.0)</f>
        <v>5</v>
      </c>
      <c r="R86" s="31">
        <f>IFERROR(__xludf.DUMMYFUNCTION("IF(ISERROR(FILTER('Activity map'!$C:$C, 'Activity map'!$A:$A=$A86)), 0, COUNTA(UNIQUE(FILTER('Activity map'!$C:$C, 'Activity map'!$A:$A=$A86))))"),5.0)</f>
        <v>5</v>
      </c>
      <c r="S86" s="100">
        <f t="shared" si="6"/>
        <v>0</v>
      </c>
      <c r="T86" s="31">
        <f>IFERROR(__xludf.DUMMYFUNCTION("IF(ISERROR(FILTER('Activity map'!$E:$E, ('Activity map'!$A:$A=$A86)*('Activity map'!$F:$F=FALSE))), ""-"", MIN(UNIQUE(FILTER('Activity map'!$E:$E, ('Activity map'!$A:$A=$A86)*('Activity map'!$F:$F=FALSE)))))"),4.0)</f>
        <v>4</v>
      </c>
      <c r="U86" s="30" t="str">
        <f>IF($N86=0, "-", VLOOKUP($N86, 'List of log slots'!$A:$C, 2, FALSE))</f>
        <v>Dragon cannonball</v>
      </c>
    </row>
    <row r="87">
      <c r="A87" s="26">
        <v>74.0</v>
      </c>
      <c r="B87" s="23" t="str">
        <f>VLOOKUP($A87, 'Completion rates'!$A:$E, 2, FALSE)</f>
        <v>Barbarian assault high gambles (or 500 points)</v>
      </c>
      <c r="C87" s="26">
        <f>IF(Notes!$E$27, VLOOKUP($A87, 'Completion rates'!$A:$E, 4, FALSE), VLOOKUP($A87, 'Completion rates'!$A:$E, 3, FALSE))</f>
        <v>3.1</v>
      </c>
      <c r="D87" s="26">
        <f>VLOOKUP($A87, 'Completion rates'!$A:$E, 5, FALSE)</f>
        <v>0</v>
      </c>
      <c r="E87" s="28">
        <f>IF(SUMIFS('Activity map'!$O:$O, 'Activity map'!$A:$A, A87, 'Activity map'!$H:$H, "=TRUE") = 0, "n/a", 1/SUMIFS('Activity map'!$O:$O, 'Activity map'!$A:$A, A87, 'Activity map'!$H:$H, "=TRUE"))</f>
        <v>31.00775194</v>
      </c>
      <c r="F87" s="26">
        <f t="shared" si="1"/>
        <v>10.00250063</v>
      </c>
      <c r="G87" s="26" t="str">
        <f>IF(MINIFS('Activity map'!$N:$N, 'Activity map'!$A:$A, A87, 'Activity map'!$H:$H, "=TRUE") = 0, "n/a", MINIFS('Activity map'!$N:$N, 'Activity map'!$A:$A, A87, 'Activity map'!$H:$H, "=TRUE"))</f>
        <v>n/a</v>
      </c>
      <c r="H87" s="8" t="str">
        <f t="shared" si="2"/>
        <v/>
      </c>
      <c r="I87" s="26">
        <f>IF(MINIFS('Activity map'!$M:$M, 'Activity map'!$A:$A, A87, 'Activity map'!$H:$H, "=TRUE") = 0, "n/a", MINIFS('Activity map'!$M:$M, 'Activity map'!$A:$A, A87, 'Activity map'!$H:$H, "=TRUE"))</f>
        <v>1</v>
      </c>
      <c r="J87" s="8">
        <f t="shared" si="3"/>
        <v>0.3225806452</v>
      </c>
      <c r="K87" s="26">
        <f>IF(MINIFS('Activity map'!$L:$L, 'Activity map'!$A:$A, A87, 'Activity map'!$H:$H, "=TRUE") = 0, "n/a", MINIFS('Activity map'!$L:$L, 'Activity map'!$A:$A, A87, 'Activity map'!$H:$H, "=TRUE"))</f>
        <v>0.8</v>
      </c>
      <c r="L87" s="26">
        <f t="shared" si="4"/>
        <v>0.2580645161</v>
      </c>
      <c r="M87" s="26">
        <f>MINIFS('Activity map'!$C:$C, 'Activity map'!$A:$A, $A87, 'Activity map'!$H:$H, "=TRUE", 'Activity map'!$K:$K, MINIFS('Activity map'!$K:$K, 'Activity map'!$A:$A, $A87, 'Activity map'!$H:$H, "=TRUE"))</f>
        <v>10552</v>
      </c>
      <c r="N87" s="26">
        <f>MINIFS('Activity map'!$C:$C, 'Activity map'!$A:$A, $A87, 'Activity map'!$H:$H, "=TRUE", 'Activity map'!$E:$E, $T87)</f>
        <v>10547</v>
      </c>
      <c r="O87" s="101">
        <f t="shared" si="5"/>
        <v>0.01075268817</v>
      </c>
      <c r="P87" s="30" t="str">
        <f>IF($M87=0, "-", VLOOKUP($M87, 'List of log slots'!$A:$C, 2, FALSE))</f>
        <v>Runner boots</v>
      </c>
      <c r="Q87" s="31">
        <f>IFERROR(__xludf.DUMMYFUNCTION("IF(ISERROR(FILTER('Activity map'!$C:$C, ('Activity map'!$A:$A=$A87)*('Activity map'!$F:$F=FALSE))), 0, COUNTA(UNIQUE(FILTER('Activity map'!$C:$C, ('Activity map'!$A:$A=$A87)*('Activity map'!$F:$F=FALSE)))))"),11.0)</f>
        <v>11</v>
      </c>
      <c r="R87" s="31">
        <f>IFERROR(__xludf.DUMMYFUNCTION("IF(ISERROR(FILTER('Activity map'!$C:$C, 'Activity map'!$A:$A=$A87)), 0, COUNTA(UNIQUE(FILTER('Activity map'!$C:$C, 'Activity map'!$A:$A=$A87))))"),11.0)</f>
        <v>11</v>
      </c>
      <c r="S87" s="102">
        <f t="shared" si="6"/>
        <v>0</v>
      </c>
      <c r="T87" s="31">
        <f>IFERROR(__xludf.DUMMYFUNCTION("IF(ISERROR(FILTER('Activity map'!$E:$E, ('Activity map'!$A:$A=$A87)*('Activity map'!$F:$F=FALSE))), ""-"", MIN(UNIQUE(FILTER('Activity map'!$E:$E, ('Activity map'!$A:$A=$A87)*('Activity map'!$F:$F=FALSE)))))"),2.0)</f>
        <v>2</v>
      </c>
      <c r="U87" s="30" t="str">
        <f>IF($N87=0, "-", VLOOKUP($N87, 'List of log slots'!$A:$C, 2, FALSE))</f>
        <v>Healer hat</v>
      </c>
    </row>
    <row r="88">
      <c r="A88" s="26">
        <v>153.0</v>
      </c>
      <c r="B88" s="23" t="str">
        <f>VLOOKUP($A88, 'Completion rates'!$A:$E, 2, FALSE)</f>
        <v>Sorting through opulent salvage</v>
      </c>
      <c r="C88" s="26">
        <f>IF(Notes!$E$27, VLOOKUP($A88, 'Completion rates'!$A:$E, 4, FALSE), VLOOKUP($A88, 'Completion rates'!$A:$E, 3, FALSE))</f>
        <v>550</v>
      </c>
      <c r="D88" s="26">
        <f>VLOOKUP($A88, 'Completion rates'!$A:$E, 5, FALSE)</f>
        <v>0</v>
      </c>
      <c r="E88" s="28">
        <f>IF(SUMIFS('Activity map'!$O:$O, 'Activity map'!$A:$A, A88, 'Activity map'!$H:$H, "=TRUE") = 0, "n/a", 1/SUMIFS('Activity map'!$O:$O, 'Activity map'!$A:$A, A88, 'Activity map'!$H:$H, "=TRUE"))</f>
        <v>148.2692949</v>
      </c>
      <c r="F88" s="26">
        <f t="shared" si="1"/>
        <v>0.2695805362</v>
      </c>
      <c r="G88" s="26" t="str">
        <f>IF(MINIFS('Activity map'!$N:$N, 'Activity map'!$A:$A, A88, 'Activity map'!$H:$H, "=TRUE") = 0, "n/a", MINIFS('Activity map'!$N:$N, 'Activity map'!$A:$A, A88, 'Activity map'!$H:$H, "=TRUE"))</f>
        <v>n/a</v>
      </c>
      <c r="H88" s="8" t="str">
        <f t="shared" si="2"/>
        <v/>
      </c>
      <c r="I88" s="26" t="str">
        <f>IF(MINIFS('Activity map'!$M:$M, 'Activity map'!$A:$A, A88, 'Activity map'!$H:$H, "=TRUE") = 0, "n/a", MINIFS('Activity map'!$M:$M, 'Activity map'!$A:$A, A88, 'Activity map'!$H:$H, "=TRUE"))</f>
        <v>n/a</v>
      </c>
      <c r="J88" s="8" t="str">
        <f t="shared" si="3"/>
        <v/>
      </c>
      <c r="K88" s="26" t="str">
        <f>IF(MINIFS('Activity map'!$L:$L, 'Activity map'!$A:$A, A88, 'Activity map'!$H:$H, "=TRUE") = 0, "n/a", MINIFS('Activity map'!$L:$L, 'Activity map'!$A:$A, A88, 'Activity map'!$H:$H, "=TRUE"))</f>
        <v>n/a</v>
      </c>
      <c r="L88" s="8" t="str">
        <f t="shared" si="4"/>
        <v/>
      </c>
      <c r="M88" s="26">
        <f>MINIFS('Activity map'!$C:$C, 'Activity map'!$A:$A, $A88, 'Activity map'!$H:$H, "=TRUE", 'Activity map'!$K:$K, MINIFS('Activity map'!$K:$K, 'Activity map'!$A:$A, $A88, 'Activity map'!$H:$H, "=TRUE"))</f>
        <v>32398</v>
      </c>
      <c r="N88" s="26">
        <f>MINIFS('Activity map'!$C:$C, 'Activity map'!$A:$A, $A88, 'Activity map'!$H:$H, "=TRUE", 'Activity map'!$E:$E, $T88)</f>
        <v>31406</v>
      </c>
      <c r="O88" s="56">
        <f t="shared" si="5"/>
        <v>0.01123252234</v>
      </c>
      <c r="P88" s="30" t="str">
        <f>IF($M88=0, "-", VLOOKUP($M88, 'List of log slots'!$A:$C, 2, FALSE))</f>
        <v>Sailors' amulet (inert)</v>
      </c>
      <c r="Q88" s="31">
        <f>IFERROR(__xludf.DUMMYFUNCTION("IF(ISERROR(FILTER('Activity map'!$C:$C, ('Activity map'!$A:$A=$A88)*('Activity map'!$F:$F=FALSE))), 0, COUNTA(UNIQUE(FILTER('Activity map'!$C:$C, ('Activity map'!$A:$A=$A88)*('Activity map'!$F:$F=FALSE)))))"),7.0)</f>
        <v>7</v>
      </c>
      <c r="R88" s="31">
        <f>IFERROR(__xludf.DUMMYFUNCTION("IF(ISERROR(FILTER('Activity map'!$C:$C, 'Activity map'!$A:$A=$A88)), 0, COUNTA(UNIQUE(FILTER('Activity map'!$C:$C, 'Activity map'!$A:$A=$A88))))"),7.0)</f>
        <v>7</v>
      </c>
      <c r="S88" s="34">
        <f t="shared" si="6"/>
        <v>0</v>
      </c>
      <c r="T88" s="31">
        <f>IFERROR(__xludf.DUMMYFUNCTION("IF(ISERROR(FILTER('Activity map'!$E:$E, ('Activity map'!$A:$A=$A88)*('Activity map'!$F:$F=FALSE))), ""-"", MIN(UNIQUE(FILTER('Activity map'!$E:$E, ('Activity map'!$A:$A=$A88)*('Activity map'!$F:$F=FALSE)))))"),3.0)</f>
        <v>3</v>
      </c>
      <c r="U88" s="30" t="str">
        <f>IF($N88=0, "-", VLOOKUP($N88, 'List of log slots'!$A:$C, 2, FALSE))</f>
        <v>Dragon nails</v>
      </c>
    </row>
    <row r="89">
      <c r="A89" s="26">
        <v>190.0</v>
      </c>
      <c r="B89" s="23" t="str">
        <f>VLOOKUP($A89, 'Completion rates'!$A:$E, 2, FALSE)</f>
        <v>Killing spiritual mages (zaros)</v>
      </c>
      <c r="C89" s="26">
        <f>IF(Notes!$E$27, VLOOKUP($A89, 'Completion rates'!$A:$E, 4, FALSE), VLOOKUP($A89, 'Completion rates'!$A:$E, 3, FALSE))</f>
        <v>150</v>
      </c>
      <c r="D89" s="26">
        <f>VLOOKUP($A89, 'Completion rates'!$A:$E, 5, FALSE)</f>
        <v>0</v>
      </c>
      <c r="E89" s="28">
        <f>IF(SUMIFS('Activity map'!$O:$O, 'Activity map'!$A:$A, A89, 'Activity map'!$H:$H, "=TRUE") = 0, "n/a", 1/SUMIFS('Activity map'!$O:$O, 'Activity map'!$A:$A, A89, 'Activity map'!$H:$H, "=TRUE"))</f>
        <v>42.66059114</v>
      </c>
      <c r="F89" s="26">
        <f t="shared" si="1"/>
        <v>0.284403941</v>
      </c>
      <c r="G89" s="26" t="str">
        <f>IF(MINIFS('Activity map'!$N:$N, 'Activity map'!$A:$A, A89, 'Activity map'!$H:$H, "=TRUE") = 0, "n/a", MINIFS('Activity map'!$N:$N, 'Activity map'!$A:$A, A89, 'Activity map'!$H:$H, "=TRUE"))</f>
        <v>n/a</v>
      </c>
      <c r="H89" s="8" t="str">
        <f t="shared" si="2"/>
        <v/>
      </c>
      <c r="I89" s="26" t="str">
        <f>IF(MINIFS('Activity map'!$M:$M, 'Activity map'!$A:$A, A89, 'Activity map'!$H:$H, "=TRUE") = 0, "n/a", MINIFS('Activity map'!$M:$M, 'Activity map'!$A:$A, A89, 'Activity map'!$H:$H, "=TRUE"))</f>
        <v>n/a</v>
      </c>
      <c r="J89" s="8" t="str">
        <f t="shared" si="3"/>
        <v/>
      </c>
      <c r="K89" s="26" t="str">
        <f>IF(MINIFS('Activity map'!$L:$L, 'Activity map'!$A:$A, A89, 'Activity map'!$H:$H, "=TRUE") = 0, "n/a", MINIFS('Activity map'!$L:$L, 'Activity map'!$A:$A, A89, 'Activity map'!$H:$H, "=TRUE"))</f>
        <v>n/a</v>
      </c>
      <c r="L89" s="8" t="str">
        <f t="shared" si="4"/>
        <v/>
      </c>
      <c r="M89" s="26">
        <f>MINIFS('Activity map'!$C:$C, 'Activity map'!$A:$A, $A89, 'Activity map'!$H:$H, "=TRUE", 'Activity map'!$K:$K, MINIFS('Activity map'!$K:$K, 'Activity map'!$A:$A, $A89, 'Activity map'!$H:$H, "=TRUE"))</f>
        <v>11840</v>
      </c>
      <c r="N89" s="26">
        <f>MINIFS('Activity map'!$C:$C, 'Activity map'!$A:$A, $A89, 'Activity map'!$H:$H, "=TRUE", 'Activity map'!$E:$E, $T89)</f>
        <v>11840</v>
      </c>
      <c r="O89" s="37">
        <f t="shared" si="5"/>
        <v>0.01185016421</v>
      </c>
      <c r="P89" s="30" t="str">
        <f>IF($M89=0, "-", VLOOKUP($M89, 'List of log slots'!$A:$C, 2, FALSE))</f>
        <v>Dragon boots</v>
      </c>
      <c r="Q89" s="31">
        <f>IFERROR(__xludf.DUMMYFUNCTION("IF(ISERROR(FILTER('Activity map'!$C:$C, ('Activity map'!$A:$A=$A89)*('Activity map'!$F:$F=FALSE))), 0, COUNTA(UNIQUE(FILTER('Activity map'!$C:$C, ('Activity map'!$A:$A=$A89)*('Activity map'!$F:$F=FALSE)))))"),9.0)</f>
        <v>9</v>
      </c>
      <c r="R89" s="31">
        <f>IFERROR(__xludf.DUMMYFUNCTION("IF(ISERROR(FILTER('Activity map'!$C:$C, 'Activity map'!$A:$A=$A89)), 0, COUNTA(UNIQUE(FILTER('Activity map'!$C:$C, 'Activity map'!$A:$A=$A89))))"),9.0)</f>
        <v>9</v>
      </c>
      <c r="S89" s="97">
        <f t="shared" si="6"/>
        <v>0</v>
      </c>
      <c r="T89" s="31">
        <f>IFERROR(__xludf.DUMMYFUNCTION("IF(ISERROR(FILTER('Activity map'!$E:$E, ('Activity map'!$A:$A=$A89)*('Activity map'!$F:$F=FALSE))), ""-"", MIN(UNIQUE(FILTER('Activity map'!$E:$E, ('Activity map'!$A:$A=$A89)*('Activity map'!$F:$F=FALSE)))))"),4.0)</f>
        <v>4</v>
      </c>
      <c r="U89" s="30" t="str">
        <f>IF($N89=0, "-", VLOOKUP($N89, 'List of log slots'!$A:$C, 2, FALSE))</f>
        <v>Dragon boots</v>
      </c>
    </row>
    <row r="90">
      <c r="A90" s="26">
        <v>250.0</v>
      </c>
      <c r="B90" s="23" t="str">
        <f>VLOOKUP($A90, 'Completion rates'!$A:$E, 2, FALSE)</f>
        <v>Cutting squid</v>
      </c>
      <c r="C90" s="26">
        <f>IF(Notes!$E$27, VLOOKUP($A90, 'Completion rates'!$A:$E, 4, FALSE), VLOOKUP($A90, 'Completion rates'!$A:$E, 3, FALSE))</f>
        <v>1800</v>
      </c>
      <c r="D90" s="26">
        <f>VLOOKUP($A90, 'Completion rates'!$A:$E, 5, FALSE)</f>
        <v>0</v>
      </c>
      <c r="E90" s="28">
        <f>IF(SUMIFS('Activity map'!$O:$O, 'Activity map'!$A:$A, A90, 'Activity map'!$H:$H, "=TRUE") = 0, "n/a", 1/SUMIFS('Activity map'!$O:$O, 'Activity map'!$A:$A, A90, 'Activity map'!$H:$H, "=TRUE"))</f>
        <v>512</v>
      </c>
      <c r="F90" s="26">
        <f t="shared" si="1"/>
        <v>0.2844444444</v>
      </c>
      <c r="G90" s="26" t="str">
        <f>IF(MINIFS('Activity map'!$N:$N, 'Activity map'!$A:$A, A90, 'Activity map'!$H:$H, "=TRUE") = 0, "n/a", MINIFS('Activity map'!$N:$N, 'Activity map'!$A:$A, A90, 'Activity map'!$H:$H, "=TRUE"))</f>
        <v>n/a</v>
      </c>
      <c r="H90" s="8" t="str">
        <f t="shared" si="2"/>
        <v/>
      </c>
      <c r="I90" s="26" t="str">
        <f>IF(MINIFS('Activity map'!$M:$M, 'Activity map'!$A:$A, A90, 'Activity map'!$H:$H, "=TRUE") = 0, "n/a", MINIFS('Activity map'!$M:$M, 'Activity map'!$A:$A, A90, 'Activity map'!$H:$H, "=TRUE"))</f>
        <v>n/a</v>
      </c>
      <c r="J90" s="8" t="str">
        <f t="shared" si="3"/>
        <v/>
      </c>
      <c r="K90" s="26" t="str">
        <f>IF(MINIFS('Activity map'!$L:$L, 'Activity map'!$A:$A, A90, 'Activity map'!$H:$H, "=TRUE") = 0, "n/a", MINIFS('Activity map'!$L:$L, 'Activity map'!$A:$A, A90, 'Activity map'!$H:$H, "=TRUE"))</f>
        <v>n/a</v>
      </c>
      <c r="L90" s="8" t="str">
        <f t="shared" si="4"/>
        <v/>
      </c>
      <c r="M90" s="26">
        <f>MINIFS('Activity map'!$C:$C, 'Activity map'!$A:$A, $A90, 'Activity map'!$H:$H, "=TRUE", 'Activity map'!$K:$K, MINIFS('Activity map'!$K:$K, 'Activity map'!$A:$A, $A90, 'Activity map'!$H:$H, "=TRUE"))</f>
        <v>31572</v>
      </c>
      <c r="N90" s="26">
        <f>MINIFS('Activity map'!$C:$C, 'Activity map'!$A:$A, $A90, 'Activity map'!$H:$H, "=TRUE", 'Activity map'!$E:$E, $T90)</f>
        <v>31572</v>
      </c>
      <c r="O90" s="39">
        <f t="shared" si="5"/>
        <v>0.01185185185</v>
      </c>
      <c r="P90" s="30" t="str">
        <f>IF($M90=0, "-", VLOOKUP($M90, 'List of log slots'!$A:$C, 2, FALSE))</f>
        <v>Squid beak</v>
      </c>
      <c r="Q90" s="31">
        <f>IFERROR(__xludf.DUMMYFUNCTION("IF(ISERROR(FILTER('Activity map'!$C:$C, ('Activity map'!$A:$A=$A90)*('Activity map'!$F:$F=FALSE))), 0, COUNTA(UNIQUE(FILTER('Activity map'!$C:$C, ('Activity map'!$A:$A=$A90)*('Activity map'!$F:$F=FALSE)))))"),1.0)</f>
        <v>1</v>
      </c>
      <c r="R90" s="31">
        <f>IFERROR(__xludf.DUMMYFUNCTION("IF(ISERROR(FILTER('Activity map'!$C:$C, 'Activity map'!$A:$A=$A90)), 0, COUNTA(UNIQUE(FILTER('Activity map'!$C:$C, 'Activity map'!$A:$A=$A90))))"),1.0)</f>
        <v>1</v>
      </c>
      <c r="S90" s="72">
        <f t="shared" si="6"/>
        <v>0</v>
      </c>
      <c r="T90" s="31">
        <f>IFERROR(__xludf.DUMMYFUNCTION("IF(ISERROR(FILTER('Activity map'!$E:$E, ('Activity map'!$A:$A=$A90)*('Activity map'!$F:$F=FALSE))), ""-"", MIN(UNIQUE(FILTER('Activity map'!$E:$E, ('Activity map'!$A:$A=$A90)*('Activity map'!$F:$F=FALSE)))))"),4.0)</f>
        <v>4</v>
      </c>
      <c r="U90" s="30" t="str">
        <f>IF($N90=0, "-", VLOOKUP($N90, 'List of log slots'!$A:$C, 2, FALSE))</f>
        <v>Squid beak</v>
      </c>
    </row>
    <row r="91">
      <c r="A91" s="26">
        <v>16.0</v>
      </c>
      <c r="B91" s="23" t="str">
        <f>VLOOKUP($A91, 'Completion rates'!$A:$E, 2, FALSE)</f>
        <v>Delving to depth 10 (doom of mokhaiotl)</v>
      </c>
      <c r="C91" s="26">
        <f>IF(Notes!$E$27, VLOOKUP($A91, 'Completion rates'!$A:$E, 4, FALSE), VLOOKUP($A91, 'Completion rates'!$A:$E, 3, FALSE))</f>
        <v>3.5</v>
      </c>
      <c r="D91" s="26">
        <f>VLOOKUP($A91, 'Completion rates'!$A:$E, 5, FALSE)</f>
        <v>0</v>
      </c>
      <c r="E91" s="28">
        <f>IF(SUMIFS('Activity map'!$O:$O, 'Activity map'!$A:$A, A91, 'Activity map'!$H:$H, "=TRUE") = 0, "n/a", 1/SUMIFS('Activity map'!$O:$O, 'Activity map'!$A:$A, A91, 'Activity map'!$H:$H, "=TRUE"))</f>
        <v>1.553683065</v>
      </c>
      <c r="F91" s="26">
        <f t="shared" si="1"/>
        <v>0.4439094471</v>
      </c>
      <c r="G91" s="26" t="str">
        <f>IF(MINIFS('Activity map'!$N:$N, 'Activity map'!$A:$A, A91, 'Activity map'!$H:$H, "=TRUE") = 0, "n/a", MINIFS('Activity map'!$N:$N, 'Activity map'!$A:$A, A91, 'Activity map'!$H:$H, "=TRUE"))</f>
        <v>n/a</v>
      </c>
      <c r="H91" s="8" t="str">
        <f t="shared" si="2"/>
        <v/>
      </c>
      <c r="I91" s="26">
        <f>IF(MINIFS('Activity map'!$M:$M, 'Activity map'!$A:$A, A91, 'Activity map'!$H:$H, "=TRUE") = 0, "n/a", MINIFS('Activity map'!$M:$M, 'Activity map'!$A:$A, A91, 'Activity map'!$H:$H, "=TRUE"))</f>
        <v>1</v>
      </c>
      <c r="J91" s="26">
        <f t="shared" si="3"/>
        <v>0.2857142857</v>
      </c>
      <c r="K91" s="26" t="str">
        <f>IF(MINIFS('Activity map'!$L:$L, 'Activity map'!$A:$A, A91, 'Activity map'!$H:$H, "=TRUE") = 0, "n/a", MINIFS('Activity map'!$L:$L, 'Activity map'!$A:$A, A91, 'Activity map'!$H:$H, "=TRUE"))</f>
        <v>n/a</v>
      </c>
      <c r="L91" s="8" t="str">
        <f t="shared" si="4"/>
        <v/>
      </c>
      <c r="M91" s="26">
        <f>MINIFS('Activity map'!$C:$C, 'Activity map'!$A:$A, $A91, 'Activity map'!$H:$H, "=TRUE", 'Activity map'!$K:$K, MINIFS('Activity map'!$K:$K, 'Activity map'!$A:$A, $A91, 'Activity map'!$H:$H, "=TRUE"))</f>
        <v>31111</v>
      </c>
      <c r="N91" s="26">
        <f>MINIFS('Activity map'!$C:$C, 'Activity map'!$A:$A, $A91, 'Activity map'!$H:$H, "=TRUE", 'Activity map'!$E:$E, $T91)</f>
        <v>28924</v>
      </c>
      <c r="O91" s="103">
        <f t="shared" si="5"/>
        <v>0.0119047619</v>
      </c>
      <c r="P91" s="30" t="str">
        <f>IF($M91=0, "-", VLOOKUP($M91, 'List of log slots'!$A:$C, 2, FALSE))</f>
        <v>Demon tear</v>
      </c>
      <c r="Q91" s="31">
        <f>IFERROR(__xludf.DUMMYFUNCTION("IF(ISERROR(FILTER('Activity map'!$C:$C, ('Activity map'!$A:$A=$A91)*('Activity map'!$F:$F=FALSE))), 0, COUNTA(UNIQUE(FILTER('Activity map'!$C:$C, ('Activity map'!$A:$A=$A91)*('Activity map'!$F:$F=FALSE)))))"),7.0)</f>
        <v>7</v>
      </c>
      <c r="R91" s="31">
        <f>IFERROR(__xludf.DUMMYFUNCTION("IF(ISERROR(FILTER('Activity map'!$C:$C, 'Activity map'!$A:$A=$A91)), 0, COUNTA(UNIQUE(FILTER('Activity map'!$C:$C, 'Activity map'!$A:$A=$A91))))"),7.0)</f>
        <v>7</v>
      </c>
      <c r="S91" s="42">
        <f t="shared" si="6"/>
        <v>0</v>
      </c>
      <c r="T91" s="31">
        <f>IFERROR(__xludf.DUMMYFUNCTION("IF(ISERROR(FILTER('Activity map'!$E:$E, ('Activity map'!$A:$A=$A91)*('Activity map'!$F:$F=FALSE))), ""-"", MIN(UNIQUE(FILTER('Activity map'!$E:$E, ('Activity map'!$A:$A=$A91)*('Activity map'!$F:$F=FALSE)))))"),2.0)</f>
        <v>2</v>
      </c>
      <c r="U91" s="30" t="str">
        <f>IF($N91=0, "-", VLOOKUP($N91, 'List of log slots'!$A:$C, 2, FALSE))</f>
        <v>Sunfire splinters</v>
      </c>
    </row>
    <row r="92">
      <c r="A92" s="26">
        <v>173.0</v>
      </c>
      <c r="B92" s="23" t="str">
        <f>VLOOKUP($A92, 'Completion rates'!$A:$E, 2, FALSE)</f>
        <v>Killing gargoyles</v>
      </c>
      <c r="C92" s="26">
        <f>IF(Notes!$E$27, VLOOKUP($A92, 'Completion rates'!$A:$E, 4, FALSE), VLOOKUP($A92, 'Completion rates'!$A:$E, 3, FALSE))</f>
        <v>250</v>
      </c>
      <c r="D92" s="26">
        <f>VLOOKUP($A92, 'Completion rates'!$A:$E, 5, FALSE)</f>
        <v>0</v>
      </c>
      <c r="E92" s="28">
        <f>IF(SUMIFS('Activity map'!$O:$O, 'Activity map'!$A:$A, A92, 'Activity map'!$H:$H, "=TRUE") = 0, "n/a", 1/SUMIFS('Activity map'!$O:$O, 'Activity map'!$A:$A, A92, 'Activity map'!$H:$H, "=TRUE"))</f>
        <v>73.05368044</v>
      </c>
      <c r="F92" s="8">
        <f t="shared" si="1"/>
        <v>0.2922147218</v>
      </c>
      <c r="G92" s="26" t="str">
        <f>IF(MINIFS('Activity map'!$N:$N, 'Activity map'!$A:$A, A92, 'Activity map'!$H:$H, "=TRUE") = 0, "n/a", MINIFS('Activity map'!$N:$N, 'Activity map'!$A:$A, A92, 'Activity map'!$H:$H, "=TRUE"))</f>
        <v>n/a</v>
      </c>
      <c r="H92" s="8" t="str">
        <f t="shared" si="2"/>
        <v/>
      </c>
      <c r="I92" s="26" t="str">
        <f>IF(MINIFS('Activity map'!$M:$M, 'Activity map'!$A:$A, A92, 'Activity map'!$H:$H, "=TRUE") = 0, "n/a", MINIFS('Activity map'!$M:$M, 'Activity map'!$A:$A, A92, 'Activity map'!$H:$H, "=TRUE"))</f>
        <v>n/a</v>
      </c>
      <c r="J92" s="8" t="str">
        <f t="shared" si="3"/>
        <v/>
      </c>
      <c r="K92" s="26" t="str">
        <f>IF(MINIFS('Activity map'!$L:$L, 'Activity map'!$A:$A, A92, 'Activity map'!$H:$H, "=TRUE") = 0, "n/a", MINIFS('Activity map'!$L:$L, 'Activity map'!$A:$A, A92, 'Activity map'!$H:$H, "=TRUE"))</f>
        <v>n/a</v>
      </c>
      <c r="L92" s="8" t="str">
        <f t="shared" si="4"/>
        <v/>
      </c>
      <c r="M92" s="26">
        <f>MINIFS('Activity map'!$C:$C, 'Activity map'!$A:$A, $A92, 'Activity map'!$H:$H, "=TRUE", 'Activity map'!$K:$K, MINIFS('Activity map'!$K:$K, 'Activity map'!$A:$A, $A92, 'Activity map'!$H:$H, "=TRUE"))</f>
        <v>4129</v>
      </c>
      <c r="N92" s="26">
        <f>MINIFS('Activity map'!$C:$C, 'Activity map'!$A:$A, $A92, 'Activity map'!$H:$H, "=TRUE", 'Activity map'!$E:$E, $T92)</f>
        <v>4101</v>
      </c>
      <c r="O92" s="35">
        <f t="shared" si="5"/>
        <v>0.01217561341</v>
      </c>
      <c r="P92" s="30" t="str">
        <f>IF($M92=0, "-", VLOOKUP($M92, 'List of log slots'!$A:$C, 2, FALSE))</f>
        <v>Adamant boots</v>
      </c>
      <c r="Q92" s="31">
        <f>IFERROR(__xludf.DUMMYFUNCTION("IF(ISERROR(FILTER('Activity map'!$C:$C, ('Activity map'!$A:$A=$A92)*('Activity map'!$F:$F=FALSE))), 0, COUNTA(UNIQUE(FILTER('Activity map'!$C:$C, ('Activity map'!$A:$A=$A92)*('Activity map'!$F:$F=FALSE)))))"),5.0)</f>
        <v>5</v>
      </c>
      <c r="R92" s="31">
        <f>IFERROR(__xludf.DUMMYFUNCTION("IF(ISERROR(FILTER('Activity map'!$C:$C, 'Activity map'!$A:$A=$A92)), 0, COUNTA(UNIQUE(FILTER('Activity map'!$C:$C, 'Activity map'!$A:$A=$A92))))"),5.0)</f>
        <v>5</v>
      </c>
      <c r="S92" s="36">
        <f t="shared" si="6"/>
        <v>0</v>
      </c>
      <c r="T92" s="31">
        <f>IFERROR(__xludf.DUMMYFUNCTION("IF(ISERROR(FILTER('Activity map'!$E:$E, ('Activity map'!$A:$A=$A92)*('Activity map'!$F:$F=FALSE))), ""-"", MIN(UNIQUE(FILTER('Activity map'!$E:$E, ('Activity map'!$A:$A=$A92)*('Activity map'!$F:$F=FALSE)))))"),4.0)</f>
        <v>4</v>
      </c>
      <c r="U92" s="30" t="str">
        <f>IF($N92=0, "-", VLOOKUP($N92, 'List of log slots'!$A:$C, 2, FALSE))</f>
        <v>Mystic robe top (dark)</v>
      </c>
    </row>
    <row r="93">
      <c r="A93" s="26">
        <v>102.0</v>
      </c>
      <c r="B93" s="23" t="str">
        <f>VLOOKUP($A93, 'Completion rates'!$A:$E, 2, FALSE)</f>
        <v>Opening barronite deposits in camdozaal</v>
      </c>
      <c r="C93" s="26">
        <f>IF(Notes!$E$27, VLOOKUP($A93, 'Completion rates'!$A:$E, 4, FALSE), VLOOKUP($A93, 'Completion rates'!$A:$E, 3, FALSE))</f>
        <v>150</v>
      </c>
      <c r="D93" s="26">
        <f>VLOOKUP($A93, 'Completion rates'!$A:$E, 5, FALSE)</f>
        <v>0</v>
      </c>
      <c r="E93" s="28">
        <f>IF(SUMIFS('Activity map'!$O:$O, 'Activity map'!$A:$A, A93, 'Activity map'!$H:$H, "=TRUE") = 0, "n/a", 1/SUMIFS('Activity map'!$O:$O, 'Activity map'!$A:$A, A93, 'Activity map'!$H:$H, "=TRUE"))</f>
        <v>44.21052632</v>
      </c>
      <c r="F93" s="8">
        <f t="shared" si="1"/>
        <v>0.2947368421</v>
      </c>
      <c r="G93" s="26" t="str">
        <f>IF(MINIFS('Activity map'!$N:$N, 'Activity map'!$A:$A, A93, 'Activity map'!$H:$H, "=TRUE") = 0, "n/a", MINIFS('Activity map'!$N:$N, 'Activity map'!$A:$A, A93, 'Activity map'!$H:$H, "=TRUE"))</f>
        <v>n/a</v>
      </c>
      <c r="H93" s="8" t="str">
        <f t="shared" si="2"/>
        <v/>
      </c>
      <c r="I93" s="26" t="str">
        <f>IF(MINIFS('Activity map'!$M:$M, 'Activity map'!$A:$A, A93, 'Activity map'!$H:$H, "=TRUE") = 0, "n/a", MINIFS('Activity map'!$M:$M, 'Activity map'!$A:$A, A93, 'Activity map'!$H:$H, "=TRUE"))</f>
        <v>n/a</v>
      </c>
      <c r="J93" s="8" t="str">
        <f t="shared" si="3"/>
        <v/>
      </c>
      <c r="K93" s="26" t="str">
        <f>IF(MINIFS('Activity map'!$L:$L, 'Activity map'!$A:$A, A93, 'Activity map'!$H:$H, "=TRUE") = 0, "n/a", MINIFS('Activity map'!$L:$L, 'Activity map'!$A:$A, A93, 'Activity map'!$H:$H, "=TRUE"))</f>
        <v>n/a</v>
      </c>
      <c r="L93" s="8" t="str">
        <f t="shared" si="4"/>
        <v/>
      </c>
      <c r="M93" s="26">
        <f>MINIFS('Activity map'!$C:$C, 'Activity map'!$A:$A, $A93, 'Activity map'!$H:$H, "=TRUE", 'Activity map'!$K:$K, MINIFS('Activity map'!$K:$K, 'Activity map'!$A:$A, $A93, 'Activity map'!$H:$H, "=TRUE"))</f>
        <v>25635</v>
      </c>
      <c r="N93" s="26">
        <f>MINIFS('Activity map'!$C:$C, 'Activity map'!$A:$A, $A93, 'Activity map'!$H:$H, "=TRUE", 'Activity map'!$E:$E, $T93)</f>
        <v>25635</v>
      </c>
      <c r="O93" s="35">
        <f t="shared" si="5"/>
        <v>0.01228070175</v>
      </c>
      <c r="P93" s="30" t="str">
        <f>IF($M93=0, "-", VLOOKUP($M93, 'List of log slots'!$A:$C, 2, FALSE))</f>
        <v>Barronite head</v>
      </c>
      <c r="Q93" s="31">
        <f>IFERROR(__xludf.DUMMYFUNCTION("IF(ISERROR(FILTER('Activity map'!$C:$C, ('Activity map'!$A:$A=$A93)*('Activity map'!$F:$F=FALSE))), 0, COUNTA(UNIQUE(FILTER('Activity map'!$C:$C, ('Activity map'!$A:$A=$A93)*('Activity map'!$F:$F=FALSE)))))"),7.0)</f>
        <v>7</v>
      </c>
      <c r="R93" s="31">
        <f>IFERROR(__xludf.DUMMYFUNCTION("IF(ISERROR(FILTER('Activity map'!$C:$C, 'Activity map'!$A:$A=$A93)), 0, COUNTA(UNIQUE(FILTER('Activity map'!$C:$C, 'Activity map'!$A:$A=$A93))))"),7.0)</f>
        <v>7</v>
      </c>
      <c r="S93" s="36">
        <f t="shared" si="6"/>
        <v>0</v>
      </c>
      <c r="T93" s="31">
        <f>IFERROR(__xludf.DUMMYFUNCTION("IF(ISERROR(FILTER('Activity map'!$E:$E, ('Activity map'!$A:$A=$A93)*('Activity map'!$F:$F=FALSE))), ""-"", MIN(UNIQUE(FILTER('Activity map'!$E:$E, ('Activity map'!$A:$A=$A93)*('Activity map'!$F:$F=FALSE)))))"),2.0)</f>
        <v>2</v>
      </c>
      <c r="U93" s="30" t="str">
        <f>IF($N93=0, "-", VLOOKUP($N93, 'List of log slots'!$A:$C, 2, FALSE))</f>
        <v>Barronite head</v>
      </c>
    </row>
    <row r="94">
      <c r="A94" s="26">
        <v>170.0</v>
      </c>
      <c r="B94" s="23" t="str">
        <f>VLOOKUP($A94, 'Completion rates'!$A:$E, 2, FALSE)</f>
        <v>Killing abyssal demons (on task)</v>
      </c>
      <c r="C94" s="26">
        <f>IF(Notes!$E$27, VLOOKUP($A94, 'Completion rates'!$A:$E, 4, FALSE), VLOOKUP($A94, 'Completion rates'!$A:$E, 3, FALSE))</f>
        <v>350</v>
      </c>
      <c r="D94" s="26">
        <f>VLOOKUP($A94, 'Completion rates'!$A:$E, 5, FALSE)</f>
        <v>0</v>
      </c>
      <c r="E94" s="28">
        <f>IF(SUMIFS('Activity map'!$O:$O, 'Activity map'!$A:$A, A94, 'Activity map'!$H:$H, "=TRUE") = 0, "n/a", 1/SUMIFS('Activity map'!$O:$O, 'Activity map'!$A:$A, A94, 'Activity map'!$H:$H, "=TRUE"))</f>
        <v>104.4996057</v>
      </c>
      <c r="F94" s="26">
        <f t="shared" si="1"/>
        <v>0.298570302</v>
      </c>
      <c r="G94" s="26" t="str">
        <f>IF(MINIFS('Activity map'!$N:$N, 'Activity map'!$A:$A, A94, 'Activity map'!$H:$H, "=TRUE") = 0, "n/a", MINIFS('Activity map'!$N:$N, 'Activity map'!$A:$A, A94, 'Activity map'!$H:$H, "=TRUE"))</f>
        <v>n/a</v>
      </c>
      <c r="H94" s="8" t="str">
        <f t="shared" si="2"/>
        <v/>
      </c>
      <c r="I94" s="26" t="str">
        <f>IF(MINIFS('Activity map'!$M:$M, 'Activity map'!$A:$A, A94, 'Activity map'!$H:$H, "=TRUE") = 0, "n/a", MINIFS('Activity map'!$M:$M, 'Activity map'!$A:$A, A94, 'Activity map'!$H:$H, "=TRUE"))</f>
        <v>n/a</v>
      </c>
      <c r="J94" s="8" t="str">
        <f t="shared" si="3"/>
        <v/>
      </c>
      <c r="K94" s="26" t="str">
        <f>IF(MINIFS('Activity map'!$L:$L, 'Activity map'!$A:$A, A94, 'Activity map'!$H:$H, "=TRUE") = 0, "n/a", MINIFS('Activity map'!$L:$L, 'Activity map'!$A:$A, A94, 'Activity map'!$H:$H, "=TRUE"))</f>
        <v>n/a</v>
      </c>
      <c r="L94" s="8" t="str">
        <f t="shared" si="4"/>
        <v/>
      </c>
      <c r="M94" s="26">
        <f>MINIFS('Activity map'!$C:$C, 'Activity map'!$A:$A, $A94, 'Activity map'!$H:$H, "=TRUE", 'Activity map'!$K:$K, MINIFS('Activity map'!$K:$K, 'Activity map'!$A:$A, $A94, 'Activity map'!$H:$H, "=TRUE"))</f>
        <v>19677</v>
      </c>
      <c r="N94" s="26">
        <f>MINIFS('Activity map'!$C:$C, 'Activity map'!$A:$A, $A94, 'Activity map'!$H:$H, "=TRUE", 'Activity map'!$E:$E, $T94)</f>
        <v>19679</v>
      </c>
      <c r="O94" s="37">
        <f t="shared" si="5"/>
        <v>0.01244042925</v>
      </c>
      <c r="P94" s="30" t="str">
        <f>IF($M94=0, "-", VLOOKUP($M94, 'List of log slots'!$A:$C, 2, FALSE))</f>
        <v>Ancient shard</v>
      </c>
      <c r="Q94" s="31">
        <f>IFERROR(__xludf.DUMMYFUNCTION("IF(ISERROR(FILTER('Activity map'!$C:$C, ('Activity map'!$A:$A=$A94)*('Activity map'!$F:$F=FALSE))), 0, COUNTA(UNIQUE(FILTER('Activity map'!$C:$C, ('Activity map'!$A:$A=$A94)*('Activity map'!$F:$F=FALSE)))))"),13.0)</f>
        <v>13</v>
      </c>
      <c r="R94" s="31">
        <f>IFERROR(__xludf.DUMMYFUNCTION("IF(ISERROR(FILTER('Activity map'!$C:$C, 'Activity map'!$A:$A=$A94)), 0, COUNTA(UNIQUE(FILTER('Activity map'!$C:$C, 'Activity map'!$A:$A=$A94))))"),13.0)</f>
        <v>13</v>
      </c>
      <c r="S94" s="104">
        <f t="shared" si="6"/>
        <v>0</v>
      </c>
      <c r="T94" s="31">
        <f>IFERROR(__xludf.DUMMYFUNCTION("IF(ISERROR(FILTER('Activity map'!$E:$E, ('Activity map'!$A:$A=$A94)*('Activity map'!$F:$F=FALSE))), ""-"", MIN(UNIQUE(FILTER('Activity map'!$E:$E, ('Activity map'!$A:$A=$A94)*('Activity map'!$F:$F=FALSE)))))"),3.0)</f>
        <v>3</v>
      </c>
      <c r="U94" s="30" t="str">
        <f>IF($N94=0, "-", VLOOKUP($N94, 'List of log slots'!$A:$C, 2, FALSE))</f>
        <v>Dark totem base</v>
      </c>
    </row>
    <row r="95">
      <c r="A95" s="26">
        <v>161.0</v>
      </c>
      <c r="B95" s="23" t="str">
        <f>VLOOKUP($A95, 'Completion rates'!$A:$E, 2, FALSE)</f>
        <v>Farming (fruit trees)</v>
      </c>
      <c r="C95" s="26">
        <f>IF(Notes!$E$27, VLOOKUP($A95, 'Completion rates'!$A:$E, 4, FALSE), VLOOKUP($A95, 'Completion rates'!$A:$E, 3, FALSE))</f>
        <v>60</v>
      </c>
      <c r="D95" s="26">
        <f>VLOOKUP($A95, 'Completion rates'!$A:$E, 5, FALSE)</f>
        <v>0</v>
      </c>
      <c r="E95" s="28">
        <f>IF(SUMIFS('Activity map'!$O:$O, 'Activity map'!$A:$A, A95, 'Activity map'!$H:$H, "=TRUE") = 0, "n/a", 1/SUMIFS('Activity map'!$O:$O, 'Activity map'!$A:$A, A95, 'Activity map'!$H:$H, "=TRUE"))</f>
        <v>17.9502915</v>
      </c>
      <c r="F95" s="8">
        <f t="shared" si="1"/>
        <v>0.299171525</v>
      </c>
      <c r="G95" s="26" t="str">
        <f>IF(MINIFS('Activity map'!$N:$N, 'Activity map'!$A:$A, A95, 'Activity map'!$H:$H, "=TRUE") = 0, "n/a", MINIFS('Activity map'!$N:$N, 'Activity map'!$A:$A, A95, 'Activity map'!$H:$H, "=TRUE"))</f>
        <v>n/a</v>
      </c>
      <c r="H95" s="8" t="str">
        <f t="shared" si="2"/>
        <v/>
      </c>
      <c r="I95" s="26" t="str">
        <f>IF(MINIFS('Activity map'!$M:$M, 'Activity map'!$A:$A, A95, 'Activity map'!$H:$H, "=TRUE") = 0, "n/a", MINIFS('Activity map'!$M:$M, 'Activity map'!$A:$A, A95, 'Activity map'!$H:$H, "=TRUE"))</f>
        <v>n/a</v>
      </c>
      <c r="J95" s="8" t="str">
        <f t="shared" si="3"/>
        <v/>
      </c>
      <c r="K95" s="26" t="str">
        <f>IF(MINIFS('Activity map'!$L:$L, 'Activity map'!$A:$A, A95, 'Activity map'!$H:$H, "=TRUE") = 0, "n/a", MINIFS('Activity map'!$L:$L, 'Activity map'!$A:$A, A95, 'Activity map'!$H:$H, "=TRUE"))</f>
        <v>n/a</v>
      </c>
      <c r="L95" s="8" t="str">
        <f t="shared" si="4"/>
        <v/>
      </c>
      <c r="M95" s="26">
        <f>MINIFS('Activity map'!$C:$C, 'Activity map'!$A:$A, $A95, 'Activity map'!$H:$H, "=TRUE", 'Activity map'!$K:$K, MINIFS('Activity map'!$K:$K, 'Activity map'!$A:$A, $A95, 'Activity map'!$H:$H, "=TRUE"))</f>
        <v>22875</v>
      </c>
      <c r="N95" s="26">
        <f>MINIFS('Activity map'!$C:$C, 'Activity map'!$A:$A, $A95, 'Activity map'!$H:$H, "=TRUE", 'Activity map'!$E:$E, $T95)</f>
        <v>22875</v>
      </c>
      <c r="O95" s="35">
        <f t="shared" si="5"/>
        <v>0.01246548021</v>
      </c>
      <c r="P95" s="30" t="str">
        <f>IF($M95=0, "-", VLOOKUP($M95, 'List of log slots'!$A:$C, 2, FALSE))</f>
        <v>Hespori seed</v>
      </c>
      <c r="Q95" s="31">
        <f>IFERROR(__xludf.DUMMYFUNCTION("IF(ISERROR(FILTER('Activity map'!$C:$C, ('Activity map'!$A:$A=$A95)*('Activity map'!$F:$F=FALSE))), 0, COUNTA(UNIQUE(FILTER('Activity map'!$C:$C, ('Activity map'!$A:$A=$A95)*('Activity map'!$F:$F=FALSE)))))"),2.0)</f>
        <v>2</v>
      </c>
      <c r="R95" s="31">
        <f>IFERROR(__xludf.DUMMYFUNCTION("IF(ISERROR(FILTER('Activity map'!$C:$C, 'Activity map'!$A:$A=$A95)), 0, COUNTA(UNIQUE(FILTER('Activity map'!$C:$C, 'Activity map'!$A:$A=$A95))))"),2.0)</f>
        <v>2</v>
      </c>
      <c r="S95" s="36">
        <f t="shared" si="6"/>
        <v>0</v>
      </c>
      <c r="T95" s="31">
        <f>IFERROR(__xludf.DUMMYFUNCTION("IF(ISERROR(FILTER('Activity map'!$E:$E, ('Activity map'!$A:$A=$A95)*('Activity map'!$F:$F=FALSE))), ""-"", MIN(UNIQUE(FILTER('Activity map'!$E:$E, ('Activity map'!$A:$A=$A95)*('Activity map'!$F:$F=FALSE)))))"),2.0)</f>
        <v>2</v>
      </c>
      <c r="U95" s="30" t="str">
        <f>IF($N95=0, "-", VLOOKUP($N95, 'List of log slots'!$A:$C, 2, FALSE))</f>
        <v>Hespori seed</v>
      </c>
    </row>
    <row r="96">
      <c r="A96" s="26">
        <v>140.0</v>
      </c>
      <c r="B96" s="23" t="str">
        <f>VLOOKUP($A96, 'Completion rates'!$A:$E, 2, FALSE)</f>
        <v>Killing orcas (boat combat)</v>
      </c>
      <c r="C96" s="26">
        <f>IF(Notes!$E$27, VLOOKUP($A96, 'Completion rates'!$A:$E, 4, FALSE), VLOOKUP($A96, 'Completion rates'!$A:$E, 3, FALSE))</f>
        <v>90</v>
      </c>
      <c r="D96" s="26">
        <f>VLOOKUP($A96, 'Completion rates'!$A:$E, 5, FALSE)</f>
        <v>0</v>
      </c>
      <c r="E96" s="28">
        <f>IF(SUMIFS('Activity map'!$O:$O, 'Activity map'!$A:$A, A96, 'Activity map'!$H:$H, "=TRUE") = 0, "n/a", 1/SUMIFS('Activity map'!$O:$O, 'Activity map'!$A:$A, A96, 'Activity map'!$H:$H, "=TRUE"))</f>
        <v>27.10031981</v>
      </c>
      <c r="F96" s="26">
        <f t="shared" si="1"/>
        <v>0.3011146645</v>
      </c>
      <c r="G96" s="26" t="str">
        <f>IF(MINIFS('Activity map'!$N:$N, 'Activity map'!$A:$A, A96, 'Activity map'!$H:$H, "=TRUE") = 0, "n/a", MINIFS('Activity map'!$N:$N, 'Activity map'!$A:$A, A96, 'Activity map'!$H:$H, "=TRUE"))</f>
        <v>n/a</v>
      </c>
      <c r="H96" s="8" t="str">
        <f t="shared" si="2"/>
        <v/>
      </c>
      <c r="I96" s="26" t="str">
        <f>IF(MINIFS('Activity map'!$M:$M, 'Activity map'!$A:$A, A96, 'Activity map'!$H:$H, "=TRUE") = 0, "n/a", MINIFS('Activity map'!$M:$M, 'Activity map'!$A:$A, A96, 'Activity map'!$H:$H, "=TRUE"))</f>
        <v>n/a</v>
      </c>
      <c r="J96" s="8" t="str">
        <f t="shared" si="3"/>
        <v/>
      </c>
      <c r="K96" s="26" t="str">
        <f>IF(MINIFS('Activity map'!$L:$L, 'Activity map'!$A:$A, A96, 'Activity map'!$H:$H, "=TRUE") = 0, "n/a", MINIFS('Activity map'!$L:$L, 'Activity map'!$A:$A, A96, 'Activity map'!$H:$H, "=TRUE"))</f>
        <v>n/a</v>
      </c>
      <c r="L96" s="8" t="str">
        <f t="shared" si="4"/>
        <v/>
      </c>
      <c r="M96" s="26">
        <f>MINIFS('Activity map'!$C:$C, 'Activity map'!$A:$A, $A96, 'Activity map'!$H:$H, "=TRUE", 'Activity map'!$K:$K, MINIFS('Activity map'!$K:$K, 'Activity map'!$A:$A, $A96, 'Activity map'!$H:$H, "=TRUE"))</f>
        <v>31916</v>
      </c>
      <c r="N96" s="26">
        <f>MINIFS('Activity map'!$C:$C, 'Activity map'!$A:$A, $A96, 'Activity map'!$H:$H, "=TRUE", 'Activity map'!$E:$E, $T96)</f>
        <v>31946</v>
      </c>
      <c r="O96" s="105">
        <f t="shared" si="5"/>
        <v>0.01254644435</v>
      </c>
      <c r="P96" s="30" t="str">
        <f>IF($M96=0, "-", VLOOKUP($M96, 'List of log slots'!$A:$C, 2, FALSE))</f>
        <v>Dragon cannonball</v>
      </c>
      <c r="Q96" s="31">
        <f>IFERROR(__xludf.DUMMYFUNCTION("IF(ISERROR(FILTER('Activity map'!$C:$C, ('Activity map'!$A:$A=$A96)*('Activity map'!$F:$F=FALSE))), 0, COUNTA(UNIQUE(FILTER('Activity map'!$C:$C, ('Activity map'!$A:$A=$A96)*('Activity map'!$F:$F=FALSE)))))"),4.0)</f>
        <v>4</v>
      </c>
      <c r="R96" s="31">
        <f>IFERROR(__xludf.DUMMYFUNCTION("IF(ISERROR(FILTER('Activity map'!$C:$C, 'Activity map'!$A:$A=$A96)), 0, COUNTA(UNIQUE(FILTER('Activity map'!$C:$C, 'Activity map'!$A:$A=$A96))))"),4.0)</f>
        <v>4</v>
      </c>
      <c r="S96" s="32">
        <f t="shared" si="6"/>
        <v>0</v>
      </c>
      <c r="T96" s="31">
        <f>IFERROR(__xludf.DUMMYFUNCTION("IF(ISERROR(FILTER('Activity map'!$E:$E, ('Activity map'!$A:$A=$A96)*('Activity map'!$F:$F=FALSE))), ""-"", MIN(UNIQUE(FILTER('Activity map'!$E:$E, ('Activity map'!$A:$A=$A96)*('Activity map'!$F:$F=FALSE)))))"),3.0)</f>
        <v>3</v>
      </c>
      <c r="U96" s="30" t="str">
        <f>IF($N96=0, "-", VLOOKUP($N96, 'List of log slots'!$A:$C, 2, FALSE))</f>
        <v>Echo pearl</v>
      </c>
    </row>
    <row r="97">
      <c r="A97" s="26">
        <v>228.0</v>
      </c>
      <c r="B97" s="23" t="str">
        <f>VLOOKUP($A97, 'Completion rates'!$A:$E, 2, FALSE)</f>
        <v>Killing mithril dragons</v>
      </c>
      <c r="C97" s="26">
        <f>IF(Notes!$E$27, VLOOKUP($A97, 'Completion rates'!$A:$E, 4, FALSE), VLOOKUP($A97, 'Completion rates'!$A:$E, 3, FALSE))</f>
        <v>84</v>
      </c>
      <c r="D97" s="26">
        <f>VLOOKUP($A97, 'Completion rates'!$A:$E, 5, FALSE)</f>
        <v>0</v>
      </c>
      <c r="E97" s="28">
        <f>IF(SUMIFS('Activity map'!$O:$O, 'Activity map'!$A:$A, A97, 'Activity map'!$H:$H, "=TRUE") = 0, "n/a", 1/SUMIFS('Activity map'!$O:$O, 'Activity map'!$A:$A, A97, 'Activity map'!$H:$H, "=TRUE"))</f>
        <v>25.53181154</v>
      </c>
      <c r="F97" s="26">
        <f t="shared" si="1"/>
        <v>0.3039501373</v>
      </c>
      <c r="G97" s="26" t="str">
        <f>IF(MINIFS('Activity map'!$N:$N, 'Activity map'!$A:$A, A97, 'Activity map'!$H:$H, "=TRUE") = 0, "n/a", MINIFS('Activity map'!$N:$N, 'Activity map'!$A:$A, A97, 'Activity map'!$H:$H, "=TRUE"))</f>
        <v>n/a</v>
      </c>
      <c r="H97" s="8" t="str">
        <f t="shared" si="2"/>
        <v/>
      </c>
      <c r="I97" s="26" t="str">
        <f>IF(MINIFS('Activity map'!$M:$M, 'Activity map'!$A:$A, A97, 'Activity map'!$H:$H, "=TRUE") = 0, "n/a", MINIFS('Activity map'!$M:$M, 'Activity map'!$A:$A, A97, 'Activity map'!$H:$H, "=TRUE"))</f>
        <v>n/a</v>
      </c>
      <c r="J97" s="8" t="str">
        <f t="shared" si="3"/>
        <v/>
      </c>
      <c r="K97" s="26" t="str">
        <f>IF(MINIFS('Activity map'!$L:$L, 'Activity map'!$A:$A, A97, 'Activity map'!$H:$H, "=TRUE") = 0, "n/a", MINIFS('Activity map'!$L:$L, 'Activity map'!$A:$A, A97, 'Activity map'!$H:$H, "=TRUE"))</f>
        <v>n/a</v>
      </c>
      <c r="L97" s="8" t="str">
        <f t="shared" si="4"/>
        <v/>
      </c>
      <c r="M97" s="26">
        <f>MINIFS('Activity map'!$C:$C, 'Activity map'!$A:$A, $A97, 'Activity map'!$H:$H, "=TRUE", 'Activity map'!$K:$K, MINIFS('Activity map'!$K:$K, 'Activity map'!$A:$A, $A97, 'Activity map'!$H:$H, "=TRUE"))</f>
        <v>11338</v>
      </c>
      <c r="N97" s="26">
        <f>MINIFS('Activity map'!$C:$C, 'Activity map'!$A:$A, $A97, 'Activity map'!$H:$H, "=TRUE", 'Activity map'!$E:$E, $T97)</f>
        <v>11341</v>
      </c>
      <c r="O97" s="106">
        <f t="shared" si="5"/>
        <v>0.01266458906</v>
      </c>
      <c r="P97" s="30" t="str">
        <f>IF($M97=0, "-", VLOOKUP($M97, 'List of log slots'!$A:$C, 2, FALSE))</f>
        <v>Chewed bones</v>
      </c>
      <c r="Q97" s="31">
        <f>IFERROR(__xludf.DUMMYFUNCTION("IF(ISERROR(FILTER('Activity map'!$C:$C, ('Activity map'!$A:$A=$A97)*('Activity map'!$F:$F=FALSE))), 0, COUNTA(UNIQUE(FILTER('Activity map'!$C:$C, ('Activity map'!$A:$A=$A97)*('Activity map'!$F:$F=FALSE)))))"),31.0)</f>
        <v>31</v>
      </c>
      <c r="R97" s="31">
        <f>IFERROR(__xludf.DUMMYFUNCTION("IF(ISERROR(FILTER('Activity map'!$C:$C, 'Activity map'!$A:$A=$A97)), 0, COUNTA(UNIQUE(FILTER('Activity map'!$C:$C, 'Activity map'!$A:$A=$A97))))"),31.0)</f>
        <v>31</v>
      </c>
      <c r="S97" s="107">
        <f t="shared" si="6"/>
        <v>0</v>
      </c>
      <c r="T97" s="31">
        <f>IFERROR(__xludf.DUMMYFUNCTION("IF(ISERROR(FILTER('Activity map'!$E:$E, ('Activity map'!$A:$A=$A97)*('Activity map'!$F:$F=FALSE))), ""-"", MIN(UNIQUE(FILTER('Activity map'!$E:$E, ('Activity map'!$A:$A=$A97)*('Activity map'!$F:$F=FALSE)))))"),3.0)</f>
        <v>3</v>
      </c>
      <c r="U97" s="30" t="str">
        <f>IF($N97=0, "-", VLOOKUP($N97, 'List of log slots'!$A:$C, 2, FALSE))</f>
        <v>Ancient page</v>
      </c>
    </row>
    <row r="98">
      <c r="A98" s="26">
        <v>79.0</v>
      </c>
      <c r="B98" s="23" t="str">
        <f>VLOOKUP($A98, 'Completion rates'!$A:$E, 2, FALSE)</f>
        <v>Getting castle wars tickets</v>
      </c>
      <c r="C98" s="26">
        <f>IF(Notes!$E$27, VLOOKUP($A98, 'Completion rates'!$A:$E, 4, FALSE), VLOOKUP($A98, 'Completion rates'!$A:$E, 3, FALSE))</f>
        <v>12.7</v>
      </c>
      <c r="D98" s="26">
        <f>VLOOKUP($A98, 'Completion rates'!$A:$E, 5, FALSE)</f>
        <v>0</v>
      </c>
      <c r="E98" s="28" t="str">
        <f>IF(SUMIFS('Activity map'!$O:$O, 'Activity map'!$A:$A, A98, 'Activity map'!$H:$H, "=TRUE") = 0, "n/a", 1/SUMIFS('Activity map'!$O:$O, 'Activity map'!$A:$A, A98, 'Activity map'!$H:$H, "=TRUE"))</f>
        <v>n/a</v>
      </c>
      <c r="F98" s="8" t="str">
        <f t="shared" si="1"/>
        <v/>
      </c>
      <c r="G98" s="26" t="str">
        <f>IF(MINIFS('Activity map'!$N:$N, 'Activity map'!$A:$A, A98, 'Activity map'!$H:$H, "=TRUE") = 0, "n/a", MINIFS('Activity map'!$N:$N, 'Activity map'!$A:$A, A98, 'Activity map'!$H:$H, "=TRUE"))</f>
        <v>n/a</v>
      </c>
      <c r="H98" s="8" t="str">
        <f t="shared" si="2"/>
        <v/>
      </c>
      <c r="I98" s="26">
        <f>IF(MINIFS('Activity map'!$M:$M, 'Activity map'!$A:$A, A98, 'Activity map'!$H:$H, "=TRUE") = 0, "n/a", MINIFS('Activity map'!$M:$M, 'Activity map'!$A:$A, A98, 'Activity map'!$H:$H, "=TRUE"))</f>
        <v>4</v>
      </c>
      <c r="J98" s="26">
        <f t="shared" si="3"/>
        <v>0.3149606299</v>
      </c>
      <c r="K98" s="26" t="str">
        <f>IF(MINIFS('Activity map'!$L:$L, 'Activity map'!$A:$A, A98, 'Activity map'!$H:$H, "=TRUE") = 0, "n/a", MINIFS('Activity map'!$L:$L, 'Activity map'!$A:$A, A98, 'Activity map'!$H:$H, "=TRUE"))</f>
        <v>n/a</v>
      </c>
      <c r="L98" s="8" t="str">
        <f t="shared" si="4"/>
        <v/>
      </c>
      <c r="M98" s="26">
        <f>MINIFS('Activity map'!$C:$C, 'Activity map'!$A:$A, $A98, 'Activity map'!$H:$H, "=TRUE", 'Activity map'!$K:$K, MINIFS('Activity map'!$K:$K, 'Activity map'!$A:$A, $A98, 'Activity map'!$H:$H, "=TRUE"))</f>
        <v>4070</v>
      </c>
      <c r="N98" s="26">
        <f>MINIFS('Activity map'!$C:$C, 'Activity map'!$A:$A, $A98, 'Activity map'!$H:$H, "=TRUE", 'Activity map'!$E:$E, $T98)</f>
        <v>4068</v>
      </c>
      <c r="O98" s="108">
        <f t="shared" si="5"/>
        <v>0.01312335958</v>
      </c>
      <c r="P98" s="30" t="str">
        <f>IF($M98=0, "-", VLOOKUP($M98, 'List of log slots'!$A:$C, 2, FALSE))</f>
        <v>Decorative armour</v>
      </c>
      <c r="Q98" s="31">
        <f>IFERROR(__xludf.DUMMYFUNCTION("IF(ISERROR(FILTER('Activity map'!$C:$C, ('Activity map'!$A:$A=$A98)*('Activity map'!$F:$F=FALSE))), 0, COUNTA(UNIQUE(FILTER('Activity map'!$C:$C, ('Activity map'!$A:$A=$A98)*('Activity map'!$F:$F=FALSE)))))"),39.0)</f>
        <v>39</v>
      </c>
      <c r="R98" s="31">
        <f>IFERROR(__xludf.DUMMYFUNCTION("IF(ISERROR(FILTER('Activity map'!$C:$C, 'Activity map'!$A:$A=$A98)), 0, COUNTA(UNIQUE(FILTER('Activity map'!$C:$C, 'Activity map'!$A:$A=$A98))))"),39.0)</f>
        <v>39</v>
      </c>
      <c r="S98" s="109">
        <f t="shared" si="6"/>
        <v>0</v>
      </c>
      <c r="T98" s="31">
        <f>IFERROR(__xludf.DUMMYFUNCTION("IF(ISERROR(FILTER('Activity map'!$E:$E, ('Activity map'!$A:$A=$A98)*('Activity map'!$F:$F=FALSE))), ""-"", MIN(UNIQUE(FILTER('Activity map'!$E:$E, ('Activity map'!$A:$A=$A98)*('Activity map'!$F:$F=FALSE)))))"),1.0)</f>
        <v>1</v>
      </c>
      <c r="U98" s="30" t="str">
        <f>IF($N98=0, "-", VLOOKUP($N98, 'List of log slots'!$A:$C, 2, FALSE))</f>
        <v>Decorative sword</v>
      </c>
    </row>
    <row r="99">
      <c r="A99" s="26">
        <v>184.0</v>
      </c>
      <c r="B99" s="23" t="str">
        <f>VLOOKUP($A99, 'Completion rates'!$A:$E, 2, FALSE)</f>
        <v>Killing pyrefiends</v>
      </c>
      <c r="C99" s="26">
        <f>IF(Notes!$E$27, VLOOKUP($A99, 'Completion rates'!$A:$E, 4, FALSE), VLOOKUP($A99, 'Completion rates'!$A:$E, 3, FALSE))</f>
        <v>400</v>
      </c>
      <c r="D99" s="26">
        <f>VLOOKUP($A99, 'Completion rates'!$A:$E, 5, FALSE)</f>
        <v>0</v>
      </c>
      <c r="E99" s="28">
        <f>IF(SUMIFS('Activity map'!$O:$O, 'Activity map'!$A:$A, A99, 'Activity map'!$H:$H, "=TRUE") = 0, "n/a", 1/SUMIFS('Activity map'!$O:$O, 'Activity map'!$A:$A, A99, 'Activity map'!$H:$H, "=TRUE"))</f>
        <v>127.8361477</v>
      </c>
      <c r="F99" s="8">
        <f t="shared" si="1"/>
        <v>0.3195903693</v>
      </c>
      <c r="G99" s="26" t="str">
        <f>IF(MINIFS('Activity map'!$N:$N, 'Activity map'!$A:$A, A99, 'Activity map'!$H:$H, "=TRUE") = 0, "n/a", MINIFS('Activity map'!$N:$N, 'Activity map'!$A:$A, A99, 'Activity map'!$H:$H, "=TRUE"))</f>
        <v>n/a</v>
      </c>
      <c r="H99" s="8" t="str">
        <f t="shared" si="2"/>
        <v/>
      </c>
      <c r="I99" s="26" t="str">
        <f>IF(MINIFS('Activity map'!$M:$M, 'Activity map'!$A:$A, A99, 'Activity map'!$H:$H, "=TRUE") = 0, "n/a", MINIFS('Activity map'!$M:$M, 'Activity map'!$A:$A, A99, 'Activity map'!$H:$H, "=TRUE"))</f>
        <v>n/a</v>
      </c>
      <c r="J99" s="8" t="str">
        <f t="shared" si="3"/>
        <v/>
      </c>
      <c r="K99" s="26" t="str">
        <f>IF(MINIFS('Activity map'!$L:$L, 'Activity map'!$A:$A, A99, 'Activity map'!$H:$H, "=TRUE") = 0, "n/a", MINIFS('Activity map'!$L:$L, 'Activity map'!$A:$A, A99, 'Activity map'!$H:$H, "=TRUE"))</f>
        <v>n/a</v>
      </c>
      <c r="L99" s="8" t="str">
        <f t="shared" si="4"/>
        <v/>
      </c>
      <c r="M99" s="26">
        <f>MINIFS('Activity map'!$C:$C, 'Activity map'!$A:$A, $A99, 'Activity map'!$H:$H, "=TRUE", 'Activity map'!$K:$K, MINIFS('Activity map'!$K:$K, 'Activity map'!$A:$A, $A99, 'Activity map'!$H:$H, "=TRUE"))</f>
        <v>4123</v>
      </c>
      <c r="N99" s="26">
        <f>MINIFS('Activity map'!$C:$C, 'Activity map'!$A:$A, $A99, 'Activity map'!$H:$H, "=TRUE", 'Activity map'!$E:$E, $T99)</f>
        <v>4123</v>
      </c>
      <c r="O99" s="35">
        <f t="shared" si="5"/>
        <v>0.01331626539</v>
      </c>
      <c r="P99" s="30" t="str">
        <f>IF($M99=0, "-", VLOOKUP($M99, 'List of log slots'!$A:$C, 2, FALSE))</f>
        <v>Steel boots</v>
      </c>
      <c r="Q99" s="31">
        <f>IFERROR(__xludf.DUMMYFUNCTION("IF(ISERROR(FILTER('Activity map'!$C:$C, ('Activity map'!$A:$A=$A99)*('Activity map'!$F:$F=FALSE))), 0, COUNTA(UNIQUE(FILTER('Activity map'!$C:$C, ('Activity map'!$A:$A=$A99)*('Activity map'!$F:$F=FALSE)))))"),3.0)</f>
        <v>3</v>
      </c>
      <c r="R99" s="31">
        <f>IFERROR(__xludf.DUMMYFUNCTION("IF(ISERROR(FILTER('Activity map'!$C:$C, 'Activity map'!$A:$A=$A99)), 0, COUNTA(UNIQUE(FILTER('Activity map'!$C:$C, 'Activity map'!$A:$A=$A99))))"),3.0)</f>
        <v>3</v>
      </c>
      <c r="S99" s="36">
        <f t="shared" si="6"/>
        <v>0</v>
      </c>
      <c r="T99" s="31">
        <f>IFERROR(__xludf.DUMMYFUNCTION("IF(ISERROR(FILTER('Activity map'!$E:$E, ('Activity map'!$A:$A=$A99)*('Activity map'!$F:$F=FALSE))), ""-"", MIN(UNIQUE(FILTER('Activity map'!$E:$E, ('Activity map'!$A:$A=$A99)*('Activity map'!$F:$F=FALSE)))))"),2.0)</f>
        <v>2</v>
      </c>
      <c r="U99" s="30" t="str">
        <f>IF($N99=0, "-", VLOOKUP($N99, 'List of log slots'!$A:$C, 2, FALSE))</f>
        <v>Steel boots</v>
      </c>
    </row>
    <row r="100">
      <c r="A100" s="26">
        <v>185.0</v>
      </c>
      <c r="B100" s="23" t="str">
        <f>VLOOKUP($A100, 'Completion rates'!$A:$E, 2, FALSE)</f>
        <v>Killing harpie bug swarms</v>
      </c>
      <c r="C100" s="26">
        <f>IF(Notes!$E$27, VLOOKUP($A100, 'Completion rates'!$A:$E, 4, FALSE), VLOOKUP($A100, 'Completion rates'!$A:$E, 3, FALSE))</f>
        <v>400</v>
      </c>
      <c r="D100" s="26">
        <f>VLOOKUP($A100, 'Completion rates'!$A:$E, 5, FALSE)</f>
        <v>0</v>
      </c>
      <c r="E100" s="28">
        <f>IF(SUMIFS('Activity map'!$O:$O, 'Activity map'!$A:$A, A100, 'Activity map'!$H:$H, "=TRUE") = 0, "n/a", 1/SUMIFS('Activity map'!$O:$O, 'Activity map'!$A:$A, A100, 'Activity map'!$H:$H, "=TRUE"))</f>
        <v>127.8361477</v>
      </c>
      <c r="F100" s="8">
        <f t="shared" si="1"/>
        <v>0.3195903693</v>
      </c>
      <c r="G100" s="26" t="str">
        <f>IF(MINIFS('Activity map'!$N:$N, 'Activity map'!$A:$A, A100, 'Activity map'!$H:$H, "=TRUE") = 0, "n/a", MINIFS('Activity map'!$N:$N, 'Activity map'!$A:$A, A100, 'Activity map'!$H:$H, "=TRUE"))</f>
        <v>n/a</v>
      </c>
      <c r="H100" s="8" t="str">
        <f t="shared" si="2"/>
        <v/>
      </c>
      <c r="I100" s="26" t="str">
        <f>IF(MINIFS('Activity map'!$M:$M, 'Activity map'!$A:$A, A100, 'Activity map'!$H:$H, "=TRUE") = 0, "n/a", MINIFS('Activity map'!$M:$M, 'Activity map'!$A:$A, A100, 'Activity map'!$H:$H, "=TRUE"))</f>
        <v>n/a</v>
      </c>
      <c r="J100" s="8" t="str">
        <f t="shared" si="3"/>
        <v/>
      </c>
      <c r="K100" s="26" t="str">
        <f>IF(MINIFS('Activity map'!$L:$L, 'Activity map'!$A:$A, A100, 'Activity map'!$H:$H, "=TRUE") = 0, "n/a", MINIFS('Activity map'!$L:$L, 'Activity map'!$A:$A, A100, 'Activity map'!$H:$H, "=TRUE"))</f>
        <v>n/a</v>
      </c>
      <c r="L100" s="8" t="str">
        <f t="shared" si="4"/>
        <v/>
      </c>
      <c r="M100" s="26">
        <f>MINIFS('Activity map'!$C:$C, 'Activity map'!$A:$A, $A100, 'Activity map'!$H:$H, "=TRUE", 'Activity map'!$K:$K, MINIFS('Activity map'!$K:$K, 'Activity map'!$A:$A, $A100, 'Activity map'!$H:$H, "=TRUE"))</f>
        <v>4123</v>
      </c>
      <c r="N100" s="26">
        <f>MINIFS('Activity map'!$C:$C, 'Activity map'!$A:$A, $A100, 'Activity map'!$H:$H, "=TRUE", 'Activity map'!$E:$E, $T100)</f>
        <v>4123</v>
      </c>
      <c r="O100" s="35">
        <f t="shared" si="5"/>
        <v>0.01331626539</v>
      </c>
      <c r="P100" s="30" t="str">
        <f>IF($M100=0, "-", VLOOKUP($M100, 'List of log slots'!$A:$C, 2, FALSE))</f>
        <v>Steel boots</v>
      </c>
      <c r="Q100" s="31">
        <f>IFERROR(__xludf.DUMMYFUNCTION("IF(ISERROR(FILTER('Activity map'!$C:$C, ('Activity map'!$A:$A=$A100)*('Activity map'!$F:$F=FALSE))), 0, COUNTA(UNIQUE(FILTER('Activity map'!$C:$C, ('Activity map'!$A:$A=$A100)*('Activity map'!$F:$F=FALSE)))))"),3.0)</f>
        <v>3</v>
      </c>
      <c r="R100" s="31">
        <f>IFERROR(__xludf.DUMMYFUNCTION("IF(ISERROR(FILTER('Activity map'!$C:$C, 'Activity map'!$A:$A=$A100)), 0, COUNTA(UNIQUE(FILTER('Activity map'!$C:$C, 'Activity map'!$A:$A=$A100))))"),3.0)</f>
        <v>3</v>
      </c>
      <c r="S100" s="36">
        <f t="shared" si="6"/>
        <v>0</v>
      </c>
      <c r="T100" s="31">
        <f>IFERROR(__xludf.DUMMYFUNCTION("IF(ISERROR(FILTER('Activity map'!$E:$E, ('Activity map'!$A:$A=$A100)*('Activity map'!$F:$F=FALSE))), ""-"", MIN(UNIQUE(FILTER('Activity map'!$E:$E, ('Activity map'!$A:$A=$A100)*('Activity map'!$F:$F=FALSE)))))"),2.0)</f>
        <v>2</v>
      </c>
      <c r="U100" s="30" t="str">
        <f>IF($N100=0, "-", VLOOKUP($N100, 'List of log slots'!$A:$C, 2, FALSE))</f>
        <v>Steel boots</v>
      </c>
    </row>
    <row r="101">
      <c r="A101" s="26">
        <v>15.0</v>
      </c>
      <c r="B101" s="23" t="str">
        <f>VLOOKUP($A101, 'Completion rates'!$A:$E, 2, FALSE)</f>
        <v>Killing deranged archaeologist</v>
      </c>
      <c r="C101" s="26">
        <f>IF(Notes!$E$27, VLOOKUP($A101, 'Completion rates'!$A:$E, 4, FALSE), VLOOKUP($A101, 'Completion rates'!$A:$E, 3, FALSE))</f>
        <v>80</v>
      </c>
      <c r="D101" s="26">
        <f>VLOOKUP($A101, 'Completion rates'!$A:$E, 5, FALSE)</f>
        <v>0</v>
      </c>
      <c r="E101" s="28">
        <f>IF(SUMIFS('Activity map'!$O:$O, 'Activity map'!$A:$A, A101, 'Activity map'!$H:$H, "=TRUE") = 0, "n/a", 1/SUMIFS('Activity map'!$O:$O, 'Activity map'!$A:$A, A101, 'Activity map'!$H:$H, "=TRUE"))</f>
        <v>26.18146635</v>
      </c>
      <c r="F101" s="26">
        <f t="shared" si="1"/>
        <v>0.3272683294</v>
      </c>
      <c r="G101" s="26" t="str">
        <f>IF(MINIFS('Activity map'!$N:$N, 'Activity map'!$A:$A, A101, 'Activity map'!$H:$H, "=TRUE") = 0, "n/a", MINIFS('Activity map'!$N:$N, 'Activity map'!$A:$A, A101, 'Activity map'!$H:$H, "=TRUE"))</f>
        <v>n/a</v>
      </c>
      <c r="H101" s="8" t="str">
        <f t="shared" si="2"/>
        <v/>
      </c>
      <c r="I101" s="26" t="str">
        <f>IF(MINIFS('Activity map'!$M:$M, 'Activity map'!$A:$A, A101, 'Activity map'!$H:$H, "=TRUE") = 0, "n/a", MINIFS('Activity map'!$M:$M, 'Activity map'!$A:$A, A101, 'Activity map'!$H:$H, "=TRUE"))</f>
        <v>n/a</v>
      </c>
      <c r="J101" s="8" t="str">
        <f t="shared" si="3"/>
        <v/>
      </c>
      <c r="K101" s="26" t="str">
        <f>IF(MINIFS('Activity map'!$L:$L, 'Activity map'!$A:$A, A101, 'Activity map'!$H:$H, "=TRUE") = 0, "n/a", MINIFS('Activity map'!$L:$L, 'Activity map'!$A:$A, A101, 'Activity map'!$H:$H, "=TRUE"))</f>
        <v>n/a</v>
      </c>
      <c r="L101" s="8" t="str">
        <f t="shared" si="4"/>
        <v/>
      </c>
      <c r="M101" s="26">
        <f>MINIFS('Activity map'!$C:$C, 'Activity map'!$A:$A, $A101, 'Activity map'!$H:$H, "=TRUE", 'Activity map'!$K:$K, MINIFS('Activity map'!$K:$K, 'Activity map'!$A:$A, $A101, 'Activity map'!$H:$H, "=TRUE"))</f>
        <v>30895</v>
      </c>
      <c r="N101" s="26">
        <f>MINIFS('Activity map'!$C:$C, 'Activity map'!$A:$A, $A101, 'Activity map'!$H:$H, "=TRUE", 'Activity map'!$E:$E, $T101)</f>
        <v>10976</v>
      </c>
      <c r="O101" s="110">
        <f t="shared" si="5"/>
        <v>0.01363618039</v>
      </c>
      <c r="P101" s="30" t="str">
        <f>IF($M101=0, "-", VLOOKUP($M101, 'List of log slots'!$A:$C, 2, FALSE))</f>
        <v>Steel ring</v>
      </c>
      <c r="Q101" s="31">
        <f>IFERROR(__xludf.DUMMYFUNCTION("IF(ISERROR(FILTER('Activity map'!$C:$C, ('Activity map'!$A:$A=$A101)*('Activity map'!$F:$F=FALSE))), 0, COUNTA(UNIQUE(FILTER('Activity map'!$C:$C, ('Activity map'!$A:$A=$A101)*('Activity map'!$F:$F=FALSE)))))"),4.0)</f>
        <v>4</v>
      </c>
      <c r="R101" s="31">
        <f>IFERROR(__xludf.DUMMYFUNCTION("IF(ISERROR(FILTER('Activity map'!$C:$C, 'Activity map'!$A:$A=$A101)), 0, COUNTA(UNIQUE(FILTER('Activity map'!$C:$C, 'Activity map'!$A:$A=$A101))))"),4.0)</f>
        <v>4</v>
      </c>
      <c r="S101" s="32">
        <f t="shared" si="6"/>
        <v>0</v>
      </c>
      <c r="T101" s="31">
        <f>IFERROR(__xludf.DUMMYFUNCTION("IF(ISERROR(FILTER('Activity map'!$E:$E, ('Activity map'!$A:$A=$A101)*('Activity map'!$F:$F=FALSE))), ""-"", MIN(UNIQUE(FILTER('Activity map'!$E:$E, ('Activity map'!$A:$A=$A101)*('Activity map'!$F:$F=FALSE)))))"),3.0)</f>
        <v>3</v>
      </c>
      <c r="U101" s="30" t="str">
        <f>IF($N101=0, "-", VLOOKUP($N101, 'List of log slots'!$A:$C, 2, FALSE))</f>
        <v>Long bone</v>
      </c>
    </row>
    <row r="102">
      <c r="A102" s="26">
        <v>17.0</v>
      </c>
      <c r="B102" s="23" t="str">
        <f>VLOOKUP($A102, 'Completion rates'!$A:$E, 2, FALSE)</f>
        <v>Killing duke sucellus</v>
      </c>
      <c r="C102" s="26">
        <f>IF(Notes!$E$27, VLOOKUP($A102, 'Completion rates'!$A:$E, 4, FALSE), VLOOKUP($A102, 'Completion rates'!$A:$E, 3, FALSE))</f>
        <v>41</v>
      </c>
      <c r="D102" s="26">
        <f>VLOOKUP($A102, 'Completion rates'!$A:$E, 5, FALSE)</f>
        <v>0</v>
      </c>
      <c r="E102" s="28">
        <f>IF(SUMIFS('Activity map'!$O:$O, 'Activity map'!$A:$A, A102, 'Activity map'!$H:$H, "=TRUE") = 0, "n/a", 1/SUMIFS('Activity map'!$O:$O, 'Activity map'!$A:$A, A102, 'Activity map'!$H:$H, "=TRUE"))</f>
        <v>13.47385133</v>
      </c>
      <c r="F102" s="26">
        <f t="shared" si="1"/>
        <v>0.3286305202</v>
      </c>
      <c r="G102" s="26" t="str">
        <f>IF(MINIFS('Activity map'!$N:$N, 'Activity map'!$A:$A, A102, 'Activity map'!$H:$H, "=TRUE") = 0, "n/a", MINIFS('Activity map'!$N:$N, 'Activity map'!$A:$A, A102, 'Activity map'!$H:$H, "=TRUE"))</f>
        <v>n/a</v>
      </c>
      <c r="H102" s="8" t="str">
        <f t="shared" si="2"/>
        <v/>
      </c>
      <c r="I102" s="26" t="str">
        <f>IF(MINIFS('Activity map'!$M:$M, 'Activity map'!$A:$A, A102, 'Activity map'!$H:$H, "=TRUE") = 0, "n/a", MINIFS('Activity map'!$M:$M, 'Activity map'!$A:$A, A102, 'Activity map'!$H:$H, "=TRUE"))</f>
        <v>n/a</v>
      </c>
      <c r="J102" s="8" t="str">
        <f t="shared" si="3"/>
        <v/>
      </c>
      <c r="K102" s="26" t="str">
        <f>IF(MINIFS('Activity map'!$L:$L, 'Activity map'!$A:$A, A102, 'Activity map'!$H:$H, "=TRUE") = 0, "n/a", MINIFS('Activity map'!$L:$L, 'Activity map'!$A:$A, A102, 'Activity map'!$H:$H, "=TRUE"))</f>
        <v>n/a</v>
      </c>
      <c r="L102" s="8" t="str">
        <f t="shared" si="4"/>
        <v/>
      </c>
      <c r="M102" s="26">
        <f>MINIFS('Activity map'!$C:$C, 'Activity map'!$A:$A, $A102, 'Activity map'!$H:$H, "=TRUE", 'Activity map'!$K:$K, MINIFS('Activity map'!$K:$K, 'Activity map'!$A:$A, $A102, 'Activity map'!$H:$H, "=TRUE"))</f>
        <v>28333</v>
      </c>
      <c r="N102" s="26">
        <f>MINIFS('Activity map'!$C:$C, 'Activity map'!$A:$A, $A102, 'Activity map'!$H:$H, "=TRUE", 'Activity map'!$E:$E, $T102)</f>
        <v>28270</v>
      </c>
      <c r="O102" s="111">
        <f t="shared" si="5"/>
        <v>0.01369293834</v>
      </c>
      <c r="P102" s="30" t="str">
        <f>IF($M102=0, "-", VLOOKUP($M102, 'List of log slots'!$A:$C, 2, FALSE))</f>
        <v>Frozen tablet</v>
      </c>
      <c r="Q102" s="31">
        <f>IFERROR(__xludf.DUMMYFUNCTION("IF(ISERROR(FILTER('Activity map'!$C:$C, ('Activity map'!$A:$A=$A102)*('Activity map'!$F:$F=FALSE))), 0, COUNTA(UNIQUE(FILTER('Activity map'!$C:$C, ('Activity map'!$A:$A=$A102)*('Activity map'!$F:$F=FALSE)))))"),10.0)</f>
        <v>10</v>
      </c>
      <c r="R102" s="31">
        <f>IFERROR(__xludf.DUMMYFUNCTION("IF(ISERROR(FILTER('Activity map'!$C:$C, 'Activity map'!$A:$A=$A102)), 0, COUNTA(UNIQUE(FILTER('Activity map'!$C:$C, 'Activity map'!$A:$A=$A102))))"),10.0)</f>
        <v>10</v>
      </c>
      <c r="S102" s="79">
        <f t="shared" si="6"/>
        <v>0</v>
      </c>
      <c r="T102" s="31">
        <f>IFERROR(__xludf.DUMMYFUNCTION("IF(ISERROR(FILTER('Activity map'!$E:$E, ('Activity map'!$A:$A=$A102)*('Activity map'!$F:$F=FALSE))), ""-"", MIN(UNIQUE(FILTER('Activity map'!$E:$E, ('Activity map'!$A:$A=$A102)*('Activity map'!$F:$F=FALSE)))))"),5.0)</f>
        <v>5</v>
      </c>
      <c r="U102" s="30" t="str">
        <f>IF($N102=0, "-", VLOOKUP($N102, 'List of log slots'!$A:$C, 2, FALSE))</f>
        <v>Ice quartz</v>
      </c>
    </row>
    <row r="103">
      <c r="A103" s="26">
        <v>142.0</v>
      </c>
      <c r="B103" s="23" t="str">
        <f>VLOOKUP($A103, 'Completion rates'!$A:$E, 2, FALSE)</f>
        <v>Killing narwhal (boat combat)</v>
      </c>
      <c r="C103" s="26">
        <f>IF(Notes!$E$27, VLOOKUP($A103, 'Completion rates'!$A:$E, 4, FALSE), VLOOKUP($A103, 'Completion rates'!$A:$E, 3, FALSE))</f>
        <v>165</v>
      </c>
      <c r="D103" s="26">
        <f>VLOOKUP($A103, 'Completion rates'!$A:$E, 5, FALSE)</f>
        <v>0</v>
      </c>
      <c r="E103" s="28">
        <f>IF(SUMIFS('Activity map'!$O:$O, 'Activity map'!$A:$A, A103, 'Activity map'!$H:$H, "=TRUE") = 0, "n/a", 1/SUMIFS('Activity map'!$O:$O, 'Activity map'!$A:$A, A103, 'Activity map'!$H:$H, "=TRUE"))</f>
        <v>54.52427701</v>
      </c>
      <c r="F103" s="26">
        <f t="shared" si="1"/>
        <v>0.3304501637</v>
      </c>
      <c r="G103" s="26" t="str">
        <f>IF(MINIFS('Activity map'!$N:$N, 'Activity map'!$A:$A, A103, 'Activity map'!$H:$H, "=TRUE") = 0, "n/a", MINIFS('Activity map'!$N:$N, 'Activity map'!$A:$A, A103, 'Activity map'!$H:$H, "=TRUE"))</f>
        <v>n/a</v>
      </c>
      <c r="H103" s="8" t="str">
        <f t="shared" si="2"/>
        <v/>
      </c>
      <c r="I103" s="26" t="str">
        <f>IF(MINIFS('Activity map'!$M:$M, 'Activity map'!$A:$A, A103, 'Activity map'!$H:$H, "=TRUE") = 0, "n/a", MINIFS('Activity map'!$M:$M, 'Activity map'!$A:$A, A103, 'Activity map'!$H:$H, "=TRUE"))</f>
        <v>n/a</v>
      </c>
      <c r="J103" s="8" t="str">
        <f t="shared" si="3"/>
        <v/>
      </c>
      <c r="K103" s="26" t="str">
        <f>IF(MINIFS('Activity map'!$L:$L, 'Activity map'!$A:$A, A103, 'Activity map'!$H:$H, "=TRUE") = 0, "n/a", MINIFS('Activity map'!$L:$L, 'Activity map'!$A:$A, A103, 'Activity map'!$H:$H, "=TRUE"))</f>
        <v>n/a</v>
      </c>
      <c r="L103" s="8" t="str">
        <f t="shared" si="4"/>
        <v/>
      </c>
      <c r="M103" s="26">
        <f>MINIFS('Activity map'!$C:$C, 'Activity map'!$A:$A, $A103, 'Activity map'!$H:$H, "=TRUE", 'Activity map'!$K:$K, MINIFS('Activity map'!$K:$K, 'Activity map'!$A:$A, $A103, 'Activity map'!$H:$H, "=TRUE"))</f>
        <v>31954</v>
      </c>
      <c r="N103" s="26">
        <f>MINIFS('Activity map'!$C:$C, 'Activity map'!$A:$A, $A103, 'Activity map'!$H:$H, "=TRUE", 'Activity map'!$E:$E, $T103)</f>
        <v>31406</v>
      </c>
      <c r="O103" s="96">
        <f t="shared" si="5"/>
        <v>0.01376875682</v>
      </c>
      <c r="P103" s="30" t="str">
        <f>IF($M103=0, "-", VLOOKUP($M103, 'List of log slots'!$A:$C, 2, FALSE))</f>
        <v>Narwhal horn</v>
      </c>
      <c r="Q103" s="31">
        <f>IFERROR(__xludf.DUMMYFUNCTION("IF(ISERROR(FILTER('Activity map'!$C:$C, ('Activity map'!$A:$A=$A103)*('Activity map'!$F:$F=FALSE))), 0, COUNTA(UNIQUE(FILTER('Activity map'!$C:$C, ('Activity map'!$A:$A=$A103)*('Activity map'!$F:$F=FALSE)))))"),4.0)</f>
        <v>4</v>
      </c>
      <c r="R103" s="31">
        <f>IFERROR(__xludf.DUMMYFUNCTION("IF(ISERROR(FILTER('Activity map'!$C:$C, 'Activity map'!$A:$A=$A103)), 0, COUNTA(UNIQUE(FILTER('Activity map'!$C:$C, 'Activity map'!$A:$A=$A103))))"),4.0)</f>
        <v>4</v>
      </c>
      <c r="S103" s="32">
        <f t="shared" si="6"/>
        <v>0</v>
      </c>
      <c r="T103" s="31">
        <f>IFERROR(__xludf.DUMMYFUNCTION("IF(ISERROR(FILTER('Activity map'!$E:$E, ('Activity map'!$A:$A=$A103)*('Activity map'!$F:$F=FALSE))), ""-"", MIN(UNIQUE(FILTER('Activity map'!$E:$E, ('Activity map'!$A:$A=$A103)*('Activity map'!$F:$F=FALSE)))))"),3.0)</f>
        <v>3</v>
      </c>
      <c r="U103" s="30" t="str">
        <f>IF($N103=0, "-", VLOOKUP($N103, 'List of log slots'!$A:$C, 2, FALSE))</f>
        <v>Dragon nails</v>
      </c>
    </row>
    <row r="104">
      <c r="A104" s="26">
        <v>213.0</v>
      </c>
      <c r="B104" s="23" t="str">
        <f>VLOOKUP($A104, 'Completion rates'!$A:$E, 2, FALSE)</f>
        <v>Killing bulk tzhaar</v>
      </c>
      <c r="C104" s="26">
        <f>IF(Notes!$E$27, VLOOKUP($A104, 'Completion rates'!$A:$E, 4, FALSE), VLOOKUP($A104, 'Completion rates'!$A:$E, 3, FALSE))</f>
        <v>750</v>
      </c>
      <c r="D104" s="26">
        <f>VLOOKUP($A104, 'Completion rates'!$A:$E, 5, FALSE)</f>
        <v>0</v>
      </c>
      <c r="E104" s="28">
        <f>IF(SUMIFS('Activity map'!$O:$O, 'Activity map'!$A:$A, A104, 'Activity map'!$H:$H, "=TRUE") = 0, "n/a", 1/SUMIFS('Activity map'!$O:$O, 'Activity map'!$A:$A, A104, 'Activity map'!$H:$H, "=TRUE"))</f>
        <v>259.4704168</v>
      </c>
      <c r="F104" s="26">
        <f t="shared" si="1"/>
        <v>0.3459605558</v>
      </c>
      <c r="G104" s="26" t="str">
        <f>IF(MINIFS('Activity map'!$N:$N, 'Activity map'!$A:$A, A104, 'Activity map'!$H:$H, "=TRUE") = 0, "n/a", MINIFS('Activity map'!$N:$N, 'Activity map'!$A:$A, A104, 'Activity map'!$H:$H, "=TRUE"))</f>
        <v>n/a</v>
      </c>
      <c r="H104" s="8" t="str">
        <f t="shared" si="2"/>
        <v/>
      </c>
      <c r="I104" s="26" t="str">
        <f>IF(MINIFS('Activity map'!$M:$M, 'Activity map'!$A:$A, A104, 'Activity map'!$H:$H, "=TRUE") = 0, "n/a", MINIFS('Activity map'!$M:$M, 'Activity map'!$A:$A, A104, 'Activity map'!$H:$H, "=TRUE"))</f>
        <v>n/a</v>
      </c>
      <c r="J104" s="8" t="str">
        <f t="shared" si="3"/>
        <v/>
      </c>
      <c r="K104" s="26" t="str">
        <f>IF(MINIFS('Activity map'!$L:$L, 'Activity map'!$A:$A, A104, 'Activity map'!$H:$H, "=TRUE") = 0, "n/a", MINIFS('Activity map'!$L:$L, 'Activity map'!$A:$A, A104, 'Activity map'!$H:$H, "=TRUE"))</f>
        <v>n/a</v>
      </c>
      <c r="L104" s="8" t="str">
        <f t="shared" si="4"/>
        <v/>
      </c>
      <c r="M104" s="26">
        <f>MINIFS('Activity map'!$C:$C, 'Activity map'!$A:$A, $A104, 'Activity map'!$H:$H, "=TRUE", 'Activity map'!$K:$K, MINIFS('Activity map'!$K:$K, 'Activity map'!$A:$A, $A104, 'Activity map'!$H:$H, "=TRUE"))</f>
        <v>6568</v>
      </c>
      <c r="N104" s="26">
        <f>MINIFS('Activity map'!$C:$C, 'Activity map'!$A:$A, $A104, 'Activity map'!$H:$H, "=TRUE", 'Activity map'!$E:$E, $T104)</f>
        <v>6522</v>
      </c>
      <c r="O104" s="54">
        <f t="shared" si="5"/>
        <v>0.01441502316</v>
      </c>
      <c r="P104" s="30" t="str">
        <f>IF($M104=0, "-", VLOOKUP($M104, 'List of log slots'!$A:$C, 2, FALSE))</f>
        <v>Obsidian cape</v>
      </c>
      <c r="Q104" s="31">
        <f>IFERROR(__xludf.DUMMYFUNCTION("IF(ISERROR(FILTER('Activity map'!$C:$C, ('Activity map'!$A:$A=$A104)*('Activity map'!$F:$F=FALSE))), 0, COUNTA(UNIQUE(FILTER('Activity map'!$C:$C, ('Activity map'!$A:$A=$A104)*('Activity map'!$F:$F=FALSE)))))"),10.0)</f>
        <v>10</v>
      </c>
      <c r="R104" s="31">
        <f>IFERROR(__xludf.DUMMYFUNCTION("IF(ISERROR(FILTER('Activity map'!$C:$C, 'Activity map'!$A:$A=$A104)), 0, COUNTA(UNIQUE(FILTER('Activity map'!$C:$C, 'Activity map'!$A:$A=$A104))))"),10.0)</f>
        <v>10</v>
      </c>
      <c r="S104" s="46">
        <f t="shared" si="6"/>
        <v>0</v>
      </c>
      <c r="T104" s="31">
        <f>IFERROR(__xludf.DUMMYFUNCTION("IF(ISERROR(FILTER('Activity map'!$E:$E, ('Activity map'!$A:$A=$A104)*('Activity map'!$F:$F=FALSE))), ""-"", MIN(UNIQUE(FILTER('Activity map'!$E:$E, ('Activity map'!$A:$A=$A104)*('Activity map'!$F:$F=FALSE)))))"),4.0)</f>
        <v>4</v>
      </c>
      <c r="U104" s="30" t="str">
        <f>IF($N104=0, "-", VLOOKUP($N104, 'List of log slots'!$A:$C, 2, FALSE))</f>
        <v>Toktz-xil-ul</v>
      </c>
    </row>
    <row r="105">
      <c r="A105" s="26">
        <v>46.0</v>
      </c>
      <c r="B105" s="23" t="str">
        <f>VLOOKUP($A105, 'Completion rates'!$A:$E, 2, FALSE)</f>
        <v>Killing scurrius</v>
      </c>
      <c r="C105" s="26">
        <f>IF(Notes!$E$27, VLOOKUP($A105, 'Completion rates'!$A:$E, 4, FALSE), VLOOKUP($A105, 'Completion rates'!$A:$E, 3, FALSE))</f>
        <v>85</v>
      </c>
      <c r="D105" s="26">
        <f>VLOOKUP($A105, 'Completion rates'!$A:$E, 5, FALSE)</f>
        <v>0</v>
      </c>
      <c r="E105" s="28">
        <f>IF(SUMIFS('Activity map'!$O:$O, 'Activity map'!$A:$A, A105, 'Activity map'!$H:$H, "=TRUE") = 0, "n/a", 1/SUMIFS('Activity map'!$O:$O, 'Activity map'!$A:$A, A105, 'Activity map'!$H:$H, "=TRUE"))</f>
        <v>29.99773968</v>
      </c>
      <c r="F105" s="26">
        <f t="shared" si="1"/>
        <v>0.3529145845</v>
      </c>
      <c r="G105" s="26" t="str">
        <f>IF(MINIFS('Activity map'!$N:$N, 'Activity map'!$A:$A, A105, 'Activity map'!$H:$H, "=TRUE") = 0, "n/a", MINIFS('Activity map'!$N:$N, 'Activity map'!$A:$A, A105, 'Activity map'!$H:$H, "=TRUE"))</f>
        <v>n/a</v>
      </c>
      <c r="H105" s="8" t="str">
        <f t="shared" si="2"/>
        <v/>
      </c>
      <c r="I105" s="26" t="str">
        <f>IF(MINIFS('Activity map'!$M:$M, 'Activity map'!$A:$A, A105, 'Activity map'!$H:$H, "=TRUE") = 0, "n/a", MINIFS('Activity map'!$M:$M, 'Activity map'!$A:$A, A105, 'Activity map'!$H:$H, "=TRUE"))</f>
        <v>n/a</v>
      </c>
      <c r="J105" s="8" t="str">
        <f t="shared" si="3"/>
        <v/>
      </c>
      <c r="K105" s="26" t="str">
        <f>IF(MINIFS('Activity map'!$L:$L, 'Activity map'!$A:$A, A105, 'Activity map'!$H:$H, "=TRUE") = 0, "n/a", MINIFS('Activity map'!$L:$L, 'Activity map'!$A:$A, A105, 'Activity map'!$H:$H, "=TRUE"))</f>
        <v>n/a</v>
      </c>
      <c r="L105" s="8" t="str">
        <f t="shared" si="4"/>
        <v/>
      </c>
      <c r="M105" s="26">
        <f>MINIFS('Activity map'!$C:$C, 'Activity map'!$A:$A, $A105, 'Activity map'!$H:$H, "=TRUE", 'Activity map'!$K:$K, MINIFS('Activity map'!$K:$K, 'Activity map'!$A:$A, $A105, 'Activity map'!$H:$H, "=TRUE"))</f>
        <v>28798</v>
      </c>
      <c r="N105" s="26">
        <f>MINIFS('Activity map'!$C:$C, 'Activity map'!$A:$A, $A105, 'Activity map'!$H:$H, "=TRUE", 'Activity map'!$E:$E, $T105)</f>
        <v>10976</v>
      </c>
      <c r="O105" s="112">
        <f t="shared" si="5"/>
        <v>0.01470477435</v>
      </c>
      <c r="P105" s="30" t="str">
        <f>IF($M105=0, "-", VLOOKUP($M105, 'List of log slots'!$A:$C, 2, FALSE))</f>
        <v>Scrrius' spine</v>
      </c>
      <c r="Q105" s="31">
        <f>IFERROR(__xludf.DUMMYFUNCTION("IF(ISERROR(FILTER('Activity map'!$C:$C, ('Activity map'!$A:$A=$A105)*('Activity map'!$F:$F=FALSE))), 0, COUNTA(UNIQUE(FILTER('Activity map'!$C:$C, ('Activity map'!$A:$A=$A105)*('Activity map'!$F:$F=FALSE)))))"),4.0)</f>
        <v>4</v>
      </c>
      <c r="R105" s="31">
        <f>IFERROR(__xludf.DUMMYFUNCTION("IF(ISERROR(FILTER('Activity map'!$C:$C, 'Activity map'!$A:$A=$A105)), 0, COUNTA(UNIQUE(FILTER('Activity map'!$C:$C, 'Activity map'!$A:$A=$A105))))"),4.0)</f>
        <v>4</v>
      </c>
      <c r="S105" s="46">
        <f t="shared" si="6"/>
        <v>0</v>
      </c>
      <c r="T105" s="31">
        <f>IFERROR(__xludf.DUMMYFUNCTION("IF(ISERROR(FILTER('Activity map'!$E:$E, ('Activity map'!$A:$A=$A105)*('Activity map'!$F:$F=FALSE))), ""-"", MIN(UNIQUE(FILTER('Activity map'!$E:$E, ('Activity map'!$A:$A=$A105)*('Activity map'!$F:$F=FALSE)))))"),3.0)</f>
        <v>3</v>
      </c>
      <c r="U105" s="30" t="str">
        <f>IF($N105=0, "-", VLOOKUP($N105, 'List of log slots'!$A:$C, 2, FALSE))</f>
        <v>Long bone</v>
      </c>
    </row>
    <row r="106">
      <c r="A106" s="26">
        <v>148.0</v>
      </c>
      <c r="B106" s="23" t="str">
        <f>VLOOKUP($A106, 'Completion rates'!$A:$E, 2, FALSE)</f>
        <v>Sorting through barracuda salvage</v>
      </c>
      <c r="C106" s="26">
        <f>IF(Notes!$E$27, VLOOKUP($A106, 'Completion rates'!$A:$E, 4, FALSE), VLOOKUP($A106, 'Completion rates'!$A:$E, 3, FALSE))</f>
        <v>840</v>
      </c>
      <c r="D106" s="26">
        <f>VLOOKUP($A106, 'Completion rates'!$A:$E, 5, FALSE)</f>
        <v>0</v>
      </c>
      <c r="E106" s="28">
        <f>IF(SUMIFS('Activity map'!$O:$O, 'Activity map'!$A:$A, A106, 'Activity map'!$H:$H, "=TRUE") = 0, "n/a", 1/SUMIFS('Activity map'!$O:$O, 'Activity map'!$A:$A, A106, 'Activity map'!$H:$H, "=TRUE"))</f>
        <v>300</v>
      </c>
      <c r="F106" s="26">
        <f t="shared" si="1"/>
        <v>0.3571428571</v>
      </c>
      <c r="G106" s="26" t="str">
        <f>IF(MINIFS('Activity map'!$N:$N, 'Activity map'!$A:$A, A106, 'Activity map'!$H:$H, "=TRUE") = 0, "n/a", MINIFS('Activity map'!$N:$N, 'Activity map'!$A:$A, A106, 'Activity map'!$H:$H, "=TRUE"))</f>
        <v>n/a</v>
      </c>
      <c r="H106" s="8" t="str">
        <f t="shared" si="2"/>
        <v/>
      </c>
      <c r="I106" s="26" t="str">
        <f>IF(MINIFS('Activity map'!$M:$M, 'Activity map'!$A:$A, A106, 'Activity map'!$H:$H, "=TRUE") = 0, "n/a", MINIFS('Activity map'!$M:$M, 'Activity map'!$A:$A, A106, 'Activity map'!$H:$H, "=TRUE"))</f>
        <v>n/a</v>
      </c>
      <c r="J106" s="8" t="str">
        <f t="shared" si="3"/>
        <v/>
      </c>
      <c r="K106" s="26" t="str">
        <f>IF(MINIFS('Activity map'!$L:$L, 'Activity map'!$A:$A, A106, 'Activity map'!$H:$H, "=TRUE") = 0, "n/a", MINIFS('Activity map'!$L:$L, 'Activity map'!$A:$A, A106, 'Activity map'!$H:$H, "=TRUE"))</f>
        <v>n/a</v>
      </c>
      <c r="L106" s="8" t="str">
        <f t="shared" si="4"/>
        <v/>
      </c>
      <c r="M106" s="26">
        <f>MINIFS('Activity map'!$C:$C, 'Activity map'!$A:$A, $A106, 'Activity map'!$H:$H, "=TRUE", 'Activity map'!$K:$K, MINIFS('Activity map'!$K:$K, 'Activity map'!$A:$A, $A106, 'Activity map'!$H:$H, "=TRUE"))</f>
        <v>31989</v>
      </c>
      <c r="N106" s="26">
        <f>MINIFS('Activity map'!$C:$C, 'Activity map'!$A:$A, $A106, 'Activity map'!$H:$H, "=TRUE", 'Activity map'!$E:$E, $T106)</f>
        <v>31989</v>
      </c>
      <c r="O106" s="113">
        <f t="shared" si="5"/>
        <v>0.01488095238</v>
      </c>
      <c r="P106" s="30" t="str">
        <f>IF($M106=0, "-", VLOOKUP($M106, 'List of log slots'!$A:$C, 2, FALSE))</f>
        <v>Boat bottle (empty)</v>
      </c>
      <c r="Q106" s="31">
        <f>IFERROR(__xludf.DUMMYFUNCTION("IF(ISERROR(FILTER('Activity map'!$C:$C, ('Activity map'!$A:$A=$A106)*('Activity map'!$F:$F=FALSE))), 0, COUNTA(UNIQUE(FILTER('Activity map'!$C:$C, ('Activity map'!$A:$A=$A106)*('Activity map'!$F:$F=FALSE)))))"),3.0)</f>
        <v>3</v>
      </c>
      <c r="R106" s="31">
        <f>IFERROR(__xludf.DUMMYFUNCTION("IF(ISERROR(FILTER('Activity map'!$C:$C, 'Activity map'!$A:$A=$A106)), 0, COUNTA(UNIQUE(FILTER('Activity map'!$C:$C, 'Activity map'!$A:$A=$A106))))"),3.0)</f>
        <v>3</v>
      </c>
      <c r="S106" s="97">
        <f t="shared" si="6"/>
        <v>0</v>
      </c>
      <c r="T106" s="31">
        <f>IFERROR(__xludf.DUMMYFUNCTION("IF(ISERROR(FILTER('Activity map'!$E:$E, ('Activity map'!$A:$A=$A106)*('Activity map'!$F:$F=FALSE))), ""-"", MIN(UNIQUE(FILTER('Activity map'!$E:$E, ('Activity map'!$A:$A=$A106)*('Activity map'!$F:$F=FALSE)))))"),3.0)</f>
        <v>3</v>
      </c>
      <c r="U106" s="30" t="str">
        <f>IF($N106=0, "-", VLOOKUP($N106, 'List of log slots'!$A:$C, 2, FALSE))</f>
        <v>Boat bottle (empty)</v>
      </c>
    </row>
    <row r="107">
      <c r="A107" s="26">
        <v>80.0</v>
      </c>
      <c r="B107" s="23" t="str">
        <f>VLOOKUP($A107, 'Completion rates'!$A:$E, 2, FALSE)</f>
        <v>Completing rounds of fishing trawler</v>
      </c>
      <c r="C107" s="26">
        <f>IF(Notes!$E$27, VLOOKUP($A107, 'Completion rates'!$A:$E, 4, FALSE), VLOOKUP($A107, 'Completion rates'!$A:$E, 3, FALSE))</f>
        <v>8</v>
      </c>
      <c r="D107" s="26">
        <f>VLOOKUP($A107, 'Completion rates'!$A:$E, 5, FALSE)</f>
        <v>0</v>
      </c>
      <c r="E107" s="28">
        <f>IF(SUMIFS('Activity map'!$O:$O, 'Activity map'!$A:$A, A107, 'Activity map'!$H:$H, "=TRUE") = 0, "n/a", 1/SUMIFS('Activity map'!$O:$O, 'Activity map'!$A:$A, A107, 'Activity map'!$H:$H, "=TRUE"))</f>
        <v>3</v>
      </c>
      <c r="F107" s="8">
        <f t="shared" si="1"/>
        <v>0.375</v>
      </c>
      <c r="G107" s="26" t="str">
        <f>IF(MINIFS('Activity map'!$N:$N, 'Activity map'!$A:$A, A107, 'Activity map'!$H:$H, "=TRUE") = 0, "n/a", MINIFS('Activity map'!$N:$N, 'Activity map'!$A:$A, A107, 'Activity map'!$H:$H, "=TRUE"))</f>
        <v>n/a</v>
      </c>
      <c r="H107" s="8" t="str">
        <f t="shared" si="2"/>
        <v/>
      </c>
      <c r="I107" s="26" t="str">
        <f>IF(MINIFS('Activity map'!$M:$M, 'Activity map'!$A:$A, A107, 'Activity map'!$H:$H, "=TRUE") = 0, "n/a", MINIFS('Activity map'!$M:$M, 'Activity map'!$A:$A, A107, 'Activity map'!$H:$H, "=TRUE"))</f>
        <v>n/a</v>
      </c>
      <c r="J107" s="8" t="str">
        <f t="shared" si="3"/>
        <v/>
      </c>
      <c r="K107" s="26" t="str">
        <f>IF(MINIFS('Activity map'!$L:$L, 'Activity map'!$A:$A, A107, 'Activity map'!$H:$H, "=TRUE") = 0, "n/a", MINIFS('Activity map'!$L:$L, 'Activity map'!$A:$A, A107, 'Activity map'!$H:$H, "=TRUE"))</f>
        <v>n/a</v>
      </c>
      <c r="L107" s="8" t="str">
        <f t="shared" si="4"/>
        <v/>
      </c>
      <c r="M107" s="26">
        <f>MINIFS('Activity map'!$C:$C, 'Activity map'!$A:$A, $A107, 'Activity map'!$H:$H, "=TRUE", 'Activity map'!$K:$K, MINIFS('Activity map'!$K:$K, 'Activity map'!$A:$A, $A107, 'Activity map'!$H:$H, "=TRUE"))</f>
        <v>13258</v>
      </c>
      <c r="N107" s="26">
        <f>MINIFS('Activity map'!$C:$C, 'Activity map'!$A:$A, $A107, 'Activity map'!$H:$H, "=TRUE", 'Activity map'!$E:$E, $T107)</f>
        <v>13258</v>
      </c>
      <c r="O107" s="35">
        <f t="shared" si="5"/>
        <v>0.015625</v>
      </c>
      <c r="P107" s="30" t="str">
        <f>IF($M107=0, "-", VLOOKUP($M107, 'List of log slots'!$A:$C, 2, FALSE))</f>
        <v>Angler hat</v>
      </c>
      <c r="Q107" s="31">
        <f>IFERROR(__xludf.DUMMYFUNCTION("IF(ISERROR(FILTER('Activity map'!$C:$C, ('Activity map'!$A:$A=$A107)*('Activity map'!$F:$F=FALSE))), 0, COUNTA(UNIQUE(FILTER('Activity map'!$C:$C, ('Activity map'!$A:$A=$A107)*('Activity map'!$F:$F=FALSE)))))"),4.0)</f>
        <v>4</v>
      </c>
      <c r="R107" s="31">
        <f>IFERROR(__xludf.DUMMYFUNCTION("IF(ISERROR(FILTER('Activity map'!$C:$C, 'Activity map'!$A:$A=$A107)), 0, COUNTA(UNIQUE(FILTER('Activity map'!$C:$C, 'Activity map'!$A:$A=$A107))))"),4.0)</f>
        <v>4</v>
      </c>
      <c r="S107" s="36">
        <f t="shared" si="6"/>
        <v>0</v>
      </c>
      <c r="T107" s="31">
        <f>IFERROR(__xludf.DUMMYFUNCTION("IF(ISERROR(FILTER('Activity map'!$E:$E, ('Activity map'!$A:$A=$A107)*('Activity map'!$F:$F=FALSE))), ""-"", MIN(UNIQUE(FILTER('Activity map'!$E:$E, ('Activity map'!$A:$A=$A107)*('Activity map'!$F:$F=FALSE)))))"),2.0)</f>
        <v>2</v>
      </c>
      <c r="U107" s="30" t="str">
        <f>IF($N107=0, "-", VLOOKUP($N107, 'List of log slots'!$A:$C, 2, FALSE))</f>
        <v>Angler hat</v>
      </c>
    </row>
    <row r="108">
      <c r="A108" s="26">
        <v>14.0</v>
      </c>
      <c r="B108" s="23" t="str">
        <f>VLOOKUP($A108, 'Completion rates'!$A:$E, 2, FALSE)</f>
        <v>Killing dagganoth kings (3 kills = 1 of each king)</v>
      </c>
      <c r="C108" s="26">
        <f>IF(Notes!$E$27, VLOOKUP($A108, 'Completion rates'!$A:$E, 4, FALSE), VLOOKUP($A108, 'Completion rates'!$A:$E, 3, FALSE))</f>
        <v>105</v>
      </c>
      <c r="D108" s="26">
        <f>VLOOKUP($A108, 'Completion rates'!$A:$E, 5, FALSE)</f>
        <v>0</v>
      </c>
      <c r="E108" s="28">
        <f>IF(SUMIFS('Activity map'!$O:$O, 'Activity map'!$A:$A, A108, 'Activity map'!$H:$H, "=TRUE") = 0, "n/a", 1/SUMIFS('Activity map'!$O:$O, 'Activity map'!$A:$A, A108, 'Activity map'!$H:$H, "=TRUE"))</f>
        <v>41.53587874</v>
      </c>
      <c r="F108" s="26">
        <f t="shared" si="1"/>
        <v>0.3955797975</v>
      </c>
      <c r="G108" s="26" t="str">
        <f>IF(MINIFS('Activity map'!$N:$N, 'Activity map'!$A:$A, A108, 'Activity map'!$H:$H, "=TRUE") = 0, "n/a", MINIFS('Activity map'!$N:$N, 'Activity map'!$A:$A, A108, 'Activity map'!$H:$H, "=TRUE"))</f>
        <v>n/a</v>
      </c>
      <c r="H108" s="8" t="str">
        <f t="shared" si="2"/>
        <v/>
      </c>
      <c r="I108" s="26" t="str">
        <f>IF(MINIFS('Activity map'!$M:$M, 'Activity map'!$A:$A, A108, 'Activity map'!$H:$H, "=TRUE") = 0, "n/a", MINIFS('Activity map'!$M:$M, 'Activity map'!$A:$A, A108, 'Activity map'!$H:$H, "=TRUE"))</f>
        <v>n/a</v>
      </c>
      <c r="J108" s="8" t="str">
        <f t="shared" si="3"/>
        <v/>
      </c>
      <c r="K108" s="26" t="str">
        <f>IF(MINIFS('Activity map'!$L:$L, 'Activity map'!$A:$A, A108, 'Activity map'!$H:$H, "=TRUE") = 0, "n/a", MINIFS('Activity map'!$L:$L, 'Activity map'!$A:$A, A108, 'Activity map'!$H:$H, "=TRUE"))</f>
        <v>n/a</v>
      </c>
      <c r="L108" s="8" t="str">
        <f t="shared" si="4"/>
        <v/>
      </c>
      <c r="M108" s="26">
        <f>MINIFS('Activity map'!$C:$C, 'Activity map'!$A:$A, $A108, 'Activity map'!$H:$H, "=TRUE", 'Activity map'!$K:$K, MINIFS('Activity map'!$K:$K, 'Activity map'!$A:$A, $A108, 'Activity map'!$H:$H, "=TRUE"))</f>
        <v>6739</v>
      </c>
      <c r="N108" s="26">
        <f>MINIFS('Activity map'!$C:$C, 'Activity map'!$A:$A, $A108, 'Activity map'!$H:$H, "=TRUE", 'Activity map'!$E:$E, $T108)</f>
        <v>6562</v>
      </c>
      <c r="O108" s="114">
        <f t="shared" si="5"/>
        <v>0.01648249156</v>
      </c>
      <c r="P108" s="30" t="str">
        <f>IF($M108=0, "-", VLOOKUP($M108, 'List of log slots'!$A:$C, 2, FALSE))</f>
        <v>Dragon axe</v>
      </c>
      <c r="Q108" s="31">
        <f>IFERROR(__xludf.DUMMYFUNCTION("IF(ISERROR(FILTER('Activity map'!$C:$C, ('Activity map'!$A:$A=$A108)*('Activity map'!$F:$F=FALSE))), 0, COUNTA(UNIQUE(FILTER('Activity map'!$C:$C, ('Activity map'!$A:$A=$A108)*('Activity map'!$F:$F=FALSE)))))"),12.0)</f>
        <v>12</v>
      </c>
      <c r="R108" s="31">
        <f>IFERROR(__xludf.DUMMYFUNCTION("IF(ISERROR(FILTER('Activity map'!$C:$C, 'Activity map'!$A:$A=$A108)), 0, COUNTA(UNIQUE(FILTER('Activity map'!$C:$C, 'Activity map'!$A:$A=$A108))))"),12.0)</f>
        <v>12</v>
      </c>
      <c r="S108" s="115">
        <f t="shared" si="6"/>
        <v>0</v>
      </c>
      <c r="T108" s="31">
        <f>IFERROR(__xludf.DUMMYFUNCTION("IF(ISERROR(FILTER('Activity map'!$E:$E, ('Activity map'!$A:$A=$A108)*('Activity map'!$F:$F=FALSE))), ""-"", MIN(UNIQUE(FILTER('Activity map'!$E:$E, ('Activity map'!$A:$A=$A108)*('Activity map'!$F:$F=FALSE)))))"),4.0)</f>
        <v>4</v>
      </c>
      <c r="U108" s="30" t="str">
        <f>IF($N108=0, "-", VLOOKUP($N108, 'List of log slots'!$A:$C, 2, FALSE))</f>
        <v>Mud battlestaff</v>
      </c>
    </row>
    <row r="109">
      <c r="A109" s="26">
        <v>18.0</v>
      </c>
      <c r="B109" s="23" t="str">
        <f>VLOOKUP($A109, 'Completion rates'!$A:$E, 2, FALSE)</f>
        <v>Finishing fight caves (and gambling cape, on task)</v>
      </c>
      <c r="C109" s="26">
        <f>IF(Notes!$E$27, VLOOKUP($A109, 'Completion rates'!$A:$E, 4, FALSE), VLOOKUP($A109, 'Completion rates'!$A:$E, 3, FALSE))</f>
        <v>2.5</v>
      </c>
      <c r="D109" s="26">
        <f>VLOOKUP($A109, 'Completion rates'!$A:$E, 5, FALSE)</f>
        <v>0</v>
      </c>
      <c r="E109" s="28">
        <f>IF(SUMIFS('Activity map'!$O:$O, 'Activity map'!$A:$A, A109, 'Activity map'!$H:$H, "=TRUE") = 0, "n/a", 1/SUMIFS('Activity map'!$O:$O, 'Activity map'!$A:$A, A109, 'Activity map'!$H:$H, "=TRUE"))</f>
        <v>67</v>
      </c>
      <c r="F109" s="26">
        <f t="shared" si="1"/>
        <v>26.8</v>
      </c>
      <c r="G109" s="26" t="str">
        <f>IF(MINIFS('Activity map'!$N:$N, 'Activity map'!$A:$A, A109, 'Activity map'!$H:$H, "=TRUE") = 0, "n/a", MINIFS('Activity map'!$N:$N, 'Activity map'!$A:$A, A109, 'Activity map'!$H:$H, "=TRUE"))</f>
        <v>n/a</v>
      </c>
      <c r="H109" s="8" t="str">
        <f t="shared" si="2"/>
        <v/>
      </c>
      <c r="I109" s="26">
        <f>IF(MINIFS('Activity map'!$M:$M, 'Activity map'!$A:$A, A109, 'Activity map'!$H:$H, "=TRUE") = 0, "n/a", MINIFS('Activity map'!$M:$M, 'Activity map'!$A:$A, A109, 'Activity map'!$H:$H, "=TRUE"))</f>
        <v>1</v>
      </c>
      <c r="J109" s="8">
        <f t="shared" si="3"/>
        <v>0.4</v>
      </c>
      <c r="K109" s="26" t="str">
        <f>IF(MINIFS('Activity map'!$L:$L, 'Activity map'!$A:$A, A109, 'Activity map'!$H:$H, "=TRUE") = 0, "n/a", MINIFS('Activity map'!$L:$L, 'Activity map'!$A:$A, A109, 'Activity map'!$H:$H, "=TRUE"))</f>
        <v>n/a</v>
      </c>
      <c r="L109" s="8" t="str">
        <f t="shared" si="4"/>
        <v/>
      </c>
      <c r="M109" s="26">
        <f>MINIFS('Activity map'!$C:$C, 'Activity map'!$A:$A, $A109, 'Activity map'!$H:$H, "=TRUE", 'Activity map'!$K:$K, MINIFS('Activity map'!$K:$K, 'Activity map'!$A:$A, $A109, 'Activity map'!$H:$H, "=TRUE"))</f>
        <v>6570</v>
      </c>
      <c r="N109" s="26">
        <f>MINIFS('Activity map'!$C:$C, 'Activity map'!$A:$A, $A109, 'Activity map'!$H:$H, "=TRUE", 'Activity map'!$E:$E, $T109)</f>
        <v>6570</v>
      </c>
      <c r="O109" s="116">
        <f t="shared" si="5"/>
        <v>0.01666666667</v>
      </c>
      <c r="P109" s="30" t="str">
        <f>IF($M109=0, "-", VLOOKUP($M109, 'List of log slots'!$A:$C, 2, FALSE))</f>
        <v>Fire cape</v>
      </c>
      <c r="Q109" s="31">
        <f>IFERROR(__xludf.DUMMYFUNCTION("IF(ISERROR(FILTER('Activity map'!$C:$C, ('Activity map'!$A:$A=$A109)*('Activity map'!$F:$F=FALSE))), 0, COUNTA(UNIQUE(FILTER('Activity map'!$C:$C, ('Activity map'!$A:$A=$A109)*('Activity map'!$F:$F=FALSE)))))"),2.0)</f>
        <v>2</v>
      </c>
      <c r="R109" s="31">
        <f>IFERROR(__xludf.DUMMYFUNCTION("IF(ISERROR(FILTER('Activity map'!$C:$C, 'Activity map'!$A:$A=$A109)), 0, COUNTA(UNIQUE(FILTER('Activity map'!$C:$C, 'Activity map'!$A:$A=$A109))))"),2.0)</f>
        <v>2</v>
      </c>
      <c r="S109" s="46">
        <f t="shared" si="6"/>
        <v>0</v>
      </c>
      <c r="T109" s="31">
        <f>IFERROR(__xludf.DUMMYFUNCTION("IF(ISERROR(FILTER('Activity map'!$E:$E, ('Activity map'!$A:$A=$A109)*('Activity map'!$F:$F=FALSE))), ""-"", MIN(UNIQUE(FILTER('Activity map'!$E:$E, ('Activity map'!$A:$A=$A109)*('Activity map'!$F:$F=FALSE)))))"),4.0)</f>
        <v>4</v>
      </c>
      <c r="U109" s="30" t="str">
        <f>IF($N109=0, "-", VLOOKUP($N109, 'List of log slots'!$A:$C, 2, FALSE))</f>
        <v>Fire cape</v>
      </c>
    </row>
    <row r="110">
      <c r="A110" s="26">
        <v>19.0</v>
      </c>
      <c r="B110" s="23" t="str">
        <f>VLOOKUP($A110, 'Completion rates'!$A:$E, 2, FALSE)</f>
        <v>Killing sol heredit (and gambling quiver, fortis colosseum)</v>
      </c>
      <c r="C110" s="26">
        <f>IF(Notes!$E$27, VLOOKUP($A110, 'Completion rates'!$A:$E, 4, FALSE), VLOOKUP($A110, 'Completion rates'!$A:$E, 3, FALSE))</f>
        <v>2.5</v>
      </c>
      <c r="D110" s="26">
        <f>VLOOKUP($A110, 'Completion rates'!$A:$E, 5, FALSE)</f>
        <v>0</v>
      </c>
      <c r="E110" s="28">
        <f>IF(SUMIFS('Activity map'!$O:$O, 'Activity map'!$A:$A, A110, 'Activity map'!$H:$H, "=TRUE") = 0, "n/a", 1/SUMIFS('Activity map'!$O:$O, 'Activity map'!$A:$A, A110, 'Activity map'!$H:$H, "=TRUE"))</f>
        <v>9.489329268</v>
      </c>
      <c r="F110" s="26">
        <f t="shared" si="1"/>
        <v>3.795731707</v>
      </c>
      <c r="G110" s="26">
        <f>IF(MINIFS('Activity map'!$N:$N, 'Activity map'!$A:$A, A110, 'Activity map'!$H:$H, "=TRUE") = 0, "n/a", MINIFS('Activity map'!$N:$N, 'Activity map'!$A:$A, A110, 'Activity map'!$H:$H, "=TRUE"))</f>
        <v>8</v>
      </c>
      <c r="H110" s="26">
        <f t="shared" si="2"/>
        <v>3.2</v>
      </c>
      <c r="I110" s="26">
        <f>IF(MINIFS('Activity map'!$M:$M, 'Activity map'!$A:$A, A110, 'Activity map'!$H:$H, "=TRUE") = 0, "n/a", MINIFS('Activity map'!$M:$M, 'Activity map'!$A:$A, A110, 'Activity map'!$H:$H, "=TRUE"))</f>
        <v>1</v>
      </c>
      <c r="J110" s="26">
        <f t="shared" si="3"/>
        <v>0.4</v>
      </c>
      <c r="K110" s="26" t="str">
        <f>IF(MINIFS('Activity map'!$L:$L, 'Activity map'!$A:$A, A110, 'Activity map'!$H:$H, "=TRUE") = 0, "n/a", MINIFS('Activity map'!$L:$L, 'Activity map'!$A:$A, A110, 'Activity map'!$H:$H, "=TRUE"))</f>
        <v>n/a</v>
      </c>
      <c r="L110" s="8" t="str">
        <f t="shared" si="4"/>
        <v/>
      </c>
      <c r="M110" s="26">
        <f>MINIFS('Activity map'!$C:$C, 'Activity map'!$A:$A, $A110, 'Activity map'!$H:$H, "=TRUE", 'Activity map'!$K:$K, MINIFS('Activity map'!$K:$K, 'Activity map'!$A:$A, $A110, 'Activity map'!$H:$H, "=TRUE"))</f>
        <v>28924</v>
      </c>
      <c r="N110" s="26">
        <f>MINIFS('Activity map'!$C:$C, 'Activity map'!$A:$A, $A110, 'Activity map'!$H:$H, "=TRUE", 'Activity map'!$E:$E, $T110)</f>
        <v>28924</v>
      </c>
      <c r="O110" s="52">
        <f t="shared" si="5"/>
        <v>0.01666666667</v>
      </c>
      <c r="P110" s="30" t="str">
        <f>IF($M110=0, "-", VLOOKUP($M110, 'List of log slots'!$A:$C, 2, FALSE))</f>
        <v>Sunfire splinters</v>
      </c>
      <c r="Q110" s="31">
        <f>IFERROR(__xludf.DUMMYFUNCTION("IF(ISERROR(FILTER('Activity map'!$C:$C, ('Activity map'!$A:$A=$A110)*('Activity map'!$F:$F=FALSE))), 0, COUNTA(UNIQUE(FILTER('Activity map'!$C:$C, ('Activity map'!$A:$A=$A110)*('Activity map'!$F:$F=FALSE)))))"),8.0)</f>
        <v>8</v>
      </c>
      <c r="R110" s="31">
        <f>IFERROR(__xludf.DUMMYFUNCTION("IF(ISERROR(FILTER('Activity map'!$C:$C, 'Activity map'!$A:$A=$A110)), 0, COUNTA(UNIQUE(FILTER('Activity map'!$C:$C, 'Activity map'!$A:$A=$A110))))"),8.0)</f>
        <v>8</v>
      </c>
      <c r="S110" s="117">
        <f t="shared" si="6"/>
        <v>0</v>
      </c>
      <c r="T110" s="31">
        <f>IFERROR(__xludf.DUMMYFUNCTION("IF(ISERROR(FILTER('Activity map'!$E:$E, ('Activity map'!$A:$A=$A110)*('Activity map'!$F:$F=FALSE))), ""-"", MIN(UNIQUE(FILTER('Activity map'!$E:$E, ('Activity map'!$A:$A=$A110)*('Activity map'!$F:$F=FALSE)))))"),2.0)</f>
        <v>2</v>
      </c>
      <c r="U110" s="30" t="str">
        <f>IF($N110=0, "-", VLOOKUP($N110, 'List of log slots'!$A:$C, 2, FALSE))</f>
        <v>Sunfire splinters</v>
      </c>
    </row>
    <row r="111">
      <c r="A111" s="26">
        <v>145.0</v>
      </c>
      <c r="B111" s="23" t="str">
        <f>VLOOKUP($A111, 'Completion rates'!$A:$E, 2, FALSE)</f>
        <v>Killing vampyre kraken (boat combat)</v>
      </c>
      <c r="C111" s="26">
        <f>IF(Notes!$E$27, VLOOKUP($A111, 'Completion rates'!$A:$E, 4, FALSE), VLOOKUP($A111, 'Completion rates'!$A:$E, 3, FALSE))</f>
        <v>110</v>
      </c>
      <c r="D111" s="26">
        <f>VLOOKUP($A111, 'Completion rates'!$A:$E, 5, FALSE)</f>
        <v>0</v>
      </c>
      <c r="E111" s="28">
        <f>IF(SUMIFS('Activity map'!$O:$O, 'Activity map'!$A:$A, A111, 'Activity map'!$H:$H, "=TRUE") = 0, "n/a", 1/SUMIFS('Activity map'!$O:$O, 'Activity map'!$A:$A, A111, 'Activity map'!$H:$H, "=TRUE"))</f>
        <v>45.6204738</v>
      </c>
      <c r="F111" s="26">
        <f t="shared" si="1"/>
        <v>0.41473158</v>
      </c>
      <c r="G111" s="26" t="str">
        <f>IF(MINIFS('Activity map'!$N:$N, 'Activity map'!$A:$A, A111, 'Activity map'!$H:$H, "=TRUE") = 0, "n/a", MINIFS('Activity map'!$N:$N, 'Activity map'!$A:$A, A111, 'Activity map'!$H:$H, "=TRUE"))</f>
        <v>n/a</v>
      </c>
      <c r="H111" s="8" t="str">
        <f t="shared" si="2"/>
        <v/>
      </c>
      <c r="I111" s="26" t="str">
        <f>IF(MINIFS('Activity map'!$M:$M, 'Activity map'!$A:$A, A111, 'Activity map'!$H:$H, "=TRUE") = 0, "n/a", MINIFS('Activity map'!$M:$M, 'Activity map'!$A:$A, A111, 'Activity map'!$H:$H, "=TRUE"))</f>
        <v>n/a</v>
      </c>
      <c r="J111" s="8" t="str">
        <f t="shared" si="3"/>
        <v/>
      </c>
      <c r="K111" s="26" t="str">
        <f>IF(MINIFS('Activity map'!$L:$L, 'Activity map'!$A:$A, A111, 'Activity map'!$H:$H, "=TRUE") = 0, "n/a", MINIFS('Activity map'!$L:$L, 'Activity map'!$A:$A, A111, 'Activity map'!$H:$H, "=TRUE"))</f>
        <v>n/a</v>
      </c>
      <c r="L111" s="8" t="str">
        <f t="shared" si="4"/>
        <v/>
      </c>
      <c r="M111" s="26">
        <f>MINIFS('Activity map'!$C:$C, 'Activity map'!$A:$A, $A111, 'Activity map'!$H:$H, "=TRUE", 'Activity map'!$K:$K, MINIFS('Activity map'!$K:$K, 'Activity map'!$A:$A, $A111, 'Activity map'!$H:$H, "=TRUE"))</f>
        <v>31916</v>
      </c>
      <c r="N111" s="26">
        <f>MINIFS('Activity map'!$C:$C, 'Activity map'!$A:$A, $A111, 'Activity map'!$H:$H, "=TRUE", 'Activity map'!$E:$E, $T111)</f>
        <v>31916</v>
      </c>
      <c r="O111" s="118">
        <f t="shared" si="5"/>
        <v>0.0172804825</v>
      </c>
      <c r="P111" s="30" t="str">
        <f>IF($M111=0, "-", VLOOKUP($M111, 'List of log slots'!$A:$C, 2, FALSE))</f>
        <v>Dragon cannonball</v>
      </c>
      <c r="Q111" s="31">
        <f>IFERROR(__xludf.DUMMYFUNCTION("IF(ISERROR(FILTER('Activity map'!$C:$C, ('Activity map'!$A:$A=$A111)*('Activity map'!$F:$F=FALSE))), 0, COUNTA(UNIQUE(FILTER('Activity map'!$C:$C, ('Activity map'!$A:$A=$A111)*('Activity map'!$F:$F=FALSE)))))"),6.0)</f>
        <v>6</v>
      </c>
      <c r="R111" s="31">
        <f>IFERROR(__xludf.DUMMYFUNCTION("IF(ISERROR(FILTER('Activity map'!$C:$C, 'Activity map'!$A:$A=$A111)), 0, COUNTA(UNIQUE(FILTER('Activity map'!$C:$C, 'Activity map'!$A:$A=$A111))))"),6.0)</f>
        <v>6</v>
      </c>
      <c r="S111" s="97">
        <f t="shared" si="6"/>
        <v>0</v>
      </c>
      <c r="T111" s="31">
        <f>IFERROR(__xludf.DUMMYFUNCTION("IF(ISERROR(FILTER('Activity map'!$E:$E, ('Activity map'!$A:$A=$A111)*('Activity map'!$F:$F=FALSE))), ""-"", MIN(UNIQUE(FILTER('Activity map'!$E:$E, ('Activity map'!$A:$A=$A111)*('Activity map'!$F:$F=FALSE)))))"),4.0)</f>
        <v>4</v>
      </c>
      <c r="U111" s="30" t="str">
        <f>IF($N111=0, "-", VLOOKUP($N111, 'List of log slots'!$A:$C, 2, FALSE))</f>
        <v>Dragon cannonball</v>
      </c>
    </row>
    <row r="112">
      <c r="A112" s="26">
        <v>152.0</v>
      </c>
      <c r="B112" s="23" t="str">
        <f>VLOOKUP($A112, 'Completion rates'!$A:$E, 2, FALSE)</f>
        <v>Sorting through fremennik salvage</v>
      </c>
      <c r="C112" s="26">
        <f>IF(Notes!$E$27, VLOOKUP($A112, 'Completion rates'!$A:$E, 4, FALSE), VLOOKUP($A112, 'Completion rates'!$A:$E, 3, FALSE))</f>
        <v>750</v>
      </c>
      <c r="D112" s="26">
        <f>VLOOKUP($A112, 'Completion rates'!$A:$E, 5, FALSE)</f>
        <v>0</v>
      </c>
      <c r="E112" s="28">
        <f>IF(SUMIFS('Activity map'!$O:$O, 'Activity map'!$A:$A, A112, 'Activity map'!$H:$H, "=TRUE") = 0, "n/a", 1/SUMIFS('Activity map'!$O:$O, 'Activity map'!$A:$A, A112, 'Activity map'!$H:$H, "=TRUE"))</f>
        <v>313.4328358</v>
      </c>
      <c r="F112" s="8">
        <f t="shared" si="1"/>
        <v>0.4179104478</v>
      </c>
      <c r="G112" s="26" t="str">
        <f>IF(MINIFS('Activity map'!$N:$N, 'Activity map'!$A:$A, A112, 'Activity map'!$H:$H, "=TRUE") = 0, "n/a", MINIFS('Activity map'!$N:$N, 'Activity map'!$A:$A, A112, 'Activity map'!$H:$H, "=TRUE"))</f>
        <v>n/a</v>
      </c>
      <c r="H112" s="8" t="str">
        <f t="shared" si="2"/>
        <v/>
      </c>
      <c r="I112" s="26" t="str">
        <f>IF(MINIFS('Activity map'!$M:$M, 'Activity map'!$A:$A, A112, 'Activity map'!$H:$H, "=TRUE") = 0, "n/a", MINIFS('Activity map'!$M:$M, 'Activity map'!$A:$A, A112, 'Activity map'!$H:$H, "=TRUE"))</f>
        <v>n/a</v>
      </c>
      <c r="J112" s="8" t="str">
        <f t="shared" si="3"/>
        <v/>
      </c>
      <c r="K112" s="26" t="str">
        <f>IF(MINIFS('Activity map'!$L:$L, 'Activity map'!$A:$A, A112, 'Activity map'!$H:$H, "=TRUE") = 0, "n/a", MINIFS('Activity map'!$L:$L, 'Activity map'!$A:$A, A112, 'Activity map'!$H:$H, "=TRUE"))</f>
        <v>n/a</v>
      </c>
      <c r="L112" s="8" t="str">
        <f t="shared" si="4"/>
        <v/>
      </c>
      <c r="M112" s="26">
        <f>MINIFS('Activity map'!$C:$C, 'Activity map'!$A:$A, $A112, 'Activity map'!$H:$H, "=TRUE", 'Activity map'!$K:$K, MINIFS('Activity map'!$K:$K, 'Activity map'!$A:$A, $A112, 'Activity map'!$H:$H, "=TRUE"))</f>
        <v>32398</v>
      </c>
      <c r="N112" s="26">
        <f>MINIFS('Activity map'!$C:$C, 'Activity map'!$A:$A, $A112, 'Activity map'!$H:$H, "=TRUE", 'Activity map'!$E:$E, $T112)</f>
        <v>32398</v>
      </c>
      <c r="O112" s="35">
        <f t="shared" si="5"/>
        <v>0.01741293532</v>
      </c>
      <c r="P112" s="30" t="str">
        <f>IF($M112=0, "-", VLOOKUP($M112, 'List of log slots'!$A:$C, 2, FALSE))</f>
        <v>Sailors' amulet (inert)</v>
      </c>
      <c r="Q112" s="31">
        <f>IFERROR(__xludf.DUMMYFUNCTION("IF(ISERROR(FILTER('Activity map'!$C:$C, ('Activity map'!$A:$A=$A112)*('Activity map'!$F:$F=FALSE))), 0, COUNTA(UNIQUE(FILTER('Activity map'!$C:$C, ('Activity map'!$A:$A=$A112)*('Activity map'!$F:$F=FALSE)))))"),2.0)</f>
        <v>2</v>
      </c>
      <c r="R112" s="31">
        <f>IFERROR(__xludf.DUMMYFUNCTION("IF(ISERROR(FILTER('Activity map'!$C:$C, 'Activity map'!$A:$A=$A112)), 0, COUNTA(UNIQUE(FILTER('Activity map'!$C:$C, 'Activity map'!$A:$A=$A112))))"),2.0)</f>
        <v>2</v>
      </c>
      <c r="S112" s="36">
        <f t="shared" si="6"/>
        <v>0</v>
      </c>
      <c r="T112" s="31">
        <f>IFERROR(__xludf.DUMMYFUNCTION("IF(ISERROR(FILTER('Activity map'!$E:$E, ('Activity map'!$A:$A=$A112)*('Activity map'!$F:$F=FALSE))), ""-"", MIN(UNIQUE(FILTER('Activity map'!$E:$E, ('Activity map'!$A:$A=$A112)*('Activity map'!$F:$F=FALSE)))))"),3.0)</f>
        <v>3</v>
      </c>
      <c r="U112" s="30" t="str">
        <f>IF($N112=0, "-", VLOOKUP($N112, 'List of log slots'!$A:$C, 2, FALSE))</f>
        <v>Sailors' amulet (inert)</v>
      </c>
    </row>
    <row r="113">
      <c r="A113" s="26">
        <v>150.0</v>
      </c>
      <c r="B113" s="23" t="str">
        <f>VLOOKUP($A113, 'Completion rates'!$A:$E, 2, FALSE)</f>
        <v>Sorting through plundered salvage</v>
      </c>
      <c r="C113" s="26">
        <f>IF(Notes!$E$27, VLOOKUP($A113, 'Completion rates'!$A:$E, 4, FALSE), VLOOKUP($A113, 'Completion rates'!$A:$E, 3, FALSE))</f>
        <v>820</v>
      </c>
      <c r="D113" s="26">
        <f>VLOOKUP($A113, 'Completion rates'!$A:$E, 5, FALSE)</f>
        <v>0</v>
      </c>
      <c r="E113" s="28">
        <f>IF(SUMIFS('Activity map'!$O:$O, 'Activity map'!$A:$A, A113, 'Activity map'!$H:$H, "=TRUE") = 0, "n/a", 1/SUMIFS('Activity map'!$O:$O, 'Activity map'!$A:$A, A113, 'Activity map'!$H:$H, "=TRUE"))</f>
        <v>346.1538462</v>
      </c>
      <c r="F113" s="26">
        <f t="shared" si="1"/>
        <v>0.4221388368</v>
      </c>
      <c r="G113" s="26" t="str">
        <f>IF(MINIFS('Activity map'!$N:$N, 'Activity map'!$A:$A, A113, 'Activity map'!$H:$H, "=TRUE") = 0, "n/a", MINIFS('Activity map'!$N:$N, 'Activity map'!$A:$A, A113, 'Activity map'!$H:$H, "=TRUE"))</f>
        <v>n/a</v>
      </c>
      <c r="H113" s="8" t="str">
        <f t="shared" si="2"/>
        <v/>
      </c>
      <c r="I113" s="26" t="str">
        <f>IF(MINIFS('Activity map'!$M:$M, 'Activity map'!$A:$A, A113, 'Activity map'!$H:$H, "=TRUE") = 0, "n/a", MINIFS('Activity map'!$M:$M, 'Activity map'!$A:$A, A113, 'Activity map'!$H:$H, "=TRUE"))</f>
        <v>n/a</v>
      </c>
      <c r="J113" s="8" t="str">
        <f t="shared" si="3"/>
        <v/>
      </c>
      <c r="K113" s="26" t="str">
        <f>IF(MINIFS('Activity map'!$L:$L, 'Activity map'!$A:$A, A113, 'Activity map'!$H:$H, "=TRUE") = 0, "n/a", MINIFS('Activity map'!$L:$L, 'Activity map'!$A:$A, A113, 'Activity map'!$H:$H, "=TRUE"))</f>
        <v>n/a</v>
      </c>
      <c r="L113" s="8" t="str">
        <f t="shared" si="4"/>
        <v/>
      </c>
      <c r="M113" s="26">
        <f>MINIFS('Activity map'!$C:$C, 'Activity map'!$A:$A, $A113, 'Activity map'!$H:$H, "=TRUE", 'Activity map'!$K:$K, MINIFS('Activity map'!$K:$K, 'Activity map'!$A:$A, $A113, 'Activity map'!$H:$H, "=TRUE"))</f>
        <v>32398</v>
      </c>
      <c r="N113" s="26">
        <f>MINIFS('Activity map'!$C:$C, 'Activity map'!$A:$A, $A113, 'Activity map'!$H:$H, "=TRUE", 'Activity map'!$E:$E, $T113)</f>
        <v>32398</v>
      </c>
      <c r="O113" s="119">
        <f t="shared" si="5"/>
        <v>0.0175891182</v>
      </c>
      <c r="P113" s="30" t="str">
        <f>IF($M113=0, "-", VLOOKUP($M113, 'List of log slots'!$A:$C, 2, FALSE))</f>
        <v>Sailors' amulet (inert)</v>
      </c>
      <c r="Q113" s="31">
        <f>IFERROR(__xludf.DUMMYFUNCTION("IF(ISERROR(FILTER('Activity map'!$C:$C, ('Activity map'!$A:$A=$A113)*('Activity map'!$F:$F=FALSE))), 0, COUNTA(UNIQUE(FILTER('Activity map'!$C:$C, ('Activity map'!$A:$A=$A113)*('Activity map'!$F:$F=FALSE)))))"),3.0)</f>
        <v>3</v>
      </c>
      <c r="R113" s="31">
        <f>IFERROR(__xludf.DUMMYFUNCTION("IF(ISERROR(FILTER('Activity map'!$C:$C, 'Activity map'!$A:$A=$A113)), 0, COUNTA(UNIQUE(FILTER('Activity map'!$C:$C, 'Activity map'!$A:$A=$A113))))"),3.0)</f>
        <v>3</v>
      </c>
      <c r="S113" s="97">
        <f t="shared" si="6"/>
        <v>0</v>
      </c>
      <c r="T113" s="31">
        <f>IFERROR(__xludf.DUMMYFUNCTION("IF(ISERROR(FILTER('Activity map'!$E:$E, ('Activity map'!$A:$A=$A113)*('Activity map'!$F:$F=FALSE))), ""-"", MIN(UNIQUE(FILTER('Activity map'!$E:$E, ('Activity map'!$A:$A=$A113)*('Activity map'!$F:$F=FALSE)))))"),3.0)</f>
        <v>3</v>
      </c>
      <c r="U113" s="30" t="str">
        <f>IF($N113=0, "-", VLOOKUP($N113, 'List of log slots'!$A:$C, 2, FALSE))</f>
        <v>Sailors' amulet (inert)</v>
      </c>
    </row>
    <row r="114">
      <c r="A114" s="26">
        <v>83.0</v>
      </c>
      <c r="B114" s="23" t="str">
        <f>VLOOKUP($A114, 'Completion rates'!$A:$E, 2, FALSE)</f>
        <v>Gnome restaurant deliveries (scarfs and goggles)</v>
      </c>
      <c r="C114" s="26">
        <f>IF(Notes!$E$27, VLOOKUP($A114, 'Completion rates'!$A:$E, 4, FALSE), VLOOKUP($A114, 'Completion rates'!$A:$E, 3, FALSE))</f>
        <v>20</v>
      </c>
      <c r="D114" s="26">
        <f>VLOOKUP($A114, 'Completion rates'!$A:$E, 5, FALSE)</f>
        <v>0</v>
      </c>
      <c r="E114" s="28">
        <f>IF(SUMIFS('Activity map'!$O:$O, 'Activity map'!$A:$A, A114, 'Activity map'!$H:$H, "=TRUE") = 0, "n/a", 1/SUMIFS('Activity map'!$O:$O, 'Activity map'!$A:$A, A114, 'Activity map'!$H:$H, "=TRUE"))</f>
        <v>8.5</v>
      </c>
      <c r="F114" s="8">
        <f t="shared" si="1"/>
        <v>0.425</v>
      </c>
      <c r="G114" s="26" t="str">
        <f>IF(MINIFS('Activity map'!$N:$N, 'Activity map'!$A:$A, A114, 'Activity map'!$H:$H, "=TRUE") = 0, "n/a", MINIFS('Activity map'!$N:$N, 'Activity map'!$A:$A, A114, 'Activity map'!$H:$H, "=TRUE"))</f>
        <v>n/a</v>
      </c>
      <c r="H114" s="8" t="str">
        <f t="shared" si="2"/>
        <v/>
      </c>
      <c r="I114" s="26" t="str">
        <f>IF(MINIFS('Activity map'!$M:$M, 'Activity map'!$A:$A, A114, 'Activity map'!$H:$H, "=TRUE") = 0, "n/a", MINIFS('Activity map'!$M:$M, 'Activity map'!$A:$A, A114, 'Activity map'!$H:$H, "=TRUE"))</f>
        <v>n/a</v>
      </c>
      <c r="J114" s="8" t="str">
        <f t="shared" si="3"/>
        <v/>
      </c>
      <c r="K114" s="26" t="str">
        <f>IF(MINIFS('Activity map'!$L:$L, 'Activity map'!$A:$A, A114, 'Activity map'!$H:$H, "=TRUE") = 0, "n/a", MINIFS('Activity map'!$L:$L, 'Activity map'!$A:$A, A114, 'Activity map'!$H:$H, "=TRUE"))</f>
        <v>n/a</v>
      </c>
      <c r="L114" s="8" t="str">
        <f t="shared" si="4"/>
        <v/>
      </c>
      <c r="M114" s="26">
        <f>MINIFS('Activity map'!$C:$C, 'Activity map'!$A:$A, $A114, 'Activity map'!$H:$H, "=TRUE", 'Activity map'!$K:$K, MINIFS('Activity map'!$K:$K, 'Activity map'!$A:$A, $A114, 'Activity map'!$H:$H, "=TRUE"))</f>
        <v>9470</v>
      </c>
      <c r="N114" s="26">
        <f>MINIFS('Activity map'!$C:$C, 'Activity map'!$A:$A, $A114, 'Activity map'!$H:$H, "=TRUE", 'Activity map'!$E:$E, $T114)</f>
        <v>9470</v>
      </c>
      <c r="O114" s="35">
        <f t="shared" si="5"/>
        <v>0.01770833333</v>
      </c>
      <c r="P114" s="30" t="str">
        <f>IF($M114=0, "-", VLOOKUP($M114, 'List of log slots'!$A:$C, 2, FALSE))</f>
        <v>Gnome scarf</v>
      </c>
      <c r="Q114" s="31">
        <f>IFERROR(__xludf.DUMMYFUNCTION("IF(ISERROR(FILTER('Activity map'!$C:$C, ('Activity map'!$A:$A=$A114)*('Activity map'!$F:$F=FALSE))), 0, COUNTA(UNIQUE(FILTER('Activity map'!$C:$C, ('Activity map'!$A:$A=$A114)*('Activity map'!$F:$F=FALSE)))))"),2.0)</f>
        <v>2</v>
      </c>
      <c r="R114" s="31">
        <f>IFERROR(__xludf.DUMMYFUNCTION("IF(ISERROR(FILTER('Activity map'!$C:$C, 'Activity map'!$A:$A=$A114)), 0, COUNTA(UNIQUE(FILTER('Activity map'!$C:$C, 'Activity map'!$A:$A=$A114))))"),2.0)</f>
        <v>2</v>
      </c>
      <c r="S114" s="36">
        <f t="shared" si="6"/>
        <v>0</v>
      </c>
      <c r="T114" s="31">
        <f>IFERROR(__xludf.DUMMYFUNCTION("IF(ISERROR(FILTER('Activity map'!$E:$E, ('Activity map'!$A:$A=$A114)*('Activity map'!$F:$F=FALSE))), ""-"", MIN(UNIQUE(FILTER('Activity map'!$E:$E, ('Activity map'!$A:$A=$A114)*('Activity map'!$F:$F=FALSE)))))"),2.0)</f>
        <v>2</v>
      </c>
      <c r="U114" s="30" t="str">
        <f>IF($N114=0, "-", VLOOKUP($N114, 'List of log slots'!$A:$C, 2, FALSE))</f>
        <v>Gnome scarf</v>
      </c>
    </row>
    <row r="115">
      <c r="A115" s="26">
        <v>186.0</v>
      </c>
      <c r="B115" s="23" t="str">
        <f>VLOOKUP($A115, 'Completion rates'!$A:$E, 2, FALSE)</f>
        <v>Killing bloodvelds</v>
      </c>
      <c r="C115" s="26">
        <f>IF(Notes!$E$27, VLOOKUP($A115, 'Completion rates'!$A:$E, 4, FALSE), VLOOKUP($A115, 'Completion rates'!$A:$E, 3, FALSE))</f>
        <v>300</v>
      </c>
      <c r="D115" s="26">
        <f>VLOOKUP($A115, 'Completion rates'!$A:$E, 5, FALSE)</f>
        <v>0</v>
      </c>
      <c r="E115" s="28">
        <f>IF(SUMIFS('Activity map'!$O:$O, 'Activity map'!$A:$A, A115, 'Activity map'!$H:$H, "=TRUE") = 0, "n/a", 1/SUMIFS('Activity map'!$O:$O, 'Activity map'!$A:$A, A115, 'Activity map'!$H:$H, "=TRUE"))</f>
        <v>127.7816234</v>
      </c>
      <c r="F115" s="8">
        <f t="shared" si="1"/>
        <v>0.4259387446</v>
      </c>
      <c r="G115" s="26" t="str">
        <f>IF(MINIFS('Activity map'!$N:$N, 'Activity map'!$A:$A, A115, 'Activity map'!$H:$H, "=TRUE") = 0, "n/a", MINIFS('Activity map'!$N:$N, 'Activity map'!$A:$A, A115, 'Activity map'!$H:$H, "=TRUE"))</f>
        <v>n/a</v>
      </c>
      <c r="H115" s="8" t="str">
        <f t="shared" si="2"/>
        <v/>
      </c>
      <c r="I115" s="26" t="str">
        <f>IF(MINIFS('Activity map'!$M:$M, 'Activity map'!$A:$A, A115, 'Activity map'!$H:$H, "=TRUE") = 0, "n/a", MINIFS('Activity map'!$M:$M, 'Activity map'!$A:$A, A115, 'Activity map'!$H:$H, "=TRUE"))</f>
        <v>n/a</v>
      </c>
      <c r="J115" s="8" t="str">
        <f t="shared" si="3"/>
        <v/>
      </c>
      <c r="K115" s="26" t="str">
        <f>IF(MINIFS('Activity map'!$L:$L, 'Activity map'!$A:$A, A115, 'Activity map'!$H:$H, "=TRUE") = 0, "n/a", MINIFS('Activity map'!$L:$L, 'Activity map'!$A:$A, A115, 'Activity map'!$H:$H, "=TRUE"))</f>
        <v>n/a</v>
      </c>
      <c r="L115" s="8" t="str">
        <f t="shared" si="4"/>
        <v/>
      </c>
      <c r="M115" s="26">
        <f>MINIFS('Activity map'!$C:$C, 'Activity map'!$A:$A, $A115, 'Activity map'!$H:$H, "=TRUE", 'Activity map'!$K:$K, MINIFS('Activity map'!$K:$K, 'Activity map'!$A:$A, $A115, 'Activity map'!$H:$H, "=TRUE"))</f>
        <v>4125</v>
      </c>
      <c r="N115" s="26">
        <f>MINIFS('Activity map'!$C:$C, 'Activity map'!$A:$A, $A115, 'Activity map'!$H:$H, "=TRUE", 'Activity map'!$E:$E, $T115)</f>
        <v>4125</v>
      </c>
      <c r="O115" s="35">
        <f t="shared" si="5"/>
        <v>0.01774744769</v>
      </c>
      <c r="P115" s="30" t="str">
        <f>IF($M115=0, "-", VLOOKUP($M115, 'List of log slots'!$A:$C, 2, FALSE))</f>
        <v>Black boots</v>
      </c>
      <c r="Q115" s="31">
        <f>IFERROR(__xludf.DUMMYFUNCTION("IF(ISERROR(FILTER('Activity map'!$C:$C, ('Activity map'!$A:$A=$A115)*('Activity map'!$F:$F=FALSE))), 0, COUNTA(UNIQUE(FILTER('Activity map'!$C:$C, ('Activity map'!$A:$A=$A115)*('Activity map'!$F:$F=FALSE)))))"),3.0)</f>
        <v>3</v>
      </c>
      <c r="R115" s="31">
        <f>IFERROR(__xludf.DUMMYFUNCTION("IF(ISERROR(FILTER('Activity map'!$C:$C, 'Activity map'!$A:$A=$A115)), 0, COUNTA(UNIQUE(FILTER('Activity map'!$C:$C, 'Activity map'!$A:$A=$A115))))"),3.0)</f>
        <v>3</v>
      </c>
      <c r="S115" s="36">
        <f t="shared" si="6"/>
        <v>0</v>
      </c>
      <c r="T115" s="31">
        <f>IFERROR(__xludf.DUMMYFUNCTION("IF(ISERROR(FILTER('Activity map'!$E:$E, ('Activity map'!$A:$A=$A115)*('Activity map'!$F:$F=FALSE))), ""-"", MIN(UNIQUE(FILTER('Activity map'!$E:$E, ('Activity map'!$A:$A=$A115)*('Activity map'!$F:$F=FALSE)))))"),2.0)</f>
        <v>2</v>
      </c>
      <c r="U115" s="30" t="str">
        <f>IF($N115=0, "-", VLOOKUP($N115, 'List of log slots'!$A:$C, 2, FALSE))</f>
        <v>Black boots</v>
      </c>
    </row>
    <row r="116">
      <c r="A116" s="26">
        <v>177.0</v>
      </c>
      <c r="B116" s="23" t="str">
        <f>VLOOKUP($A116, 'Completion rates'!$A:$E, 2, FALSE)</f>
        <v>Killing cave horrors</v>
      </c>
      <c r="C116" s="26">
        <f>IF(Notes!$E$27, VLOOKUP($A116, 'Completion rates'!$A:$E, 4, FALSE), VLOOKUP($A116, 'Completion rates'!$A:$E, 3, FALSE))</f>
        <v>500</v>
      </c>
      <c r="D116" s="26">
        <f>VLOOKUP($A116, 'Completion rates'!$A:$E, 5, FALSE)</f>
        <v>0</v>
      </c>
      <c r="E116" s="28">
        <f>IF(SUMIFS('Activity map'!$O:$O, 'Activity map'!$A:$A, A116, 'Activity map'!$H:$H, "=TRUE") = 0, "n/a", 1/SUMIFS('Activity map'!$O:$O, 'Activity map'!$A:$A, A116, 'Activity map'!$H:$H, "=TRUE"))</f>
        <v>214.165065</v>
      </c>
      <c r="F116" s="26">
        <f t="shared" si="1"/>
        <v>0.4283301301</v>
      </c>
      <c r="G116" s="26" t="str">
        <f>IF(MINIFS('Activity map'!$N:$N, 'Activity map'!$A:$A, A116, 'Activity map'!$H:$H, "=TRUE") = 0, "n/a", MINIFS('Activity map'!$N:$N, 'Activity map'!$A:$A, A116, 'Activity map'!$H:$H, "=TRUE"))</f>
        <v>n/a</v>
      </c>
      <c r="H116" s="8" t="str">
        <f t="shared" si="2"/>
        <v/>
      </c>
      <c r="I116" s="26" t="str">
        <f>IF(MINIFS('Activity map'!$M:$M, 'Activity map'!$A:$A, A116, 'Activity map'!$H:$H, "=TRUE") = 0, "n/a", MINIFS('Activity map'!$M:$M, 'Activity map'!$A:$A, A116, 'Activity map'!$H:$H, "=TRUE"))</f>
        <v>n/a</v>
      </c>
      <c r="J116" s="8" t="str">
        <f t="shared" si="3"/>
        <v/>
      </c>
      <c r="K116" s="26" t="str">
        <f>IF(MINIFS('Activity map'!$L:$L, 'Activity map'!$A:$A, A116, 'Activity map'!$H:$H, "=TRUE") = 0, "n/a", MINIFS('Activity map'!$L:$L, 'Activity map'!$A:$A, A116, 'Activity map'!$H:$H, "=TRUE"))</f>
        <v>n/a</v>
      </c>
      <c r="L116" s="8" t="str">
        <f t="shared" si="4"/>
        <v/>
      </c>
      <c r="M116" s="26">
        <f>MINIFS('Activity map'!$C:$C, 'Activity map'!$A:$A, $A116, 'Activity map'!$H:$H, "=TRUE", 'Activity map'!$K:$K, MINIFS('Activity map'!$K:$K, 'Activity map'!$A:$A, $A116, 'Activity map'!$H:$H, "=TRUE"))</f>
        <v>10976</v>
      </c>
      <c r="N116" s="26">
        <f>MINIFS('Activity map'!$C:$C, 'Activity map'!$A:$A, $A116, 'Activity map'!$H:$H, "=TRUE", 'Activity map'!$E:$E, $T116)</f>
        <v>10976</v>
      </c>
      <c r="O116" s="120">
        <f t="shared" si="5"/>
        <v>0.01784708875</v>
      </c>
      <c r="P116" s="30" t="str">
        <f>IF($M116=0, "-", VLOOKUP($M116, 'List of log slots'!$A:$C, 2, FALSE))</f>
        <v>Long bone</v>
      </c>
      <c r="Q116" s="31">
        <f>IFERROR(__xludf.DUMMYFUNCTION("IF(ISERROR(FILTER('Activity map'!$C:$C, ('Activity map'!$A:$A=$A116)*('Activity map'!$F:$F=FALSE))), 0, COUNTA(UNIQUE(FILTER('Activity map'!$C:$C, ('Activity map'!$A:$A=$A116)*('Activity map'!$F:$F=FALSE)))))"),5.0)</f>
        <v>5</v>
      </c>
      <c r="R116" s="31">
        <f>IFERROR(__xludf.DUMMYFUNCTION("IF(ISERROR(FILTER('Activity map'!$C:$C, 'Activity map'!$A:$A=$A116)), 0, COUNTA(UNIQUE(FILTER('Activity map'!$C:$C, 'Activity map'!$A:$A=$A116))))"),5.0)</f>
        <v>5</v>
      </c>
      <c r="S116" s="58">
        <f t="shared" si="6"/>
        <v>0</v>
      </c>
      <c r="T116" s="31">
        <f>IFERROR(__xludf.DUMMYFUNCTION("IF(ISERROR(FILTER('Activity map'!$E:$E, ('Activity map'!$A:$A=$A116)*('Activity map'!$F:$F=FALSE))), ""-"", MIN(UNIQUE(FILTER('Activity map'!$E:$E, ('Activity map'!$A:$A=$A116)*('Activity map'!$F:$F=FALSE)))))"),3.0)</f>
        <v>3</v>
      </c>
      <c r="U116" s="30" t="str">
        <f>IF($N116=0, "-", VLOOKUP($N116, 'List of log slots'!$A:$C, 2, FALSE))</f>
        <v>Long bone</v>
      </c>
    </row>
    <row r="117">
      <c r="A117" s="26">
        <v>51.0</v>
      </c>
      <c r="B117" s="23" t="str">
        <f>VLOOKUP($A117, 'Completion rates'!$A:$E, 2, FALSE)</f>
        <v>Killing vardorvis</v>
      </c>
      <c r="C117" s="26">
        <f>IF(Notes!$E$27, VLOOKUP($A117, 'Completion rates'!$A:$E, 4, FALSE), VLOOKUP($A117, 'Completion rates'!$A:$E, 3, FALSE))</f>
        <v>37</v>
      </c>
      <c r="D117" s="26">
        <f>VLOOKUP($A117, 'Completion rates'!$A:$E, 5, FALSE)</f>
        <v>0</v>
      </c>
      <c r="E117" s="28">
        <f>IF(SUMIFS('Activity map'!$O:$O, 'Activity map'!$A:$A, A117, 'Activity map'!$H:$H, "=TRUE") = 0, "n/a", 1/SUMIFS('Activity map'!$O:$O, 'Activity map'!$A:$A, A117, 'Activity map'!$H:$H, "=TRUE"))</f>
        <v>15.85728737</v>
      </c>
      <c r="F117" s="26">
        <f t="shared" si="1"/>
        <v>0.4285753344</v>
      </c>
      <c r="G117" s="26" t="str">
        <f>IF(MINIFS('Activity map'!$N:$N, 'Activity map'!$A:$A, A117, 'Activity map'!$H:$H, "=TRUE") = 0, "n/a", MINIFS('Activity map'!$N:$N, 'Activity map'!$A:$A, A117, 'Activity map'!$H:$H, "=TRUE"))</f>
        <v>n/a</v>
      </c>
      <c r="H117" s="8" t="str">
        <f t="shared" si="2"/>
        <v/>
      </c>
      <c r="I117" s="26" t="str">
        <f>IF(MINIFS('Activity map'!$M:$M, 'Activity map'!$A:$A, A117, 'Activity map'!$H:$H, "=TRUE") = 0, "n/a", MINIFS('Activity map'!$M:$M, 'Activity map'!$A:$A, A117, 'Activity map'!$H:$H, "=TRUE"))</f>
        <v>n/a</v>
      </c>
      <c r="J117" s="8" t="str">
        <f t="shared" si="3"/>
        <v/>
      </c>
      <c r="K117" s="26" t="str">
        <f>IF(MINIFS('Activity map'!$L:$L, 'Activity map'!$A:$A, A117, 'Activity map'!$H:$H, "=TRUE") = 0, "n/a", MINIFS('Activity map'!$L:$L, 'Activity map'!$A:$A, A117, 'Activity map'!$H:$H, "=TRUE"))</f>
        <v>n/a</v>
      </c>
      <c r="L117" s="8" t="str">
        <f t="shared" si="4"/>
        <v/>
      </c>
      <c r="M117" s="26">
        <f>MINIFS('Activity map'!$C:$C, 'Activity map'!$A:$A, $A117, 'Activity map'!$H:$H, "=TRUE", 'Activity map'!$K:$K, MINIFS('Activity map'!$K:$K, 'Activity map'!$A:$A, $A117, 'Activity map'!$H:$H, "=TRUE"))</f>
        <v>28330</v>
      </c>
      <c r="N117" s="26">
        <f>MINIFS('Activity map'!$C:$C, 'Activity map'!$A:$A, $A117, 'Activity map'!$H:$H, "=TRUE", 'Activity map'!$E:$E, $T117)</f>
        <v>28268</v>
      </c>
      <c r="O117" s="110">
        <f t="shared" si="5"/>
        <v>0.0178573056</v>
      </c>
      <c r="P117" s="30" t="str">
        <f>IF($M117=0, "-", VLOOKUP($M117, 'List of log slots'!$A:$C, 2, FALSE))</f>
        <v>Strangled tablet</v>
      </c>
      <c r="Q117" s="31">
        <f>IFERROR(__xludf.DUMMYFUNCTION("IF(ISERROR(FILTER('Activity map'!$C:$C, ('Activity map'!$A:$A=$A117)*('Activity map'!$F:$F=FALSE))), 0, COUNTA(UNIQUE(FILTER('Activity map'!$C:$C, ('Activity map'!$A:$A=$A117)*('Activity map'!$F:$F=FALSE)))))"),10.0)</f>
        <v>10</v>
      </c>
      <c r="R117" s="31">
        <f>IFERROR(__xludf.DUMMYFUNCTION("IF(ISERROR(FILTER('Activity map'!$C:$C, 'Activity map'!$A:$A=$A117)), 0, COUNTA(UNIQUE(FILTER('Activity map'!$C:$C, 'Activity map'!$A:$A=$A117))))"),10.0)</f>
        <v>10</v>
      </c>
      <c r="S117" s="79">
        <f t="shared" si="6"/>
        <v>0</v>
      </c>
      <c r="T117" s="31">
        <f>IFERROR(__xludf.DUMMYFUNCTION("IF(ISERROR(FILTER('Activity map'!$E:$E, ('Activity map'!$A:$A=$A117)*('Activity map'!$F:$F=FALSE))), ""-"", MIN(UNIQUE(FILTER('Activity map'!$E:$E, ('Activity map'!$A:$A=$A117)*('Activity map'!$F:$F=FALSE)))))"),5.0)</f>
        <v>5</v>
      </c>
      <c r="U117" s="30" t="str">
        <f>IF($N117=0, "-", VLOOKUP($N117, 'List of log slots'!$A:$C, 2, FALSE))</f>
        <v>Blood quartz</v>
      </c>
    </row>
    <row r="118">
      <c r="A118" s="26">
        <v>151.0</v>
      </c>
      <c r="B118" s="23" t="str">
        <f>VLOOKUP($A118, 'Completion rates'!$A:$E, 2, FALSE)</f>
        <v>Sorting through martial salvage</v>
      </c>
      <c r="C118" s="26">
        <f>IF(Notes!$E$27, VLOOKUP($A118, 'Completion rates'!$A:$E, 4, FALSE), VLOOKUP($A118, 'Completion rates'!$A:$E, 3, FALSE))</f>
        <v>700</v>
      </c>
      <c r="D118" s="26">
        <f>VLOOKUP($A118, 'Completion rates'!$A:$E, 5, FALSE)</f>
        <v>0</v>
      </c>
      <c r="E118" s="28">
        <f>IF(SUMIFS('Activity map'!$O:$O, 'Activity map'!$A:$A, A118, 'Activity map'!$H:$H, "=TRUE") = 0, "n/a", 1/SUMIFS('Activity map'!$O:$O, 'Activity map'!$A:$A, A118, 'Activity map'!$H:$H, "=TRUE"))</f>
        <v>311.6883117</v>
      </c>
      <c r="F118" s="26">
        <f t="shared" si="1"/>
        <v>0.4452690167</v>
      </c>
      <c r="G118" s="26" t="str">
        <f>IF(MINIFS('Activity map'!$N:$N, 'Activity map'!$A:$A, A118, 'Activity map'!$H:$H, "=TRUE") = 0, "n/a", MINIFS('Activity map'!$N:$N, 'Activity map'!$A:$A, A118, 'Activity map'!$H:$H, "=TRUE"))</f>
        <v>n/a</v>
      </c>
      <c r="H118" s="8" t="str">
        <f t="shared" si="2"/>
        <v/>
      </c>
      <c r="I118" s="26" t="str">
        <f>IF(MINIFS('Activity map'!$M:$M, 'Activity map'!$A:$A, A118, 'Activity map'!$H:$H, "=TRUE") = 0, "n/a", MINIFS('Activity map'!$M:$M, 'Activity map'!$A:$A, A118, 'Activity map'!$H:$H, "=TRUE"))</f>
        <v>n/a</v>
      </c>
      <c r="J118" s="8" t="str">
        <f t="shared" si="3"/>
        <v/>
      </c>
      <c r="K118" s="26" t="str">
        <f>IF(MINIFS('Activity map'!$L:$L, 'Activity map'!$A:$A, A118, 'Activity map'!$H:$H, "=TRUE") = 0, "n/a", MINIFS('Activity map'!$L:$L, 'Activity map'!$A:$A, A118, 'Activity map'!$H:$H, "=TRUE"))</f>
        <v>n/a</v>
      </c>
      <c r="L118" s="8" t="str">
        <f t="shared" si="4"/>
        <v/>
      </c>
      <c r="M118" s="26">
        <f>MINIFS('Activity map'!$C:$C, 'Activity map'!$A:$A, $A118, 'Activity map'!$H:$H, "=TRUE", 'Activity map'!$K:$K, MINIFS('Activity map'!$K:$K, 'Activity map'!$A:$A, $A118, 'Activity map'!$H:$H, "=TRUE"))</f>
        <v>32398</v>
      </c>
      <c r="N118" s="26">
        <f>MINIFS('Activity map'!$C:$C, 'Activity map'!$A:$A, $A118, 'Activity map'!$H:$H, "=TRUE", 'Activity map'!$E:$E, $T118)</f>
        <v>32398</v>
      </c>
      <c r="O118" s="121">
        <f t="shared" si="5"/>
        <v>0.0185528757</v>
      </c>
      <c r="P118" s="30" t="str">
        <f>IF($M118=0, "-", VLOOKUP($M118, 'List of log slots'!$A:$C, 2, FALSE))</f>
        <v>Sailors' amulet (inert)</v>
      </c>
      <c r="Q118" s="31">
        <f>IFERROR(__xludf.DUMMYFUNCTION("IF(ISERROR(FILTER('Activity map'!$C:$C, ('Activity map'!$A:$A=$A118)*('Activity map'!$F:$F=FALSE))), 0, COUNTA(UNIQUE(FILTER('Activity map'!$C:$C, ('Activity map'!$A:$A=$A118)*('Activity map'!$F:$F=FALSE)))))"),4.0)</f>
        <v>4</v>
      </c>
      <c r="R118" s="31">
        <f>IFERROR(__xludf.DUMMYFUNCTION("IF(ISERROR(FILTER('Activity map'!$C:$C, 'Activity map'!$A:$A=$A118)), 0, COUNTA(UNIQUE(FILTER('Activity map'!$C:$C, 'Activity map'!$A:$A=$A118))))"),4.0)</f>
        <v>4</v>
      </c>
      <c r="S118" s="32">
        <f t="shared" si="6"/>
        <v>0</v>
      </c>
      <c r="T118" s="31">
        <f>IFERROR(__xludf.DUMMYFUNCTION("IF(ISERROR(FILTER('Activity map'!$E:$E, ('Activity map'!$A:$A=$A118)*('Activity map'!$F:$F=FALSE))), ""-"", MIN(UNIQUE(FILTER('Activity map'!$E:$E, ('Activity map'!$A:$A=$A118)*('Activity map'!$F:$F=FALSE)))))"),3.0)</f>
        <v>3</v>
      </c>
      <c r="U118" s="30" t="str">
        <f>IF($N118=0, "-", VLOOKUP($N118, 'List of log slots'!$A:$C, 2, FALSE))</f>
        <v>Sailors' amulet (inert)</v>
      </c>
    </row>
    <row r="119">
      <c r="A119" s="26">
        <v>87.0</v>
      </c>
      <c r="B119" s="23" t="str">
        <f>VLOOKUP($A119, 'Completion rates'!$A:$E, 2, FALSE)</f>
        <v>Earning last man standing points</v>
      </c>
      <c r="C119" s="26">
        <f>IF(Notes!$E$27, VLOOKUP($A119, 'Completion rates'!$A:$E, 4, FALSE), VLOOKUP($A119, 'Completion rates'!$A:$E, 3, FALSE))</f>
        <v>28</v>
      </c>
      <c r="D119" s="26">
        <f>VLOOKUP($A119, 'Completion rates'!$A:$E, 5, FALSE)</f>
        <v>0</v>
      </c>
      <c r="E119" s="28" t="str">
        <f>IF(SUMIFS('Activity map'!$O:$O, 'Activity map'!$A:$A, A119, 'Activity map'!$H:$H, "=TRUE") = 0, "n/a", 1/SUMIFS('Activity map'!$O:$O, 'Activity map'!$A:$A, A119, 'Activity map'!$H:$H, "=TRUE"))</f>
        <v>n/a</v>
      </c>
      <c r="F119" s="8" t="str">
        <f t="shared" si="1"/>
        <v/>
      </c>
      <c r="G119" s="26">
        <f>IF(MINIFS('Activity map'!$N:$N, 'Activity map'!$A:$A, A119, 'Activity map'!$H:$H, "=TRUE") = 0, "n/a", MINIFS('Activity map'!$N:$N, 'Activity map'!$A:$A, A119, 'Activity map'!$H:$H, "=TRUE"))</f>
        <v>13</v>
      </c>
      <c r="H119" s="26">
        <f t="shared" si="2"/>
        <v>0.4642857143</v>
      </c>
      <c r="I119" s="26" t="str">
        <f>IF(MINIFS('Activity map'!$M:$M, 'Activity map'!$A:$A, A119, 'Activity map'!$H:$H, "=TRUE") = 0, "n/a", MINIFS('Activity map'!$M:$M, 'Activity map'!$A:$A, A119, 'Activity map'!$H:$H, "=TRUE"))</f>
        <v>n/a</v>
      </c>
      <c r="J119" s="8" t="str">
        <f t="shared" si="3"/>
        <v/>
      </c>
      <c r="K119" s="26" t="str">
        <f>IF(MINIFS('Activity map'!$L:$L, 'Activity map'!$A:$A, A119, 'Activity map'!$H:$H, "=TRUE") = 0, "n/a", MINIFS('Activity map'!$L:$L, 'Activity map'!$A:$A, A119, 'Activity map'!$H:$H, "=TRUE"))</f>
        <v>n/a</v>
      </c>
      <c r="L119" s="8" t="str">
        <f t="shared" si="4"/>
        <v/>
      </c>
      <c r="M119" s="26">
        <f>MINIFS('Activity map'!$C:$C, 'Activity map'!$A:$A, $A119, 'Activity map'!$H:$H, "=TRUE", 'Activity map'!$K:$K, MINIFS('Activity map'!$K:$K, 'Activity map'!$A:$A, $A119, 'Activity map'!$H:$H, "=TRUE"))</f>
        <v>12798</v>
      </c>
      <c r="N119" s="26">
        <f>MINIFS('Activity map'!$C:$C, 'Activity map'!$A:$A, $A119, 'Activity map'!$H:$H, "=TRUE", 'Activity map'!$E:$E, $T119)</f>
        <v>12757</v>
      </c>
      <c r="O119" s="111">
        <f t="shared" si="5"/>
        <v>0.0193452381</v>
      </c>
      <c r="P119" s="30" t="str">
        <f>IF($M119=0, "-", VLOOKUP($M119, 'List of log slots'!$A:$C, 2, FALSE))</f>
        <v>Steam staff upgrade kit</v>
      </c>
      <c r="Q119" s="31">
        <f>IFERROR(__xludf.DUMMYFUNCTION("IF(ISERROR(FILTER('Activity map'!$C:$C, ('Activity map'!$A:$A=$A119)*('Activity map'!$F:$F=FALSE))), 0, COUNTA(UNIQUE(FILTER('Activity map'!$C:$C, ('Activity map'!$A:$A=$A119)*('Activity map'!$F:$F=FALSE)))))"),26.0)</f>
        <v>26</v>
      </c>
      <c r="R119" s="31">
        <f>IFERROR(__xludf.DUMMYFUNCTION("IF(ISERROR(FILTER('Activity map'!$C:$C, 'Activity map'!$A:$A=$A119)), 0, COUNTA(UNIQUE(FILTER('Activity map'!$C:$C, 'Activity map'!$A:$A=$A119))))"),26.0)</f>
        <v>26</v>
      </c>
      <c r="S119" s="72">
        <f t="shared" si="6"/>
        <v>0</v>
      </c>
      <c r="T119" s="31">
        <f>IFERROR(__xludf.DUMMYFUNCTION("IF(ISERROR(FILTER('Activity map'!$E:$E, ('Activity map'!$A:$A=$A119)*('Activity map'!$F:$F=FALSE))), ""-"", MIN(UNIQUE(FILTER('Activity map'!$E:$E, ('Activity map'!$A:$A=$A119)*('Activity map'!$F:$F=FALSE)))))"),3.0)</f>
        <v>3</v>
      </c>
      <c r="U119" s="30" t="str">
        <f>IF($N119=0, "-", VLOOKUP($N119, 'List of log slots'!$A:$C, 2, FALSE))</f>
        <v>Blue dark bow paint</v>
      </c>
    </row>
    <row r="120">
      <c r="A120" s="26">
        <v>33.0</v>
      </c>
      <c r="B120" s="23" t="str">
        <f>VLOOKUP($A120, 'Completion rates'!$A:$E, 2, FALSE)</f>
        <v>Killing the leviathan</v>
      </c>
      <c r="C120" s="26">
        <f>IF(Notes!$E$27, VLOOKUP($A120, 'Completion rates'!$A:$E, 4, FALSE), VLOOKUP($A120, 'Completion rates'!$A:$E, 3, FALSE))</f>
        <v>30</v>
      </c>
      <c r="D120" s="26">
        <f>VLOOKUP($A120, 'Completion rates'!$A:$E, 5, FALSE)</f>
        <v>0</v>
      </c>
      <c r="E120" s="28">
        <f>IF(SUMIFS('Activity map'!$O:$O, 'Activity map'!$A:$A, A120, 'Activity map'!$H:$H, "=TRUE") = 0, "n/a", 1/SUMIFS('Activity map'!$O:$O, 'Activity map'!$A:$A, A120, 'Activity map'!$H:$H, "=TRUE"))</f>
        <v>14.00909837</v>
      </c>
      <c r="F120" s="26">
        <f t="shared" si="1"/>
        <v>0.4669699457</v>
      </c>
      <c r="G120" s="26" t="str">
        <f>IF(MINIFS('Activity map'!$N:$N, 'Activity map'!$A:$A, A120, 'Activity map'!$H:$H, "=TRUE") = 0, "n/a", MINIFS('Activity map'!$N:$N, 'Activity map'!$A:$A, A120, 'Activity map'!$H:$H, "=TRUE"))</f>
        <v>n/a</v>
      </c>
      <c r="H120" s="8" t="str">
        <f t="shared" si="2"/>
        <v/>
      </c>
      <c r="I120" s="26" t="str">
        <f>IF(MINIFS('Activity map'!$M:$M, 'Activity map'!$A:$A, A120, 'Activity map'!$H:$H, "=TRUE") = 0, "n/a", MINIFS('Activity map'!$M:$M, 'Activity map'!$A:$A, A120, 'Activity map'!$H:$H, "=TRUE"))</f>
        <v>n/a</v>
      </c>
      <c r="J120" s="8" t="str">
        <f t="shared" si="3"/>
        <v/>
      </c>
      <c r="K120" s="26" t="str">
        <f>IF(MINIFS('Activity map'!$L:$L, 'Activity map'!$A:$A, A120, 'Activity map'!$H:$H, "=TRUE") = 0, "n/a", MINIFS('Activity map'!$L:$L, 'Activity map'!$A:$A, A120, 'Activity map'!$H:$H, "=TRUE"))</f>
        <v>n/a</v>
      </c>
      <c r="L120" s="8" t="str">
        <f t="shared" si="4"/>
        <v/>
      </c>
      <c r="M120" s="26">
        <f>MINIFS('Activity map'!$C:$C, 'Activity map'!$A:$A, $A120, 'Activity map'!$H:$H, "=TRUE", 'Activity map'!$K:$K, MINIFS('Activity map'!$K:$K, 'Activity map'!$A:$A, $A120, 'Activity map'!$H:$H, "=TRUE"))</f>
        <v>28332</v>
      </c>
      <c r="N120" s="26">
        <f>MINIFS('Activity map'!$C:$C, 'Activity map'!$A:$A, $A120, 'Activity map'!$H:$H, "=TRUE", 'Activity map'!$E:$E, $T120)</f>
        <v>28274</v>
      </c>
      <c r="O120" s="122">
        <f t="shared" si="5"/>
        <v>0.01945708107</v>
      </c>
      <c r="P120" s="30" t="str">
        <f>IF($M120=0, "-", VLOOKUP($M120, 'List of log slots'!$A:$C, 2, FALSE))</f>
        <v>Scarred tablet</v>
      </c>
      <c r="Q120" s="31">
        <f>IFERROR(__xludf.DUMMYFUNCTION("IF(ISERROR(FILTER('Activity map'!$C:$C, ('Activity map'!$A:$A=$A120)*('Activity map'!$F:$F=FALSE))), 0, COUNTA(UNIQUE(FILTER('Activity map'!$C:$C, ('Activity map'!$A:$A=$A120)*('Activity map'!$F:$F=FALSE)))))"),10.0)</f>
        <v>10</v>
      </c>
      <c r="R120" s="31">
        <f>IFERROR(__xludf.DUMMYFUNCTION("IF(ISERROR(FILTER('Activity map'!$C:$C, 'Activity map'!$A:$A=$A120)), 0, COUNTA(UNIQUE(FILTER('Activity map'!$C:$C, 'Activity map'!$A:$A=$A120))))"),10.0)</f>
        <v>10</v>
      </c>
      <c r="S120" s="123">
        <f t="shared" si="6"/>
        <v>0</v>
      </c>
      <c r="T120" s="31">
        <f>IFERROR(__xludf.DUMMYFUNCTION("IF(ISERROR(FILTER('Activity map'!$E:$E, ('Activity map'!$A:$A=$A120)*('Activity map'!$F:$F=FALSE))), ""-"", MIN(UNIQUE(FILTER('Activity map'!$E:$E, ('Activity map'!$A:$A=$A120)*('Activity map'!$F:$F=FALSE)))))"),5.0)</f>
        <v>5</v>
      </c>
      <c r="U120" s="30" t="str">
        <f>IF($N120=0, "-", VLOOKUP($N120, 'List of log slots'!$A:$C, 2, FALSE))</f>
        <v>Smoke quartz</v>
      </c>
    </row>
    <row r="121">
      <c r="A121" s="26">
        <v>73.0</v>
      </c>
      <c r="B121" s="23" t="str">
        <f>VLOOKUP($A121, 'Completion rates'!$A:$E, 2, FALSE)</f>
        <v>Opening master caskets</v>
      </c>
      <c r="C121" s="26">
        <f>IF(Notes!$E$27, VLOOKUP($A121, 'Completion rates'!$A:$E, 4, FALSE), VLOOKUP($A121, 'Completion rates'!$A:$E, 3, FALSE))</f>
        <v>1.5</v>
      </c>
      <c r="D121" s="26">
        <f>VLOOKUP($A121, 'Completion rates'!$A:$E, 5, FALSE)</f>
        <v>0</v>
      </c>
      <c r="E121" s="28">
        <f>IF(SUMIFS('Activity map'!$O:$O, 'Activity map'!$A:$A, A121, 'Activity map'!$H:$H, "=TRUE") = 0, "n/a", 1/SUMIFS('Activity map'!$O:$O, 'Activity map'!$A:$A, A121, 'Activity map'!$H:$H, "=TRUE"))</f>
        <v>0.7073919467</v>
      </c>
      <c r="F121" s="26">
        <f t="shared" si="1"/>
        <v>0.4715946312</v>
      </c>
      <c r="G121" s="26" t="str">
        <f>IF(MINIFS('Activity map'!$N:$N, 'Activity map'!$A:$A, A121, 'Activity map'!$H:$H, "=TRUE") = 0, "n/a", MINIFS('Activity map'!$N:$N, 'Activity map'!$A:$A, A121, 'Activity map'!$H:$H, "=TRUE"))</f>
        <v>n/a</v>
      </c>
      <c r="H121" s="8" t="str">
        <f t="shared" si="2"/>
        <v/>
      </c>
      <c r="I121" s="26">
        <f>IF(MINIFS('Activity map'!$M:$M, 'Activity map'!$A:$A, A121, 'Activity map'!$H:$H, "=TRUE") = 0, "n/a", MINIFS('Activity map'!$M:$M, 'Activity map'!$A:$A, A121, 'Activity map'!$H:$H, "=TRUE"))</f>
        <v>25</v>
      </c>
      <c r="J121" s="26">
        <f t="shared" si="3"/>
        <v>16.66666667</v>
      </c>
      <c r="K121" s="26" t="str">
        <f>IF(MINIFS('Activity map'!$L:$L, 'Activity map'!$A:$A, A121, 'Activity map'!$H:$H, "=TRUE") = 0, "n/a", MINIFS('Activity map'!$L:$L, 'Activity map'!$A:$A, A121, 'Activity map'!$H:$H, "=TRUE"))</f>
        <v>n/a</v>
      </c>
      <c r="L121" s="8" t="str">
        <f t="shared" si="4"/>
        <v/>
      </c>
      <c r="M121" s="26">
        <f>MINIFS('Activity map'!$C:$C, 'Activity map'!$A:$A, $A121, 'Activity map'!$H:$H, "=TRUE", 'Activity map'!$K:$K, MINIFS('Activity map'!$K:$K, 'Activity map'!$A:$A, $A121, 'Activity map'!$H:$H, "=TRUE"))</f>
        <v>10476</v>
      </c>
      <c r="N121" s="26">
        <f>MINIFS('Activity map'!$C:$C, 'Activity map'!$A:$A, $A121, 'Activity map'!$H:$H, "=TRUE", 'Activity map'!$E:$E, $T121)</f>
        <v>3827</v>
      </c>
      <c r="O121" s="78">
        <f t="shared" si="5"/>
        <v>0.0196497763</v>
      </c>
      <c r="P121" s="30" t="str">
        <f>IF($M121=0, "-", VLOOKUP($M121, 'List of log slots'!$A:$C, 2, FALSE))</f>
        <v>Purple sweets</v>
      </c>
      <c r="Q121" s="31">
        <f>IFERROR(__xludf.DUMMYFUNCTION("IF(ISERROR(FILTER('Activity map'!$C:$C, ('Activity map'!$A:$A=$A121)*('Activity map'!$F:$F=FALSE))), 0, COUNTA(UNIQUE(FILTER('Activity map'!$C:$C, ('Activity map'!$A:$A=$A121)*('Activity map'!$F:$F=FALSE)))))"),146.0)</f>
        <v>146</v>
      </c>
      <c r="R121" s="31">
        <f>IFERROR(__xludf.DUMMYFUNCTION("IF(ISERROR(FILTER('Activity map'!$C:$C, 'Activity map'!$A:$A=$A121)), 0, COUNTA(UNIQUE(FILTER('Activity map'!$C:$C, 'Activity map'!$A:$A=$A121))))"),146.0)</f>
        <v>146</v>
      </c>
      <c r="S121" s="51">
        <f t="shared" si="6"/>
        <v>0</v>
      </c>
      <c r="T121" s="31">
        <f>IFERROR(__xludf.DUMMYFUNCTION("IF(ISERROR(FILTER('Activity map'!$E:$E, ('Activity map'!$A:$A=$A121)*('Activity map'!$F:$F=FALSE))), ""-"", MIN(UNIQUE(FILTER('Activity map'!$E:$E, ('Activity map'!$A:$A=$A121)*('Activity map'!$F:$F=FALSE)))))"),2.0)</f>
        <v>2</v>
      </c>
      <c r="U121" s="30" t="str">
        <f>IF($N121=0, "-", VLOOKUP($N121, 'List of log slots'!$A:$C, 2, FALSE))</f>
        <v>Saradomin page 1</v>
      </c>
    </row>
    <row r="122">
      <c r="A122" s="26">
        <v>147.0</v>
      </c>
      <c r="B122" s="23" t="str">
        <f>VLOOKUP($A122, 'Completion rates'!$A:$E, 2, FALSE)</f>
        <v>Sorting through fishy salvage</v>
      </c>
      <c r="C122" s="26">
        <f>IF(Notes!$E$27, VLOOKUP($A122, 'Completion rates'!$A:$E, 4, FALSE), VLOOKUP($A122, 'Completion rates'!$A:$E, 3, FALSE))</f>
        <v>900</v>
      </c>
      <c r="D122" s="26">
        <f>VLOOKUP($A122, 'Completion rates'!$A:$E, 5, FALSE)</f>
        <v>0</v>
      </c>
      <c r="E122" s="28">
        <f>IF(SUMIFS('Activity map'!$O:$O, 'Activity map'!$A:$A, A122, 'Activity map'!$H:$H, "=TRUE") = 0, "n/a", 1/SUMIFS('Activity map'!$O:$O, 'Activity map'!$A:$A, A122, 'Activity map'!$H:$H, "=TRUE"))</f>
        <v>428.5714286</v>
      </c>
      <c r="F122" s="26">
        <f t="shared" si="1"/>
        <v>0.4761904762</v>
      </c>
      <c r="G122" s="26" t="str">
        <f>IF(MINIFS('Activity map'!$N:$N, 'Activity map'!$A:$A, A122, 'Activity map'!$H:$H, "=TRUE") = 0, "n/a", MINIFS('Activity map'!$N:$N, 'Activity map'!$A:$A, A122, 'Activity map'!$H:$H, "=TRUE"))</f>
        <v>n/a</v>
      </c>
      <c r="H122" s="8" t="str">
        <f t="shared" si="2"/>
        <v/>
      </c>
      <c r="I122" s="26" t="str">
        <f>IF(MINIFS('Activity map'!$M:$M, 'Activity map'!$A:$A, A122, 'Activity map'!$H:$H, "=TRUE") = 0, "n/a", MINIFS('Activity map'!$M:$M, 'Activity map'!$A:$A, A122, 'Activity map'!$H:$H, "=TRUE"))</f>
        <v>n/a</v>
      </c>
      <c r="J122" s="8" t="str">
        <f t="shared" si="3"/>
        <v/>
      </c>
      <c r="K122" s="26" t="str">
        <f>IF(MINIFS('Activity map'!$L:$L, 'Activity map'!$A:$A, A122, 'Activity map'!$H:$H, "=TRUE") = 0, "n/a", MINIFS('Activity map'!$L:$L, 'Activity map'!$A:$A, A122, 'Activity map'!$H:$H, "=TRUE"))</f>
        <v>n/a</v>
      </c>
      <c r="L122" s="8" t="str">
        <f t="shared" si="4"/>
        <v/>
      </c>
      <c r="M122" s="26">
        <f>MINIFS('Activity map'!$C:$C, 'Activity map'!$A:$A, $A122, 'Activity map'!$H:$H, "=TRUE", 'Activity map'!$K:$K, MINIFS('Activity map'!$K:$K, 'Activity map'!$A:$A, $A122, 'Activity map'!$H:$H, "=TRUE"))</f>
        <v>31989</v>
      </c>
      <c r="N122" s="26">
        <f>MINIFS('Activity map'!$C:$C, 'Activity map'!$A:$A, $A122, 'Activity map'!$H:$H, "=TRUE", 'Activity map'!$E:$E, $T122)</f>
        <v>31989</v>
      </c>
      <c r="O122" s="124">
        <f t="shared" si="5"/>
        <v>0.01984126984</v>
      </c>
      <c r="P122" s="30" t="str">
        <f>IF($M122=0, "-", VLOOKUP($M122, 'List of log slots'!$A:$C, 2, FALSE))</f>
        <v>Boat bottle (empty)</v>
      </c>
      <c r="Q122" s="31">
        <f>IFERROR(__xludf.DUMMYFUNCTION("IF(ISERROR(FILTER('Activity map'!$C:$C, ('Activity map'!$A:$A=$A122)*('Activity map'!$F:$F=FALSE))), 0, COUNTA(UNIQUE(FILTER('Activity map'!$C:$C, ('Activity map'!$A:$A=$A122)*('Activity map'!$F:$F=FALSE)))))"),3.0)</f>
        <v>3</v>
      </c>
      <c r="R122" s="31">
        <f>IFERROR(__xludf.DUMMYFUNCTION("IF(ISERROR(FILTER('Activity map'!$C:$C, 'Activity map'!$A:$A=$A122)), 0, COUNTA(UNIQUE(FILTER('Activity map'!$C:$C, 'Activity map'!$A:$A=$A122))))"),3.0)</f>
        <v>3</v>
      </c>
      <c r="S122" s="97">
        <f t="shared" si="6"/>
        <v>0</v>
      </c>
      <c r="T122" s="31">
        <f>IFERROR(__xludf.DUMMYFUNCTION("IF(ISERROR(FILTER('Activity map'!$E:$E, ('Activity map'!$A:$A=$A122)*('Activity map'!$F:$F=FALSE))), ""-"", MIN(UNIQUE(FILTER('Activity map'!$E:$E, ('Activity map'!$A:$A=$A122)*('Activity map'!$F:$F=FALSE)))))"),3.0)</f>
        <v>3</v>
      </c>
      <c r="U122" s="30" t="str">
        <f>IF($N122=0, "-", VLOOKUP($N122, 'List of log slots'!$A:$C, 2, FALSE))</f>
        <v>Boat bottle (empty)</v>
      </c>
    </row>
    <row r="123">
      <c r="A123" s="26">
        <v>146.0</v>
      </c>
      <c r="B123" s="23" t="str">
        <f>VLOOKUP($A123, 'Completion rates'!$A:$E, 2, FALSE)</f>
        <v>Sorting through small salvage</v>
      </c>
      <c r="C123" s="26">
        <f>IF(Notes!$E$27, VLOOKUP($A123, 'Completion rates'!$A:$E, 4, FALSE), VLOOKUP($A123, 'Completion rates'!$A:$E, 3, FALSE))</f>
        <v>920</v>
      </c>
      <c r="D123" s="26">
        <f>VLOOKUP($A123, 'Completion rates'!$A:$E, 5, FALSE)</f>
        <v>0</v>
      </c>
      <c r="E123" s="28">
        <f>IF(SUMIFS('Activity map'!$O:$O, 'Activity map'!$A:$A, A123, 'Activity map'!$H:$H, "=TRUE") = 0, "n/a", 1/SUMIFS('Activity map'!$O:$O, 'Activity map'!$A:$A, A123, 'Activity map'!$H:$H, "=TRUE"))</f>
        <v>461.5384615</v>
      </c>
      <c r="F123" s="26">
        <f t="shared" si="1"/>
        <v>0.5016722408</v>
      </c>
      <c r="G123" s="26" t="str">
        <f>IF(MINIFS('Activity map'!$N:$N, 'Activity map'!$A:$A, A123, 'Activity map'!$H:$H, "=TRUE") = 0, "n/a", MINIFS('Activity map'!$N:$N, 'Activity map'!$A:$A, A123, 'Activity map'!$H:$H, "=TRUE"))</f>
        <v>n/a</v>
      </c>
      <c r="H123" s="8" t="str">
        <f t="shared" si="2"/>
        <v/>
      </c>
      <c r="I123" s="26" t="str">
        <f>IF(MINIFS('Activity map'!$M:$M, 'Activity map'!$A:$A, A123, 'Activity map'!$H:$H, "=TRUE") = 0, "n/a", MINIFS('Activity map'!$M:$M, 'Activity map'!$A:$A, A123, 'Activity map'!$H:$H, "=TRUE"))</f>
        <v>n/a</v>
      </c>
      <c r="J123" s="8" t="str">
        <f t="shared" si="3"/>
        <v/>
      </c>
      <c r="K123" s="26" t="str">
        <f>IF(MINIFS('Activity map'!$L:$L, 'Activity map'!$A:$A, A123, 'Activity map'!$H:$H, "=TRUE") = 0, "n/a", MINIFS('Activity map'!$L:$L, 'Activity map'!$A:$A, A123, 'Activity map'!$H:$H, "=TRUE"))</f>
        <v>n/a</v>
      </c>
      <c r="L123" s="8" t="str">
        <f t="shared" si="4"/>
        <v/>
      </c>
      <c r="M123" s="26">
        <f>MINIFS('Activity map'!$C:$C, 'Activity map'!$A:$A, $A123, 'Activity map'!$H:$H, "=TRUE", 'Activity map'!$K:$K, MINIFS('Activity map'!$K:$K, 'Activity map'!$A:$A, $A123, 'Activity map'!$H:$H, "=TRUE"))</f>
        <v>31989</v>
      </c>
      <c r="N123" s="26">
        <f>MINIFS('Activity map'!$C:$C, 'Activity map'!$A:$A, $A123, 'Activity map'!$H:$H, "=TRUE", 'Activity map'!$E:$E, $T123)</f>
        <v>31989</v>
      </c>
      <c r="O123" s="125">
        <f t="shared" si="5"/>
        <v>0.02090301003</v>
      </c>
      <c r="P123" s="30" t="str">
        <f>IF($M123=0, "-", VLOOKUP($M123, 'List of log slots'!$A:$C, 2, FALSE))</f>
        <v>Boat bottle (empty)</v>
      </c>
      <c r="Q123" s="31">
        <f>IFERROR(__xludf.DUMMYFUNCTION("IF(ISERROR(FILTER('Activity map'!$C:$C, ('Activity map'!$A:$A=$A123)*('Activity map'!$F:$F=FALSE))), 0, COUNTA(UNIQUE(FILTER('Activity map'!$C:$C, ('Activity map'!$A:$A=$A123)*('Activity map'!$F:$F=FALSE)))))"),3.0)</f>
        <v>3</v>
      </c>
      <c r="R123" s="31">
        <f>IFERROR(__xludf.DUMMYFUNCTION("IF(ISERROR(FILTER('Activity map'!$C:$C, 'Activity map'!$A:$A=$A123)), 0, COUNTA(UNIQUE(FILTER('Activity map'!$C:$C, 'Activity map'!$A:$A=$A123))))"),3.0)</f>
        <v>3</v>
      </c>
      <c r="S123" s="97">
        <f t="shared" si="6"/>
        <v>0</v>
      </c>
      <c r="T123" s="31">
        <f>IFERROR(__xludf.DUMMYFUNCTION("IF(ISERROR(FILTER('Activity map'!$E:$E, ('Activity map'!$A:$A=$A123)*('Activity map'!$F:$F=FALSE))), ""-"", MIN(UNIQUE(FILTER('Activity map'!$E:$E, ('Activity map'!$A:$A=$A123)*('Activity map'!$F:$F=FALSE)))))"),3.0)</f>
        <v>3</v>
      </c>
      <c r="U123" s="30" t="str">
        <f>IF($N123=0, "-", VLOOKUP($N123, 'List of log slots'!$A:$C, 2, FALSE))</f>
        <v>Boat bottle (empty)</v>
      </c>
    </row>
    <row r="124">
      <c r="A124" s="26">
        <v>216.0</v>
      </c>
      <c r="B124" s="23" t="str">
        <f>VLOOKUP($A124, 'Completion rates'!$A:$E, 2, FALSE)</f>
        <v>Killing lizardmen</v>
      </c>
      <c r="C124" s="26">
        <f>IF(Notes!$E$27, VLOOKUP($A124, 'Completion rates'!$A:$E, 4, FALSE), VLOOKUP($A124, 'Completion rates'!$A:$E, 3, FALSE))</f>
        <v>240</v>
      </c>
      <c r="D124" s="26">
        <f>VLOOKUP($A124, 'Completion rates'!$A:$E, 5, FALSE)</f>
        <v>0</v>
      </c>
      <c r="E124" s="28">
        <f>IF(SUMIFS('Activity map'!$O:$O, 'Activity map'!$A:$A, A124, 'Activity map'!$H:$H, "=TRUE") = 0, "n/a", 1/SUMIFS('Activity map'!$O:$O, 'Activity map'!$A:$A, A124, 'Activity map'!$H:$H, "=TRUE"))</f>
        <v>125</v>
      </c>
      <c r="F124" s="8">
        <f t="shared" si="1"/>
        <v>0.5208333333</v>
      </c>
      <c r="G124" s="26" t="str">
        <f>IF(MINIFS('Activity map'!$N:$N, 'Activity map'!$A:$A, A124, 'Activity map'!$H:$H, "=TRUE") = 0, "n/a", MINIFS('Activity map'!$N:$N, 'Activity map'!$A:$A, A124, 'Activity map'!$H:$H, "=TRUE"))</f>
        <v>n/a</v>
      </c>
      <c r="H124" s="8" t="str">
        <f t="shared" si="2"/>
        <v/>
      </c>
      <c r="I124" s="26" t="str">
        <f>IF(MINIFS('Activity map'!$M:$M, 'Activity map'!$A:$A, A124, 'Activity map'!$H:$H, "=TRUE") = 0, "n/a", MINIFS('Activity map'!$M:$M, 'Activity map'!$A:$A, A124, 'Activity map'!$H:$H, "=TRUE"))</f>
        <v>n/a</v>
      </c>
      <c r="J124" s="8" t="str">
        <f t="shared" si="3"/>
        <v/>
      </c>
      <c r="K124" s="26" t="str">
        <f>IF(MINIFS('Activity map'!$L:$L, 'Activity map'!$A:$A, A124, 'Activity map'!$H:$H, "=TRUE") = 0, "n/a", MINIFS('Activity map'!$L:$L, 'Activity map'!$A:$A, A124, 'Activity map'!$H:$H, "=TRUE"))</f>
        <v>n/a</v>
      </c>
      <c r="L124" s="8" t="str">
        <f t="shared" si="4"/>
        <v/>
      </c>
      <c r="M124" s="26">
        <f>MINIFS('Activity map'!$C:$C, 'Activity map'!$A:$A, $A124, 'Activity map'!$H:$H, "=TRUE", 'Activity map'!$K:$K, MINIFS('Activity map'!$K:$K, 'Activity map'!$A:$A, $A124, 'Activity map'!$H:$H, "=TRUE"))</f>
        <v>13392</v>
      </c>
      <c r="N124" s="26">
        <f>MINIFS('Activity map'!$C:$C, 'Activity map'!$A:$A, $A124, 'Activity map'!$H:$H, "=TRUE", 'Activity map'!$E:$E, $T124)</f>
        <v>13392</v>
      </c>
      <c r="O124" s="35">
        <f t="shared" si="5"/>
        <v>0.02170138889</v>
      </c>
      <c r="P124" s="30" t="str">
        <f>IF($M124=0, "-", VLOOKUP($M124, 'List of log slots'!$A:$C, 2, FALSE))</f>
        <v>Xeric's talisman (inert)</v>
      </c>
      <c r="Q124" s="31">
        <f>IFERROR(__xludf.DUMMYFUNCTION("IF(ISERROR(FILTER('Activity map'!$C:$C, ('Activity map'!$A:$A=$A124)*('Activity map'!$F:$F=FALSE))), 0, COUNTA(UNIQUE(FILTER('Activity map'!$C:$C, ('Activity map'!$A:$A=$A124)*('Activity map'!$F:$F=FALSE)))))"),1.0)</f>
        <v>1</v>
      </c>
      <c r="R124" s="31">
        <f>IFERROR(__xludf.DUMMYFUNCTION("IF(ISERROR(FILTER('Activity map'!$C:$C, 'Activity map'!$A:$A=$A124)), 0, COUNTA(UNIQUE(FILTER('Activity map'!$C:$C, 'Activity map'!$A:$A=$A124))))"),1.0)</f>
        <v>1</v>
      </c>
      <c r="S124" s="36">
        <f t="shared" si="6"/>
        <v>0</v>
      </c>
      <c r="T124" s="31">
        <f>IFERROR(__xludf.DUMMYFUNCTION("IF(ISERROR(FILTER('Activity map'!$E:$E, ('Activity map'!$A:$A=$A124)*('Activity map'!$F:$F=FALSE))), ""-"", MIN(UNIQUE(FILTER('Activity map'!$E:$E, ('Activity map'!$A:$A=$A124)*('Activity map'!$F:$F=FALSE)))))"),2.0)</f>
        <v>2</v>
      </c>
      <c r="U124" s="30" t="str">
        <f>IF($N124=0, "-", VLOOKUP($N124, 'List of log slots'!$A:$C, 2, FALSE))</f>
        <v>Xeric's talisman (inert)</v>
      </c>
    </row>
    <row r="125">
      <c r="A125" s="26">
        <v>97.0</v>
      </c>
      <c r="B125" s="23" t="str">
        <f>VLOOKUP($A125, 'Completion rates'!$A:$E, 2, FALSE)</f>
        <v>Earning tithe farm reward points</v>
      </c>
      <c r="C125" s="26">
        <f>IF(Notes!$E$27, VLOOKUP($A125, 'Completion rates'!$A:$E, 4, FALSE), VLOOKUP($A125, 'Completion rates'!$A:$E, 3, FALSE))</f>
        <v>95</v>
      </c>
      <c r="D125" s="26">
        <f>VLOOKUP($A125, 'Completion rates'!$A:$E, 5, FALSE)</f>
        <v>0</v>
      </c>
      <c r="E125" s="28" t="str">
        <f>IF(SUMIFS('Activity map'!$O:$O, 'Activity map'!$A:$A, A125, 'Activity map'!$H:$H, "=TRUE") = 0, "n/a", 1/SUMIFS('Activity map'!$O:$O, 'Activity map'!$A:$A, A125, 'Activity map'!$H:$H, "=TRUE"))</f>
        <v>n/a</v>
      </c>
      <c r="F125" s="8" t="str">
        <f t="shared" si="1"/>
        <v/>
      </c>
      <c r="G125" s="26" t="str">
        <f>IF(MINIFS('Activity map'!$N:$N, 'Activity map'!$A:$A, A125, 'Activity map'!$H:$H, "=TRUE") = 0, "n/a", MINIFS('Activity map'!$N:$N, 'Activity map'!$A:$A, A125, 'Activity map'!$H:$H, "=TRUE"))</f>
        <v>n/a</v>
      </c>
      <c r="H125" s="8" t="str">
        <f t="shared" si="2"/>
        <v/>
      </c>
      <c r="I125" s="26">
        <f>IF(MINIFS('Activity map'!$M:$M, 'Activity map'!$A:$A, A125, 'Activity map'!$H:$H, "=TRUE") = 0, "n/a", MINIFS('Activity map'!$M:$M, 'Activity map'!$A:$A, A125, 'Activity map'!$H:$H, "=TRUE"))</f>
        <v>50</v>
      </c>
      <c r="J125" s="26">
        <f t="shared" si="3"/>
        <v>0.5263157895</v>
      </c>
      <c r="K125" s="26" t="str">
        <f>IF(MINIFS('Activity map'!$L:$L, 'Activity map'!$A:$A, A125, 'Activity map'!$H:$H, "=TRUE") = 0, "n/a", MINIFS('Activity map'!$L:$L, 'Activity map'!$A:$A, A125, 'Activity map'!$H:$H, "=TRUE"))</f>
        <v>n/a</v>
      </c>
      <c r="L125" s="8" t="str">
        <f t="shared" si="4"/>
        <v/>
      </c>
      <c r="M125" s="26">
        <f>MINIFS('Activity map'!$C:$C, 'Activity map'!$A:$A, $A125, 'Activity map'!$H:$H, "=TRUE", 'Activity map'!$K:$K, MINIFS('Activity map'!$K:$K, 'Activity map'!$A:$A, $A125, 'Activity map'!$H:$H, "=TRUE"))</f>
        <v>13644</v>
      </c>
      <c r="N125" s="26">
        <f>MINIFS('Activity map'!$C:$C, 'Activity map'!$A:$A, $A125, 'Activity map'!$H:$H, "=TRUE", 'Activity map'!$E:$E, $T125)</f>
        <v>13226</v>
      </c>
      <c r="O125" s="126">
        <f t="shared" si="5"/>
        <v>0.02192982456</v>
      </c>
      <c r="P125" s="30" t="str">
        <f>IF($M125=0, "-", VLOOKUP($M125, 'List of log slots'!$A:$C, 2, FALSE))</f>
        <v>Farmer's boots</v>
      </c>
      <c r="Q125" s="31">
        <f>IFERROR(__xludf.DUMMYFUNCTION("IF(ISERROR(FILTER('Activity map'!$C:$C, ('Activity map'!$A:$A=$A125)*('Activity map'!$F:$F=FALSE))), 0, COUNTA(UNIQUE(FILTER('Activity map'!$C:$C, ('Activity map'!$A:$A=$A125)*('Activity map'!$F:$F=FALSE)))))"),7.0)</f>
        <v>7</v>
      </c>
      <c r="R125" s="31">
        <f>IFERROR(__xludf.DUMMYFUNCTION("IF(ISERROR(FILTER('Activity map'!$C:$C, 'Activity map'!$A:$A=$A125)), 0, COUNTA(UNIQUE(FILTER('Activity map'!$C:$C, 'Activity map'!$A:$A=$A125))))"),7.0)</f>
        <v>7</v>
      </c>
      <c r="S125" s="77">
        <f t="shared" si="6"/>
        <v>0</v>
      </c>
      <c r="T125" s="31">
        <f>IFERROR(__xludf.DUMMYFUNCTION("IF(ISERROR(FILTER('Activity map'!$E:$E, ('Activity map'!$A:$A=$A125)*('Activity map'!$F:$F=FALSE))), ""-"", MIN(UNIQUE(FILTER('Activity map'!$E:$E, ('Activity map'!$A:$A=$A125)*('Activity map'!$F:$F=FALSE)))))"),3.0)</f>
        <v>3</v>
      </c>
      <c r="U125" s="30" t="str">
        <f>IF($N125=0, "-", VLOOKUP($N125, 'List of log slots'!$A:$C, 2, FALSE))</f>
        <v>Herb sack</v>
      </c>
    </row>
    <row r="126">
      <c r="A126" s="26">
        <v>9.0</v>
      </c>
      <c r="B126" s="23" t="str">
        <f>VLOOKUP($A126, 'Completion rates'!$A:$E, 2, FALSE)</f>
        <v>Killing chaos elemental</v>
      </c>
      <c r="C126" s="26">
        <f>IF(Notes!$E$27, VLOOKUP($A126, 'Completion rates'!$A:$E, 4, FALSE), VLOOKUP($A126, 'Completion rates'!$A:$E, 3, FALSE))</f>
        <v>120</v>
      </c>
      <c r="D126" s="26">
        <f>VLOOKUP($A126, 'Completion rates'!$A:$E, 5, FALSE)</f>
        <v>0</v>
      </c>
      <c r="E126" s="28">
        <f>IF(SUMIFS('Activity map'!$O:$O, 'Activity map'!$A:$A, A126, 'Activity map'!$H:$H, "=TRUE") = 0, "n/a", 1/SUMIFS('Activity map'!$O:$O, 'Activity map'!$A:$A, A126, 'Activity map'!$H:$H, "=TRUE"))</f>
        <v>64.65463036</v>
      </c>
      <c r="F126" s="26">
        <f t="shared" si="1"/>
        <v>0.5387885863</v>
      </c>
      <c r="G126" s="26" t="str">
        <f>IF(MINIFS('Activity map'!$N:$N, 'Activity map'!$A:$A, A126, 'Activity map'!$H:$H, "=TRUE") = 0, "n/a", MINIFS('Activity map'!$N:$N, 'Activity map'!$A:$A, A126, 'Activity map'!$H:$H, "=TRUE"))</f>
        <v>n/a</v>
      </c>
      <c r="H126" s="8" t="str">
        <f t="shared" si="2"/>
        <v/>
      </c>
      <c r="I126" s="26" t="str">
        <f>IF(MINIFS('Activity map'!$M:$M, 'Activity map'!$A:$A, A126, 'Activity map'!$H:$H, "=TRUE") = 0, "n/a", MINIFS('Activity map'!$M:$M, 'Activity map'!$A:$A, A126, 'Activity map'!$H:$H, "=TRUE"))</f>
        <v>n/a</v>
      </c>
      <c r="J126" s="8" t="str">
        <f t="shared" si="3"/>
        <v/>
      </c>
      <c r="K126" s="26" t="str">
        <f>IF(MINIFS('Activity map'!$L:$L, 'Activity map'!$A:$A, A126, 'Activity map'!$H:$H, "=TRUE") = 0, "n/a", MINIFS('Activity map'!$L:$L, 'Activity map'!$A:$A, A126, 'Activity map'!$H:$H, "=TRUE"))</f>
        <v>n/a</v>
      </c>
      <c r="L126" s="8" t="str">
        <f t="shared" si="4"/>
        <v/>
      </c>
      <c r="M126" s="26">
        <f>MINIFS('Activity map'!$C:$C, 'Activity map'!$A:$A, $A126, 'Activity map'!$H:$H, "=TRUE", 'Activity map'!$K:$K, MINIFS('Activity map'!$K:$K, 'Activity map'!$A:$A, $A126, 'Activity map'!$H:$H, "=TRUE"))</f>
        <v>7158</v>
      </c>
      <c r="N126" s="26">
        <f>MINIFS('Activity map'!$C:$C, 'Activity map'!$A:$A, $A126, 'Activity map'!$H:$H, "=TRUE", 'Activity map'!$E:$E, $T126)</f>
        <v>7158</v>
      </c>
      <c r="O126" s="105">
        <f t="shared" si="5"/>
        <v>0.02244952443</v>
      </c>
      <c r="P126" s="30" t="str">
        <f>IF($M126=0, "-", VLOOKUP($M126, 'List of log slots'!$A:$C, 2, FALSE))</f>
        <v>Dragon 2h sword</v>
      </c>
      <c r="Q126" s="31">
        <f>IFERROR(__xludf.DUMMYFUNCTION("IF(ISERROR(FILTER('Activity map'!$C:$C, ('Activity map'!$A:$A=$A126)*('Activity map'!$F:$F=FALSE))), 0, COUNTA(UNIQUE(FILTER('Activity map'!$C:$C, ('Activity map'!$A:$A=$A126)*('Activity map'!$F:$F=FALSE)))))"),5.0)</f>
        <v>5</v>
      </c>
      <c r="R126" s="31">
        <f>IFERROR(__xludf.DUMMYFUNCTION("IF(ISERROR(FILTER('Activity map'!$C:$C, 'Activity map'!$A:$A=$A126)), 0, COUNTA(UNIQUE(FILTER('Activity map'!$C:$C, 'Activity map'!$A:$A=$A126))))"),5.0)</f>
        <v>5</v>
      </c>
      <c r="S126" s="58">
        <f t="shared" si="6"/>
        <v>0</v>
      </c>
      <c r="T126" s="31">
        <f>IFERROR(__xludf.DUMMYFUNCTION("IF(ISERROR(FILTER('Activity map'!$E:$E, ('Activity map'!$A:$A=$A126)*('Activity map'!$F:$F=FALSE))), ""-"", MIN(UNIQUE(FILTER('Activity map'!$E:$E, ('Activity map'!$A:$A=$A126)*('Activity map'!$F:$F=FALSE)))))"),4.0)</f>
        <v>4</v>
      </c>
      <c r="U126" s="30" t="str">
        <f>IF($N126=0, "-", VLOOKUP($N126, 'List of log slots'!$A:$C, 2, FALSE))</f>
        <v>Dragon 2h sword</v>
      </c>
    </row>
    <row r="127">
      <c r="A127" s="26">
        <v>56.0</v>
      </c>
      <c r="B127" s="23" t="str">
        <f>VLOOKUP($A127, 'Completion rates'!$A:$E, 2, FALSE)</f>
        <v>Searching the reward cart (wintertodt)</v>
      </c>
      <c r="C127" s="26">
        <f>IF(Notes!$E$27, VLOOKUP($A127, 'Completion rates'!$A:$E, 4, FALSE), VLOOKUP($A127, 'Completion rates'!$A:$E, 3, FALSE))</f>
        <v>42</v>
      </c>
      <c r="D127" s="26">
        <f>VLOOKUP($A127, 'Completion rates'!$A:$E, 5, FALSE)</f>
        <v>0</v>
      </c>
      <c r="E127" s="28">
        <f>IF(SUMIFS('Activity map'!$O:$O, 'Activity map'!$A:$A, A127, 'Activity map'!$H:$H, "=TRUE") = 0, "n/a", 1/SUMIFS('Activity map'!$O:$O, 'Activity map'!$A:$A, A127, 'Activity map'!$H:$H, "=TRUE"))</f>
        <v>22.97676793</v>
      </c>
      <c r="F127" s="26">
        <f t="shared" si="1"/>
        <v>0.5470659032</v>
      </c>
      <c r="G127" s="26" t="str">
        <f>IF(MINIFS('Activity map'!$N:$N, 'Activity map'!$A:$A, A127, 'Activity map'!$H:$H, "=TRUE") = 0, "n/a", MINIFS('Activity map'!$N:$N, 'Activity map'!$A:$A, A127, 'Activity map'!$H:$H, "=TRUE"))</f>
        <v>n/a</v>
      </c>
      <c r="H127" s="8" t="str">
        <f t="shared" si="2"/>
        <v/>
      </c>
      <c r="I127" s="26" t="str">
        <f>IF(MINIFS('Activity map'!$M:$M, 'Activity map'!$A:$A, A127, 'Activity map'!$H:$H, "=TRUE") = 0, "n/a", MINIFS('Activity map'!$M:$M, 'Activity map'!$A:$A, A127, 'Activity map'!$H:$H, "=TRUE"))</f>
        <v>n/a</v>
      </c>
      <c r="J127" s="8" t="str">
        <f t="shared" si="3"/>
        <v/>
      </c>
      <c r="K127" s="26" t="str">
        <f>IF(MINIFS('Activity map'!$L:$L, 'Activity map'!$A:$A, A127, 'Activity map'!$H:$H, "=TRUE") = 0, "n/a", MINIFS('Activity map'!$L:$L, 'Activity map'!$A:$A, A127, 'Activity map'!$H:$H, "=TRUE"))</f>
        <v>n/a</v>
      </c>
      <c r="L127" s="8" t="str">
        <f t="shared" si="4"/>
        <v/>
      </c>
      <c r="M127" s="26">
        <f>MINIFS('Activity map'!$C:$C, 'Activity map'!$A:$A, $A127, 'Activity map'!$H:$H, "=TRUE", 'Activity map'!$K:$K, MINIFS('Activity map'!$K:$K, 'Activity map'!$A:$A, $A127, 'Activity map'!$H:$H, "=TRUE"))</f>
        <v>20718</v>
      </c>
      <c r="N127" s="26">
        <f>MINIFS('Activity map'!$C:$C, 'Activity map'!$A:$A, $A127, 'Activity map'!$H:$H, "=TRUE", 'Activity map'!$E:$E, $T127)</f>
        <v>20718</v>
      </c>
      <c r="O127" s="66">
        <f t="shared" si="5"/>
        <v>0.02279441263</v>
      </c>
      <c r="P127" s="30" t="str">
        <f>IF($M127=0, "-", VLOOKUP($M127, 'List of log slots'!$A:$C, 2, FALSE))</f>
        <v>Burnt page</v>
      </c>
      <c r="Q127" s="31">
        <f>IFERROR(__xludf.DUMMYFUNCTION("IF(ISERROR(FILTER('Activity map'!$C:$C, ('Activity map'!$A:$A=$A127)*('Activity map'!$F:$F=FALSE))), 0, COUNTA(UNIQUE(FILTER('Activity map'!$C:$C, ('Activity map'!$A:$A=$A127)*('Activity map'!$F:$F=FALSE)))))"),10.0)</f>
        <v>10</v>
      </c>
      <c r="R127" s="31">
        <f>IFERROR(__xludf.DUMMYFUNCTION("IF(ISERROR(FILTER('Activity map'!$C:$C, 'Activity map'!$A:$A=$A127)), 0, COUNTA(UNIQUE(FILTER('Activity map'!$C:$C, 'Activity map'!$A:$A=$A127))))"),10.0)</f>
        <v>10</v>
      </c>
      <c r="S127" s="127">
        <f t="shared" si="6"/>
        <v>0</v>
      </c>
      <c r="T127" s="31">
        <f>IFERROR(__xludf.DUMMYFUNCTION("IF(ISERROR(FILTER('Activity map'!$E:$E, ('Activity map'!$A:$A=$A127)*('Activity map'!$F:$F=FALSE))), ""-"", MIN(UNIQUE(FILTER('Activity map'!$E:$E, ('Activity map'!$A:$A=$A127)*('Activity map'!$F:$F=FALSE)))))"),2.0)</f>
        <v>2</v>
      </c>
      <c r="U127" s="30" t="str">
        <f>IF($N127=0, "-", VLOOKUP($N127, 'List of log slots'!$A:$C, 2, FALSE))</f>
        <v>Burnt page</v>
      </c>
    </row>
    <row r="128">
      <c r="A128" s="26">
        <v>149.0</v>
      </c>
      <c r="B128" s="23" t="str">
        <f>VLOOKUP($A128, 'Completion rates'!$A:$E, 2, FALSE)</f>
        <v>Sorting through large salvage</v>
      </c>
      <c r="C128" s="26">
        <f>IF(Notes!$E$27, VLOOKUP($A128, 'Completion rates'!$A:$E, 4, FALSE), VLOOKUP($A128, 'Completion rates'!$A:$E, 3, FALSE))</f>
        <v>780</v>
      </c>
      <c r="D128" s="26">
        <f>VLOOKUP($A128, 'Completion rates'!$A:$E, 5, FALSE)</f>
        <v>0</v>
      </c>
      <c r="E128" s="28">
        <f>IF(SUMIFS('Activity map'!$O:$O, 'Activity map'!$A:$A, A128, 'Activity map'!$H:$H, "=TRUE") = 0, "n/a", 1/SUMIFS('Activity map'!$O:$O, 'Activity map'!$A:$A, A128, 'Activity map'!$H:$H, "=TRUE"))</f>
        <v>428.5714286</v>
      </c>
      <c r="F128" s="26">
        <f t="shared" si="1"/>
        <v>0.5494505495</v>
      </c>
      <c r="G128" s="26" t="str">
        <f>IF(MINIFS('Activity map'!$N:$N, 'Activity map'!$A:$A, A128, 'Activity map'!$H:$H, "=TRUE") = 0, "n/a", MINIFS('Activity map'!$N:$N, 'Activity map'!$A:$A, A128, 'Activity map'!$H:$H, "=TRUE"))</f>
        <v>n/a</v>
      </c>
      <c r="H128" s="8" t="str">
        <f t="shared" si="2"/>
        <v/>
      </c>
      <c r="I128" s="26" t="str">
        <f>IF(MINIFS('Activity map'!$M:$M, 'Activity map'!$A:$A, A128, 'Activity map'!$H:$H, "=TRUE") = 0, "n/a", MINIFS('Activity map'!$M:$M, 'Activity map'!$A:$A, A128, 'Activity map'!$H:$H, "=TRUE"))</f>
        <v>n/a</v>
      </c>
      <c r="J128" s="8" t="str">
        <f t="shared" si="3"/>
        <v/>
      </c>
      <c r="K128" s="26" t="str">
        <f>IF(MINIFS('Activity map'!$L:$L, 'Activity map'!$A:$A, A128, 'Activity map'!$H:$H, "=TRUE") = 0, "n/a", MINIFS('Activity map'!$L:$L, 'Activity map'!$A:$A, A128, 'Activity map'!$H:$H, "=TRUE"))</f>
        <v>n/a</v>
      </c>
      <c r="L128" s="8" t="str">
        <f t="shared" si="4"/>
        <v/>
      </c>
      <c r="M128" s="26">
        <f>MINIFS('Activity map'!$C:$C, 'Activity map'!$A:$A, $A128, 'Activity map'!$H:$H, "=TRUE", 'Activity map'!$K:$K, MINIFS('Activity map'!$K:$K, 'Activity map'!$A:$A, $A128, 'Activity map'!$H:$H, "=TRUE"))</f>
        <v>32398</v>
      </c>
      <c r="N128" s="26">
        <f>MINIFS('Activity map'!$C:$C, 'Activity map'!$A:$A, $A128, 'Activity map'!$H:$H, "=TRUE", 'Activity map'!$E:$E, $T128)</f>
        <v>32398</v>
      </c>
      <c r="O128" s="128">
        <f t="shared" si="5"/>
        <v>0.02289377289</v>
      </c>
      <c r="P128" s="30" t="str">
        <f>IF($M128=0, "-", VLOOKUP($M128, 'List of log slots'!$A:$C, 2, FALSE))</f>
        <v>Sailors' amulet (inert)</v>
      </c>
      <c r="Q128" s="31">
        <f>IFERROR(__xludf.DUMMYFUNCTION("IF(ISERROR(FILTER('Activity map'!$C:$C, ('Activity map'!$A:$A=$A128)*('Activity map'!$F:$F=FALSE))), 0, COUNTA(UNIQUE(FILTER('Activity map'!$C:$C, ('Activity map'!$A:$A=$A128)*('Activity map'!$F:$F=FALSE)))))"),2.0)</f>
        <v>2</v>
      </c>
      <c r="R128" s="31">
        <f>IFERROR(__xludf.DUMMYFUNCTION("IF(ISERROR(FILTER('Activity map'!$C:$C, 'Activity map'!$A:$A=$A128)), 0, COUNTA(UNIQUE(FILTER('Activity map'!$C:$C, 'Activity map'!$A:$A=$A128))))"),2.0)</f>
        <v>2</v>
      </c>
      <c r="S128" s="46">
        <f t="shared" si="6"/>
        <v>0</v>
      </c>
      <c r="T128" s="31">
        <f>IFERROR(__xludf.DUMMYFUNCTION("IF(ISERROR(FILTER('Activity map'!$E:$E, ('Activity map'!$A:$A=$A128)*('Activity map'!$F:$F=FALSE))), ""-"", MIN(UNIQUE(FILTER('Activity map'!$E:$E, ('Activity map'!$A:$A=$A128)*('Activity map'!$F:$F=FALSE)))))"),3.0)</f>
        <v>3</v>
      </c>
      <c r="U128" s="30" t="str">
        <f>IF($N128=0, "-", VLOOKUP($N128, 'List of log slots'!$A:$C, 2, FALSE))</f>
        <v>Sailors' amulet (inert)</v>
      </c>
    </row>
    <row r="129">
      <c r="A129" s="26">
        <v>72.0</v>
      </c>
      <c r="B129" s="23" t="str">
        <f>VLOOKUP($A129, 'Completion rates'!$A:$E, 2, FALSE)</f>
        <v>Opening elite caskets</v>
      </c>
      <c r="C129" s="26">
        <f>IF(Notes!$E$27, VLOOKUP($A129, 'Completion rates'!$A:$E, 4, FALSE), VLOOKUP($A129, 'Completion rates'!$A:$E, 3, FALSE))</f>
        <v>1.66</v>
      </c>
      <c r="D129" s="26">
        <f>VLOOKUP($A129, 'Completion rates'!$A:$E, 5, FALSE)</f>
        <v>0</v>
      </c>
      <c r="E129" s="28">
        <f>IF(SUMIFS('Activity map'!$O:$O, 'Activity map'!$A:$A, A129, 'Activity map'!$H:$H, "=TRUE") = 0, "n/a", 1/SUMIFS('Activity map'!$O:$O, 'Activity map'!$A:$A, A129, 'Activity map'!$H:$H, "=TRUE"))</f>
        <v>0.9160092103</v>
      </c>
      <c r="F129" s="26">
        <f t="shared" si="1"/>
        <v>0.5518127773</v>
      </c>
      <c r="G129" s="26" t="str">
        <f>IF(MINIFS('Activity map'!$N:$N, 'Activity map'!$A:$A, A129, 'Activity map'!$H:$H, "=TRUE") = 0, "n/a", MINIFS('Activity map'!$N:$N, 'Activity map'!$A:$A, A129, 'Activity map'!$H:$H, "=TRUE"))</f>
        <v>n/a</v>
      </c>
      <c r="H129" s="8" t="str">
        <f t="shared" si="2"/>
        <v/>
      </c>
      <c r="I129" s="26">
        <f>IF(MINIFS('Activity map'!$M:$M, 'Activity map'!$A:$A, A129, 'Activity map'!$H:$H, "=TRUE") = 0, "n/a", MINIFS('Activity map'!$M:$M, 'Activity map'!$A:$A, A129, 'Activity map'!$H:$H, "=TRUE"))</f>
        <v>50</v>
      </c>
      <c r="J129" s="26">
        <f t="shared" si="3"/>
        <v>30.12048193</v>
      </c>
      <c r="K129" s="26" t="str">
        <f>IF(MINIFS('Activity map'!$L:$L, 'Activity map'!$A:$A, A129, 'Activity map'!$H:$H, "=TRUE") = 0, "n/a", MINIFS('Activity map'!$L:$L, 'Activity map'!$A:$A, A129, 'Activity map'!$H:$H, "=TRUE"))</f>
        <v>n/a</v>
      </c>
      <c r="L129" s="8" t="str">
        <f t="shared" si="4"/>
        <v/>
      </c>
      <c r="M129" s="26">
        <f>MINIFS('Activity map'!$C:$C, 'Activity map'!$A:$A, $A129, 'Activity map'!$H:$H, "=TRUE", 'Activity map'!$K:$K, MINIFS('Activity map'!$K:$K, 'Activity map'!$A:$A, $A129, 'Activity map'!$H:$H, "=TRUE"))</f>
        <v>10476</v>
      </c>
      <c r="N129" s="26">
        <f>MINIFS('Activity map'!$C:$C, 'Activity map'!$A:$A, $A129, 'Activity map'!$H:$H, "=TRUE", 'Activity map'!$E:$E, $T129)</f>
        <v>3827</v>
      </c>
      <c r="O129" s="129">
        <f t="shared" si="5"/>
        <v>0.02299219905</v>
      </c>
      <c r="P129" s="30" t="str">
        <f>IF($M129=0, "-", VLOOKUP($M129, 'List of log slots'!$A:$C, 2, FALSE))</f>
        <v>Purple sweets</v>
      </c>
      <c r="Q129" s="31">
        <f>IFERROR(__xludf.DUMMYFUNCTION("IF(ISERROR(FILTER('Activity map'!$C:$C, ('Activity map'!$A:$A=$A129)*('Activity map'!$F:$F=FALSE))), 0, COUNTA(UNIQUE(FILTER('Activity map'!$C:$C, ('Activity map'!$A:$A=$A129)*('Activity map'!$F:$F=FALSE)))))"),156.0)</f>
        <v>156</v>
      </c>
      <c r="R129" s="31">
        <f>IFERROR(__xludf.DUMMYFUNCTION("IF(ISERROR(FILTER('Activity map'!$C:$C, 'Activity map'!$A:$A=$A129)), 0, COUNTA(UNIQUE(FILTER('Activity map'!$C:$C, 'Activity map'!$A:$A=$A129))))"),156.0)</f>
        <v>156</v>
      </c>
      <c r="S129" s="130">
        <f t="shared" si="6"/>
        <v>0</v>
      </c>
      <c r="T129" s="31">
        <f>IFERROR(__xludf.DUMMYFUNCTION("IF(ISERROR(FILTER('Activity map'!$E:$E, ('Activity map'!$A:$A=$A129)*('Activity map'!$F:$F=FALSE))), ""-"", MIN(UNIQUE(FILTER('Activity map'!$E:$E, ('Activity map'!$A:$A=$A129)*('Activity map'!$F:$F=FALSE)))))"),2.0)</f>
        <v>2</v>
      </c>
      <c r="U129" s="30" t="str">
        <f>IF($N129=0, "-", VLOOKUP($N129, 'List of log slots'!$A:$C, 2, FALSE))</f>
        <v>Saradomin page 1</v>
      </c>
    </row>
    <row r="130">
      <c r="A130" s="26">
        <v>55.0</v>
      </c>
      <c r="B130" s="23" t="str">
        <f>VLOOKUP($A130, 'Completion rates'!$A:$E, 2, FALSE)</f>
        <v>Killing the whisperer</v>
      </c>
      <c r="C130" s="26">
        <f>IF(Notes!$E$27, VLOOKUP($A130, 'Completion rates'!$A:$E, 4, FALSE), VLOOKUP($A130, 'Completion rates'!$A:$E, 3, FALSE))</f>
        <v>21</v>
      </c>
      <c r="D130" s="26">
        <f>VLOOKUP($A130, 'Completion rates'!$A:$E, 5, FALSE)</f>
        <v>0</v>
      </c>
      <c r="E130" s="28">
        <f>IF(SUMIFS('Activity map'!$O:$O, 'Activity map'!$A:$A, A130, 'Activity map'!$H:$H, "=TRUE") = 0, "n/a", 1/SUMIFS('Activity map'!$O:$O, 'Activity map'!$A:$A, A130, 'Activity map'!$H:$H, "=TRUE"))</f>
        <v>11.60008715</v>
      </c>
      <c r="F130" s="26">
        <f t="shared" si="1"/>
        <v>0.5523851024</v>
      </c>
      <c r="G130" s="26" t="str">
        <f>IF(MINIFS('Activity map'!$N:$N, 'Activity map'!$A:$A, A130, 'Activity map'!$H:$H, "=TRUE") = 0, "n/a", MINIFS('Activity map'!$N:$N, 'Activity map'!$A:$A, A130, 'Activity map'!$H:$H, "=TRUE"))</f>
        <v>n/a</v>
      </c>
      <c r="H130" s="8" t="str">
        <f t="shared" si="2"/>
        <v/>
      </c>
      <c r="I130" s="26" t="str">
        <f>IF(MINIFS('Activity map'!$M:$M, 'Activity map'!$A:$A, A130, 'Activity map'!$H:$H, "=TRUE") = 0, "n/a", MINIFS('Activity map'!$M:$M, 'Activity map'!$A:$A, A130, 'Activity map'!$H:$H, "=TRUE"))</f>
        <v>n/a</v>
      </c>
      <c r="J130" s="8" t="str">
        <f t="shared" si="3"/>
        <v/>
      </c>
      <c r="K130" s="26" t="str">
        <f>IF(MINIFS('Activity map'!$L:$L, 'Activity map'!$A:$A, A130, 'Activity map'!$H:$H, "=TRUE") = 0, "n/a", MINIFS('Activity map'!$L:$L, 'Activity map'!$A:$A, A130, 'Activity map'!$H:$H, "=TRUE"))</f>
        <v>n/a</v>
      </c>
      <c r="L130" s="8" t="str">
        <f t="shared" si="4"/>
        <v/>
      </c>
      <c r="M130" s="26">
        <f>MINIFS('Activity map'!$C:$C, 'Activity map'!$A:$A, $A130, 'Activity map'!$H:$H, "=TRUE", 'Activity map'!$K:$K, MINIFS('Activity map'!$K:$K, 'Activity map'!$A:$A, $A130, 'Activity map'!$H:$H, "=TRUE"))</f>
        <v>28331</v>
      </c>
      <c r="N130" s="26">
        <f>MINIFS('Activity map'!$C:$C, 'Activity map'!$A:$A, $A130, 'Activity map'!$H:$H, "=TRUE", 'Activity map'!$E:$E, $T130)</f>
        <v>28272</v>
      </c>
      <c r="O130" s="120">
        <f t="shared" si="5"/>
        <v>0.02301604593</v>
      </c>
      <c r="P130" s="30" t="str">
        <f>IF($M130=0, "-", VLOOKUP($M130, 'List of log slots'!$A:$C, 2, FALSE))</f>
        <v>Sirenic tablet</v>
      </c>
      <c r="Q130" s="31">
        <f>IFERROR(__xludf.DUMMYFUNCTION("IF(ISERROR(FILTER('Activity map'!$C:$C, ('Activity map'!$A:$A=$A130)*('Activity map'!$F:$F=FALSE))), 0, COUNTA(UNIQUE(FILTER('Activity map'!$C:$C, ('Activity map'!$A:$A=$A130)*('Activity map'!$F:$F=FALSE)))))"),10.0)</f>
        <v>10</v>
      </c>
      <c r="R130" s="31">
        <f>IFERROR(__xludf.DUMMYFUNCTION("IF(ISERROR(FILTER('Activity map'!$C:$C, 'Activity map'!$A:$A=$A130)), 0, COUNTA(UNIQUE(FILTER('Activity map'!$C:$C, 'Activity map'!$A:$A=$A130))))"),10.0)</f>
        <v>10</v>
      </c>
      <c r="S130" s="79">
        <f t="shared" si="6"/>
        <v>0</v>
      </c>
      <c r="T130" s="31">
        <f>IFERROR(__xludf.DUMMYFUNCTION("IF(ISERROR(FILTER('Activity map'!$E:$E, ('Activity map'!$A:$A=$A130)*('Activity map'!$F:$F=FALSE))), ""-"", MIN(UNIQUE(FILTER('Activity map'!$E:$E, ('Activity map'!$A:$A=$A130)*('Activity map'!$F:$F=FALSE)))))"),5.0)</f>
        <v>5</v>
      </c>
      <c r="U130" s="30" t="str">
        <f>IF($N130=0, "-", VLOOKUP($N130, 'List of log slots'!$A:$C, 2, FALSE))</f>
        <v>Shadow quartz</v>
      </c>
    </row>
    <row r="131">
      <c r="A131" s="26">
        <v>125.0</v>
      </c>
      <c r="B131" s="23" t="str">
        <f>VLOOKUP($A131, 'Completion rates'!$A:$E, 2, FALSE)</f>
        <v>Collecting anima-infused bark (forestry)</v>
      </c>
      <c r="C131" s="26">
        <f>IF(Notes!$E$27, VLOOKUP($A131, 'Completion rates'!$A:$E, 4, FALSE), VLOOKUP($A131, 'Completion rates'!$A:$E, 3, FALSE))</f>
        <v>1800</v>
      </c>
      <c r="D131" s="26">
        <f>VLOOKUP($A131, 'Completion rates'!$A:$E, 5, FALSE)</f>
        <v>0</v>
      </c>
      <c r="E131" s="28">
        <f>IF(SUMIFS('Activity map'!$O:$O, 'Activity map'!$A:$A, A131, 'Activity map'!$H:$H, "=TRUE") = 0, "n/a", 1/SUMIFS('Activity map'!$O:$O, 'Activity map'!$A:$A, A131, 'Activity map'!$H:$H, "=TRUE"))</f>
        <v>1421.052632</v>
      </c>
      <c r="F131" s="26">
        <f t="shared" si="1"/>
        <v>0.7894736842</v>
      </c>
      <c r="G131" s="26">
        <f>IF(MINIFS('Activity map'!$N:$N, 'Activity map'!$A:$A, A131, 'Activity map'!$H:$H, "=TRUE") = 0, "n/a", MINIFS('Activity map'!$N:$N, 'Activity map'!$A:$A, A131, 'Activity map'!$H:$H, "=TRUE"))</f>
        <v>1500</v>
      </c>
      <c r="H131" s="8">
        <f t="shared" si="2"/>
        <v>0.8333333333</v>
      </c>
      <c r="I131" s="26" t="str">
        <f>IF(MINIFS('Activity map'!$M:$M, 'Activity map'!$A:$A, A131, 'Activity map'!$H:$H, "=TRUE") = 0, "n/a", MINIFS('Activity map'!$M:$M, 'Activity map'!$A:$A, A131, 'Activity map'!$H:$H, "=TRUE"))</f>
        <v>n/a</v>
      </c>
      <c r="J131" s="8" t="str">
        <f t="shared" si="3"/>
        <v/>
      </c>
      <c r="K131" s="26">
        <f>IF(MINIFS('Activity map'!$L:$L, 'Activity map'!$A:$A, A131, 'Activity map'!$H:$H, "=TRUE") = 0, "n/a", MINIFS('Activity map'!$L:$L, 'Activity map'!$A:$A, A131, 'Activity map'!$H:$H, "=TRUE"))</f>
        <v>1000</v>
      </c>
      <c r="L131" s="26">
        <f t="shared" si="4"/>
        <v>0.5555555556</v>
      </c>
      <c r="M131" s="26">
        <f>MINIFS('Activity map'!$C:$C, 'Activity map'!$A:$A, $A131, 'Activity map'!$H:$H, "=TRUE", 'Activity map'!$K:$K, MINIFS('Activity map'!$K:$K, 'Activity map'!$A:$A, $A131, 'Activity map'!$H:$H, "=TRUE"))</f>
        <v>10933</v>
      </c>
      <c r="N131" s="26">
        <f>MINIFS('Activity map'!$C:$C, 'Activity map'!$A:$A, $A131, 'Activity map'!$H:$H, "=TRUE", 'Activity map'!$E:$E, $T131)</f>
        <v>10933</v>
      </c>
      <c r="O131" s="131">
        <f t="shared" si="5"/>
        <v>0.02314814815</v>
      </c>
      <c r="P131" s="30" t="str">
        <f>IF($M131=0, "-", VLOOKUP($M131, 'List of log slots'!$A:$C, 2, FALSE))</f>
        <v>Lumberjack boots</v>
      </c>
      <c r="Q131" s="31">
        <f>IFERROR(__xludf.DUMMYFUNCTION("IF(ISERROR(FILTER('Activity map'!$C:$C, ('Activity map'!$A:$A=$A131)*('Activity map'!$F:$F=FALSE))), 0, COUNTA(UNIQUE(FILTER('Activity map'!$C:$C, ('Activity map'!$A:$A=$A131)*('Activity map'!$F:$F=FALSE)))))"),23.0)</f>
        <v>23</v>
      </c>
      <c r="R131" s="31">
        <f>IFERROR(__xludf.DUMMYFUNCTION("IF(ISERROR(FILTER('Activity map'!$C:$C, 'Activity map'!$A:$A=$A131)), 0, COUNTA(UNIQUE(FILTER('Activity map'!$C:$C, 'Activity map'!$A:$A=$A131))))"),23.0)</f>
        <v>23</v>
      </c>
      <c r="S131" s="132">
        <f t="shared" si="6"/>
        <v>0</v>
      </c>
      <c r="T131" s="31">
        <f>IFERROR(__xludf.DUMMYFUNCTION("IF(ISERROR(FILTER('Activity map'!$E:$E, ('Activity map'!$A:$A=$A131)*('Activity map'!$F:$F=FALSE))), ""-"", MIN(UNIQUE(FILTER('Activity map'!$E:$E, ('Activity map'!$A:$A=$A131)*('Activity map'!$F:$F=FALSE)))))"),2.0)</f>
        <v>2</v>
      </c>
      <c r="U131" s="30" t="str">
        <f>IF($N131=0, "-", VLOOKUP($N131, 'List of log slots'!$A:$C, 2, FALSE))</f>
        <v>Lumberjack boots</v>
      </c>
    </row>
    <row r="132">
      <c r="A132" s="26">
        <v>201.0</v>
      </c>
      <c r="B132" s="23" t="str">
        <f>VLOOKUP($A132, 'Completion rates'!$A:$E, 2, FALSE)</f>
        <v>Killing aquanites (on task)</v>
      </c>
      <c r="C132" s="26">
        <f>IF(Notes!$E$27, VLOOKUP($A132, 'Completion rates'!$A:$E, 4, FALSE), VLOOKUP($A132, 'Completion rates'!$A:$E, 3, FALSE))</f>
        <v>150</v>
      </c>
      <c r="D132" s="26">
        <f>VLOOKUP($A132, 'Completion rates'!$A:$E, 5, FALSE)</f>
        <v>0</v>
      </c>
      <c r="E132" s="28">
        <f>IF(SUMIFS('Activity map'!$O:$O, 'Activity map'!$A:$A, A132, 'Activity map'!$H:$H, "=TRUE") = 0, "n/a", 1/SUMIFS('Activity map'!$O:$O, 'Activity map'!$A:$A, A132, 'Activity map'!$H:$H, "=TRUE"))</f>
        <v>83.62386332</v>
      </c>
      <c r="F132" s="26">
        <f t="shared" si="1"/>
        <v>0.5574924221</v>
      </c>
      <c r="G132" s="26" t="str">
        <f>IF(MINIFS('Activity map'!$N:$N, 'Activity map'!$A:$A, A132, 'Activity map'!$H:$H, "=TRUE") = 0, "n/a", MINIFS('Activity map'!$N:$N, 'Activity map'!$A:$A, A132, 'Activity map'!$H:$H, "=TRUE"))</f>
        <v>n/a</v>
      </c>
      <c r="H132" s="8" t="str">
        <f t="shared" si="2"/>
        <v/>
      </c>
      <c r="I132" s="26" t="str">
        <f>IF(MINIFS('Activity map'!$M:$M, 'Activity map'!$A:$A, A132, 'Activity map'!$H:$H, "=TRUE") = 0, "n/a", MINIFS('Activity map'!$M:$M, 'Activity map'!$A:$A, A132, 'Activity map'!$H:$H, "=TRUE"))</f>
        <v>n/a</v>
      </c>
      <c r="J132" s="8" t="str">
        <f t="shared" si="3"/>
        <v/>
      </c>
      <c r="K132" s="26" t="str">
        <f>IF(MINIFS('Activity map'!$L:$L, 'Activity map'!$A:$A, A132, 'Activity map'!$H:$H, "=TRUE") = 0, "n/a", MINIFS('Activity map'!$L:$L, 'Activity map'!$A:$A, A132, 'Activity map'!$H:$H, "=TRUE"))</f>
        <v>n/a</v>
      </c>
      <c r="L132" s="8" t="str">
        <f t="shared" si="4"/>
        <v/>
      </c>
      <c r="M132" s="26">
        <f>MINIFS('Activity map'!$C:$C, 'Activity map'!$A:$A, $A132, 'Activity map'!$H:$H, "=TRUE", 'Activity map'!$K:$K, MINIFS('Activity map'!$K:$K, 'Activity map'!$A:$A, $A132, 'Activity map'!$H:$H, "=TRUE"))</f>
        <v>31916</v>
      </c>
      <c r="N132" s="26">
        <f>MINIFS('Activity map'!$C:$C, 'Activity map'!$A:$A, $A132, 'Activity map'!$H:$H, "=TRUE", 'Activity map'!$E:$E, $T132)</f>
        <v>10976</v>
      </c>
      <c r="O132" s="133">
        <f t="shared" si="5"/>
        <v>0.02322885092</v>
      </c>
      <c r="P132" s="30" t="str">
        <f>IF($M132=0, "-", VLOOKUP($M132, 'List of log slots'!$A:$C, 2, FALSE))</f>
        <v>Dragon cannonball</v>
      </c>
      <c r="Q132" s="31">
        <f>IFERROR(__xludf.DUMMYFUNCTION("IF(ISERROR(FILTER('Activity map'!$C:$C, ('Activity map'!$A:$A=$A132)*('Activity map'!$F:$F=FALSE))), 0, COUNTA(UNIQUE(FILTER('Activity map'!$C:$C, ('Activity map'!$A:$A=$A132)*('Activity map'!$F:$F=FALSE)))))"),8.0)</f>
        <v>8</v>
      </c>
      <c r="R132" s="31">
        <f>IFERROR(__xludf.DUMMYFUNCTION("IF(ISERROR(FILTER('Activity map'!$C:$C, 'Activity map'!$A:$A=$A132)), 0, COUNTA(UNIQUE(FILTER('Activity map'!$C:$C, 'Activity map'!$A:$A=$A132))))"),8.0)</f>
        <v>8</v>
      </c>
      <c r="S132" s="134">
        <f t="shared" si="6"/>
        <v>0</v>
      </c>
      <c r="T132" s="31">
        <f>IFERROR(__xludf.DUMMYFUNCTION("IF(ISERROR(FILTER('Activity map'!$E:$E, ('Activity map'!$A:$A=$A132)*('Activity map'!$F:$F=FALSE))), ""-"", MIN(UNIQUE(FILTER('Activity map'!$E:$E, ('Activity map'!$A:$A=$A132)*('Activity map'!$F:$F=FALSE)))))"),3.0)</f>
        <v>3</v>
      </c>
      <c r="U132" s="30" t="str">
        <f>IF($N132=0, "-", VLOOKUP($N132, 'List of log slots'!$A:$C, 2, FALSE))</f>
        <v>Long bone</v>
      </c>
    </row>
    <row r="133">
      <c r="A133" s="26">
        <v>248.0</v>
      </c>
      <c r="B133" s="23" t="str">
        <f>VLOOKUP($A133, 'Completion rates'!$A:$E, 2, FALSE)</f>
        <v>Killing armoured zombies (zemouregal)</v>
      </c>
      <c r="C133" s="26">
        <f>IF(Notes!$E$27, VLOOKUP($A133, 'Completion rates'!$A:$E, 4, FALSE), VLOOKUP($A133, 'Completion rates'!$A:$E, 3, FALSE))</f>
        <v>500</v>
      </c>
      <c r="D133" s="26">
        <f>VLOOKUP($A133, 'Completion rates'!$A:$E, 5, FALSE)</f>
        <v>0</v>
      </c>
      <c r="E133" s="28">
        <f>IF(SUMIFS('Activity map'!$O:$O, 'Activity map'!$A:$A, A133, 'Activity map'!$H:$H, "=TRUE") = 0, "n/a", 1/SUMIFS('Activity map'!$O:$O, 'Activity map'!$A:$A, A133, 'Activity map'!$H:$H, "=TRUE"))</f>
        <v>282.7517588</v>
      </c>
      <c r="F133" s="26">
        <f t="shared" si="1"/>
        <v>0.5655035176</v>
      </c>
      <c r="G133" s="26" t="str">
        <f>IF(MINIFS('Activity map'!$N:$N, 'Activity map'!$A:$A, A133, 'Activity map'!$H:$H, "=TRUE") = 0, "n/a", MINIFS('Activity map'!$N:$N, 'Activity map'!$A:$A, A133, 'Activity map'!$H:$H, "=TRUE"))</f>
        <v>n/a</v>
      </c>
      <c r="H133" s="8" t="str">
        <f t="shared" si="2"/>
        <v/>
      </c>
      <c r="I133" s="26" t="str">
        <f>IF(MINIFS('Activity map'!$M:$M, 'Activity map'!$A:$A, A133, 'Activity map'!$H:$H, "=TRUE") = 0, "n/a", MINIFS('Activity map'!$M:$M, 'Activity map'!$A:$A, A133, 'Activity map'!$H:$H, "=TRUE"))</f>
        <v>n/a</v>
      </c>
      <c r="J133" s="8" t="str">
        <f t="shared" si="3"/>
        <v/>
      </c>
      <c r="K133" s="26" t="str">
        <f>IF(MINIFS('Activity map'!$L:$L, 'Activity map'!$A:$A, A133, 'Activity map'!$H:$H, "=TRUE") = 0, "n/a", MINIFS('Activity map'!$L:$L, 'Activity map'!$A:$A, A133, 'Activity map'!$H:$H, "=TRUE"))</f>
        <v>n/a</v>
      </c>
      <c r="L133" s="8" t="str">
        <f t="shared" si="4"/>
        <v/>
      </c>
      <c r="M133" s="26">
        <f>MINIFS('Activity map'!$C:$C, 'Activity map'!$A:$A, $A133, 'Activity map'!$H:$H, "=TRUE", 'Activity map'!$K:$K, MINIFS('Activity map'!$K:$K, 'Activity map'!$A:$A, $A133, 'Activity map'!$H:$H, "=TRUE"))</f>
        <v>28813</v>
      </c>
      <c r="N133" s="26">
        <f>MINIFS('Activity map'!$C:$C, 'Activity map'!$A:$A, $A133, 'Activity map'!$H:$H, "=TRUE", 'Activity map'!$E:$E, $T133)</f>
        <v>28813</v>
      </c>
      <c r="O133" s="110">
        <f t="shared" si="5"/>
        <v>0.02356264657</v>
      </c>
      <c r="P133" s="30" t="str">
        <f>IF($M133=0, "-", VLOOKUP($M133, 'List of log slots'!$A:$C, 2, FALSE))</f>
        <v>Broken zombie axe</v>
      </c>
      <c r="Q133" s="31">
        <f>IFERROR(__xludf.DUMMYFUNCTION("IF(ISERROR(FILTER('Activity map'!$C:$C, ('Activity map'!$A:$A=$A133)*('Activity map'!$F:$F=FALSE))), 0, COUNTA(UNIQUE(FILTER('Activity map'!$C:$C, ('Activity map'!$A:$A=$A133)*('Activity map'!$F:$F=FALSE)))))"),5.0)</f>
        <v>5</v>
      </c>
      <c r="R133" s="31">
        <f>IFERROR(__xludf.DUMMYFUNCTION("IF(ISERROR(FILTER('Activity map'!$C:$C, 'Activity map'!$A:$A=$A133)), 0, COUNTA(UNIQUE(FILTER('Activity map'!$C:$C, 'Activity map'!$A:$A=$A133))))"),5.0)</f>
        <v>5</v>
      </c>
      <c r="S133" s="51">
        <f t="shared" si="6"/>
        <v>0</v>
      </c>
      <c r="T133" s="31">
        <f>IFERROR(__xludf.DUMMYFUNCTION("IF(ISERROR(FILTER('Activity map'!$E:$E, ('Activity map'!$A:$A=$A133)*('Activity map'!$F:$F=FALSE))), ""-"", MIN(UNIQUE(FILTER('Activity map'!$E:$E, ('Activity map'!$A:$A=$A133)*('Activity map'!$F:$F=FALSE)))))"),4.0)</f>
        <v>4</v>
      </c>
      <c r="U133" s="30" t="str">
        <f>IF($N133=0, "-", VLOOKUP($N133, 'List of log slots'!$A:$C, 2, FALSE))</f>
        <v>Broken zombie axe</v>
      </c>
    </row>
    <row r="134">
      <c r="A134" s="26">
        <v>198.0</v>
      </c>
      <c r="B134" s="23" t="str">
        <f>VLOOKUP($A134, 'Completion rates'!$A:$E, 2, FALSE)</f>
        <v>Killing infernal mages</v>
      </c>
      <c r="C134" s="26">
        <f>IF(Notes!$E$27, VLOOKUP($A134, 'Completion rates'!$A:$E, 4, FALSE), VLOOKUP($A134, 'Completion rates'!$A:$E, 3, FALSE))</f>
        <v>450</v>
      </c>
      <c r="D134" s="26">
        <f>VLOOKUP($A134, 'Completion rates'!$A:$E, 5, FALSE)</f>
        <v>0</v>
      </c>
      <c r="E134" s="28">
        <f>IF(SUMIFS('Activity map'!$O:$O, 'Activity map'!$A:$A, A134, 'Activity map'!$H:$H, "=TRUE") = 0, "n/a", 1/SUMIFS('Activity map'!$O:$O, 'Activity map'!$A:$A, A134, 'Activity map'!$H:$H, "=TRUE"))</f>
        <v>256</v>
      </c>
      <c r="F134" s="8">
        <f t="shared" si="1"/>
        <v>0.5688888889</v>
      </c>
      <c r="G134" s="26" t="str">
        <f>IF(MINIFS('Activity map'!$N:$N, 'Activity map'!$A:$A, A134, 'Activity map'!$H:$H, "=TRUE") = 0, "n/a", MINIFS('Activity map'!$N:$N, 'Activity map'!$A:$A, A134, 'Activity map'!$H:$H, "=TRUE"))</f>
        <v>n/a</v>
      </c>
      <c r="H134" s="8" t="str">
        <f t="shared" si="2"/>
        <v/>
      </c>
      <c r="I134" s="26" t="str">
        <f>IF(MINIFS('Activity map'!$M:$M, 'Activity map'!$A:$A, A134, 'Activity map'!$H:$H, "=TRUE") = 0, "n/a", MINIFS('Activity map'!$M:$M, 'Activity map'!$A:$A, A134, 'Activity map'!$H:$H, "=TRUE"))</f>
        <v>n/a</v>
      </c>
      <c r="J134" s="8" t="str">
        <f t="shared" si="3"/>
        <v/>
      </c>
      <c r="K134" s="26" t="str">
        <f>IF(MINIFS('Activity map'!$L:$L, 'Activity map'!$A:$A, A134, 'Activity map'!$H:$H, "=TRUE") = 0, "n/a", MINIFS('Activity map'!$L:$L, 'Activity map'!$A:$A, A134, 'Activity map'!$H:$H, "=TRUE"))</f>
        <v>n/a</v>
      </c>
      <c r="L134" s="8" t="str">
        <f t="shared" si="4"/>
        <v/>
      </c>
      <c r="M134" s="26">
        <f>MINIFS('Activity map'!$C:$C, 'Activity map'!$A:$A, $A134, 'Activity map'!$H:$H, "=TRUE", 'Activity map'!$K:$K, MINIFS('Activity map'!$K:$K, 'Activity map'!$A:$A, $A134, 'Activity map'!$H:$H, "=TRUE"))</f>
        <v>4099</v>
      </c>
      <c r="N134" s="26">
        <f>MINIFS('Activity map'!$C:$C, 'Activity map'!$A:$A, $A134, 'Activity map'!$H:$H, "=TRUE", 'Activity map'!$E:$E, $T134)</f>
        <v>4099</v>
      </c>
      <c r="O134" s="35">
        <f t="shared" si="5"/>
        <v>0.0237037037</v>
      </c>
      <c r="P134" s="30" t="str">
        <f>IF($M134=0, "-", VLOOKUP($M134, 'List of log slots'!$A:$C, 2, FALSE))</f>
        <v>Mystic hat (dark)</v>
      </c>
      <c r="Q134" s="31">
        <f>IFERROR(__xludf.DUMMYFUNCTION("IF(ISERROR(FILTER('Activity map'!$C:$C, ('Activity map'!$A:$A=$A134)*('Activity map'!$F:$F=FALSE))), 0, COUNTA(UNIQUE(FILTER('Activity map'!$C:$C, ('Activity map'!$A:$A=$A134)*('Activity map'!$F:$F=FALSE)))))"),2.0)</f>
        <v>2</v>
      </c>
      <c r="R134" s="31">
        <f>IFERROR(__xludf.DUMMYFUNCTION("IF(ISERROR(FILTER('Activity map'!$C:$C, 'Activity map'!$A:$A=$A134)), 0, COUNTA(UNIQUE(FILTER('Activity map'!$C:$C, 'Activity map'!$A:$A=$A134))))"),2.0)</f>
        <v>2</v>
      </c>
      <c r="S134" s="36">
        <f t="shared" si="6"/>
        <v>0</v>
      </c>
      <c r="T134" s="31">
        <f>IFERROR(__xludf.DUMMYFUNCTION("IF(ISERROR(FILTER('Activity map'!$E:$E, ('Activity map'!$A:$A=$A134)*('Activity map'!$F:$F=FALSE))), ""-"", MIN(UNIQUE(FILTER('Activity map'!$E:$E, ('Activity map'!$A:$A=$A134)*('Activity map'!$F:$F=FALSE)))))"),3.0)</f>
        <v>3</v>
      </c>
      <c r="U134" s="30" t="str">
        <f>IF($N134=0, "-", VLOOKUP($N134, 'List of log slots'!$A:$C, 2, FALSE))</f>
        <v>Mystic hat (dark)</v>
      </c>
    </row>
    <row r="135">
      <c r="A135" s="26">
        <v>82.0</v>
      </c>
      <c r="B135" s="23" t="str">
        <f>VLOOKUP($A135, 'Completion rates'!$A:$E, 2, FALSE)</f>
        <v>Gnome restaurant deliveries (seed pods)</v>
      </c>
      <c r="C135" s="26">
        <f>IF(Notes!$E$27, VLOOKUP($A135, 'Completion rates'!$A:$E, 4, FALSE), VLOOKUP($A135, 'Completion rates'!$A:$E, 3, FALSE))</f>
        <v>20</v>
      </c>
      <c r="D135" s="26">
        <f>VLOOKUP($A135, 'Completion rates'!$A:$E, 5, FALSE)</f>
        <v>0</v>
      </c>
      <c r="E135" s="28">
        <f>IF(SUMIFS('Activity map'!$O:$O, 'Activity map'!$A:$A, A135, 'Activity map'!$H:$H, "=TRUE") = 0, "n/a", 1/SUMIFS('Activity map'!$O:$O, 'Activity map'!$A:$A, A135, 'Activity map'!$H:$H, "=TRUE"))</f>
        <v>11.5</v>
      </c>
      <c r="F135" s="8">
        <f t="shared" si="1"/>
        <v>0.575</v>
      </c>
      <c r="G135" s="26" t="str">
        <f>IF(MINIFS('Activity map'!$N:$N, 'Activity map'!$A:$A, A135, 'Activity map'!$H:$H, "=TRUE") = 0, "n/a", MINIFS('Activity map'!$N:$N, 'Activity map'!$A:$A, A135, 'Activity map'!$H:$H, "=TRUE"))</f>
        <v>n/a</v>
      </c>
      <c r="H135" s="8" t="str">
        <f t="shared" si="2"/>
        <v/>
      </c>
      <c r="I135" s="26" t="str">
        <f>IF(MINIFS('Activity map'!$M:$M, 'Activity map'!$A:$A, A135, 'Activity map'!$H:$H, "=TRUE") = 0, "n/a", MINIFS('Activity map'!$M:$M, 'Activity map'!$A:$A, A135, 'Activity map'!$H:$H, "=TRUE"))</f>
        <v>n/a</v>
      </c>
      <c r="J135" s="8" t="str">
        <f t="shared" si="3"/>
        <v/>
      </c>
      <c r="K135" s="26" t="str">
        <f>IF(MINIFS('Activity map'!$L:$L, 'Activity map'!$A:$A, A135, 'Activity map'!$H:$H, "=TRUE") = 0, "n/a", MINIFS('Activity map'!$L:$L, 'Activity map'!$A:$A, A135, 'Activity map'!$H:$H, "=TRUE"))</f>
        <v>n/a</v>
      </c>
      <c r="L135" s="8" t="str">
        <f t="shared" si="4"/>
        <v/>
      </c>
      <c r="M135" s="26">
        <f>MINIFS('Activity map'!$C:$C, 'Activity map'!$A:$A, $A135, 'Activity map'!$H:$H, "=TRUE", 'Activity map'!$K:$K, MINIFS('Activity map'!$K:$K, 'Activity map'!$A:$A, $A135, 'Activity map'!$H:$H, "=TRUE"))</f>
        <v>9469</v>
      </c>
      <c r="N135" s="26">
        <f>MINIFS('Activity map'!$C:$C, 'Activity map'!$A:$A, $A135, 'Activity map'!$H:$H, "=TRUE", 'Activity map'!$E:$E, $T135)</f>
        <v>9469</v>
      </c>
      <c r="O135" s="35">
        <f t="shared" si="5"/>
        <v>0.02395833333</v>
      </c>
      <c r="P135" s="30" t="str">
        <f>IF($M135=0, "-", VLOOKUP($M135, 'List of log slots'!$A:$C, 2, FALSE))</f>
        <v>Grand seed pod</v>
      </c>
      <c r="Q135" s="31">
        <f>IFERROR(__xludf.DUMMYFUNCTION("IF(ISERROR(FILTER('Activity map'!$C:$C, ('Activity map'!$A:$A=$A135)*('Activity map'!$F:$F=FALSE))), 0, COUNTA(UNIQUE(FILTER('Activity map'!$C:$C, ('Activity map'!$A:$A=$A135)*('Activity map'!$F:$F=FALSE)))))"),2.0)</f>
        <v>2</v>
      </c>
      <c r="R135" s="31">
        <f>IFERROR(__xludf.DUMMYFUNCTION("IF(ISERROR(FILTER('Activity map'!$C:$C, 'Activity map'!$A:$A=$A135)), 0, COUNTA(UNIQUE(FILTER('Activity map'!$C:$C, 'Activity map'!$A:$A=$A135))))"),2.0)</f>
        <v>2</v>
      </c>
      <c r="S135" s="36">
        <f t="shared" si="6"/>
        <v>0</v>
      </c>
      <c r="T135" s="31">
        <f>IFERROR(__xludf.DUMMYFUNCTION("IF(ISERROR(FILTER('Activity map'!$E:$E, ('Activity map'!$A:$A=$A135)*('Activity map'!$F:$F=FALSE))), ""-"", MIN(UNIQUE(FILTER('Activity map'!$E:$E, ('Activity map'!$A:$A=$A135)*('Activity map'!$F:$F=FALSE)))))"),2.0)</f>
        <v>2</v>
      </c>
      <c r="U135" s="30" t="str">
        <f>IF($N135=0, "-", VLOOKUP($N135, 'List of log slots'!$A:$C, 2, FALSE))</f>
        <v>Grand seed pod</v>
      </c>
    </row>
    <row r="136">
      <c r="A136" s="26">
        <v>26.0</v>
      </c>
      <c r="B136" s="23" t="str">
        <f>VLOOKUP($A136, 'Completion rates'!$A:$E, 2, FALSE)</f>
        <v>Killing the hueycoatl (1+2)</v>
      </c>
      <c r="C136" s="26">
        <f>IF(Notes!$E$27, VLOOKUP($A136, 'Completion rates'!$A:$E, 4, FALSE), VLOOKUP($A136, 'Completion rates'!$A:$E, 3, FALSE))</f>
        <v>11</v>
      </c>
      <c r="D136" s="26">
        <f>VLOOKUP($A136, 'Completion rates'!$A:$E, 5, FALSE)</f>
        <v>0</v>
      </c>
      <c r="E136" s="28">
        <f>IF(SUMIFS('Activity map'!$O:$O, 'Activity map'!$A:$A, A136, 'Activity map'!$H:$H, "=TRUE") = 0, "n/a", 1/SUMIFS('Activity map'!$O:$O, 'Activity map'!$A:$A, A136, 'Activity map'!$H:$H, "=TRUE"))</f>
        <v>6.362998125</v>
      </c>
      <c r="F136" s="26">
        <f t="shared" si="1"/>
        <v>0.578454375</v>
      </c>
      <c r="G136" s="26" t="str">
        <f>IF(MINIFS('Activity map'!$N:$N, 'Activity map'!$A:$A, A136, 'Activity map'!$H:$H, "=TRUE") = 0, "n/a", MINIFS('Activity map'!$N:$N, 'Activity map'!$A:$A, A136, 'Activity map'!$H:$H, "=TRUE"))</f>
        <v>n/a</v>
      </c>
      <c r="H136" s="8" t="str">
        <f t="shared" si="2"/>
        <v/>
      </c>
      <c r="I136" s="26" t="str">
        <f>IF(MINIFS('Activity map'!$M:$M, 'Activity map'!$A:$A, A136, 'Activity map'!$H:$H, "=TRUE") = 0, "n/a", MINIFS('Activity map'!$M:$M, 'Activity map'!$A:$A, A136, 'Activity map'!$H:$H, "=TRUE"))</f>
        <v>n/a</v>
      </c>
      <c r="J136" s="8" t="str">
        <f t="shared" si="3"/>
        <v/>
      </c>
      <c r="K136" s="26" t="str">
        <f>IF(MINIFS('Activity map'!$L:$L, 'Activity map'!$A:$A, A136, 'Activity map'!$H:$H, "=TRUE") = 0, "n/a", MINIFS('Activity map'!$L:$L, 'Activity map'!$A:$A, A136, 'Activity map'!$H:$H, "=TRUE"))</f>
        <v>n/a</v>
      </c>
      <c r="L136" s="8" t="str">
        <f t="shared" si="4"/>
        <v/>
      </c>
      <c r="M136" s="26">
        <f>MINIFS('Activity map'!$C:$C, 'Activity map'!$A:$A, $A136, 'Activity map'!$H:$H, "=TRUE", 'Activity map'!$K:$K, MINIFS('Activity map'!$K:$K, 'Activity map'!$A:$A, $A136, 'Activity map'!$H:$H, "=TRUE"))</f>
        <v>30068</v>
      </c>
      <c r="N136" s="26">
        <f>MINIFS('Activity map'!$C:$C, 'Activity map'!$A:$A, $A136, 'Activity map'!$H:$H, "=TRUE", 'Activity map'!$E:$E, $T136)</f>
        <v>30068</v>
      </c>
      <c r="O136" s="135">
        <f t="shared" si="5"/>
        <v>0.02410226563</v>
      </c>
      <c r="P136" s="30" t="str">
        <f>IF($M136=0, "-", VLOOKUP($M136, 'List of log slots'!$A:$C, 2, FALSE))</f>
        <v>Soiled page</v>
      </c>
      <c r="Q136" s="31">
        <f>IFERROR(__xludf.DUMMYFUNCTION("IF(ISERROR(FILTER('Activity map'!$C:$C, ('Activity map'!$A:$A=$A136)*('Activity map'!$F:$F=FALSE))), 0, COUNTA(UNIQUE(FILTER('Activity map'!$C:$C, ('Activity map'!$A:$A=$A136)*('Activity map'!$F:$F=FALSE)))))"),6.0)</f>
        <v>6</v>
      </c>
      <c r="R136" s="31">
        <f>IFERROR(__xludf.DUMMYFUNCTION("IF(ISERROR(FILTER('Activity map'!$C:$C, 'Activity map'!$A:$A=$A136)), 0, COUNTA(UNIQUE(FILTER('Activity map'!$C:$C, 'Activity map'!$A:$A=$A136))))"),6.0)</f>
        <v>6</v>
      </c>
      <c r="S136" s="80">
        <f t="shared" si="6"/>
        <v>0</v>
      </c>
      <c r="T136" s="31">
        <f>IFERROR(__xludf.DUMMYFUNCTION("IF(ISERROR(FILTER('Activity map'!$E:$E, ('Activity map'!$A:$A=$A136)*('Activity map'!$F:$F=FALSE))), ""-"", MIN(UNIQUE(FILTER('Activity map'!$E:$E, ('Activity map'!$A:$A=$A136)*('Activity map'!$F:$F=FALSE)))))"),4.0)</f>
        <v>4</v>
      </c>
      <c r="U136" s="30" t="str">
        <f>IF($N136=0, "-", VLOOKUP($N136, 'List of log slots'!$A:$C, 2, FALSE))</f>
        <v>Soiled page</v>
      </c>
    </row>
    <row r="137">
      <c r="A137" s="26">
        <v>193.0</v>
      </c>
      <c r="B137" s="23" t="str">
        <f>VLOOKUP($A137, 'Completion rates'!$A:$E, 2, FALSE)</f>
        <v>Killing smoke devils (on task)</v>
      </c>
      <c r="C137" s="26">
        <f>IF(Notes!$E$27, VLOOKUP($A137, 'Completion rates'!$A:$E, 4, FALSE), VLOOKUP($A137, 'Completion rates'!$A:$E, 3, FALSE))</f>
        <v>700</v>
      </c>
      <c r="D137" s="26">
        <f>VLOOKUP($A137, 'Completion rates'!$A:$E, 5, FALSE)</f>
        <v>0</v>
      </c>
      <c r="E137" s="28">
        <f>IF(SUMIFS('Activity map'!$O:$O, 'Activity map'!$A:$A, A137, 'Activity map'!$H:$H, "=TRUE") = 0, "n/a", 1/SUMIFS('Activity map'!$O:$O, 'Activity map'!$A:$A, A137, 'Activity map'!$H:$H, "=TRUE"))</f>
        <v>405.5124904</v>
      </c>
      <c r="F137" s="26">
        <f t="shared" si="1"/>
        <v>0.5793035577</v>
      </c>
      <c r="G137" s="26" t="str">
        <f>IF(MINIFS('Activity map'!$N:$N, 'Activity map'!$A:$A, A137, 'Activity map'!$H:$H, "=TRUE") = 0, "n/a", MINIFS('Activity map'!$N:$N, 'Activity map'!$A:$A, A137, 'Activity map'!$H:$H, "=TRUE"))</f>
        <v>n/a</v>
      </c>
      <c r="H137" s="8" t="str">
        <f t="shared" si="2"/>
        <v/>
      </c>
      <c r="I137" s="26" t="str">
        <f>IF(MINIFS('Activity map'!$M:$M, 'Activity map'!$A:$A, A137, 'Activity map'!$H:$H, "=TRUE") = 0, "n/a", MINIFS('Activity map'!$M:$M, 'Activity map'!$A:$A, A137, 'Activity map'!$H:$H, "=TRUE"))</f>
        <v>n/a</v>
      </c>
      <c r="J137" s="8" t="str">
        <f t="shared" si="3"/>
        <v/>
      </c>
      <c r="K137" s="26" t="str">
        <f>IF(MINIFS('Activity map'!$L:$L, 'Activity map'!$A:$A, A137, 'Activity map'!$H:$H, "=TRUE") = 0, "n/a", MINIFS('Activity map'!$L:$L, 'Activity map'!$A:$A, A137, 'Activity map'!$H:$H, "=TRUE"))</f>
        <v>n/a</v>
      </c>
      <c r="L137" s="8" t="str">
        <f t="shared" si="4"/>
        <v/>
      </c>
      <c r="M137" s="26">
        <f>MINIFS('Activity map'!$C:$C, 'Activity map'!$A:$A, $A137, 'Activity map'!$H:$H, "=TRUE", 'Activity map'!$K:$K, MINIFS('Activity map'!$K:$K, 'Activity map'!$A:$A, $A137, 'Activity map'!$H:$H, "=TRUE"))</f>
        <v>12002</v>
      </c>
      <c r="N137" s="26">
        <f>MINIFS('Activity map'!$C:$C, 'Activity map'!$A:$A, $A137, 'Activity map'!$H:$H, "=TRUE", 'Activity map'!$E:$E, $T137)</f>
        <v>1249</v>
      </c>
      <c r="O137" s="105">
        <f t="shared" si="5"/>
        <v>0.02413764824</v>
      </c>
      <c r="P137" s="30" t="str">
        <f>IF($M137=0, "-", VLOOKUP($M137, 'List of log slots'!$A:$C, 2, FALSE))</f>
        <v>Occult necklace</v>
      </c>
      <c r="Q137" s="31">
        <f>IFERROR(__xludf.DUMMYFUNCTION("IF(ISERROR(FILTER('Activity map'!$C:$C, ('Activity map'!$A:$A=$A137)*('Activity map'!$F:$F=FALSE))), 0, COUNTA(UNIQUE(FILTER('Activity map'!$C:$C, ('Activity map'!$A:$A=$A137)*('Activity map'!$F:$F=FALSE)))))"),8.0)</f>
        <v>8</v>
      </c>
      <c r="R137" s="31">
        <f>IFERROR(__xludf.DUMMYFUNCTION("IF(ISERROR(FILTER('Activity map'!$C:$C, 'Activity map'!$A:$A=$A137)), 0, COUNTA(UNIQUE(FILTER('Activity map'!$C:$C, 'Activity map'!$A:$A=$A137))))"),8.0)</f>
        <v>8</v>
      </c>
      <c r="S137" s="32">
        <f t="shared" si="6"/>
        <v>0</v>
      </c>
      <c r="T137" s="31">
        <f>IFERROR(__xludf.DUMMYFUNCTION("IF(ISERROR(FILTER('Activity map'!$E:$E, ('Activity map'!$A:$A=$A137)*('Activity map'!$F:$F=FALSE))), ""-"", MIN(UNIQUE(FILTER('Activity map'!$E:$E, ('Activity map'!$A:$A=$A137)*('Activity map'!$F:$F=FALSE)))))"),5.0)</f>
        <v>5</v>
      </c>
      <c r="U137" s="30" t="str">
        <f>IF($N137=0, "-", VLOOKUP($N137, 'List of log slots'!$A:$C, 2, FALSE))</f>
        <v>Dragon spear</v>
      </c>
    </row>
    <row r="138">
      <c r="A138" s="26">
        <v>2.0</v>
      </c>
      <c r="B138" s="23" t="str">
        <f>VLOOKUP($A138, 'Completion rates'!$A:$E, 2, FALSE)</f>
        <v>Killing alchemical hydra (on task)</v>
      </c>
      <c r="C138" s="26">
        <f>IF(Notes!$E$27, VLOOKUP($A138, 'Completion rates'!$A:$E, 4, FALSE), VLOOKUP($A138, 'Completion rates'!$A:$E, 3, FALSE))</f>
        <v>30</v>
      </c>
      <c r="D138" s="26">
        <f>VLOOKUP($A138, 'Completion rates'!$A:$E, 5, FALSE)</f>
        <v>0</v>
      </c>
      <c r="E138" s="28">
        <f>IF(SUMIFS('Activity map'!$O:$O, 'Activity map'!$A:$A, A138, 'Activity map'!$H:$H, "=TRUE") = 0, "n/a", 1/SUMIFS('Activity map'!$O:$O, 'Activity map'!$A:$A, A138, 'Activity map'!$H:$H, "=TRUE"))</f>
        <v>17.76632216</v>
      </c>
      <c r="F138" s="26">
        <f t="shared" si="1"/>
        <v>0.5922107387</v>
      </c>
      <c r="G138" s="26" t="str">
        <f>IF(MINIFS('Activity map'!$N:$N, 'Activity map'!$A:$A, A138, 'Activity map'!$H:$H, "=TRUE") = 0, "n/a", MINIFS('Activity map'!$N:$N, 'Activity map'!$A:$A, A138, 'Activity map'!$H:$H, "=TRUE"))</f>
        <v>n/a</v>
      </c>
      <c r="H138" s="8" t="str">
        <f t="shared" si="2"/>
        <v/>
      </c>
      <c r="I138" s="26" t="str">
        <f>IF(MINIFS('Activity map'!$M:$M, 'Activity map'!$A:$A, A138, 'Activity map'!$H:$H, "=TRUE") = 0, "n/a", MINIFS('Activity map'!$M:$M, 'Activity map'!$A:$A, A138, 'Activity map'!$H:$H, "=TRUE"))</f>
        <v>n/a</v>
      </c>
      <c r="J138" s="8" t="str">
        <f t="shared" si="3"/>
        <v/>
      </c>
      <c r="K138" s="26" t="str">
        <f>IF(MINIFS('Activity map'!$L:$L, 'Activity map'!$A:$A, A138, 'Activity map'!$H:$H, "=TRUE") = 0, "n/a", MINIFS('Activity map'!$L:$L, 'Activity map'!$A:$A, A138, 'Activity map'!$H:$H, "=TRUE"))</f>
        <v>n/a</v>
      </c>
      <c r="L138" s="8" t="str">
        <f t="shared" si="4"/>
        <v/>
      </c>
      <c r="M138" s="26">
        <f>MINIFS('Activity map'!$C:$C, 'Activity map'!$A:$A, $A138, 'Activity map'!$H:$H, "=TRUE", 'Activity map'!$K:$K, MINIFS('Activity map'!$K:$K, 'Activity map'!$A:$A, $A138, 'Activity map'!$H:$H, "=TRUE"))</f>
        <v>4111</v>
      </c>
      <c r="N138" s="26">
        <f>MINIFS('Activity map'!$C:$C, 'Activity map'!$A:$A, $A138, 'Activity map'!$H:$H, "=TRUE", 'Activity map'!$E:$E, $T138)</f>
        <v>4111</v>
      </c>
      <c r="O138" s="136">
        <f t="shared" si="5"/>
        <v>0.02467544745</v>
      </c>
      <c r="P138" s="30" t="str">
        <f>IF($M138=0, "-", VLOOKUP($M138, 'List of log slots'!$A:$C, 2, FALSE))</f>
        <v>Mystic robe top (light)</v>
      </c>
      <c r="Q138" s="31">
        <f>IFERROR(__xludf.DUMMYFUNCTION("IF(ISERROR(FILTER('Activity map'!$C:$C, ('Activity map'!$A:$A=$A138)*('Activity map'!$F:$F=FALSE))), 0, COUNTA(UNIQUE(FILTER('Activity map'!$C:$C, ('Activity map'!$A:$A=$A138)*('Activity map'!$F:$F=FALSE)))))"),15.0)</f>
        <v>15</v>
      </c>
      <c r="R138" s="31">
        <f>IFERROR(__xludf.DUMMYFUNCTION("IF(ISERROR(FILTER('Activity map'!$C:$C, 'Activity map'!$A:$A=$A138)), 0, COUNTA(UNIQUE(FILTER('Activity map'!$C:$C, 'Activity map'!$A:$A=$A138))))"),15.0)</f>
        <v>15</v>
      </c>
      <c r="S138" s="51">
        <f t="shared" si="6"/>
        <v>0</v>
      </c>
      <c r="T138" s="31">
        <f>IFERROR(__xludf.DUMMYFUNCTION("IF(ISERROR(FILTER('Activity map'!$E:$E, ('Activity map'!$A:$A=$A138)*('Activity map'!$F:$F=FALSE))), ""-"", MIN(UNIQUE(FILTER('Activity map'!$E:$E, ('Activity map'!$A:$A=$A138)*('Activity map'!$F:$F=FALSE)))))"),4.0)</f>
        <v>4</v>
      </c>
      <c r="U138" s="30" t="str">
        <f>IF($N138=0, "-", VLOOKUP($N138, 'List of log slots'!$A:$C, 2, FALSE))</f>
        <v>Mystic robe top (light)</v>
      </c>
    </row>
    <row r="139">
      <c r="A139" s="26">
        <v>164.0</v>
      </c>
      <c r="B139" s="23" t="str">
        <f>VLOOKUP($A139, 'Completion rates'!$A:$E, 2, FALSE)</f>
        <v>Sailing (port tasks)</v>
      </c>
      <c r="C139" s="26">
        <f>IF(Notes!$E$27, VLOOKUP($A139, 'Completion rates'!$A:$E, 4, FALSE), VLOOKUP($A139, 'Completion rates'!$A:$E, 3, FALSE))</f>
        <v>60</v>
      </c>
      <c r="D139" s="26">
        <f>VLOOKUP($A139, 'Completion rates'!$A:$E, 5, FALSE)</f>
        <v>0</v>
      </c>
      <c r="E139" s="28">
        <f>IF(SUMIFS('Activity map'!$O:$O, 'Activity map'!$A:$A, A139, 'Activity map'!$H:$H, "=TRUE") = 0, "n/a", 1/SUMIFS('Activity map'!$O:$O, 'Activity map'!$A:$A, A139, 'Activity map'!$H:$H, "=TRUE"))</f>
        <v>35.71428571</v>
      </c>
      <c r="F139" s="26">
        <f t="shared" si="1"/>
        <v>0.5952380952</v>
      </c>
      <c r="G139" s="26" t="str">
        <f>IF(MINIFS('Activity map'!$N:$N, 'Activity map'!$A:$A, A139, 'Activity map'!$H:$H, "=TRUE") = 0, "n/a", MINIFS('Activity map'!$N:$N, 'Activity map'!$A:$A, A139, 'Activity map'!$H:$H, "=TRUE"))</f>
        <v>n/a</v>
      </c>
      <c r="H139" s="8" t="str">
        <f t="shared" si="2"/>
        <v/>
      </c>
      <c r="I139" s="26" t="str">
        <f>IF(MINIFS('Activity map'!$M:$M, 'Activity map'!$A:$A, A139, 'Activity map'!$H:$H, "=TRUE") = 0, "n/a", MINIFS('Activity map'!$M:$M, 'Activity map'!$A:$A, A139, 'Activity map'!$H:$H, "=TRUE"))</f>
        <v>n/a</v>
      </c>
      <c r="J139" s="8" t="str">
        <f t="shared" si="3"/>
        <v/>
      </c>
      <c r="K139" s="26" t="str">
        <f>IF(MINIFS('Activity map'!$L:$L, 'Activity map'!$A:$A, A139, 'Activity map'!$H:$H, "=TRUE") = 0, "n/a", MINIFS('Activity map'!$L:$L, 'Activity map'!$A:$A, A139, 'Activity map'!$H:$H, "=TRUE"))</f>
        <v>n/a</v>
      </c>
      <c r="L139" s="8" t="str">
        <f t="shared" si="4"/>
        <v/>
      </c>
      <c r="M139" s="26">
        <f>MINIFS('Activity map'!$C:$C, 'Activity map'!$A:$A, $A139, 'Activity map'!$H:$H, "=TRUE", 'Activity map'!$K:$K, MINIFS('Activity map'!$K:$K, 'Activity map'!$A:$A, $A139, 'Activity map'!$H:$H, "=TRUE"))</f>
        <v>32090</v>
      </c>
      <c r="N139" s="26">
        <f>MINIFS('Activity map'!$C:$C, 'Activity map'!$A:$A, $A139, 'Activity map'!$H:$H, "=TRUE", 'Activity map'!$E:$E, $T139)</f>
        <v>32090</v>
      </c>
      <c r="O139" s="66">
        <f t="shared" si="5"/>
        <v>0.0248015873</v>
      </c>
      <c r="P139" s="30" t="str">
        <f>IF($M139=0, "-", VLOOKUP($M139, 'List of log slots'!$A:$C, 2, FALSE))</f>
        <v>Shark paint</v>
      </c>
      <c r="Q139" s="31">
        <f>IFERROR(__xludf.DUMMYFUNCTION("IF(ISERROR(FILTER('Activity map'!$C:$C, ('Activity map'!$A:$A=$A139)*('Activity map'!$F:$F=FALSE))), 0, COUNTA(UNIQUE(FILTER('Activity map'!$C:$C, ('Activity map'!$A:$A=$A139)*('Activity map'!$F:$F=FALSE)))))"),2.0)</f>
        <v>2</v>
      </c>
      <c r="R139" s="31">
        <f>IFERROR(__xludf.DUMMYFUNCTION("IF(ISERROR(FILTER('Activity map'!$C:$C, 'Activity map'!$A:$A=$A139)), 0, COUNTA(UNIQUE(FILTER('Activity map'!$C:$C, 'Activity map'!$A:$A=$A139))))"),2.0)</f>
        <v>2</v>
      </c>
      <c r="S139" s="46">
        <f t="shared" si="6"/>
        <v>0</v>
      </c>
      <c r="T139" s="31">
        <f>IFERROR(__xludf.DUMMYFUNCTION("IF(ISERROR(FILTER('Activity map'!$E:$E, ('Activity map'!$A:$A=$A139)*('Activity map'!$F:$F=FALSE))), ""-"", MIN(UNIQUE(FILTER('Activity map'!$E:$E, ('Activity map'!$A:$A=$A139)*('Activity map'!$F:$F=FALSE)))))"),1.0)</f>
        <v>1</v>
      </c>
      <c r="U139" s="30" t="str">
        <f>IF($N139=0, "-", VLOOKUP($N139, 'List of log slots'!$A:$C, 2, FALSE))</f>
        <v>Shark paint</v>
      </c>
    </row>
    <row r="140">
      <c r="A140" s="26">
        <v>165.0</v>
      </c>
      <c r="B140" s="23" t="str">
        <f>VLOOKUP($A140, 'Completion rates'!$A:$E, 2, FALSE)</f>
        <v>Killing crawling hands</v>
      </c>
      <c r="C140" s="26">
        <f>IF(Notes!$E$27, VLOOKUP($A140, 'Completion rates'!$A:$E, 4, FALSE), VLOOKUP($A140, 'Completion rates'!$A:$E, 3, FALSE))</f>
        <v>800</v>
      </c>
      <c r="D140" s="26">
        <f>VLOOKUP($A140, 'Completion rates'!$A:$E, 5, FALSE)</f>
        <v>0</v>
      </c>
      <c r="E140" s="28">
        <f>IF(SUMIFS('Activity map'!$O:$O, 'Activity map'!$A:$A, A140, 'Activity map'!$H:$H, "=TRUE") = 0, "n/a", 1/SUMIFS('Activity map'!$O:$O, 'Activity map'!$A:$A, A140, 'Activity map'!$H:$H, "=TRUE"))</f>
        <v>498.3366214</v>
      </c>
      <c r="F140" s="26">
        <f t="shared" si="1"/>
        <v>0.6229207767</v>
      </c>
      <c r="G140" s="26" t="str">
        <f>IF(MINIFS('Activity map'!$N:$N, 'Activity map'!$A:$A, A140, 'Activity map'!$H:$H, "=TRUE") = 0, "n/a", MINIFS('Activity map'!$N:$N, 'Activity map'!$A:$A, A140, 'Activity map'!$H:$H, "=TRUE"))</f>
        <v>n/a</v>
      </c>
      <c r="H140" s="8" t="str">
        <f t="shared" si="2"/>
        <v/>
      </c>
      <c r="I140" s="26" t="str">
        <f>IF(MINIFS('Activity map'!$M:$M, 'Activity map'!$A:$A, A140, 'Activity map'!$H:$H, "=TRUE") = 0, "n/a", MINIFS('Activity map'!$M:$M, 'Activity map'!$A:$A, A140, 'Activity map'!$H:$H, "=TRUE"))</f>
        <v>n/a</v>
      </c>
      <c r="J140" s="8" t="str">
        <f t="shared" si="3"/>
        <v/>
      </c>
      <c r="K140" s="26" t="str">
        <f>IF(MINIFS('Activity map'!$L:$L, 'Activity map'!$A:$A, A140, 'Activity map'!$H:$H, "=TRUE") = 0, "n/a", MINIFS('Activity map'!$L:$L, 'Activity map'!$A:$A, A140, 'Activity map'!$H:$H, "=TRUE"))</f>
        <v>n/a</v>
      </c>
      <c r="L140" s="8" t="str">
        <f t="shared" si="4"/>
        <v/>
      </c>
      <c r="M140" s="26">
        <f>MINIFS('Activity map'!$C:$C, 'Activity map'!$A:$A, $A140, 'Activity map'!$H:$H, "=TRUE", 'Activity map'!$K:$K, MINIFS('Activity map'!$K:$K, 'Activity map'!$A:$A, $A140, 'Activity map'!$H:$H, "=TRUE"))</f>
        <v>7975</v>
      </c>
      <c r="N140" s="26">
        <f>MINIFS('Activity map'!$C:$C, 'Activity map'!$A:$A, $A140, 'Activity map'!$H:$H, "=TRUE", 'Activity map'!$E:$E, $T140)</f>
        <v>7975</v>
      </c>
      <c r="O140" s="50">
        <f t="shared" si="5"/>
        <v>0.02595503236</v>
      </c>
      <c r="P140" s="30" t="str">
        <f>IF($M140=0, "-", VLOOKUP($M140, 'List of log slots'!$A:$C, 2, FALSE))</f>
        <v>Crawling hand</v>
      </c>
      <c r="Q140" s="31">
        <f>IFERROR(__xludf.DUMMYFUNCTION("IF(ISERROR(FILTER('Activity map'!$C:$C, ('Activity map'!$A:$A=$A140)*('Activity map'!$F:$F=FALSE))), 0, COUNTA(UNIQUE(FILTER('Activity map'!$C:$C, ('Activity map'!$A:$A=$A140)*('Activity map'!$F:$F=FALSE)))))"),3.0)</f>
        <v>3</v>
      </c>
      <c r="R140" s="31">
        <f>IFERROR(__xludf.DUMMYFUNCTION("IF(ISERROR(FILTER('Activity map'!$C:$C, 'Activity map'!$A:$A=$A140)), 0, COUNTA(UNIQUE(FILTER('Activity map'!$C:$C, 'Activity map'!$A:$A=$A140))))"),3.0)</f>
        <v>3</v>
      </c>
      <c r="S140" s="97">
        <f t="shared" si="6"/>
        <v>0</v>
      </c>
      <c r="T140" s="31">
        <f>IFERROR(__xludf.DUMMYFUNCTION("IF(ISERROR(FILTER('Activity map'!$E:$E, ('Activity map'!$A:$A=$A140)*('Activity map'!$F:$F=FALSE))), ""-"", MIN(UNIQUE(FILTER('Activity map'!$E:$E, ('Activity map'!$A:$A=$A140)*('Activity map'!$F:$F=FALSE)))))"),3.0)</f>
        <v>3</v>
      </c>
      <c r="U140" s="30" t="str">
        <f>IF($N140=0, "-", VLOOKUP($N140, 'List of log slots'!$A:$C, 2, FALSE))</f>
        <v>Crawling hand</v>
      </c>
    </row>
    <row r="141">
      <c r="A141" s="26">
        <v>8.0</v>
      </c>
      <c r="B141" s="23" t="str">
        <f>VLOOKUP($A141, 'Completion rates'!$A:$E, 2, FALSE)</f>
        <v>Killing cerberus (on task)</v>
      </c>
      <c r="C141" s="26">
        <f>IF(Notes!$E$27, VLOOKUP($A141, 'Completion rates'!$A:$E, 4, FALSE), VLOOKUP($A141, 'Completion rates'!$A:$E, 3, FALSE))</f>
        <v>65</v>
      </c>
      <c r="D141" s="26">
        <f>VLOOKUP($A141, 'Completion rates'!$A:$E, 5, FALSE)</f>
        <v>0</v>
      </c>
      <c r="E141" s="28">
        <f>IF(SUMIFS('Activity map'!$O:$O, 'Activity map'!$A:$A, A141, 'Activity map'!$H:$H, "=TRUE") = 0, "n/a", 1/SUMIFS('Activity map'!$O:$O, 'Activity map'!$A:$A, A141, 'Activity map'!$H:$H, "=TRUE"))</f>
        <v>40.94567985</v>
      </c>
      <c r="F141" s="26">
        <f t="shared" si="1"/>
        <v>0.6299335361</v>
      </c>
      <c r="G141" s="26" t="str">
        <f>IF(MINIFS('Activity map'!$N:$N, 'Activity map'!$A:$A, A141, 'Activity map'!$H:$H, "=TRUE") = 0, "n/a", MINIFS('Activity map'!$N:$N, 'Activity map'!$A:$A, A141, 'Activity map'!$H:$H, "=TRUE"))</f>
        <v>n/a</v>
      </c>
      <c r="H141" s="8" t="str">
        <f t="shared" si="2"/>
        <v/>
      </c>
      <c r="I141" s="26" t="str">
        <f>IF(MINIFS('Activity map'!$M:$M, 'Activity map'!$A:$A, A141, 'Activity map'!$H:$H, "=TRUE") = 0, "n/a", MINIFS('Activity map'!$M:$M, 'Activity map'!$A:$A, A141, 'Activity map'!$H:$H, "=TRUE"))</f>
        <v>n/a</v>
      </c>
      <c r="J141" s="8" t="str">
        <f t="shared" si="3"/>
        <v/>
      </c>
      <c r="K141" s="26" t="str">
        <f>IF(MINIFS('Activity map'!$L:$L, 'Activity map'!$A:$A, A141, 'Activity map'!$H:$H, "=TRUE") = 0, "n/a", MINIFS('Activity map'!$L:$L, 'Activity map'!$A:$A, A141, 'Activity map'!$H:$H, "=TRUE"))</f>
        <v>n/a</v>
      </c>
      <c r="L141" s="8" t="str">
        <f t="shared" si="4"/>
        <v/>
      </c>
      <c r="M141" s="26">
        <f>MINIFS('Activity map'!$C:$C, 'Activity map'!$A:$A, $A141, 'Activity map'!$H:$H, "=TRUE", 'Activity map'!$K:$K, MINIFS('Activity map'!$K:$K, 'Activity map'!$A:$A, $A141, 'Activity map'!$H:$H, "=TRUE"))</f>
        <v>13249</v>
      </c>
      <c r="N141" s="26">
        <f>MINIFS('Activity map'!$C:$C, 'Activity map'!$A:$A, $A141, 'Activity map'!$H:$H, "=TRUE", 'Activity map'!$E:$E, $T141)</f>
        <v>1249</v>
      </c>
      <c r="O141" s="137">
        <f t="shared" si="5"/>
        <v>0.02624723067</v>
      </c>
      <c r="P141" s="30" t="str">
        <f>IF($M141=0, "-", VLOOKUP($M141, 'List of log slots'!$A:$C, 2, FALSE))</f>
        <v>Key master teleport</v>
      </c>
      <c r="Q141" s="31">
        <f>IFERROR(__xludf.DUMMYFUNCTION("IF(ISERROR(FILTER('Activity map'!$C:$C, ('Activity map'!$A:$A=$A141)*('Activity map'!$F:$F=FALSE))), 0, COUNTA(UNIQUE(FILTER('Activity map'!$C:$C, ('Activity map'!$A:$A=$A141)*('Activity map'!$F:$F=FALSE)))))"),9.0)</f>
        <v>9</v>
      </c>
      <c r="R141" s="31">
        <f>IFERROR(__xludf.DUMMYFUNCTION("IF(ISERROR(FILTER('Activity map'!$C:$C, 'Activity map'!$A:$A=$A141)), 0, COUNTA(UNIQUE(FILTER('Activity map'!$C:$C, 'Activity map'!$A:$A=$A141))))"),9.0)</f>
        <v>9</v>
      </c>
      <c r="S141" s="97">
        <f t="shared" si="6"/>
        <v>0</v>
      </c>
      <c r="T141" s="31">
        <f>IFERROR(__xludf.DUMMYFUNCTION("IF(ISERROR(FILTER('Activity map'!$E:$E, ('Activity map'!$A:$A=$A141)*('Activity map'!$F:$F=FALSE))), ""-"", MIN(UNIQUE(FILTER('Activity map'!$E:$E, ('Activity map'!$A:$A=$A141)*('Activity map'!$F:$F=FALSE)))))"),5.0)</f>
        <v>5</v>
      </c>
      <c r="U141" s="30" t="str">
        <f>IF($N141=0, "-", VLOOKUP($N141, 'List of log slots'!$A:$C, 2, FALSE))</f>
        <v>Dragon spear</v>
      </c>
    </row>
    <row r="142">
      <c r="A142" s="26">
        <v>197.0</v>
      </c>
      <c r="B142" s="23" t="str">
        <f>VLOOKUP($A142, 'Completion rates'!$A:$E, 2, FALSE)</f>
        <v>Killing sulphur lizards</v>
      </c>
      <c r="C142" s="26">
        <f>IF(Notes!$E$27, VLOOKUP($A142, 'Completion rates'!$A:$E, 4, FALSE), VLOOKUP($A142, 'Completion rates'!$A:$E, 3, FALSE))</f>
        <v>800</v>
      </c>
      <c r="D142" s="26">
        <f>VLOOKUP($A142, 'Completion rates'!$A:$E, 5, FALSE)</f>
        <v>0</v>
      </c>
      <c r="E142" s="28">
        <f>IF(SUMIFS('Activity map'!$O:$O, 'Activity map'!$A:$A, A142, 'Activity map'!$H:$H, "=TRUE") = 0, "n/a", 1/SUMIFS('Activity map'!$O:$O, 'Activity map'!$A:$A, A142, 'Activity map'!$H:$H, "=TRUE"))</f>
        <v>506.803267</v>
      </c>
      <c r="F142" s="26">
        <f t="shared" si="1"/>
        <v>0.6335040837</v>
      </c>
      <c r="G142" s="26" t="str">
        <f>IF(MINIFS('Activity map'!$N:$N, 'Activity map'!$A:$A, A142, 'Activity map'!$H:$H, "=TRUE") = 0, "n/a", MINIFS('Activity map'!$N:$N, 'Activity map'!$A:$A, A142, 'Activity map'!$H:$H, "=TRUE"))</f>
        <v>n/a</v>
      </c>
      <c r="H142" s="8" t="str">
        <f t="shared" si="2"/>
        <v/>
      </c>
      <c r="I142" s="26" t="str">
        <f>IF(MINIFS('Activity map'!$M:$M, 'Activity map'!$A:$A, A142, 'Activity map'!$H:$H, "=TRUE") = 0, "n/a", MINIFS('Activity map'!$M:$M, 'Activity map'!$A:$A, A142, 'Activity map'!$H:$H, "=TRUE"))</f>
        <v>n/a</v>
      </c>
      <c r="J142" s="8" t="str">
        <f t="shared" si="3"/>
        <v/>
      </c>
      <c r="K142" s="26" t="str">
        <f>IF(MINIFS('Activity map'!$L:$L, 'Activity map'!$A:$A, A142, 'Activity map'!$H:$H, "=TRUE") = 0, "n/a", MINIFS('Activity map'!$L:$L, 'Activity map'!$A:$A, A142, 'Activity map'!$H:$H, "=TRUE"))</f>
        <v>n/a</v>
      </c>
      <c r="L142" s="8" t="str">
        <f t="shared" si="4"/>
        <v/>
      </c>
      <c r="M142" s="26">
        <f>MINIFS('Activity map'!$C:$C, 'Activity map'!$A:$A, $A142, 'Activity map'!$H:$H, "=TRUE", 'Activity map'!$K:$K, MINIFS('Activity map'!$K:$K, 'Activity map'!$A:$A, $A142, 'Activity map'!$H:$H, "=TRUE"))</f>
        <v>4115</v>
      </c>
      <c r="N142" s="26">
        <f>MINIFS('Activity map'!$C:$C, 'Activity map'!$A:$A, $A142, 'Activity map'!$H:$H, "=TRUE", 'Activity map'!$E:$E, $T142)</f>
        <v>4115</v>
      </c>
      <c r="O142" s="50">
        <f t="shared" si="5"/>
        <v>0.02639600349</v>
      </c>
      <c r="P142" s="30" t="str">
        <f>IF($M142=0, "-", VLOOKUP($M142, 'List of log slots'!$A:$C, 2, FALSE))</f>
        <v>Mystic gloves (light)</v>
      </c>
      <c r="Q142" s="31">
        <f>IFERROR(__xludf.DUMMYFUNCTION("IF(ISERROR(FILTER('Activity map'!$C:$C, ('Activity map'!$A:$A=$A142)*('Activity map'!$F:$F=FALSE))), 0, COUNTA(UNIQUE(FILTER('Activity map'!$C:$C, ('Activity map'!$A:$A=$A142)*('Activity map'!$F:$F=FALSE)))))"),3.0)</f>
        <v>3</v>
      </c>
      <c r="R142" s="31">
        <f>IFERROR(__xludf.DUMMYFUNCTION("IF(ISERROR(FILTER('Activity map'!$C:$C, 'Activity map'!$A:$A=$A142)), 0, COUNTA(UNIQUE(FILTER('Activity map'!$C:$C, 'Activity map'!$A:$A=$A142))))"),3.0)</f>
        <v>3</v>
      </c>
      <c r="S142" s="97">
        <f t="shared" si="6"/>
        <v>0</v>
      </c>
      <c r="T142" s="31">
        <f>IFERROR(__xludf.DUMMYFUNCTION("IF(ISERROR(FILTER('Activity map'!$E:$E, ('Activity map'!$A:$A=$A142)*('Activity map'!$F:$F=FALSE))), ""-"", MIN(UNIQUE(FILTER('Activity map'!$E:$E, ('Activity map'!$A:$A=$A142)*('Activity map'!$F:$F=FALSE)))))"),3.0)</f>
        <v>3</v>
      </c>
      <c r="U142" s="30" t="str">
        <f>IF($N142=0, "-", VLOOKUP($N142, 'List of log slots'!$A:$C, 2, FALSE))</f>
        <v>Mystic gloves (light)</v>
      </c>
    </row>
    <row r="143">
      <c r="A143" s="26">
        <v>32.0</v>
      </c>
      <c r="B143" s="23" t="str">
        <f>VLOOKUP($A143, 'Completion rates'!$A:$E, 2, FALSE)</f>
        <v>Killing k'ril tsutsaroth</v>
      </c>
      <c r="C143" s="26">
        <f>IF(Notes!$E$27, VLOOKUP($A143, 'Completion rates'!$A:$E, 4, FALSE), VLOOKUP($A143, 'Completion rates'!$A:$E, 3, FALSE))</f>
        <v>65</v>
      </c>
      <c r="D143" s="26">
        <f>VLOOKUP($A143, 'Completion rates'!$A:$E, 5, FALSE)</f>
        <v>0</v>
      </c>
      <c r="E143" s="28">
        <f>IF(SUMIFS('Activity map'!$O:$O, 'Activity map'!$A:$A, A143, 'Activity map'!$H:$H, "=TRUE") = 0, "n/a", 1/SUMIFS('Activity map'!$O:$O, 'Activity map'!$A:$A, A143, 'Activity map'!$H:$H, "=TRUE"))</f>
        <v>41.25984299</v>
      </c>
      <c r="F143" s="26">
        <f t="shared" si="1"/>
        <v>0.6347668153</v>
      </c>
      <c r="G143" s="26" t="str">
        <f>IF(MINIFS('Activity map'!$N:$N, 'Activity map'!$A:$A, A143, 'Activity map'!$H:$H, "=TRUE") = 0, "n/a", MINIFS('Activity map'!$N:$N, 'Activity map'!$A:$A, A143, 'Activity map'!$H:$H, "=TRUE"))</f>
        <v>n/a</v>
      </c>
      <c r="H143" s="8" t="str">
        <f t="shared" si="2"/>
        <v/>
      </c>
      <c r="I143" s="26" t="str">
        <f>IF(MINIFS('Activity map'!$M:$M, 'Activity map'!$A:$A, A143, 'Activity map'!$H:$H, "=TRUE") = 0, "n/a", MINIFS('Activity map'!$M:$M, 'Activity map'!$A:$A, A143, 'Activity map'!$H:$H, "=TRUE"))</f>
        <v>n/a</v>
      </c>
      <c r="J143" s="8" t="str">
        <f t="shared" si="3"/>
        <v/>
      </c>
      <c r="K143" s="26" t="str">
        <f>IF(MINIFS('Activity map'!$L:$L, 'Activity map'!$A:$A, A143, 'Activity map'!$H:$H, "=TRUE") = 0, "n/a", MINIFS('Activity map'!$L:$L, 'Activity map'!$A:$A, A143, 'Activity map'!$H:$H, "=TRUE"))</f>
        <v>n/a</v>
      </c>
      <c r="L143" s="8" t="str">
        <f t="shared" si="4"/>
        <v/>
      </c>
      <c r="M143" s="26">
        <f>MINIFS('Activity map'!$C:$C, 'Activity map'!$A:$A, $A143, 'Activity map'!$H:$H, "=TRUE", 'Activity map'!$K:$K, MINIFS('Activity map'!$K:$K, 'Activity map'!$A:$A, $A143, 'Activity map'!$H:$H, "=TRUE"))</f>
        <v>11787</v>
      </c>
      <c r="N143" s="26">
        <f>MINIFS('Activity map'!$C:$C, 'Activity map'!$A:$A, $A143, 'Activity map'!$H:$H, "=TRUE", 'Activity map'!$E:$E, $T143)</f>
        <v>1249</v>
      </c>
      <c r="O143" s="138">
        <f t="shared" si="5"/>
        <v>0.0264486173</v>
      </c>
      <c r="P143" s="30" t="str">
        <f>IF($M143=0, "-", VLOOKUP($M143, 'List of log slots'!$A:$C, 2, FALSE))</f>
        <v>Steam battlestaff</v>
      </c>
      <c r="Q143" s="31">
        <f>IFERROR(__xludf.DUMMYFUNCTION("IF(ISERROR(FILTER('Activity map'!$C:$C, ('Activity map'!$A:$A=$A143)*('Activity map'!$F:$F=FALSE))), 0, COUNTA(UNIQUE(FILTER('Activity map'!$C:$C, ('Activity map'!$A:$A=$A143)*('Activity map'!$F:$F=FALSE)))))"),10.0)</f>
        <v>10</v>
      </c>
      <c r="R143" s="31">
        <f>IFERROR(__xludf.DUMMYFUNCTION("IF(ISERROR(FILTER('Activity map'!$C:$C, 'Activity map'!$A:$A=$A143)), 0, COUNTA(UNIQUE(FILTER('Activity map'!$C:$C, 'Activity map'!$A:$A=$A143))))"),10.0)</f>
        <v>10</v>
      </c>
      <c r="S143" s="79">
        <f t="shared" si="6"/>
        <v>0</v>
      </c>
      <c r="T143" s="31">
        <f>IFERROR(__xludf.DUMMYFUNCTION("IF(ISERROR(FILTER('Activity map'!$E:$E, ('Activity map'!$A:$A=$A143)*('Activity map'!$F:$F=FALSE))), ""-"", MIN(UNIQUE(FILTER('Activity map'!$E:$E, ('Activity map'!$A:$A=$A143)*('Activity map'!$F:$F=FALSE)))))"),5.0)</f>
        <v>5</v>
      </c>
      <c r="U143" s="30" t="str">
        <f>IF($N143=0, "-", VLOOKUP($N143, 'List of log slots'!$A:$C, 2, FALSE))</f>
        <v>Dragon spear</v>
      </c>
    </row>
    <row r="144">
      <c r="A144" s="26">
        <v>199.0</v>
      </c>
      <c r="B144" s="23" t="str">
        <f>VLOOKUP($A144, 'Completion rates'!$A:$E, 2, FALSE)</f>
        <v>Killing banshees</v>
      </c>
      <c r="C144" s="26">
        <f>IF(Notes!$E$27, VLOOKUP($A144, 'Completion rates'!$A:$E, 4, FALSE), VLOOKUP($A144, 'Completion rates'!$A:$E, 3, FALSE))</f>
        <v>800</v>
      </c>
      <c r="D144" s="26">
        <f>VLOOKUP($A144, 'Completion rates'!$A:$E, 5, FALSE)</f>
        <v>0</v>
      </c>
      <c r="E144" s="28">
        <f>IF(SUMIFS('Activity map'!$O:$O, 'Activity map'!$A:$A, A144, 'Activity map'!$H:$H, "=TRUE") = 0, "n/a", 1/SUMIFS('Activity map'!$O:$O, 'Activity map'!$A:$A, A144, 'Activity map'!$H:$H, "=TRUE"))</f>
        <v>510.2559604</v>
      </c>
      <c r="F144" s="8">
        <f t="shared" si="1"/>
        <v>0.6378199505</v>
      </c>
      <c r="G144" s="26" t="str">
        <f>IF(MINIFS('Activity map'!$N:$N, 'Activity map'!$A:$A, A144, 'Activity map'!$H:$H, "=TRUE") = 0, "n/a", MINIFS('Activity map'!$N:$N, 'Activity map'!$A:$A, A144, 'Activity map'!$H:$H, "=TRUE"))</f>
        <v>n/a</v>
      </c>
      <c r="H144" s="8" t="str">
        <f t="shared" si="2"/>
        <v/>
      </c>
      <c r="I144" s="26" t="str">
        <f>IF(MINIFS('Activity map'!$M:$M, 'Activity map'!$A:$A, A144, 'Activity map'!$H:$H, "=TRUE") = 0, "n/a", MINIFS('Activity map'!$M:$M, 'Activity map'!$A:$A, A144, 'Activity map'!$H:$H, "=TRUE"))</f>
        <v>n/a</v>
      </c>
      <c r="J144" s="8" t="str">
        <f t="shared" si="3"/>
        <v/>
      </c>
      <c r="K144" s="26" t="str">
        <f>IF(MINIFS('Activity map'!$L:$L, 'Activity map'!$A:$A, A144, 'Activity map'!$H:$H, "=TRUE") = 0, "n/a", MINIFS('Activity map'!$L:$L, 'Activity map'!$A:$A, A144, 'Activity map'!$H:$H, "=TRUE"))</f>
        <v>n/a</v>
      </c>
      <c r="L144" s="8" t="str">
        <f t="shared" si="4"/>
        <v/>
      </c>
      <c r="M144" s="26">
        <f>MINIFS('Activity map'!$C:$C, 'Activity map'!$A:$A, $A144, 'Activity map'!$H:$H, "=TRUE", 'Activity map'!$K:$K, MINIFS('Activity map'!$K:$K, 'Activity map'!$A:$A, $A144, 'Activity map'!$H:$H, "=TRUE"))</f>
        <v>4105</v>
      </c>
      <c r="N144" s="26">
        <f>MINIFS('Activity map'!$C:$C, 'Activity map'!$A:$A, $A144, 'Activity map'!$H:$H, "=TRUE", 'Activity map'!$E:$E, $T144)</f>
        <v>4105</v>
      </c>
      <c r="O144" s="35">
        <f t="shared" si="5"/>
        <v>0.02657583127</v>
      </c>
      <c r="P144" s="30" t="str">
        <f>IF($M144=0, "-", VLOOKUP($M144, 'List of log slots'!$A:$C, 2, FALSE))</f>
        <v>Mystic gloves (dark)</v>
      </c>
      <c r="Q144" s="31">
        <f>IFERROR(__xludf.DUMMYFUNCTION("IF(ISERROR(FILTER('Activity map'!$C:$C, ('Activity map'!$A:$A=$A144)*('Activity map'!$F:$F=FALSE))), 0, COUNTA(UNIQUE(FILTER('Activity map'!$C:$C, ('Activity map'!$A:$A=$A144)*('Activity map'!$F:$F=FALSE)))))"),3.0)</f>
        <v>3</v>
      </c>
      <c r="R144" s="31">
        <f>IFERROR(__xludf.DUMMYFUNCTION("IF(ISERROR(FILTER('Activity map'!$C:$C, 'Activity map'!$A:$A=$A144)), 0, COUNTA(UNIQUE(FILTER('Activity map'!$C:$C, 'Activity map'!$A:$A=$A144))))"),3.0)</f>
        <v>3</v>
      </c>
      <c r="S144" s="36">
        <f t="shared" si="6"/>
        <v>0</v>
      </c>
      <c r="T144" s="31">
        <f>IFERROR(__xludf.DUMMYFUNCTION("IF(ISERROR(FILTER('Activity map'!$E:$E, ('Activity map'!$A:$A=$A144)*('Activity map'!$F:$F=FALSE))), ""-"", MIN(UNIQUE(FILTER('Activity map'!$E:$E, ('Activity map'!$A:$A=$A144)*('Activity map'!$F:$F=FALSE)))))"),3.0)</f>
        <v>3</v>
      </c>
      <c r="U144" s="30" t="str">
        <f>IF($N144=0, "-", VLOOKUP($N144, 'List of log slots'!$A:$C, 2, FALSE))</f>
        <v>Mystic gloves (dark)</v>
      </c>
    </row>
    <row r="145">
      <c r="A145" s="26">
        <v>181.0</v>
      </c>
      <c r="B145" s="23" t="str">
        <f>VLOOKUP($A145, 'Completion rates'!$A:$E, 2, FALSE)</f>
        <v>Killing terror dogs</v>
      </c>
      <c r="C145" s="26">
        <f>IF(Notes!$E$27, VLOOKUP($A145, 'Completion rates'!$A:$E, 4, FALSE), VLOOKUP($A145, 'Completion rates'!$A:$E, 3, FALSE))</f>
        <v>200</v>
      </c>
      <c r="D145" s="26">
        <f>VLOOKUP($A145, 'Completion rates'!$A:$E, 5, FALSE)</f>
        <v>0</v>
      </c>
      <c r="E145" s="28">
        <f>IF(SUMIFS('Activity map'!$O:$O, 'Activity map'!$A:$A, A145, 'Activity map'!$H:$H, "=TRUE") = 0, "n/a", 1/SUMIFS('Activity map'!$O:$O, 'Activity map'!$A:$A, A145, 'Activity map'!$H:$H, "=TRUE"))</f>
        <v>127.7271459</v>
      </c>
      <c r="F145" s="8">
        <f t="shared" si="1"/>
        <v>0.6386357293</v>
      </c>
      <c r="G145" s="26" t="str">
        <f>IF(MINIFS('Activity map'!$N:$N, 'Activity map'!$A:$A, A145, 'Activity map'!$H:$H, "=TRUE") = 0, "n/a", MINIFS('Activity map'!$N:$N, 'Activity map'!$A:$A, A145, 'Activity map'!$H:$H, "=TRUE"))</f>
        <v>n/a</v>
      </c>
      <c r="H145" s="8" t="str">
        <f t="shared" si="2"/>
        <v/>
      </c>
      <c r="I145" s="26" t="str">
        <f>IF(MINIFS('Activity map'!$M:$M, 'Activity map'!$A:$A, A145, 'Activity map'!$H:$H, "=TRUE") = 0, "n/a", MINIFS('Activity map'!$M:$M, 'Activity map'!$A:$A, A145, 'Activity map'!$H:$H, "=TRUE"))</f>
        <v>n/a</v>
      </c>
      <c r="J145" s="8" t="str">
        <f t="shared" si="3"/>
        <v/>
      </c>
      <c r="K145" s="26" t="str">
        <f>IF(MINIFS('Activity map'!$L:$L, 'Activity map'!$A:$A, A145, 'Activity map'!$H:$H, "=TRUE") = 0, "n/a", MINIFS('Activity map'!$L:$L, 'Activity map'!$A:$A, A145, 'Activity map'!$H:$H, "=TRUE"))</f>
        <v>n/a</v>
      </c>
      <c r="L145" s="8" t="str">
        <f t="shared" si="4"/>
        <v/>
      </c>
      <c r="M145" s="26">
        <f>MINIFS('Activity map'!$C:$C, 'Activity map'!$A:$A, $A145, 'Activity map'!$H:$H, "=TRUE", 'Activity map'!$K:$K, MINIFS('Activity map'!$K:$K, 'Activity map'!$A:$A, $A145, 'Activity map'!$H:$H, "=TRUE"))</f>
        <v>10589</v>
      </c>
      <c r="N145" s="26">
        <f>MINIFS('Activity map'!$C:$C, 'Activity map'!$A:$A, $A145, 'Activity map'!$H:$H, "=TRUE", 'Activity map'!$E:$E, $T145)</f>
        <v>10589</v>
      </c>
      <c r="O145" s="35">
        <f t="shared" si="5"/>
        <v>0.02660982205</v>
      </c>
      <c r="P145" s="30" t="str">
        <f>IF($M145=0, "-", VLOOKUP($M145, 'List of log slots'!$A:$C, 2, FALSE))</f>
        <v>Granite helm</v>
      </c>
      <c r="Q145" s="31">
        <f>IFERROR(__xludf.DUMMYFUNCTION("IF(ISERROR(FILTER('Activity map'!$C:$C, ('Activity map'!$A:$A=$A145)*('Activity map'!$F:$F=FALSE))), 0, COUNTA(UNIQUE(FILTER('Activity map'!$C:$C, ('Activity map'!$A:$A=$A145)*('Activity map'!$F:$F=FALSE)))))"),3.0)</f>
        <v>3</v>
      </c>
      <c r="R145" s="31">
        <f>IFERROR(__xludf.DUMMYFUNCTION("IF(ISERROR(FILTER('Activity map'!$C:$C, 'Activity map'!$A:$A=$A145)), 0, COUNTA(UNIQUE(FILTER('Activity map'!$C:$C, 'Activity map'!$A:$A=$A145))))"),3.0)</f>
        <v>3</v>
      </c>
      <c r="S145" s="36">
        <f t="shared" si="6"/>
        <v>0</v>
      </c>
      <c r="T145" s="31">
        <f>IFERROR(__xludf.DUMMYFUNCTION("IF(ISERROR(FILTER('Activity map'!$E:$E, ('Activity map'!$A:$A=$A145)*('Activity map'!$F:$F=FALSE))), ""-"", MIN(UNIQUE(FILTER('Activity map'!$E:$E, ('Activity map'!$A:$A=$A145)*('Activity map'!$F:$F=FALSE)))))"),3.0)</f>
        <v>3</v>
      </c>
      <c r="U145" s="30" t="str">
        <f>IF($N145=0, "-", VLOOKUP($N145, 'List of log slots'!$A:$C, 2, FALSE))</f>
        <v>Granite helm</v>
      </c>
    </row>
    <row r="146">
      <c r="A146" s="26">
        <v>37.0</v>
      </c>
      <c r="B146" s="23" t="str">
        <f>VLOOKUP($A146, 'Completion rates'!$A:$E, 2, FALSE)</f>
        <v>Killing nex (6 person team)</v>
      </c>
      <c r="C146" s="26">
        <f>IF(Notes!$E$27, VLOOKUP($A146, 'Completion rates'!$A:$E, 4, FALSE), VLOOKUP($A146, 'Completion rates'!$A:$E, 3, FALSE))</f>
        <v>15</v>
      </c>
      <c r="D146" s="26">
        <f>VLOOKUP($A146, 'Completion rates'!$A:$E, 5, FALSE)</f>
        <v>0</v>
      </c>
      <c r="E146" s="28">
        <f>IF(SUMIFS('Activity map'!$O:$O, 'Activity map'!$A:$A, A146, 'Activity map'!$H:$H, "=TRUE") = 0, "n/a", 1/SUMIFS('Activity map'!$O:$O, 'Activity map'!$A:$A, A146, 'Activity map'!$H:$H, "=TRUE"))</f>
        <v>9.596072305</v>
      </c>
      <c r="F146" s="26">
        <f t="shared" si="1"/>
        <v>0.6397381537</v>
      </c>
      <c r="G146" s="26" t="str">
        <f>IF(MINIFS('Activity map'!$N:$N, 'Activity map'!$A:$A, A146, 'Activity map'!$H:$H, "=TRUE") = 0, "n/a", MINIFS('Activity map'!$N:$N, 'Activity map'!$A:$A, A146, 'Activity map'!$H:$H, "=TRUE"))</f>
        <v>n/a</v>
      </c>
      <c r="H146" s="8" t="str">
        <f t="shared" si="2"/>
        <v/>
      </c>
      <c r="I146" s="26" t="str">
        <f>IF(MINIFS('Activity map'!$M:$M, 'Activity map'!$A:$A, A146, 'Activity map'!$H:$H, "=TRUE") = 0, "n/a", MINIFS('Activity map'!$M:$M, 'Activity map'!$A:$A, A146, 'Activity map'!$H:$H, "=TRUE"))</f>
        <v>n/a</v>
      </c>
      <c r="J146" s="8" t="str">
        <f t="shared" si="3"/>
        <v/>
      </c>
      <c r="K146" s="26" t="str">
        <f>IF(MINIFS('Activity map'!$L:$L, 'Activity map'!$A:$A, A146, 'Activity map'!$H:$H, "=TRUE") = 0, "n/a", MINIFS('Activity map'!$L:$L, 'Activity map'!$A:$A, A146, 'Activity map'!$H:$H, "=TRUE"))</f>
        <v>n/a</v>
      </c>
      <c r="L146" s="8" t="str">
        <f t="shared" si="4"/>
        <v/>
      </c>
      <c r="M146" s="26">
        <f>MINIFS('Activity map'!$C:$C, 'Activity map'!$A:$A, $A146, 'Activity map'!$H:$H, "=TRUE", 'Activity map'!$K:$K, MINIFS('Activity map'!$K:$K, 'Activity map'!$A:$A, $A146, 'Activity map'!$H:$H, "=TRUE"))</f>
        <v>26231</v>
      </c>
      <c r="N146" s="26">
        <f>MINIFS('Activity map'!$C:$C, 'Activity map'!$A:$A, $A146, 'Activity map'!$H:$H, "=TRUE", 'Activity map'!$E:$E, $T146)</f>
        <v>26231</v>
      </c>
      <c r="O146" s="139">
        <f t="shared" si="5"/>
        <v>0.0266557564</v>
      </c>
      <c r="P146" s="30" t="str">
        <f>IF($M146=0, "-", VLOOKUP($M146, 'List of log slots'!$A:$C, 2, FALSE))</f>
        <v>Nihil shard</v>
      </c>
      <c r="Q146" s="31">
        <f>IFERROR(__xludf.DUMMYFUNCTION("IF(ISERROR(FILTER('Activity map'!$C:$C, ('Activity map'!$A:$A=$A146)*('Activity map'!$F:$F=FALSE))), 0, COUNTA(UNIQUE(FILTER('Activity map'!$C:$C, ('Activity map'!$A:$A=$A146)*('Activity map'!$F:$F=FALSE)))))"),8.0)</f>
        <v>8</v>
      </c>
      <c r="R146" s="31">
        <f>IFERROR(__xludf.DUMMYFUNCTION("IF(ISERROR(FILTER('Activity map'!$C:$C, 'Activity map'!$A:$A=$A146)), 0, COUNTA(UNIQUE(FILTER('Activity map'!$C:$C, 'Activity map'!$A:$A=$A146))))"),8.0)</f>
        <v>8</v>
      </c>
      <c r="S146" s="117">
        <f t="shared" si="6"/>
        <v>0</v>
      </c>
      <c r="T146" s="31">
        <f>IFERROR(__xludf.DUMMYFUNCTION("IF(ISERROR(FILTER('Activity map'!$E:$E, ('Activity map'!$A:$A=$A146)*('Activity map'!$F:$F=FALSE))), ""-"", MIN(UNIQUE(FILTER('Activity map'!$E:$E, ('Activity map'!$A:$A=$A146)*('Activity map'!$F:$F=FALSE)))))"),4.0)</f>
        <v>4</v>
      </c>
      <c r="U146" s="30" t="str">
        <f>IF($N146=0, "-", VLOOKUP($N146, 'List of log slots'!$A:$C, 2, FALSE))</f>
        <v>Nihil shard</v>
      </c>
    </row>
    <row r="147">
      <c r="A147" s="26">
        <v>95.0</v>
      </c>
      <c r="B147" s="23" t="str">
        <f>VLOOKUP($A147, 'Completion rates'!$A:$E, 2, FALSE)</f>
        <v>Earning soul wars zeal</v>
      </c>
      <c r="C147" s="26">
        <f>IF(Notes!$E$27, VLOOKUP($A147, 'Completion rates'!$A:$E, 4, FALSE), VLOOKUP($A147, 'Completion rates'!$A:$E, 3, FALSE))</f>
        <v>375</v>
      </c>
      <c r="D147" s="26">
        <f>VLOOKUP($A147, 'Completion rates'!$A:$E, 5, FALSE)</f>
        <v>0</v>
      </c>
      <c r="E147" s="28">
        <f>IF(SUMIFS('Activity map'!$O:$O, 'Activity map'!$A:$A, A147, 'Activity map'!$H:$H, "=TRUE") = 0, "n/a", 1/SUMIFS('Activity map'!$O:$O, 'Activity map'!$A:$A, A147, 'Activity map'!$H:$H, "=TRUE"))</f>
        <v>12000</v>
      </c>
      <c r="F147" s="26">
        <f t="shared" si="1"/>
        <v>32</v>
      </c>
      <c r="G147" s="26" t="str">
        <f>IF(MINIFS('Activity map'!$N:$N, 'Activity map'!$A:$A, A147, 'Activity map'!$H:$H, "=TRUE") = 0, "n/a", MINIFS('Activity map'!$N:$N, 'Activity map'!$A:$A, A147, 'Activity map'!$H:$H, "=TRUE"))</f>
        <v>n/a</v>
      </c>
      <c r="H147" s="8" t="str">
        <f t="shared" si="2"/>
        <v/>
      </c>
      <c r="I147" s="26" t="str">
        <f>IF(MINIFS('Activity map'!$M:$M, 'Activity map'!$A:$A, A147, 'Activity map'!$H:$H, "=TRUE") = 0, "n/a", MINIFS('Activity map'!$M:$M, 'Activity map'!$A:$A, A147, 'Activity map'!$H:$H, "=TRUE"))</f>
        <v>n/a</v>
      </c>
      <c r="J147" s="8" t="str">
        <f t="shared" si="3"/>
        <v/>
      </c>
      <c r="K147" s="26">
        <f>IF(MINIFS('Activity map'!$L:$L, 'Activity map'!$A:$A, A147, 'Activity map'!$H:$H, "=TRUE") = 0, "n/a", MINIFS('Activity map'!$L:$L, 'Activity map'!$A:$A, A147, 'Activity map'!$H:$H, "=TRUE"))</f>
        <v>250</v>
      </c>
      <c r="L147" s="26">
        <f t="shared" si="4"/>
        <v>0.6666666667</v>
      </c>
      <c r="M147" s="26">
        <f>MINIFS('Activity map'!$C:$C, 'Activity map'!$A:$A, $A147, 'Activity map'!$H:$H, "=TRUE", 'Activity map'!$K:$K, MINIFS('Activity map'!$K:$K, 'Activity map'!$A:$A, $A147, 'Activity map'!$H:$H, "=TRUE"))</f>
        <v>25340</v>
      </c>
      <c r="N147" s="26">
        <f>MINIFS('Activity map'!$C:$C, 'Activity map'!$A:$A, $A147, 'Activity map'!$H:$H, "=TRUE", 'Activity map'!$E:$E, $T147)</f>
        <v>25340</v>
      </c>
      <c r="O147" s="140">
        <f t="shared" si="5"/>
        <v>0.02777777778</v>
      </c>
      <c r="P147" s="30" t="str">
        <f>IF($M147=0, "-", VLOOKUP($M147, 'List of log slots'!$A:$C, 2, FALSE))</f>
        <v>Ectoplasmator</v>
      </c>
      <c r="Q147" s="31">
        <f>IFERROR(__xludf.DUMMYFUNCTION("IF(ISERROR(FILTER('Activity map'!$C:$C, ('Activity map'!$A:$A=$A147)*('Activity map'!$F:$F=FALSE))), 0, COUNTA(UNIQUE(FILTER('Activity map'!$C:$C, ('Activity map'!$A:$A=$A147)*('Activity map'!$F:$F=FALSE)))))"),3.0)</f>
        <v>3</v>
      </c>
      <c r="R147" s="31">
        <f>IFERROR(__xludf.DUMMYFUNCTION("IF(ISERROR(FILTER('Activity map'!$C:$C, 'Activity map'!$A:$A=$A147)), 0, COUNTA(UNIQUE(FILTER('Activity map'!$C:$C, 'Activity map'!$A:$A=$A147))))"),3.0)</f>
        <v>3</v>
      </c>
      <c r="S147" s="72">
        <f t="shared" si="6"/>
        <v>0</v>
      </c>
      <c r="T147" s="31">
        <f>IFERROR(__xludf.DUMMYFUNCTION("IF(ISERROR(FILTER('Activity map'!$E:$E, ('Activity map'!$A:$A=$A147)*('Activity map'!$F:$F=FALSE))), ""-"", MIN(UNIQUE(FILTER('Activity map'!$E:$E, ('Activity map'!$A:$A=$A147)*('Activity map'!$F:$F=FALSE)))))"),3.0)</f>
        <v>3</v>
      </c>
      <c r="U147" s="30" t="str">
        <f>IF($N147=0, "-", VLOOKUP($N147, 'List of log slots'!$A:$C, 2, FALSE))</f>
        <v>Ectoplasmator</v>
      </c>
    </row>
    <row r="148">
      <c r="A148" s="26">
        <v>169.0</v>
      </c>
      <c r="B148" s="23" t="str">
        <f>VLOOKUP($A148, 'Completion rates'!$A:$E, 2, FALSE)</f>
        <v>Killing kurask</v>
      </c>
      <c r="C148" s="26">
        <f>IF(Notes!$E$27, VLOOKUP($A148, 'Completion rates'!$A:$E, 4, FALSE), VLOOKUP($A148, 'Completion rates'!$A:$E, 3, FALSE))</f>
        <v>250</v>
      </c>
      <c r="D148" s="26">
        <f>VLOOKUP($A148, 'Completion rates'!$A:$E, 5, FALSE)</f>
        <v>0</v>
      </c>
      <c r="E148" s="28">
        <f>IF(SUMIFS('Activity map'!$O:$O, 'Activity map'!$A:$A, A148, 'Activity map'!$H:$H, "=TRUE") = 0, "n/a", 1/SUMIFS('Activity map'!$O:$O, 'Activity map'!$A:$A, A148, 'Activity map'!$H:$H, "=TRUE"))</f>
        <v>169.895544</v>
      </c>
      <c r="F148" s="8">
        <f t="shared" si="1"/>
        <v>0.6795821759</v>
      </c>
      <c r="G148" s="26" t="str">
        <f>IF(MINIFS('Activity map'!$N:$N, 'Activity map'!$A:$A, A148, 'Activity map'!$H:$H, "=TRUE") = 0, "n/a", MINIFS('Activity map'!$N:$N, 'Activity map'!$A:$A, A148, 'Activity map'!$H:$H, "=TRUE"))</f>
        <v>n/a</v>
      </c>
      <c r="H148" s="8" t="str">
        <f t="shared" si="2"/>
        <v/>
      </c>
      <c r="I148" s="26" t="str">
        <f>IF(MINIFS('Activity map'!$M:$M, 'Activity map'!$A:$A, A148, 'Activity map'!$H:$H, "=TRUE") = 0, "n/a", MINIFS('Activity map'!$M:$M, 'Activity map'!$A:$A, A148, 'Activity map'!$H:$H, "=TRUE"))</f>
        <v>n/a</v>
      </c>
      <c r="J148" s="8" t="str">
        <f t="shared" si="3"/>
        <v/>
      </c>
      <c r="K148" s="26" t="str">
        <f>IF(MINIFS('Activity map'!$L:$L, 'Activity map'!$A:$A, A148, 'Activity map'!$H:$H, "=TRUE") = 0, "n/a", MINIFS('Activity map'!$L:$L, 'Activity map'!$A:$A, A148, 'Activity map'!$H:$H, "=TRUE"))</f>
        <v>n/a</v>
      </c>
      <c r="L148" s="8" t="str">
        <f t="shared" si="4"/>
        <v/>
      </c>
      <c r="M148" s="26">
        <f>MINIFS('Activity map'!$C:$C, 'Activity map'!$A:$A, $A148, 'Activity map'!$H:$H, "=TRUE", 'Activity map'!$K:$K, MINIFS('Activity map'!$K:$K, 'Activity map'!$A:$A, $A148, 'Activity map'!$H:$H, "=TRUE"))</f>
        <v>11902</v>
      </c>
      <c r="N148" s="26">
        <f>MINIFS('Activity map'!$C:$C, 'Activity map'!$A:$A, $A148, 'Activity map'!$H:$H, "=TRUE", 'Activity map'!$E:$E, $T148)</f>
        <v>4111</v>
      </c>
      <c r="O148" s="35">
        <f t="shared" si="5"/>
        <v>0.02831592399</v>
      </c>
      <c r="P148" s="30" t="str">
        <f>IF($M148=0, "-", VLOOKUP($M148, 'List of log slots'!$A:$C, 2, FALSE))</f>
        <v>Leaf-bladed sword</v>
      </c>
      <c r="Q148" s="31">
        <f>IFERROR(__xludf.DUMMYFUNCTION("IF(ISERROR(FILTER('Activity map'!$C:$C, ('Activity map'!$A:$A=$A148)*('Activity map'!$F:$F=FALSE))), 0, COUNTA(UNIQUE(FILTER('Activity map'!$C:$C, ('Activity map'!$A:$A=$A148)*('Activity map'!$F:$F=FALSE)))))"),6.0)</f>
        <v>6</v>
      </c>
      <c r="R148" s="31">
        <f>IFERROR(__xludf.DUMMYFUNCTION("IF(ISERROR(FILTER('Activity map'!$C:$C, 'Activity map'!$A:$A=$A148)), 0, COUNTA(UNIQUE(FILTER('Activity map'!$C:$C, 'Activity map'!$A:$A=$A148))))"),6.0)</f>
        <v>6</v>
      </c>
      <c r="S148" s="36">
        <f t="shared" si="6"/>
        <v>0</v>
      </c>
      <c r="T148" s="31">
        <f>IFERROR(__xludf.DUMMYFUNCTION("IF(ISERROR(FILTER('Activity map'!$E:$E, ('Activity map'!$A:$A=$A148)*('Activity map'!$F:$F=FALSE))), ""-"", MIN(UNIQUE(FILTER('Activity map'!$E:$E, ('Activity map'!$A:$A=$A148)*('Activity map'!$F:$F=FALSE)))))"),4.0)</f>
        <v>4</v>
      </c>
      <c r="U148" s="30" t="str">
        <f>IF($N148=0, "-", VLOOKUP($N148, 'List of log slots'!$A:$C, 2, FALSE))</f>
        <v>Mystic robe top (light)</v>
      </c>
    </row>
    <row r="149">
      <c r="A149" s="26">
        <v>12.0</v>
      </c>
      <c r="B149" s="23" t="str">
        <f>VLOOKUP($A149, 'Completion rates'!$A:$E, 2, FALSE)</f>
        <v>Killing corporeal beast</v>
      </c>
      <c r="C149" s="26">
        <f>IF(Notes!$E$27, VLOOKUP($A149, 'Completion rates'!$A:$E, 4, FALSE), VLOOKUP($A149, 'Completion rates'!$A:$E, 3, FALSE))</f>
        <v>60</v>
      </c>
      <c r="D149" s="26">
        <f>VLOOKUP($A149, 'Completion rates'!$A:$E, 5, FALSE)</f>
        <v>0</v>
      </c>
      <c r="E149" s="28">
        <f>IF(SUMIFS('Activity map'!$O:$O, 'Activity map'!$A:$A, A149, 'Activity map'!$H:$H, "=TRUE") = 0, "n/a", 1/SUMIFS('Activity map'!$O:$O, 'Activity map'!$A:$A, A149, 'Activity map'!$H:$H, "=TRUE"))</f>
        <v>40.99642887</v>
      </c>
      <c r="F149" s="26">
        <f t="shared" si="1"/>
        <v>0.6832738146</v>
      </c>
      <c r="G149" s="26" t="str">
        <f>IF(MINIFS('Activity map'!$N:$N, 'Activity map'!$A:$A, A149, 'Activity map'!$H:$H, "=TRUE") = 0, "n/a", MINIFS('Activity map'!$N:$N, 'Activity map'!$A:$A, A149, 'Activity map'!$H:$H, "=TRUE"))</f>
        <v>n/a</v>
      </c>
      <c r="H149" s="8" t="str">
        <f t="shared" si="2"/>
        <v/>
      </c>
      <c r="I149" s="26" t="str">
        <f>IF(MINIFS('Activity map'!$M:$M, 'Activity map'!$A:$A, A149, 'Activity map'!$H:$H, "=TRUE") = 0, "n/a", MINIFS('Activity map'!$M:$M, 'Activity map'!$A:$A, A149, 'Activity map'!$H:$H, "=TRUE"))</f>
        <v>n/a</v>
      </c>
      <c r="J149" s="8" t="str">
        <f t="shared" si="3"/>
        <v/>
      </c>
      <c r="K149" s="26" t="str">
        <f>IF(MINIFS('Activity map'!$L:$L, 'Activity map'!$A:$A, A149, 'Activity map'!$H:$H, "=TRUE") = 0, "n/a", MINIFS('Activity map'!$L:$L, 'Activity map'!$A:$A, A149, 'Activity map'!$H:$H, "=TRUE"))</f>
        <v>n/a</v>
      </c>
      <c r="L149" s="8" t="str">
        <f t="shared" si="4"/>
        <v/>
      </c>
      <c r="M149" s="26">
        <f>MINIFS('Activity map'!$C:$C, 'Activity map'!$A:$A, $A149, 'Activity map'!$H:$H, "=TRUE", 'Activity map'!$K:$K, MINIFS('Activity map'!$K:$K, 'Activity map'!$A:$A, $A149, 'Activity map'!$H:$H, "=TRUE"))</f>
        <v>12829</v>
      </c>
      <c r="N149" s="26">
        <f>MINIFS('Activity map'!$C:$C, 'Activity map'!$A:$A, $A149, 'Activity map'!$H:$H, "=TRUE", 'Activity map'!$E:$E, $T149)</f>
        <v>1249</v>
      </c>
      <c r="O149" s="114">
        <f t="shared" si="5"/>
        <v>0.02846974227</v>
      </c>
      <c r="P149" s="30" t="str">
        <f>IF($M149=0, "-", VLOOKUP($M149, 'List of log slots'!$A:$C, 2, FALSE))</f>
        <v>Spirit shield</v>
      </c>
      <c r="Q149" s="31">
        <f>IFERROR(__xludf.DUMMYFUNCTION("IF(ISERROR(FILTER('Activity map'!$C:$C, ('Activity map'!$A:$A=$A149)*('Activity map'!$F:$F=FALSE))), 0, COUNTA(UNIQUE(FILTER('Activity map'!$C:$C, ('Activity map'!$A:$A=$A149)*('Activity map'!$F:$F=FALSE)))))"),9.0)</f>
        <v>9</v>
      </c>
      <c r="R149" s="31">
        <f>IFERROR(__xludf.DUMMYFUNCTION("IF(ISERROR(FILTER('Activity map'!$C:$C, 'Activity map'!$A:$A=$A149)), 0, COUNTA(UNIQUE(FILTER('Activity map'!$C:$C, 'Activity map'!$A:$A=$A149))))"),9.0)</f>
        <v>9</v>
      </c>
      <c r="S149" s="91">
        <f t="shared" si="6"/>
        <v>0</v>
      </c>
      <c r="T149" s="31">
        <f>IFERROR(__xludf.DUMMYFUNCTION("IF(ISERROR(FILTER('Activity map'!$E:$E, ('Activity map'!$A:$A=$A149)*('Activity map'!$F:$F=FALSE))), ""-"", MIN(UNIQUE(FILTER('Activity map'!$E:$E, ('Activity map'!$A:$A=$A149)*('Activity map'!$F:$F=FALSE)))))"),5.0)</f>
        <v>5</v>
      </c>
      <c r="U149" s="30" t="str">
        <f>IF($N149=0, "-", VLOOKUP($N149, 'List of log slots'!$A:$C, 2, FALSE))</f>
        <v>Dragon spear</v>
      </c>
    </row>
    <row r="150">
      <c r="A150" s="26">
        <v>189.0</v>
      </c>
      <c r="B150" s="23" t="str">
        <f>VLOOKUP($A150, 'Completion rates'!$A:$E, 2, FALSE)</f>
        <v>Killing spiritual mages (non-zaros)</v>
      </c>
      <c r="C150" s="26">
        <f>IF(Notes!$E$27, VLOOKUP($A150, 'Completion rates'!$A:$E, 4, FALSE), VLOOKUP($A150, 'Completion rates'!$A:$E, 3, FALSE))</f>
        <v>180</v>
      </c>
      <c r="D150" s="26">
        <f>VLOOKUP($A150, 'Completion rates'!$A:$E, 5, FALSE)</f>
        <v>0</v>
      </c>
      <c r="E150" s="28">
        <f>IF(SUMIFS('Activity map'!$O:$O, 'Activity map'!$A:$A, A150, 'Activity map'!$H:$H, "=TRUE") = 0, "n/a", 1/SUMIFS('Activity map'!$O:$O, 'Activity map'!$A:$A, A150, 'Activity map'!$H:$H, "=TRUE"))</f>
        <v>127.8907183</v>
      </c>
      <c r="F150" s="8">
        <f t="shared" si="1"/>
        <v>0.7105039908</v>
      </c>
      <c r="G150" s="26" t="str">
        <f>IF(MINIFS('Activity map'!$N:$N, 'Activity map'!$A:$A, A150, 'Activity map'!$H:$H, "=TRUE") = 0, "n/a", MINIFS('Activity map'!$N:$N, 'Activity map'!$A:$A, A150, 'Activity map'!$H:$H, "=TRUE"))</f>
        <v>n/a</v>
      </c>
      <c r="H150" s="8" t="str">
        <f t="shared" si="2"/>
        <v/>
      </c>
      <c r="I150" s="26" t="str">
        <f>IF(MINIFS('Activity map'!$M:$M, 'Activity map'!$A:$A, A150, 'Activity map'!$H:$H, "=TRUE") = 0, "n/a", MINIFS('Activity map'!$M:$M, 'Activity map'!$A:$A, A150, 'Activity map'!$H:$H, "=TRUE"))</f>
        <v>n/a</v>
      </c>
      <c r="J150" s="8" t="str">
        <f t="shared" si="3"/>
        <v/>
      </c>
      <c r="K150" s="26" t="str">
        <f>IF(MINIFS('Activity map'!$L:$L, 'Activity map'!$A:$A, A150, 'Activity map'!$H:$H, "=TRUE") = 0, "n/a", MINIFS('Activity map'!$L:$L, 'Activity map'!$A:$A, A150, 'Activity map'!$H:$H, "=TRUE"))</f>
        <v>n/a</v>
      </c>
      <c r="L150" s="8" t="str">
        <f t="shared" si="4"/>
        <v/>
      </c>
      <c r="M150" s="26">
        <f>MINIFS('Activity map'!$C:$C, 'Activity map'!$A:$A, $A150, 'Activity map'!$H:$H, "=TRUE", 'Activity map'!$K:$K, MINIFS('Activity map'!$K:$K, 'Activity map'!$A:$A, $A150, 'Activity map'!$H:$H, "=TRUE"))</f>
        <v>11840</v>
      </c>
      <c r="N150" s="26">
        <f>MINIFS('Activity map'!$C:$C, 'Activity map'!$A:$A, $A150, 'Activity map'!$H:$H, "=TRUE", 'Activity map'!$E:$E, $T150)</f>
        <v>11840</v>
      </c>
      <c r="O150" s="35">
        <f t="shared" si="5"/>
        <v>0.02960433295</v>
      </c>
      <c r="P150" s="30" t="str">
        <f>IF($M150=0, "-", VLOOKUP($M150, 'List of log slots'!$A:$C, 2, FALSE))</f>
        <v>Dragon boots</v>
      </c>
      <c r="Q150" s="31">
        <f>IFERROR(__xludf.DUMMYFUNCTION("IF(ISERROR(FILTER('Activity map'!$C:$C, ('Activity map'!$A:$A=$A150)*('Activity map'!$F:$F=FALSE))), 0, COUNTA(UNIQUE(FILTER('Activity map'!$C:$C, ('Activity map'!$A:$A=$A150)*('Activity map'!$F:$F=FALSE)))))"),3.0)</f>
        <v>3</v>
      </c>
      <c r="R150" s="31">
        <f>IFERROR(__xludf.DUMMYFUNCTION("IF(ISERROR(FILTER('Activity map'!$C:$C, 'Activity map'!$A:$A=$A150)), 0, COUNTA(UNIQUE(FILTER('Activity map'!$C:$C, 'Activity map'!$A:$A=$A150))))"),3.0)</f>
        <v>3</v>
      </c>
      <c r="S150" s="36">
        <f t="shared" si="6"/>
        <v>0</v>
      </c>
      <c r="T150" s="31">
        <f>IFERROR(__xludf.DUMMYFUNCTION("IF(ISERROR(FILTER('Activity map'!$E:$E, ('Activity map'!$A:$A=$A150)*('Activity map'!$F:$F=FALSE))), ""-"", MIN(UNIQUE(FILTER('Activity map'!$E:$E, ('Activity map'!$A:$A=$A150)*('Activity map'!$F:$F=FALSE)))))"),4.0)</f>
        <v>4</v>
      </c>
      <c r="U150" s="30" t="str">
        <f>IF($N150=0, "-", VLOOKUP($N150, 'List of log slots'!$A:$C, 2, FALSE))</f>
        <v>Dragon boots</v>
      </c>
    </row>
    <row r="151">
      <c r="A151" s="26">
        <v>191.0</v>
      </c>
      <c r="B151" s="23" t="str">
        <f>VLOOKUP($A151, 'Completion rates'!$A:$E, 2, FALSE)</f>
        <v>Killing cave kraken (non-boss, on task)</v>
      </c>
      <c r="C151" s="26">
        <f>IF(Notes!$E$27, VLOOKUP($A151, 'Completion rates'!$A:$E, 4, FALSE), VLOOKUP($A151, 'Completion rates'!$A:$E, 3, FALSE))</f>
        <v>240</v>
      </c>
      <c r="D151" s="26">
        <f>VLOOKUP($A151, 'Completion rates'!$A:$E, 5, FALSE)</f>
        <v>0</v>
      </c>
      <c r="E151" s="28">
        <f>IF(SUMIFS('Activity map'!$O:$O, 'Activity map'!$A:$A, A151, 'Activity map'!$H:$H, "=TRUE") = 0, "n/a", 1/SUMIFS('Activity map'!$O:$O, 'Activity map'!$A:$A, A151, 'Activity map'!$H:$H, "=TRUE"))</f>
        <v>171.0527222</v>
      </c>
      <c r="F151" s="26">
        <f t="shared" si="1"/>
        <v>0.712719676</v>
      </c>
      <c r="G151" s="26" t="str">
        <f>IF(MINIFS('Activity map'!$N:$N, 'Activity map'!$A:$A, A151, 'Activity map'!$H:$H, "=TRUE") = 0, "n/a", MINIFS('Activity map'!$N:$N, 'Activity map'!$A:$A, A151, 'Activity map'!$H:$H, "=TRUE"))</f>
        <v>n/a</v>
      </c>
      <c r="H151" s="8" t="str">
        <f t="shared" si="2"/>
        <v/>
      </c>
      <c r="I151" s="26" t="str">
        <f>IF(MINIFS('Activity map'!$M:$M, 'Activity map'!$A:$A, A151, 'Activity map'!$H:$H, "=TRUE") = 0, "n/a", MINIFS('Activity map'!$M:$M, 'Activity map'!$A:$A, A151, 'Activity map'!$H:$H, "=TRUE"))</f>
        <v>n/a</v>
      </c>
      <c r="J151" s="8" t="str">
        <f t="shared" si="3"/>
        <v/>
      </c>
      <c r="K151" s="26" t="str">
        <f>IF(MINIFS('Activity map'!$L:$L, 'Activity map'!$A:$A, A151, 'Activity map'!$H:$H, "=TRUE") = 0, "n/a", MINIFS('Activity map'!$L:$L, 'Activity map'!$A:$A, A151, 'Activity map'!$H:$H, "=TRUE"))</f>
        <v>n/a</v>
      </c>
      <c r="L151" s="8" t="str">
        <f t="shared" si="4"/>
        <v/>
      </c>
      <c r="M151" s="26">
        <f>MINIFS('Activity map'!$C:$C, 'Activity map'!$A:$A, $A151, 'Activity map'!$H:$H, "=TRUE", 'Activity map'!$K:$K, MINIFS('Activity map'!$K:$K, 'Activity map'!$A:$A, $A151, 'Activity map'!$H:$H, "=TRUE"))</f>
        <v>11908</v>
      </c>
      <c r="N151" s="26">
        <f>MINIFS('Activity map'!$C:$C, 'Activity map'!$A:$A, $A151, 'Activity map'!$H:$H, "=TRUE", 'Activity map'!$E:$E, $T151)</f>
        <v>1249</v>
      </c>
      <c r="O151" s="141">
        <f t="shared" si="5"/>
        <v>0.02969665317</v>
      </c>
      <c r="P151" s="30" t="str">
        <f>IF($M151=0, "-", VLOOKUP($M151, 'List of log slots'!$A:$C, 2, FALSE))</f>
        <v>Uncharged trident</v>
      </c>
      <c r="Q151" s="31">
        <f>IFERROR(__xludf.DUMMYFUNCTION("IF(ISERROR(FILTER('Activity map'!$C:$C, ('Activity map'!$A:$A=$A151)*('Activity map'!$F:$F=FALSE))), 0, COUNTA(UNIQUE(FILTER('Activity map'!$C:$C, ('Activity map'!$A:$A=$A151)*('Activity map'!$F:$F=FALSE)))))"),4.0)</f>
        <v>4</v>
      </c>
      <c r="R151" s="31">
        <f>IFERROR(__xludf.DUMMYFUNCTION("IF(ISERROR(FILTER('Activity map'!$C:$C, 'Activity map'!$A:$A=$A151)), 0, COUNTA(UNIQUE(FILTER('Activity map'!$C:$C, 'Activity map'!$A:$A=$A151))))"),4.0)</f>
        <v>4</v>
      </c>
      <c r="S151" s="32">
        <f t="shared" si="6"/>
        <v>0</v>
      </c>
      <c r="T151" s="31">
        <f>IFERROR(__xludf.DUMMYFUNCTION("IF(ISERROR(FILTER('Activity map'!$E:$E, ('Activity map'!$A:$A=$A151)*('Activity map'!$F:$F=FALSE))), ""-"", MIN(UNIQUE(FILTER('Activity map'!$E:$E, ('Activity map'!$A:$A=$A151)*('Activity map'!$F:$F=FALSE)))))"),5.0)</f>
        <v>5</v>
      </c>
      <c r="U151" s="30" t="str">
        <f>IF($N151=0, "-", VLOOKUP($N151, 'List of log slots'!$A:$C, 2, FALSE))</f>
        <v>Dragon spear</v>
      </c>
    </row>
    <row r="152">
      <c r="A152" s="26">
        <v>91.0</v>
      </c>
      <c r="B152" s="23" t="str">
        <f>VLOOKUP($A152, 'Completion rates'!$A:$E, 2, FALSE)</f>
        <v>Collecting resin (mastering mixology)</v>
      </c>
      <c r="C152" s="26">
        <f>IF(Notes!$E$27, VLOOKUP($A152, 'Completion rates'!$A:$E, 4, FALSE), VLOOKUP($A152, 'Completion rates'!$A:$E, 3, FALSE))</f>
        <v>12000</v>
      </c>
      <c r="D152" s="26">
        <f>VLOOKUP($A152, 'Completion rates'!$A:$E, 5, FALSE)</f>
        <v>0</v>
      </c>
      <c r="E152" s="28" t="str">
        <f>IF(SUMIFS('Activity map'!$O:$O, 'Activity map'!$A:$A, A152, 'Activity map'!$H:$H, "=TRUE") = 0, "n/a", 1/SUMIFS('Activity map'!$O:$O, 'Activity map'!$A:$A, A152, 'Activity map'!$H:$H, "=TRUE"))</f>
        <v>n/a</v>
      </c>
      <c r="F152" s="8" t="str">
        <f t="shared" si="1"/>
        <v/>
      </c>
      <c r="G152" s="26" t="str">
        <f>IF(MINIFS('Activity map'!$N:$N, 'Activity map'!$A:$A, A152, 'Activity map'!$H:$H, "=TRUE") = 0, "n/a", MINIFS('Activity map'!$N:$N, 'Activity map'!$A:$A, A152, 'Activity map'!$H:$H, "=TRUE"))</f>
        <v>n/a</v>
      </c>
      <c r="H152" s="8" t="str">
        <f t="shared" si="2"/>
        <v/>
      </c>
      <c r="I152" s="26" t="str">
        <f>IF(MINIFS('Activity map'!$M:$M, 'Activity map'!$A:$A, A152, 'Activity map'!$H:$H, "=TRUE") = 0, "n/a", MINIFS('Activity map'!$M:$M, 'Activity map'!$A:$A, A152, 'Activity map'!$H:$H, "=TRUE"))</f>
        <v>n/a</v>
      </c>
      <c r="J152" s="8" t="str">
        <f t="shared" si="3"/>
        <v/>
      </c>
      <c r="K152" s="26">
        <f>IF(MINIFS('Activity map'!$L:$L, 'Activity map'!$A:$A, A152, 'Activity map'!$H:$H, "=TRUE") = 0, "n/a", MINIFS('Activity map'!$L:$L, 'Activity map'!$A:$A, A152, 'Activity map'!$H:$H, "=TRUE"))</f>
        <v>8750</v>
      </c>
      <c r="L152" s="8">
        <f t="shared" si="4"/>
        <v>0.7291666667</v>
      </c>
      <c r="M152" s="26">
        <f>MINIFS('Activity map'!$C:$C, 'Activity map'!$A:$A, $A152, 'Activity map'!$H:$H, "=TRUE", 'Activity map'!$K:$K, MINIFS('Activity map'!$K:$K, 'Activity map'!$A:$A, $A152, 'Activity map'!$H:$H, "=TRUE"))</f>
        <v>29978</v>
      </c>
      <c r="N152" s="26">
        <f>MINIFS('Activity map'!$C:$C, 'Activity map'!$A:$A, $A152, 'Activity map'!$H:$H, "=TRUE", 'Activity map'!$E:$E, $T152)</f>
        <v>29974</v>
      </c>
      <c r="O152" s="35">
        <f t="shared" si="5"/>
        <v>0.03038194444</v>
      </c>
      <c r="P152" s="30" t="str">
        <f>IF($M152=0, "-", VLOOKUP($M152, 'List of log slots'!$A:$C, 2, FALSE))</f>
        <v>Alchemist labcoat</v>
      </c>
      <c r="Q152" s="31">
        <f>IFERROR(__xludf.DUMMYFUNCTION("IF(ISERROR(FILTER('Activity map'!$C:$C, ('Activity map'!$A:$A=$A152)*('Activity map'!$F:$F=FALSE))), 0, COUNTA(UNIQUE(FILTER('Activity map'!$C:$C, ('Activity map'!$A:$A=$A152)*('Activity map'!$F:$F=FALSE)))))"),7.0)</f>
        <v>7</v>
      </c>
      <c r="R152" s="31">
        <f>IFERROR(__xludf.DUMMYFUNCTION("IF(ISERROR(FILTER('Activity map'!$C:$C, 'Activity map'!$A:$A=$A152)), 0, COUNTA(UNIQUE(FILTER('Activity map'!$C:$C, 'Activity map'!$A:$A=$A152))))"),7.0)</f>
        <v>7</v>
      </c>
      <c r="S152" s="36">
        <f t="shared" si="6"/>
        <v>0</v>
      </c>
      <c r="T152" s="31">
        <f>IFERROR(__xludf.DUMMYFUNCTION("IF(ISERROR(FILTER('Activity map'!$E:$E, ('Activity map'!$A:$A=$A152)*('Activity map'!$F:$F=FALSE))), ""-"", MIN(UNIQUE(FILTER('Activity map'!$E:$E, ('Activity map'!$A:$A=$A152)*('Activity map'!$F:$F=FALSE)))))"),4.0)</f>
        <v>4</v>
      </c>
      <c r="U152" s="30" t="str">
        <f>IF($N152=0, "-", VLOOKUP($N152, 'List of log slots'!$A:$C, 2, FALSE))</f>
        <v>Prescription goggles</v>
      </c>
    </row>
    <row r="153">
      <c r="A153" s="26">
        <v>104.0</v>
      </c>
      <c r="B153" s="23" t="str">
        <f>VLOOKUP($A153, 'Completion rates'!$A:$E, 2, FALSE)</f>
        <v>Killing chaos golems in camdozaal</v>
      </c>
      <c r="C153" s="26">
        <f>IF(Notes!$E$27, VLOOKUP($A153, 'Completion rates'!$A:$E, 4, FALSE), VLOOKUP($A153, 'Completion rates'!$A:$E, 3, FALSE))</f>
        <v>200</v>
      </c>
      <c r="D153" s="26">
        <f>VLOOKUP($A153, 'Completion rates'!$A:$E, 5, FALSE)</f>
        <v>0</v>
      </c>
      <c r="E153" s="28">
        <f>IF(SUMIFS('Activity map'!$O:$O, 'Activity map'!$A:$A, A153, 'Activity map'!$H:$H, "=TRUE") = 0, "n/a", 1/SUMIFS('Activity map'!$O:$O, 'Activity map'!$A:$A, A153, 'Activity map'!$H:$H, "=TRUE"))</f>
        <v>150</v>
      </c>
      <c r="F153" s="8">
        <f t="shared" si="1"/>
        <v>0.75</v>
      </c>
      <c r="G153" s="26" t="str">
        <f>IF(MINIFS('Activity map'!$N:$N, 'Activity map'!$A:$A, A153, 'Activity map'!$H:$H, "=TRUE") = 0, "n/a", MINIFS('Activity map'!$N:$N, 'Activity map'!$A:$A, A153, 'Activity map'!$H:$H, "=TRUE"))</f>
        <v>n/a</v>
      </c>
      <c r="H153" s="8" t="str">
        <f t="shared" si="2"/>
        <v/>
      </c>
      <c r="I153" s="26" t="str">
        <f>IF(MINIFS('Activity map'!$M:$M, 'Activity map'!$A:$A, A153, 'Activity map'!$H:$H, "=TRUE") = 0, "n/a", MINIFS('Activity map'!$M:$M, 'Activity map'!$A:$A, A153, 'Activity map'!$H:$H, "=TRUE"))</f>
        <v>n/a</v>
      </c>
      <c r="J153" s="8" t="str">
        <f t="shared" si="3"/>
        <v/>
      </c>
      <c r="K153" s="26" t="str">
        <f>IF(MINIFS('Activity map'!$L:$L, 'Activity map'!$A:$A, A153, 'Activity map'!$H:$H, "=TRUE") = 0, "n/a", MINIFS('Activity map'!$L:$L, 'Activity map'!$A:$A, A153, 'Activity map'!$H:$H, "=TRUE"))</f>
        <v>n/a</v>
      </c>
      <c r="L153" s="8" t="str">
        <f t="shared" si="4"/>
        <v/>
      </c>
      <c r="M153" s="26">
        <f>MINIFS('Activity map'!$C:$C, 'Activity map'!$A:$A, $A153, 'Activity map'!$H:$H, "=TRUE", 'Activity map'!$K:$K, MINIFS('Activity map'!$K:$K, 'Activity map'!$A:$A, $A153, 'Activity map'!$H:$H, "=TRUE"))</f>
        <v>25639</v>
      </c>
      <c r="N153" s="26">
        <f>MINIFS('Activity map'!$C:$C, 'Activity map'!$A:$A, $A153, 'Activity map'!$H:$H, "=TRUE", 'Activity map'!$E:$E, $T153)</f>
        <v>25639</v>
      </c>
      <c r="O153" s="35">
        <f t="shared" si="5"/>
        <v>0.03125</v>
      </c>
      <c r="P153" s="30" t="str">
        <f>IF($M153=0, "-", VLOOKUP($M153, 'List of log slots'!$A:$C, 2, FALSE))</f>
        <v>Barronite guard</v>
      </c>
      <c r="Q153" s="31">
        <f>IFERROR(__xludf.DUMMYFUNCTION("IF(ISERROR(FILTER('Activity map'!$C:$C, ('Activity map'!$A:$A=$A153)*('Activity map'!$F:$F=FALSE))), 0, COUNTA(UNIQUE(FILTER('Activity map'!$C:$C, ('Activity map'!$A:$A=$A153)*('Activity map'!$F:$F=FALSE)))))"),1.0)</f>
        <v>1</v>
      </c>
      <c r="R153" s="31">
        <f>IFERROR(__xludf.DUMMYFUNCTION("IF(ISERROR(FILTER('Activity map'!$C:$C, 'Activity map'!$A:$A=$A153)), 0, COUNTA(UNIQUE(FILTER('Activity map'!$C:$C, 'Activity map'!$A:$A=$A153))))"),1.0)</f>
        <v>1</v>
      </c>
      <c r="S153" s="36">
        <f t="shared" si="6"/>
        <v>0</v>
      </c>
      <c r="T153" s="31">
        <f>IFERROR(__xludf.DUMMYFUNCTION("IF(ISERROR(FILTER('Activity map'!$E:$E, ('Activity map'!$A:$A=$A153)*('Activity map'!$F:$F=FALSE))), ""-"", MIN(UNIQUE(FILTER('Activity map'!$E:$E, ('Activity map'!$A:$A=$A153)*('Activity map'!$F:$F=FALSE)))))"),2.0)</f>
        <v>2</v>
      </c>
      <c r="U153" s="30" t="str">
        <f>IF($N153=0, "-", VLOOKUP($N153, 'List of log slots'!$A:$C, 2, FALSE))</f>
        <v>Barronite guard</v>
      </c>
    </row>
    <row r="154">
      <c r="A154" s="26">
        <v>175.0</v>
      </c>
      <c r="B154" s="23" t="str">
        <f>VLOOKUP($A154, 'Completion rates'!$A:$E, 2, FALSE)</f>
        <v>Killing brine rats</v>
      </c>
      <c r="C154" s="26">
        <f>IF(Notes!$E$27, VLOOKUP($A154, 'Completion rates'!$A:$E, 4, FALSE), VLOOKUP($A154, 'Completion rates'!$A:$E, 3, FALSE))</f>
        <v>675</v>
      </c>
      <c r="D154" s="26">
        <f>VLOOKUP($A154, 'Completion rates'!$A:$E, 5, FALSE)</f>
        <v>0</v>
      </c>
      <c r="E154" s="28">
        <f>IF(SUMIFS('Activity map'!$O:$O, 'Activity map'!$A:$A, A154, 'Activity map'!$H:$H, "=TRUE") = 0, "n/a", 1/SUMIFS('Activity map'!$O:$O, 'Activity map'!$A:$A, A154, 'Activity map'!$H:$H, "=TRUE"))</f>
        <v>512</v>
      </c>
      <c r="F154" s="8">
        <f t="shared" si="1"/>
        <v>0.7585185185</v>
      </c>
      <c r="G154" s="26" t="str">
        <f>IF(MINIFS('Activity map'!$N:$N, 'Activity map'!$A:$A, A154, 'Activity map'!$H:$H, "=TRUE") = 0, "n/a", MINIFS('Activity map'!$N:$N, 'Activity map'!$A:$A, A154, 'Activity map'!$H:$H, "=TRUE"))</f>
        <v>n/a</v>
      </c>
      <c r="H154" s="8" t="str">
        <f t="shared" si="2"/>
        <v/>
      </c>
      <c r="I154" s="26" t="str">
        <f>IF(MINIFS('Activity map'!$M:$M, 'Activity map'!$A:$A, A154, 'Activity map'!$H:$H, "=TRUE") = 0, "n/a", MINIFS('Activity map'!$M:$M, 'Activity map'!$A:$A, A154, 'Activity map'!$H:$H, "=TRUE"))</f>
        <v>n/a</v>
      </c>
      <c r="J154" s="8" t="str">
        <f t="shared" si="3"/>
        <v/>
      </c>
      <c r="K154" s="26" t="str">
        <f>IF(MINIFS('Activity map'!$L:$L, 'Activity map'!$A:$A, A154, 'Activity map'!$H:$H, "=TRUE") = 0, "n/a", MINIFS('Activity map'!$L:$L, 'Activity map'!$A:$A, A154, 'Activity map'!$H:$H, "=TRUE"))</f>
        <v>n/a</v>
      </c>
      <c r="L154" s="8" t="str">
        <f t="shared" si="4"/>
        <v/>
      </c>
      <c r="M154" s="26">
        <f>MINIFS('Activity map'!$C:$C, 'Activity map'!$A:$A, $A154, 'Activity map'!$H:$H, "=TRUE", 'Activity map'!$K:$K, MINIFS('Activity map'!$K:$K, 'Activity map'!$A:$A, $A154, 'Activity map'!$H:$H, "=TRUE"))</f>
        <v>11037</v>
      </c>
      <c r="N154" s="26">
        <f>MINIFS('Activity map'!$C:$C, 'Activity map'!$A:$A, $A154, 'Activity map'!$H:$H, "=TRUE", 'Activity map'!$E:$E, $T154)</f>
        <v>11037</v>
      </c>
      <c r="O154" s="35">
        <f t="shared" si="5"/>
        <v>0.03160493827</v>
      </c>
      <c r="P154" s="30" t="str">
        <f>IF($M154=0, "-", VLOOKUP($M154, 'List of log slots'!$A:$C, 2, FALSE))</f>
        <v>Brine sabre</v>
      </c>
      <c r="Q154" s="31">
        <f>IFERROR(__xludf.DUMMYFUNCTION("IF(ISERROR(FILTER('Activity map'!$C:$C, ('Activity map'!$A:$A=$A154)*('Activity map'!$F:$F=FALSE))), 0, COUNTA(UNIQUE(FILTER('Activity map'!$C:$C, ('Activity map'!$A:$A=$A154)*('Activity map'!$F:$F=FALSE)))))"),1.0)</f>
        <v>1</v>
      </c>
      <c r="R154" s="31">
        <f>IFERROR(__xludf.DUMMYFUNCTION("IF(ISERROR(FILTER('Activity map'!$C:$C, 'Activity map'!$A:$A=$A154)), 0, COUNTA(UNIQUE(FILTER('Activity map'!$C:$C, 'Activity map'!$A:$A=$A154))))"),1.0)</f>
        <v>1</v>
      </c>
      <c r="S154" s="36">
        <f t="shared" si="6"/>
        <v>0</v>
      </c>
      <c r="T154" s="31">
        <f>IFERROR(__xludf.DUMMYFUNCTION("IF(ISERROR(FILTER('Activity map'!$E:$E, ('Activity map'!$A:$A=$A154)*('Activity map'!$F:$F=FALSE))), ""-"", MIN(UNIQUE(FILTER('Activity map'!$E:$E, ('Activity map'!$A:$A=$A154)*('Activity map'!$F:$F=FALSE)))))"),3.0)</f>
        <v>3</v>
      </c>
      <c r="U154" s="30" t="str">
        <f>IF($N154=0, "-", VLOOKUP($N154, 'List of log slots'!$A:$C, 2, FALSE))</f>
        <v>Brine sabre</v>
      </c>
    </row>
    <row r="155">
      <c r="A155" s="26">
        <v>29.0</v>
      </c>
      <c r="B155" s="23" t="str">
        <f>VLOOKUP($A155, 'Completion rates'!$A:$E, 2, FALSE)</f>
        <v>Killing king black dragon</v>
      </c>
      <c r="C155" s="26">
        <f>IF(Notes!$E$27, VLOOKUP($A155, 'Completion rates'!$A:$E, 4, FALSE), VLOOKUP($A155, 'Completion rates'!$A:$E, 3, FALSE))</f>
        <v>130</v>
      </c>
      <c r="D155" s="26">
        <f>VLOOKUP($A155, 'Completion rates'!$A:$E, 5, FALSE)</f>
        <v>0</v>
      </c>
      <c r="E155" s="28">
        <f>IF(SUMIFS('Activity map'!$O:$O, 'Activity map'!$A:$A, A155, 'Activity map'!$H:$H, "=TRUE") = 0, "n/a", 1/SUMIFS('Activity map'!$O:$O, 'Activity map'!$A:$A, A155, 'Activity map'!$H:$H, "=TRUE"))</f>
        <v>102.4883047</v>
      </c>
      <c r="F155" s="26">
        <f t="shared" si="1"/>
        <v>0.7883715749</v>
      </c>
      <c r="G155" s="26" t="str">
        <f>IF(MINIFS('Activity map'!$N:$N, 'Activity map'!$A:$A, A155, 'Activity map'!$H:$H, "=TRUE") = 0, "n/a", MINIFS('Activity map'!$N:$N, 'Activity map'!$A:$A, A155, 'Activity map'!$H:$H, "=TRUE"))</f>
        <v>n/a</v>
      </c>
      <c r="H155" s="8" t="str">
        <f t="shared" si="2"/>
        <v/>
      </c>
      <c r="I155" s="26" t="str">
        <f>IF(MINIFS('Activity map'!$M:$M, 'Activity map'!$A:$A, A155, 'Activity map'!$H:$H, "=TRUE") = 0, "n/a", MINIFS('Activity map'!$M:$M, 'Activity map'!$A:$A, A155, 'Activity map'!$H:$H, "=TRUE"))</f>
        <v>n/a</v>
      </c>
      <c r="J155" s="8" t="str">
        <f t="shared" si="3"/>
        <v/>
      </c>
      <c r="K155" s="26" t="str">
        <f>IF(MINIFS('Activity map'!$L:$L, 'Activity map'!$A:$A, A155, 'Activity map'!$H:$H, "=TRUE") = 0, "n/a", MINIFS('Activity map'!$L:$L, 'Activity map'!$A:$A, A155, 'Activity map'!$H:$H, "=TRUE"))</f>
        <v>n/a</v>
      </c>
      <c r="L155" s="8" t="str">
        <f t="shared" si="4"/>
        <v/>
      </c>
      <c r="M155" s="26">
        <f>MINIFS('Activity map'!$C:$C, 'Activity map'!$A:$A, $A155, 'Activity map'!$H:$H, "=TRUE", 'Activity map'!$K:$K, MINIFS('Activity map'!$K:$K, 'Activity map'!$A:$A, $A155, 'Activity map'!$H:$H, "=TRUE"))</f>
        <v>7980</v>
      </c>
      <c r="N155" s="26">
        <f>MINIFS('Activity map'!$C:$C, 'Activity map'!$A:$A, $A155, 'Activity map'!$H:$H, "=TRUE", 'Activity map'!$E:$E, $T155)</f>
        <v>11920</v>
      </c>
      <c r="O155" s="114">
        <f t="shared" si="5"/>
        <v>0.03284881562</v>
      </c>
      <c r="P155" s="30" t="str">
        <f>IF($M155=0, "-", VLOOKUP($M155, 'List of log slots'!$A:$C, 2, FALSE))</f>
        <v>Kbd heads</v>
      </c>
      <c r="Q155" s="31">
        <f>IFERROR(__xludf.DUMMYFUNCTION("IF(ISERROR(FILTER('Activity map'!$C:$C, ('Activity map'!$A:$A=$A155)*('Activity map'!$F:$F=FALSE))), 0, COUNTA(UNIQUE(FILTER('Activity map'!$C:$C, ('Activity map'!$A:$A=$A155)*('Activity map'!$F:$F=FALSE)))))"),6.0)</f>
        <v>6</v>
      </c>
      <c r="R155" s="31">
        <f>IFERROR(__xludf.DUMMYFUNCTION("IF(ISERROR(FILTER('Activity map'!$C:$C, 'Activity map'!$A:$A=$A155)), 0, COUNTA(UNIQUE(FILTER('Activity map'!$C:$C, 'Activity map'!$A:$A=$A155))))"),6.0)</f>
        <v>6</v>
      </c>
      <c r="S155" s="46">
        <f t="shared" si="6"/>
        <v>0</v>
      </c>
      <c r="T155" s="31">
        <f>IFERROR(__xludf.DUMMYFUNCTION("IF(ISERROR(FILTER('Activity map'!$E:$E, ('Activity map'!$A:$A=$A155)*('Activity map'!$F:$F=FALSE))), ""-"", MIN(UNIQUE(FILTER('Activity map'!$E:$E, ('Activity map'!$A:$A=$A155)*('Activity map'!$F:$F=FALSE)))))"),4.0)</f>
        <v>4</v>
      </c>
      <c r="U155" s="30" t="str">
        <f>IF($N155=0, "-", VLOOKUP($N155, 'List of log slots'!$A:$C, 2, FALSE))</f>
        <v>Dragon pickaxe</v>
      </c>
    </row>
    <row r="156">
      <c r="A156" s="26">
        <v>28.0</v>
      </c>
      <c r="B156" s="23" t="str">
        <f>VLOOKUP($A156, 'Completion rates'!$A:$E, 2, FALSE)</f>
        <v>Killing kalphite queen</v>
      </c>
      <c r="C156" s="26">
        <f>IF(Notes!$E$27, VLOOKUP($A156, 'Completion rates'!$A:$E, 4, FALSE), VLOOKUP($A156, 'Completion rates'!$A:$E, 3, FALSE))</f>
        <v>55</v>
      </c>
      <c r="D156" s="26">
        <f>VLOOKUP($A156, 'Completion rates'!$A:$E, 5, FALSE)</f>
        <v>0</v>
      </c>
      <c r="E156" s="28">
        <f>IF(SUMIFS('Activity map'!$O:$O, 'Activity map'!$A:$A, A156, 'Activity map'!$H:$H, "=TRUE") = 0, "n/a", 1/SUMIFS('Activity map'!$O:$O, 'Activity map'!$A:$A, A156, 'Activity map'!$H:$H, "=TRUE"))</f>
        <v>43.63920814</v>
      </c>
      <c r="F156" s="26">
        <f t="shared" si="1"/>
        <v>0.7934401479</v>
      </c>
      <c r="G156" s="26" t="str">
        <f>IF(MINIFS('Activity map'!$N:$N, 'Activity map'!$A:$A, A156, 'Activity map'!$H:$H, "=TRUE") = 0, "n/a", MINIFS('Activity map'!$N:$N, 'Activity map'!$A:$A, A156, 'Activity map'!$H:$H, "=TRUE"))</f>
        <v>n/a</v>
      </c>
      <c r="H156" s="8" t="str">
        <f t="shared" si="2"/>
        <v/>
      </c>
      <c r="I156" s="26" t="str">
        <f>IF(MINIFS('Activity map'!$M:$M, 'Activity map'!$A:$A, A156, 'Activity map'!$H:$H, "=TRUE") = 0, "n/a", MINIFS('Activity map'!$M:$M, 'Activity map'!$A:$A, A156, 'Activity map'!$H:$H, "=TRUE"))</f>
        <v>n/a</v>
      </c>
      <c r="J156" s="8" t="str">
        <f t="shared" si="3"/>
        <v/>
      </c>
      <c r="K156" s="26" t="str">
        <f>IF(MINIFS('Activity map'!$L:$L, 'Activity map'!$A:$A, A156, 'Activity map'!$H:$H, "=TRUE") = 0, "n/a", MINIFS('Activity map'!$L:$L, 'Activity map'!$A:$A, A156, 'Activity map'!$H:$H, "=TRUE"))</f>
        <v>n/a</v>
      </c>
      <c r="L156" s="8" t="str">
        <f t="shared" si="4"/>
        <v/>
      </c>
      <c r="M156" s="26">
        <f>MINIFS('Activity map'!$C:$C, 'Activity map'!$A:$A, $A156, 'Activity map'!$H:$H, "=TRUE", 'Activity map'!$K:$K, MINIFS('Activity map'!$K:$K, 'Activity map'!$A:$A, $A156, 'Activity map'!$H:$H, "=TRUE"))</f>
        <v>3140</v>
      </c>
      <c r="N156" s="26">
        <f>MINIFS('Activity map'!$C:$C, 'Activity map'!$A:$A, $A156, 'Activity map'!$H:$H, "=TRUE", 'Activity map'!$E:$E, $T156)</f>
        <v>7158</v>
      </c>
      <c r="O156" s="128">
        <f t="shared" si="5"/>
        <v>0.03306000616</v>
      </c>
      <c r="P156" s="30" t="str">
        <f>IF($M156=0, "-", VLOOKUP($M156, 'List of log slots'!$A:$C, 2, FALSE))</f>
        <v>Dragon chainbody</v>
      </c>
      <c r="Q156" s="31">
        <f>IFERROR(__xludf.DUMMYFUNCTION("IF(ISERROR(FILTER('Activity map'!$C:$C, ('Activity map'!$A:$A=$A156)*('Activity map'!$F:$F=FALSE))), 0, COUNTA(UNIQUE(FILTER('Activity map'!$C:$C, ('Activity map'!$A:$A=$A156)*('Activity map'!$F:$F=FALSE)))))"),8.0)</f>
        <v>8</v>
      </c>
      <c r="R156" s="31">
        <f>IFERROR(__xludf.DUMMYFUNCTION("IF(ISERROR(FILTER('Activity map'!$C:$C, 'Activity map'!$A:$A=$A156)), 0, COUNTA(UNIQUE(FILTER('Activity map'!$C:$C, 'Activity map'!$A:$A=$A156))))"),8.0)</f>
        <v>8</v>
      </c>
      <c r="S156" s="134">
        <f t="shared" si="6"/>
        <v>0</v>
      </c>
      <c r="T156" s="31">
        <f>IFERROR(__xludf.DUMMYFUNCTION("IF(ISERROR(FILTER('Activity map'!$E:$E, ('Activity map'!$A:$A=$A156)*('Activity map'!$F:$F=FALSE))), ""-"", MIN(UNIQUE(FILTER('Activity map'!$E:$E, ('Activity map'!$A:$A=$A156)*('Activity map'!$F:$F=FALSE)))))"),4.0)</f>
        <v>4</v>
      </c>
      <c r="U156" s="30" t="str">
        <f>IF($N156=0, "-", VLOOKUP($N156, 'List of log slots'!$A:$C, 2, FALSE))</f>
        <v>Dragon 2h sword</v>
      </c>
    </row>
    <row r="157">
      <c r="A157" s="26">
        <v>129.0</v>
      </c>
      <c r="B157" s="23" t="str">
        <f>VLOOKUP($A157, 'Completion rates'!$A:$E, 2, FALSE)</f>
        <v>Opening hunters' loot sacks (hunters' rumours)</v>
      </c>
      <c r="C157" s="26">
        <f>IF(Notes!$E$27, VLOOKUP($A157, 'Completion rates'!$A:$E, 4, FALSE), VLOOKUP($A157, 'Completion rates'!$A:$E, 3, FALSE))</f>
        <v>30</v>
      </c>
      <c r="D157" s="26">
        <f>VLOOKUP($A157, 'Completion rates'!$A:$E, 5, FALSE)</f>
        <v>0</v>
      </c>
      <c r="E157" s="28">
        <f>IF(SUMIFS('Activity map'!$O:$O, 'Activity map'!$A:$A, A157, 'Activity map'!$H:$H, "=TRUE") = 0, "n/a", 1/SUMIFS('Activity map'!$O:$O, 'Activity map'!$A:$A, A157, 'Activity map'!$H:$H, "=TRUE"))</f>
        <v>24.3902439</v>
      </c>
      <c r="F157" s="26">
        <f t="shared" si="1"/>
        <v>0.8130081301</v>
      </c>
      <c r="G157" s="26" t="str">
        <f>IF(MINIFS('Activity map'!$N:$N, 'Activity map'!$A:$A, A157, 'Activity map'!$H:$H, "=TRUE") = 0, "n/a", MINIFS('Activity map'!$N:$N, 'Activity map'!$A:$A, A157, 'Activity map'!$H:$H, "=TRUE"))</f>
        <v>n/a</v>
      </c>
      <c r="H157" s="8" t="str">
        <f t="shared" si="2"/>
        <v/>
      </c>
      <c r="I157" s="26" t="str">
        <f>IF(MINIFS('Activity map'!$M:$M, 'Activity map'!$A:$A, A157, 'Activity map'!$H:$H, "=TRUE") = 0, "n/a", MINIFS('Activity map'!$M:$M, 'Activity map'!$A:$A, A157, 'Activity map'!$H:$H, "=TRUE"))</f>
        <v>n/a</v>
      </c>
      <c r="J157" s="8" t="str">
        <f t="shared" si="3"/>
        <v/>
      </c>
      <c r="K157" s="26" t="str">
        <f>IF(MINIFS('Activity map'!$L:$L, 'Activity map'!$A:$A, A157, 'Activity map'!$H:$H, "=TRUE") = 0, "n/a", MINIFS('Activity map'!$L:$L, 'Activity map'!$A:$A, A157, 'Activity map'!$H:$H, "=TRUE"))</f>
        <v>n/a</v>
      </c>
      <c r="L157" s="8" t="str">
        <f t="shared" si="4"/>
        <v/>
      </c>
      <c r="M157" s="26">
        <f>MINIFS('Activity map'!$C:$C, 'Activity map'!$A:$A, $A157, 'Activity map'!$H:$H, "=TRUE", 'Activity map'!$K:$K, MINIFS('Activity map'!$K:$K, 'Activity map'!$A:$A, $A157, 'Activity map'!$H:$H, "=TRUE"))</f>
        <v>29263</v>
      </c>
      <c r="N157" s="26">
        <f>MINIFS('Activity map'!$C:$C, 'Activity map'!$A:$A, $A157, 'Activity map'!$H:$H, "=TRUE", 'Activity map'!$E:$E, $T157)</f>
        <v>29263</v>
      </c>
      <c r="O157" s="142">
        <f t="shared" si="5"/>
        <v>0.03387533875</v>
      </c>
      <c r="P157" s="30" t="str">
        <f>IF($M157=0, "-", VLOOKUP($M157, 'List of log slots'!$A:$C, 2, FALSE))</f>
        <v>Guild hunter headwear</v>
      </c>
      <c r="Q157" s="31">
        <f>IFERROR(__xludf.DUMMYFUNCTION("IF(ISERROR(FILTER('Activity map'!$C:$C, ('Activity map'!$A:$A=$A157)*('Activity map'!$F:$F=FALSE))), 0, COUNTA(UNIQUE(FILTER('Activity map'!$C:$C, ('Activity map'!$A:$A=$A157)*('Activity map'!$F:$F=FALSE)))))"),6.0)</f>
        <v>6</v>
      </c>
      <c r="R157" s="31">
        <f>IFERROR(__xludf.DUMMYFUNCTION("IF(ISERROR(FILTER('Activity map'!$C:$C, 'Activity map'!$A:$A=$A157)), 0, COUNTA(UNIQUE(FILTER('Activity map'!$C:$C, 'Activity map'!$A:$A=$A157))))"),6.0)</f>
        <v>6</v>
      </c>
      <c r="S157" s="89">
        <f t="shared" si="6"/>
        <v>0</v>
      </c>
      <c r="T157" s="31">
        <f>IFERROR(__xludf.DUMMYFUNCTION("IF(ISERROR(FILTER('Activity map'!$E:$E, ('Activity map'!$A:$A=$A157)*('Activity map'!$F:$F=FALSE))), ""-"", MIN(UNIQUE(FILTER('Activity map'!$E:$E, ('Activity map'!$A:$A=$A157)*('Activity map'!$F:$F=FALSE)))))"),3.0)</f>
        <v>3</v>
      </c>
      <c r="U157" s="30" t="str">
        <f>IF($N157=0, "-", VLOOKUP($N157, 'List of log slots'!$A:$C, 2, FALSE))</f>
        <v>Guild hunter headwear</v>
      </c>
    </row>
    <row r="158">
      <c r="A158" s="26">
        <v>176.0</v>
      </c>
      <c r="B158" s="23" t="str">
        <f>VLOOKUP($A158, 'Completion rates'!$A:$E, 2, FALSE)</f>
        <v>Killing turoth</v>
      </c>
      <c r="C158" s="26">
        <f>IF(Notes!$E$27, VLOOKUP($A158, 'Completion rates'!$A:$E, 4, FALSE), VLOOKUP($A158, 'Completion rates'!$A:$E, 3, FALSE))</f>
        <v>300</v>
      </c>
      <c r="D158" s="26">
        <f>VLOOKUP($A158, 'Completion rates'!$A:$E, 5, FALSE)</f>
        <v>0</v>
      </c>
      <c r="E158" s="28">
        <f>IF(SUMIFS('Activity map'!$O:$O, 'Activity map'!$A:$A, A158, 'Activity map'!$H:$H, "=TRUE") = 0, "n/a", 1/SUMIFS('Activity map'!$O:$O, 'Activity map'!$A:$A, A158, 'Activity map'!$H:$H, "=TRUE"))</f>
        <v>251.9009535</v>
      </c>
      <c r="F158" s="8">
        <f t="shared" si="1"/>
        <v>0.8396698449</v>
      </c>
      <c r="G158" s="26" t="str">
        <f>IF(MINIFS('Activity map'!$N:$N, 'Activity map'!$A:$A, A158, 'Activity map'!$H:$H, "=TRUE") = 0, "n/a", MINIFS('Activity map'!$N:$N, 'Activity map'!$A:$A, A158, 'Activity map'!$H:$H, "=TRUE"))</f>
        <v>n/a</v>
      </c>
      <c r="H158" s="8" t="str">
        <f t="shared" si="2"/>
        <v/>
      </c>
      <c r="I158" s="26" t="str">
        <f>IF(MINIFS('Activity map'!$M:$M, 'Activity map'!$A:$A, A158, 'Activity map'!$H:$H, "=TRUE") = 0, "n/a", MINIFS('Activity map'!$M:$M, 'Activity map'!$A:$A, A158, 'Activity map'!$H:$H, "=TRUE"))</f>
        <v>n/a</v>
      </c>
      <c r="J158" s="8" t="str">
        <f t="shared" si="3"/>
        <v/>
      </c>
      <c r="K158" s="26" t="str">
        <f>IF(MINIFS('Activity map'!$L:$L, 'Activity map'!$A:$A, A158, 'Activity map'!$H:$H, "=TRUE") = 0, "n/a", MINIFS('Activity map'!$L:$L, 'Activity map'!$A:$A, A158, 'Activity map'!$H:$H, "=TRUE"))</f>
        <v>n/a</v>
      </c>
      <c r="L158" s="8" t="str">
        <f t="shared" si="4"/>
        <v/>
      </c>
      <c r="M158" s="26">
        <f>MINIFS('Activity map'!$C:$C, 'Activity map'!$A:$A, $A158, 'Activity map'!$H:$H, "=TRUE", 'Activity map'!$K:$K, MINIFS('Activity map'!$K:$K, 'Activity map'!$A:$A, $A158, 'Activity map'!$H:$H, "=TRUE"))</f>
        <v>11902</v>
      </c>
      <c r="N158" s="26">
        <f>MINIFS('Activity map'!$C:$C, 'Activity map'!$A:$A, $A158, 'Activity map'!$H:$H, "=TRUE", 'Activity map'!$E:$E, $T158)</f>
        <v>4113</v>
      </c>
      <c r="O158" s="35">
        <f t="shared" si="5"/>
        <v>0.03498624354</v>
      </c>
      <c r="P158" s="30" t="str">
        <f>IF($M158=0, "-", VLOOKUP($M158, 'List of log slots'!$A:$C, 2, FALSE))</f>
        <v>Leaf-bladed sword</v>
      </c>
      <c r="Q158" s="31">
        <f>IFERROR(__xludf.DUMMYFUNCTION("IF(ISERROR(FILTER('Activity map'!$C:$C, ('Activity map'!$A:$A=$A158)*('Activity map'!$F:$F=FALSE))), 0, COUNTA(UNIQUE(FILTER('Activity map'!$C:$C, ('Activity map'!$A:$A=$A158)*('Activity map'!$F:$F=FALSE)))))"),4.0)</f>
        <v>4</v>
      </c>
      <c r="R158" s="31">
        <f>IFERROR(__xludf.DUMMYFUNCTION("IF(ISERROR(FILTER('Activity map'!$C:$C, 'Activity map'!$A:$A=$A158)), 0, COUNTA(UNIQUE(FILTER('Activity map'!$C:$C, 'Activity map'!$A:$A=$A158))))"),4.0)</f>
        <v>4</v>
      </c>
      <c r="S158" s="36">
        <f t="shared" si="6"/>
        <v>0</v>
      </c>
      <c r="T158" s="31">
        <f>IFERROR(__xludf.DUMMYFUNCTION("IF(ISERROR(FILTER('Activity map'!$E:$E, ('Activity map'!$A:$A=$A158)*('Activity map'!$F:$F=FALSE))), ""-"", MIN(UNIQUE(FILTER('Activity map'!$E:$E, ('Activity map'!$A:$A=$A158)*('Activity map'!$F:$F=FALSE)))))"),4.0)</f>
        <v>4</v>
      </c>
      <c r="U158" s="30" t="str">
        <f>IF($N158=0, "-", VLOOKUP($N158, 'List of log slots'!$A:$C, 2, FALSE))</f>
        <v>Mystic robe bottom (light)</v>
      </c>
    </row>
    <row r="159">
      <c r="A159" s="26">
        <v>13.0</v>
      </c>
      <c r="B159" s="23" t="str">
        <f>VLOOKUP($A159, 'Completion rates'!$A:$E, 2, FALSE)</f>
        <v>Killing crazy archaeologist</v>
      </c>
      <c r="C159" s="26">
        <f>IF(Notes!$E$27, VLOOKUP($A159, 'Completion rates'!$A:$E, 4, FALSE), VLOOKUP($A159, 'Completion rates'!$A:$E, 3, FALSE))</f>
        <v>75</v>
      </c>
      <c r="D159" s="26">
        <f>VLOOKUP($A159, 'Completion rates'!$A:$E, 5, FALSE)</f>
        <v>0</v>
      </c>
      <c r="E159" s="28">
        <f>IF(SUMIFS('Activity map'!$O:$O, 'Activity map'!$A:$A, A159, 'Activity map'!$H:$H, "=TRUE") = 0, "n/a", 1/SUMIFS('Activity map'!$O:$O, 'Activity map'!$A:$A, A159, 'Activity map'!$H:$H, "=TRUE"))</f>
        <v>63.12849929</v>
      </c>
      <c r="F159" s="26">
        <f t="shared" si="1"/>
        <v>0.8417133238</v>
      </c>
      <c r="G159" s="26" t="str">
        <f>IF(MINIFS('Activity map'!$N:$N, 'Activity map'!$A:$A, A159, 'Activity map'!$H:$H, "=TRUE") = 0, "n/a", MINIFS('Activity map'!$N:$N, 'Activity map'!$A:$A, A159, 'Activity map'!$H:$H, "=TRUE"))</f>
        <v>n/a</v>
      </c>
      <c r="H159" s="8" t="str">
        <f t="shared" si="2"/>
        <v/>
      </c>
      <c r="I159" s="26" t="str">
        <f>IF(MINIFS('Activity map'!$M:$M, 'Activity map'!$A:$A, A159, 'Activity map'!$H:$H, "=TRUE") = 0, "n/a", MINIFS('Activity map'!$M:$M, 'Activity map'!$A:$A, A159, 'Activity map'!$H:$H, "=TRUE"))</f>
        <v>n/a</v>
      </c>
      <c r="J159" s="8" t="str">
        <f t="shared" si="3"/>
        <v/>
      </c>
      <c r="K159" s="26" t="str">
        <f>IF(MINIFS('Activity map'!$L:$L, 'Activity map'!$A:$A, A159, 'Activity map'!$H:$H, "=TRUE") = 0, "n/a", MINIFS('Activity map'!$L:$L, 'Activity map'!$A:$A, A159, 'Activity map'!$H:$H, "=TRUE"))</f>
        <v>n/a</v>
      </c>
      <c r="L159" s="8" t="str">
        <f t="shared" si="4"/>
        <v/>
      </c>
      <c r="M159" s="26">
        <f>MINIFS('Activity map'!$C:$C, 'Activity map'!$A:$A, $A159, 'Activity map'!$H:$H, "=TRUE", 'Activity map'!$K:$K, MINIFS('Activity map'!$K:$K, 'Activity map'!$A:$A, $A159, 'Activity map'!$H:$H, "=TRUE"))</f>
        <v>11990</v>
      </c>
      <c r="N159" s="26">
        <f>MINIFS('Activity map'!$C:$C, 'Activity map'!$A:$A, $A159, 'Activity map'!$H:$H, "=TRUE", 'Activity map'!$E:$E, $T159)</f>
        <v>11990</v>
      </c>
      <c r="O159" s="143">
        <f t="shared" si="5"/>
        <v>0.03507138849</v>
      </c>
      <c r="P159" s="30" t="str">
        <f>IF($M159=0, "-", VLOOKUP($M159, 'List of log slots'!$A:$C, 2, FALSE))</f>
        <v>Fedora</v>
      </c>
      <c r="Q159" s="31">
        <f>IFERROR(__xludf.DUMMYFUNCTION("IF(ISERROR(FILTER('Activity map'!$C:$C, ('Activity map'!$A:$A=$A159)*('Activity map'!$F:$F=FALSE))), 0, COUNTA(UNIQUE(FILTER('Activity map'!$C:$C, ('Activity map'!$A:$A=$A159)*('Activity map'!$F:$F=FALSE)))))"),5.0)</f>
        <v>5</v>
      </c>
      <c r="R159" s="31">
        <f>IFERROR(__xludf.DUMMYFUNCTION("IF(ISERROR(FILTER('Activity map'!$C:$C, 'Activity map'!$A:$A=$A159)), 0, COUNTA(UNIQUE(FILTER('Activity map'!$C:$C, 'Activity map'!$A:$A=$A159))))"),5.0)</f>
        <v>5</v>
      </c>
      <c r="S159" s="100">
        <f t="shared" si="6"/>
        <v>0</v>
      </c>
      <c r="T159" s="31">
        <f>IFERROR(__xludf.DUMMYFUNCTION("IF(ISERROR(FILTER('Activity map'!$E:$E, ('Activity map'!$A:$A=$A159)*('Activity map'!$F:$F=FALSE))), ""-"", MIN(UNIQUE(FILTER('Activity map'!$E:$E, ('Activity map'!$A:$A=$A159)*('Activity map'!$F:$F=FALSE)))))"),3.0)</f>
        <v>3</v>
      </c>
      <c r="U159" s="30" t="str">
        <f>IF($N159=0, "-", VLOOKUP($N159, 'List of log slots'!$A:$C, 2, FALSE))</f>
        <v>Fedora</v>
      </c>
    </row>
    <row r="160">
      <c r="A160" s="26">
        <v>11.0</v>
      </c>
      <c r="B160" s="23" t="str">
        <f>VLOOKUP($A160, 'Completion rates'!$A:$E, 2, FALSE)</f>
        <v>Killing commander zilyana</v>
      </c>
      <c r="C160" s="26">
        <f>IF(Notes!$E$27, VLOOKUP($A160, 'Completion rates'!$A:$E, 4, FALSE), VLOOKUP($A160, 'Completion rates'!$A:$E, 3, FALSE))</f>
        <v>58</v>
      </c>
      <c r="D160" s="26">
        <f>VLOOKUP($A160, 'Completion rates'!$A:$E, 5, FALSE)</f>
        <v>0</v>
      </c>
      <c r="E160" s="28">
        <f>IF(SUMIFS('Activity map'!$O:$O, 'Activity map'!$A:$A, A160, 'Activity map'!$H:$H, "=TRUE") = 0, "n/a", 1/SUMIFS('Activity map'!$O:$O, 'Activity map'!$A:$A, A160, 'Activity map'!$H:$H, "=TRUE"))</f>
        <v>49.26197418</v>
      </c>
      <c r="F160" s="26">
        <f t="shared" si="1"/>
        <v>0.8493443824</v>
      </c>
      <c r="G160" s="26" t="str">
        <f>IF(MINIFS('Activity map'!$N:$N, 'Activity map'!$A:$A, A160, 'Activity map'!$H:$H, "=TRUE") = 0, "n/a", MINIFS('Activity map'!$N:$N, 'Activity map'!$A:$A, A160, 'Activity map'!$H:$H, "=TRUE"))</f>
        <v>n/a</v>
      </c>
      <c r="H160" s="8" t="str">
        <f t="shared" si="2"/>
        <v/>
      </c>
      <c r="I160" s="26" t="str">
        <f>IF(MINIFS('Activity map'!$M:$M, 'Activity map'!$A:$A, A160, 'Activity map'!$H:$H, "=TRUE") = 0, "n/a", MINIFS('Activity map'!$M:$M, 'Activity map'!$A:$A, A160, 'Activity map'!$H:$H, "=TRUE"))</f>
        <v>n/a</v>
      </c>
      <c r="J160" s="8" t="str">
        <f t="shared" si="3"/>
        <v/>
      </c>
      <c r="K160" s="26" t="str">
        <f>IF(MINIFS('Activity map'!$L:$L, 'Activity map'!$A:$A, A160, 'Activity map'!$H:$H, "=TRUE") = 0, "n/a", MINIFS('Activity map'!$L:$L, 'Activity map'!$A:$A, A160, 'Activity map'!$H:$H, "=TRUE"))</f>
        <v>n/a</v>
      </c>
      <c r="L160" s="8" t="str">
        <f t="shared" si="4"/>
        <v/>
      </c>
      <c r="M160" s="26">
        <f>MINIFS('Activity map'!$C:$C, 'Activity map'!$A:$A, $A160, 'Activity map'!$H:$H, "=TRUE", 'Activity map'!$K:$K, MINIFS('Activity map'!$K:$K, 'Activity map'!$A:$A, $A160, 'Activity map'!$H:$H, "=TRUE"))</f>
        <v>11838</v>
      </c>
      <c r="N160" s="26">
        <f>MINIFS('Activity map'!$C:$C, 'Activity map'!$A:$A, $A160, 'Activity map'!$H:$H, "=TRUE", 'Activity map'!$E:$E, $T160)</f>
        <v>1249</v>
      </c>
      <c r="O160" s="144">
        <f t="shared" si="5"/>
        <v>0.03538934926</v>
      </c>
      <c r="P160" s="30" t="str">
        <f>IF($M160=0, "-", VLOOKUP($M160, 'List of log slots'!$A:$C, 2, FALSE))</f>
        <v>Saradomin sword</v>
      </c>
      <c r="Q160" s="31">
        <f>IFERROR(__xludf.DUMMYFUNCTION("IF(ISERROR(FILTER('Activity map'!$C:$C, ('Activity map'!$A:$A=$A160)*('Activity map'!$F:$F=FALSE))), 0, COUNTA(UNIQUE(FILTER('Activity map'!$C:$C, ('Activity map'!$A:$A=$A160)*('Activity map'!$F:$F=FALSE)))))"),10.0)</f>
        <v>10</v>
      </c>
      <c r="R160" s="31">
        <f>IFERROR(__xludf.DUMMYFUNCTION("IF(ISERROR(FILTER('Activity map'!$C:$C, 'Activity map'!$A:$A=$A160)), 0, COUNTA(UNIQUE(FILTER('Activity map'!$C:$C, 'Activity map'!$A:$A=$A160))))"),10.0)</f>
        <v>10</v>
      </c>
      <c r="S160" s="123">
        <f t="shared" si="6"/>
        <v>0</v>
      </c>
      <c r="T160" s="31">
        <f>IFERROR(__xludf.DUMMYFUNCTION("IF(ISERROR(FILTER('Activity map'!$E:$E, ('Activity map'!$A:$A=$A160)*('Activity map'!$F:$F=FALSE))), ""-"", MIN(UNIQUE(FILTER('Activity map'!$E:$E, ('Activity map'!$A:$A=$A160)*('Activity map'!$F:$F=FALSE)))))"),5.0)</f>
        <v>5</v>
      </c>
      <c r="U160" s="30" t="str">
        <f>IF($N160=0, "-", VLOOKUP($N160, 'List of log slots'!$A:$C, 2, FALSE))</f>
        <v>Dragon spear</v>
      </c>
    </row>
    <row r="161">
      <c r="A161" s="26">
        <v>45.0</v>
      </c>
      <c r="B161" s="23" t="str">
        <f>VLOOKUP($A161, 'Completion rates'!$A:$E, 2, FALSE)</f>
        <v>Killing scorpia</v>
      </c>
      <c r="C161" s="26">
        <f>IF(Notes!$E$27, VLOOKUP($A161, 'Completion rates'!$A:$E, 4, FALSE), VLOOKUP($A161, 'Completion rates'!$A:$E, 3, FALSE))</f>
        <v>130</v>
      </c>
      <c r="D161" s="26">
        <f>VLOOKUP($A161, 'Completion rates'!$A:$E, 5, FALSE)</f>
        <v>0</v>
      </c>
      <c r="E161" s="28">
        <f>IF(SUMIFS('Activity map'!$O:$O, 'Activity map'!$A:$A, A161, 'Activity map'!$H:$H, "=TRUE") = 0, "n/a", 1/SUMIFS('Activity map'!$O:$O, 'Activity map'!$A:$A, A161, 'Activity map'!$H:$H, "=TRUE"))</f>
        <v>117.3125416</v>
      </c>
      <c r="F161" s="26">
        <f t="shared" si="1"/>
        <v>0.9024041661</v>
      </c>
      <c r="G161" s="26" t="str">
        <f>IF(MINIFS('Activity map'!$N:$N, 'Activity map'!$A:$A, A161, 'Activity map'!$H:$H, "=TRUE") = 0, "n/a", MINIFS('Activity map'!$N:$N, 'Activity map'!$A:$A, A161, 'Activity map'!$H:$H, "=TRUE"))</f>
        <v>n/a</v>
      </c>
      <c r="H161" s="8" t="str">
        <f t="shared" si="2"/>
        <v/>
      </c>
      <c r="I161" s="26" t="str">
        <f>IF(MINIFS('Activity map'!$M:$M, 'Activity map'!$A:$A, A161, 'Activity map'!$H:$H, "=TRUE") = 0, "n/a", MINIFS('Activity map'!$M:$M, 'Activity map'!$A:$A, A161, 'Activity map'!$H:$H, "=TRUE"))</f>
        <v>n/a</v>
      </c>
      <c r="J161" s="8" t="str">
        <f t="shared" si="3"/>
        <v/>
      </c>
      <c r="K161" s="26" t="str">
        <f>IF(MINIFS('Activity map'!$L:$L, 'Activity map'!$A:$A, A161, 'Activity map'!$H:$H, "=TRUE") = 0, "n/a", MINIFS('Activity map'!$L:$L, 'Activity map'!$A:$A, A161, 'Activity map'!$H:$H, "=TRUE"))</f>
        <v>n/a</v>
      </c>
      <c r="L161" s="8" t="str">
        <f t="shared" si="4"/>
        <v/>
      </c>
      <c r="M161" s="26">
        <f>MINIFS('Activity map'!$C:$C, 'Activity map'!$A:$A, $A161, 'Activity map'!$H:$H, "=TRUE", 'Activity map'!$K:$K, MINIFS('Activity map'!$K:$K, 'Activity map'!$A:$A, $A161, 'Activity map'!$H:$H, "=TRUE"))</f>
        <v>11930</v>
      </c>
      <c r="N161" s="26">
        <f>MINIFS('Activity map'!$C:$C, 'Activity map'!$A:$A, $A161, 'Activity map'!$H:$H, "=TRUE", 'Activity map'!$E:$E, $T161)</f>
        <v>1249</v>
      </c>
      <c r="O161" s="145">
        <f t="shared" si="5"/>
        <v>0.03760017359</v>
      </c>
      <c r="P161" s="30" t="str">
        <f>IF($M161=0, "-", VLOOKUP($M161, 'List of log slots'!$A:$C, 2, FALSE))</f>
        <v>Odium shard 3</v>
      </c>
      <c r="Q161" s="31">
        <f>IFERROR(__xludf.DUMMYFUNCTION("IF(ISERROR(FILTER('Activity map'!$C:$C, ('Activity map'!$A:$A=$A161)*('Activity map'!$F:$F=FALSE))), 0, COUNTA(UNIQUE(FILTER('Activity map'!$C:$C, ('Activity map'!$A:$A=$A161)*('Activity map'!$F:$F=FALSE)))))"),5.0)</f>
        <v>5</v>
      </c>
      <c r="R161" s="31">
        <f>IFERROR(__xludf.DUMMYFUNCTION("IF(ISERROR(FILTER('Activity map'!$C:$C, 'Activity map'!$A:$A=$A161)), 0, COUNTA(UNIQUE(FILTER('Activity map'!$C:$C, 'Activity map'!$A:$A=$A161))))"),5.0)</f>
        <v>5</v>
      </c>
      <c r="S161" s="58">
        <f t="shared" si="6"/>
        <v>0</v>
      </c>
      <c r="T161" s="31">
        <f>IFERROR(__xludf.DUMMYFUNCTION("IF(ISERROR(FILTER('Activity map'!$E:$E, ('Activity map'!$A:$A=$A161)*('Activity map'!$F:$F=FALSE))), ""-"", MIN(UNIQUE(FILTER('Activity map'!$E:$E, ('Activity map'!$A:$A=$A161)*('Activity map'!$F:$F=FALSE)))))"),5.0)</f>
        <v>5</v>
      </c>
      <c r="U161" s="30" t="str">
        <f>IF($N161=0, "-", VLOOKUP($N161, 'List of log slots'!$A:$C, 2, FALSE))</f>
        <v>Dragon spear</v>
      </c>
    </row>
    <row r="162">
      <c r="A162" s="26">
        <v>217.0</v>
      </c>
      <c r="B162" s="23" t="str">
        <f>VLOOKUP($A162, 'Completion rates'!$A:$E, 2, FALSE)</f>
        <v>Killing lizardman shamans</v>
      </c>
      <c r="C162" s="26">
        <f>IF(Notes!$E$27, VLOOKUP($A162, 'Completion rates'!$A:$E, 4, FALSE), VLOOKUP($A162, 'Completion rates'!$A:$E, 3, FALSE))</f>
        <v>125</v>
      </c>
      <c r="D162" s="26">
        <f>VLOOKUP($A162, 'Completion rates'!$A:$E, 5, FALSE)</f>
        <v>0</v>
      </c>
      <c r="E162" s="28">
        <f>IF(SUMIFS('Activity map'!$O:$O, 'Activity map'!$A:$A, A162, 'Activity map'!$H:$H, "=TRUE") = 0, "n/a", 1/SUMIFS('Activity map'!$O:$O, 'Activity map'!$A:$A, A162, 'Activity map'!$H:$H, "=TRUE"))</f>
        <v>116.403283</v>
      </c>
      <c r="F162" s="26">
        <f t="shared" si="1"/>
        <v>0.9312262643</v>
      </c>
      <c r="G162" s="26" t="str">
        <f>IF(MINIFS('Activity map'!$N:$N, 'Activity map'!$A:$A, A162, 'Activity map'!$H:$H, "=TRUE") = 0, "n/a", MINIFS('Activity map'!$N:$N, 'Activity map'!$A:$A, A162, 'Activity map'!$H:$H, "=TRUE"))</f>
        <v>n/a</v>
      </c>
      <c r="H162" s="8" t="str">
        <f t="shared" si="2"/>
        <v/>
      </c>
      <c r="I162" s="26" t="str">
        <f>IF(MINIFS('Activity map'!$M:$M, 'Activity map'!$A:$A, A162, 'Activity map'!$H:$H, "=TRUE") = 0, "n/a", MINIFS('Activity map'!$M:$M, 'Activity map'!$A:$A, A162, 'Activity map'!$H:$H, "=TRUE"))</f>
        <v>n/a</v>
      </c>
      <c r="J162" s="8" t="str">
        <f t="shared" si="3"/>
        <v/>
      </c>
      <c r="K162" s="26" t="str">
        <f>IF(MINIFS('Activity map'!$L:$L, 'Activity map'!$A:$A, A162, 'Activity map'!$H:$H, "=TRUE") = 0, "n/a", MINIFS('Activity map'!$L:$L, 'Activity map'!$A:$A, A162, 'Activity map'!$H:$H, "=TRUE"))</f>
        <v>n/a</v>
      </c>
      <c r="L162" s="8" t="str">
        <f t="shared" si="4"/>
        <v/>
      </c>
      <c r="M162" s="26">
        <f>MINIFS('Activity map'!$C:$C, 'Activity map'!$A:$A, $A162, 'Activity map'!$H:$H, "=TRUE", 'Activity map'!$K:$K, MINIFS('Activity map'!$K:$K, 'Activity map'!$A:$A, $A162, 'Activity map'!$H:$H, "=TRUE"))</f>
        <v>13392</v>
      </c>
      <c r="N162" s="26">
        <f>MINIFS('Activity map'!$C:$C, 'Activity map'!$A:$A, $A162, 'Activity map'!$H:$H, "=TRUE", 'Activity map'!$E:$E, $T162)</f>
        <v>13392</v>
      </c>
      <c r="O162" s="146">
        <f t="shared" si="5"/>
        <v>0.03880109435</v>
      </c>
      <c r="P162" s="30" t="str">
        <f>IF($M162=0, "-", VLOOKUP($M162, 'List of log slots'!$A:$C, 2, FALSE))</f>
        <v>Xeric's talisman (inert)</v>
      </c>
      <c r="Q162" s="31">
        <f>IFERROR(__xludf.DUMMYFUNCTION("IF(ISERROR(FILTER('Activity map'!$C:$C, ('Activity map'!$A:$A=$A162)*('Activity map'!$F:$F=FALSE))), 0, COUNTA(UNIQUE(FILTER('Activity map'!$C:$C, ('Activity map'!$A:$A=$A162)*('Activity map'!$F:$F=FALSE)))))"),4.0)</f>
        <v>4</v>
      </c>
      <c r="R162" s="31">
        <f>IFERROR(__xludf.DUMMYFUNCTION("IF(ISERROR(FILTER('Activity map'!$C:$C, 'Activity map'!$A:$A=$A162)), 0, COUNTA(UNIQUE(FILTER('Activity map'!$C:$C, 'Activity map'!$A:$A=$A162))))"),4.0)</f>
        <v>4</v>
      </c>
      <c r="S162" s="32">
        <f t="shared" si="6"/>
        <v>0</v>
      </c>
      <c r="T162" s="31">
        <f>IFERROR(__xludf.DUMMYFUNCTION("IF(ISERROR(FILTER('Activity map'!$E:$E, ('Activity map'!$A:$A=$A162)*('Activity map'!$F:$F=FALSE))), ""-"", MIN(UNIQUE(FILTER('Activity map'!$E:$E, ('Activity map'!$A:$A=$A162)*('Activity map'!$F:$F=FALSE)))))"),2.0)</f>
        <v>2</v>
      </c>
      <c r="U162" s="30" t="str">
        <f>IF($N162=0, "-", VLOOKUP($N162, 'List of log slots'!$A:$C, 2, FALSE))</f>
        <v>Xeric's talisman (inert)</v>
      </c>
    </row>
    <row r="163">
      <c r="A163" s="26">
        <v>115.0</v>
      </c>
      <c r="B163" s="23" t="str">
        <f>VLOOKUP($A163, 'Completion rates'!$A:$E, 2, FALSE)</f>
        <v>Killing elder chaos druids</v>
      </c>
      <c r="C163" s="26">
        <f>IF(Notes!$E$27, VLOOKUP($A163, 'Completion rates'!$A:$E, 4, FALSE), VLOOKUP($A163, 'Completion rates'!$A:$E, 3, FALSE))</f>
        <v>480</v>
      </c>
      <c r="D163" s="26">
        <f>VLOOKUP($A163, 'Completion rates'!$A:$E, 5, FALSE)</f>
        <v>0</v>
      </c>
      <c r="E163" s="28">
        <f>IF(SUMIFS('Activity map'!$O:$O, 'Activity map'!$A:$A, A163, 'Activity map'!$H:$H, "=TRUE") = 0, "n/a", 1/SUMIFS('Activity map'!$O:$O, 'Activity map'!$A:$A, A163, 'Activity map'!$H:$H, "=TRUE"))</f>
        <v>461.3240041</v>
      </c>
      <c r="F163" s="26">
        <f t="shared" si="1"/>
        <v>0.9610916752</v>
      </c>
      <c r="G163" s="26" t="str">
        <f>IF(MINIFS('Activity map'!$N:$N, 'Activity map'!$A:$A, A163, 'Activity map'!$H:$H, "=TRUE") = 0, "n/a", MINIFS('Activity map'!$N:$N, 'Activity map'!$A:$A, A163, 'Activity map'!$H:$H, "=TRUE"))</f>
        <v>n/a</v>
      </c>
      <c r="H163" s="8" t="str">
        <f t="shared" si="2"/>
        <v/>
      </c>
      <c r="I163" s="26" t="str">
        <f>IF(MINIFS('Activity map'!$M:$M, 'Activity map'!$A:$A, A163, 'Activity map'!$H:$H, "=TRUE") = 0, "n/a", MINIFS('Activity map'!$M:$M, 'Activity map'!$A:$A, A163, 'Activity map'!$H:$H, "=TRUE"))</f>
        <v>n/a</v>
      </c>
      <c r="J163" s="8" t="str">
        <f t="shared" si="3"/>
        <v/>
      </c>
      <c r="K163" s="26" t="str">
        <f>IF(MINIFS('Activity map'!$L:$L, 'Activity map'!$A:$A, A163, 'Activity map'!$H:$H, "=TRUE") = 0, "n/a", MINIFS('Activity map'!$L:$L, 'Activity map'!$A:$A, A163, 'Activity map'!$H:$H, "=TRUE"))</f>
        <v>n/a</v>
      </c>
      <c r="L163" s="8" t="str">
        <f t="shared" si="4"/>
        <v/>
      </c>
      <c r="M163" s="26">
        <f>MINIFS('Activity map'!$C:$C, 'Activity map'!$A:$A, $A163, 'Activity map'!$H:$H, "=TRUE", 'Activity map'!$K:$K, MINIFS('Activity map'!$K:$K, 'Activity map'!$A:$A, $A163, 'Activity map'!$H:$H, "=TRUE"))</f>
        <v>20517</v>
      </c>
      <c r="N163" s="26">
        <f>MINIFS('Activity map'!$C:$C, 'Activity map'!$A:$A, $A163, 'Activity map'!$H:$H, "=TRUE", 'Activity map'!$E:$E, $T163)</f>
        <v>20517</v>
      </c>
      <c r="O163" s="147">
        <f t="shared" si="5"/>
        <v>0.04004548647</v>
      </c>
      <c r="P163" s="30" t="str">
        <f>IF($M163=0, "-", VLOOKUP($M163, 'List of log slots'!$A:$C, 2, FALSE))</f>
        <v>Elder chaos top</v>
      </c>
      <c r="Q163" s="31">
        <f>IFERROR(__xludf.DUMMYFUNCTION("IF(ISERROR(FILTER('Activity map'!$C:$C, ('Activity map'!$A:$A=$A163)*('Activity map'!$F:$F=FALSE))), 0, COUNTA(UNIQUE(FILTER('Activity map'!$C:$C, ('Activity map'!$A:$A=$A163)*('Activity map'!$F:$F=FALSE)))))"),5.0)</f>
        <v>5</v>
      </c>
      <c r="R163" s="31">
        <f>IFERROR(__xludf.DUMMYFUNCTION("IF(ISERROR(FILTER('Activity map'!$C:$C, 'Activity map'!$A:$A=$A163)), 0, COUNTA(UNIQUE(FILTER('Activity map'!$C:$C, 'Activity map'!$A:$A=$A163))))"),5.0)</f>
        <v>5</v>
      </c>
      <c r="S163" s="51">
        <f t="shared" si="6"/>
        <v>0</v>
      </c>
      <c r="T163" s="31">
        <f>IFERROR(__xludf.DUMMYFUNCTION("IF(ISERROR(FILTER('Activity map'!$E:$E, ('Activity map'!$A:$A=$A163)*('Activity map'!$F:$F=FALSE))), ""-"", MIN(UNIQUE(FILTER('Activity map'!$E:$E, ('Activity map'!$A:$A=$A163)*('Activity map'!$F:$F=FALSE)))))"),4.0)</f>
        <v>4</v>
      </c>
      <c r="U163" s="30" t="str">
        <f>IF($N163=0, "-", VLOOKUP($N163, 'List of log slots'!$A:$C, 2, FALSE))</f>
        <v>Elder chaos top</v>
      </c>
    </row>
    <row r="164">
      <c r="A164" s="26">
        <v>27.0</v>
      </c>
      <c r="B164" s="23" t="str">
        <f>VLOOKUP($A164, 'Completion rates'!$A:$E, 2, FALSE)</f>
        <v>Finishing inferno (and gambling cape, on task)</v>
      </c>
      <c r="C164" s="26">
        <f>IF(Notes!$E$27, VLOOKUP($A164, 'Completion rates'!$A:$E, 4, FALSE), VLOOKUP($A164, 'Completion rates'!$A:$E, 3, FALSE))</f>
        <v>1</v>
      </c>
      <c r="D164" s="26">
        <f>VLOOKUP($A164, 'Completion rates'!$A:$E, 5, FALSE)</f>
        <v>0</v>
      </c>
      <c r="E164" s="28">
        <f>IF(SUMIFS('Activity map'!$O:$O, 'Activity map'!$A:$A, A164, 'Activity map'!$H:$H, "=TRUE") = 0, "n/a", 1/SUMIFS('Activity map'!$O:$O, 'Activity map'!$A:$A, A164, 'Activity map'!$H:$H, "=TRUE"))</f>
        <v>43</v>
      </c>
      <c r="F164" s="26">
        <f t="shared" si="1"/>
        <v>43</v>
      </c>
      <c r="G164" s="26" t="str">
        <f>IF(MINIFS('Activity map'!$N:$N, 'Activity map'!$A:$A, A164, 'Activity map'!$H:$H, "=TRUE") = 0, "n/a", MINIFS('Activity map'!$N:$N, 'Activity map'!$A:$A, A164, 'Activity map'!$H:$H, "=TRUE"))</f>
        <v>n/a</v>
      </c>
      <c r="H164" s="8" t="str">
        <f t="shared" si="2"/>
        <v/>
      </c>
      <c r="I164" s="26">
        <f>IF(MINIFS('Activity map'!$M:$M, 'Activity map'!$A:$A, A164, 'Activity map'!$H:$H, "=TRUE") = 0, "n/a", MINIFS('Activity map'!$M:$M, 'Activity map'!$A:$A, A164, 'Activity map'!$H:$H, "=TRUE"))</f>
        <v>1</v>
      </c>
      <c r="J164" s="26">
        <f t="shared" si="3"/>
        <v>1</v>
      </c>
      <c r="K164" s="26" t="str">
        <f>IF(MINIFS('Activity map'!$L:$L, 'Activity map'!$A:$A, A164, 'Activity map'!$H:$H, "=TRUE") = 0, "n/a", MINIFS('Activity map'!$L:$L, 'Activity map'!$A:$A, A164, 'Activity map'!$H:$H, "=TRUE"))</f>
        <v>n/a</v>
      </c>
      <c r="L164" s="8" t="str">
        <f t="shared" si="4"/>
        <v/>
      </c>
      <c r="M164" s="26">
        <f>MINIFS('Activity map'!$C:$C, 'Activity map'!$A:$A, $A164, 'Activity map'!$H:$H, "=TRUE", 'Activity map'!$K:$K, MINIFS('Activity map'!$K:$K, 'Activity map'!$A:$A, $A164, 'Activity map'!$H:$H, "=TRUE"))</f>
        <v>21295</v>
      </c>
      <c r="N164" s="26">
        <f>MINIFS('Activity map'!$C:$C, 'Activity map'!$A:$A, $A164, 'Activity map'!$H:$H, "=TRUE", 'Activity map'!$E:$E, $T164)</f>
        <v>21295</v>
      </c>
      <c r="O164" s="54">
        <f t="shared" si="5"/>
        <v>0.04166666667</v>
      </c>
      <c r="P164" s="30" t="str">
        <f>IF($M164=0, "-", VLOOKUP($M164, 'List of log slots'!$A:$C, 2, FALSE))</f>
        <v>Infernal cape</v>
      </c>
      <c r="Q164" s="31">
        <f>IFERROR(__xludf.DUMMYFUNCTION("IF(ISERROR(FILTER('Activity map'!$C:$C, ('Activity map'!$A:$A=$A164)*('Activity map'!$F:$F=FALSE))), 0, COUNTA(UNIQUE(FILTER('Activity map'!$C:$C, ('Activity map'!$A:$A=$A164)*('Activity map'!$F:$F=FALSE)))))"),2.0)</f>
        <v>2</v>
      </c>
      <c r="R164" s="31">
        <f>IFERROR(__xludf.DUMMYFUNCTION("IF(ISERROR(FILTER('Activity map'!$C:$C, 'Activity map'!$A:$A=$A164)), 0, COUNTA(UNIQUE(FILTER('Activity map'!$C:$C, 'Activity map'!$A:$A=$A164))))"),2.0)</f>
        <v>2</v>
      </c>
      <c r="S164" s="72">
        <f t="shared" si="6"/>
        <v>0</v>
      </c>
      <c r="T164" s="31">
        <f>IFERROR(__xludf.DUMMYFUNCTION("IF(ISERROR(FILTER('Activity map'!$E:$E, ('Activity map'!$A:$A=$A164)*('Activity map'!$F:$F=FALSE))), ""-"", MIN(UNIQUE(FILTER('Activity map'!$E:$E, ('Activity map'!$A:$A=$A164)*('Activity map'!$F:$F=FALSE)))))"),6.0)</f>
        <v>6</v>
      </c>
      <c r="U164" s="30" t="str">
        <f>IF($N164=0, "-", VLOOKUP($N164, 'List of log slots'!$A:$C, 2, FALSE))</f>
        <v>Infernal cape</v>
      </c>
    </row>
    <row r="165">
      <c r="A165" s="26">
        <v>67.0</v>
      </c>
      <c r="B165" s="23" t="str">
        <f>VLOOKUP($A165, 'Completion rates'!$A:$E, 2, FALSE)</f>
        <v>Completing tombs of amascut challenges</v>
      </c>
      <c r="C165" s="26">
        <f>IF(Notes!$E$27, VLOOKUP($A165, 'Completion rates'!$A:$E, 4, FALSE), VLOOKUP($A165, 'Completion rates'!$A:$E, 3, FALSE))</f>
        <v>1</v>
      </c>
      <c r="D165" s="26">
        <f>VLOOKUP($A165, 'Completion rates'!$A:$E, 5, FALSE)</f>
        <v>0</v>
      </c>
      <c r="E165" s="28" t="str">
        <f>IF(SUMIFS('Activity map'!$O:$O, 'Activity map'!$A:$A, A165, 'Activity map'!$H:$H, "=TRUE") = 0, "n/a", 1/SUMIFS('Activity map'!$O:$O, 'Activity map'!$A:$A, A165, 'Activity map'!$H:$H, "=TRUE"))</f>
        <v>n/a</v>
      </c>
      <c r="F165" s="8" t="str">
        <f t="shared" si="1"/>
        <v/>
      </c>
      <c r="G165" s="26">
        <f>IF(MINIFS('Activity map'!$N:$N, 'Activity map'!$A:$A, A165, 'Activity map'!$H:$H, "=TRUE") = 0, "n/a", MINIFS('Activity map'!$N:$N, 'Activity map'!$A:$A, A165, 'Activity map'!$H:$H, "=TRUE"))</f>
        <v>1</v>
      </c>
      <c r="H165" s="26">
        <f t="shared" si="2"/>
        <v>1</v>
      </c>
      <c r="I165" s="26" t="str">
        <f>IF(MINIFS('Activity map'!$M:$M, 'Activity map'!$A:$A, A165, 'Activity map'!$H:$H, "=TRUE") = 0, "n/a", MINIFS('Activity map'!$M:$M, 'Activity map'!$A:$A, A165, 'Activity map'!$H:$H, "=TRUE"))</f>
        <v>n/a</v>
      </c>
      <c r="J165" s="8" t="str">
        <f t="shared" si="3"/>
        <v/>
      </c>
      <c r="K165" s="26" t="str">
        <f>IF(MINIFS('Activity map'!$L:$L, 'Activity map'!$A:$A, A165, 'Activity map'!$H:$H, "=TRUE") = 0, "n/a", MINIFS('Activity map'!$L:$L, 'Activity map'!$A:$A, A165, 'Activity map'!$H:$H, "=TRUE"))</f>
        <v>n/a</v>
      </c>
      <c r="L165" s="8" t="str">
        <f t="shared" si="4"/>
        <v/>
      </c>
      <c r="M165" s="26">
        <f>MINIFS('Activity map'!$C:$C, 'Activity map'!$A:$A, $A165, 'Activity map'!$H:$H, "=TRUE", 'Activity map'!$K:$K, MINIFS('Activity map'!$K:$K, 'Activity map'!$A:$A, $A165, 'Activity map'!$H:$H, "=TRUE"))</f>
        <v>27248</v>
      </c>
      <c r="N165" s="26">
        <f>MINIFS('Activity map'!$C:$C, 'Activity map'!$A:$A, $A165, 'Activity map'!$H:$H, "=TRUE", 'Activity map'!$E:$E, $T165)</f>
        <v>27372</v>
      </c>
      <c r="O165" s="54">
        <f t="shared" si="5"/>
        <v>0.04166666667</v>
      </c>
      <c r="P165" s="30" t="str">
        <f>IF($M165=0, "-", VLOOKUP($M165, 'List of log slots'!$A:$C, 2, FALSE))</f>
        <v>Cursed phalanx</v>
      </c>
      <c r="Q165" s="31">
        <f>IFERROR(__xludf.DUMMYFUNCTION("IF(ISERROR(FILTER('Activity map'!$C:$C, ('Activity map'!$A:$A=$A165)*('Activity map'!$F:$F=FALSE))), 0, COUNTA(UNIQUE(FILTER('Activity map'!$C:$C, ('Activity map'!$A:$A=$A165)*('Activity map'!$F:$F=FALSE)))))"),8.0)</f>
        <v>8</v>
      </c>
      <c r="R165" s="31">
        <f>IFERROR(__xludf.DUMMYFUNCTION("IF(ISERROR(FILTER('Activity map'!$C:$C, 'Activity map'!$A:$A=$A165)), 0, COUNTA(UNIQUE(FILTER('Activity map'!$C:$C, 'Activity map'!$A:$A=$A165))))"),8.0)</f>
        <v>8</v>
      </c>
      <c r="S165" s="72">
        <f t="shared" si="6"/>
        <v>0</v>
      </c>
      <c r="T165" s="31">
        <f>IFERROR(__xludf.DUMMYFUNCTION("IF(ISERROR(FILTER('Activity map'!$E:$E, ('Activity map'!$A:$A=$A165)*('Activity map'!$F:$F=FALSE))), ""-"", MIN(UNIQUE(FILTER('Activity map'!$E:$E, ('Activity map'!$A:$A=$A165)*('Activity map'!$F:$F=FALSE)))))"),6.0)</f>
        <v>6</v>
      </c>
      <c r="U165" s="30" t="str">
        <f>IF($N165=0, "-", VLOOKUP($N165, 'List of log slots'!$A:$C, 2, FALSE))</f>
        <v>Masori crafting kit</v>
      </c>
    </row>
    <row r="166">
      <c r="A166" s="26">
        <v>22.0</v>
      </c>
      <c r="B166" s="23" t="str">
        <f>VLOOKUP($A166, 'Completion rates'!$A:$E, 2, FALSE)</f>
        <v>Killing general graardor</v>
      </c>
      <c r="C166" s="26">
        <f>IF(Notes!$E$27, VLOOKUP($A166, 'Completion rates'!$A:$E, 4, FALSE), VLOOKUP($A166, 'Completion rates'!$A:$E, 3, FALSE))</f>
        <v>58</v>
      </c>
      <c r="D166" s="26">
        <f>VLOOKUP($A166, 'Completion rates'!$A:$E, 5, FALSE)</f>
        <v>0</v>
      </c>
      <c r="E166" s="28">
        <f>IF(SUMIFS('Activity map'!$O:$O, 'Activity map'!$A:$A, A166, 'Activity map'!$H:$H, "=TRUE") = 0, "n/a", 1/SUMIFS('Activity map'!$O:$O, 'Activity map'!$A:$A, A166, 'Activity map'!$H:$H, "=TRUE"))</f>
        <v>58.50141852</v>
      </c>
      <c r="F166" s="26">
        <f t="shared" si="1"/>
        <v>1.008645147</v>
      </c>
      <c r="G166" s="26" t="str">
        <f>IF(MINIFS('Activity map'!$N:$N, 'Activity map'!$A:$A, A166, 'Activity map'!$H:$H, "=TRUE") = 0, "n/a", MINIFS('Activity map'!$N:$N, 'Activity map'!$A:$A, A166, 'Activity map'!$H:$H, "=TRUE"))</f>
        <v>n/a</v>
      </c>
      <c r="H166" s="8" t="str">
        <f t="shared" si="2"/>
        <v/>
      </c>
      <c r="I166" s="26" t="str">
        <f>IF(MINIFS('Activity map'!$M:$M, 'Activity map'!$A:$A, A166, 'Activity map'!$H:$H, "=TRUE") = 0, "n/a", MINIFS('Activity map'!$M:$M, 'Activity map'!$A:$A, A166, 'Activity map'!$H:$H, "=TRUE"))</f>
        <v>n/a</v>
      </c>
      <c r="J166" s="8" t="str">
        <f t="shared" si="3"/>
        <v/>
      </c>
      <c r="K166" s="26" t="str">
        <f>IF(MINIFS('Activity map'!$L:$L, 'Activity map'!$A:$A, A166, 'Activity map'!$H:$H, "=TRUE") = 0, "n/a", MINIFS('Activity map'!$L:$L, 'Activity map'!$A:$A, A166, 'Activity map'!$H:$H, "=TRUE"))</f>
        <v>n/a</v>
      </c>
      <c r="L166" s="8" t="str">
        <f t="shared" si="4"/>
        <v/>
      </c>
      <c r="M166" s="26">
        <f>MINIFS('Activity map'!$C:$C, 'Activity map'!$A:$A, $A166, 'Activity map'!$H:$H, "=TRUE", 'Activity map'!$K:$K, MINIFS('Activity map'!$K:$K, 'Activity map'!$A:$A, $A166, 'Activity map'!$H:$H, "=TRUE"))</f>
        <v>11832</v>
      </c>
      <c r="N166" s="26">
        <f>MINIFS('Activity map'!$C:$C, 'Activity map'!$A:$A, $A166, 'Activity map'!$H:$H, "=TRUE", 'Activity map'!$E:$E, $T166)</f>
        <v>10976</v>
      </c>
      <c r="O166" s="148">
        <f t="shared" si="5"/>
        <v>0.04202688112</v>
      </c>
      <c r="P166" s="30" t="str">
        <f>IF($M166=0, "-", VLOOKUP($M166, 'List of log slots'!$A:$C, 2, FALSE))</f>
        <v>Bandos chestplate</v>
      </c>
      <c r="Q166" s="31">
        <f>IFERROR(__xludf.DUMMYFUNCTION("IF(ISERROR(FILTER('Activity map'!$C:$C, ('Activity map'!$A:$A=$A166)*('Activity map'!$F:$F=FALSE))), 0, COUNTA(UNIQUE(FILTER('Activity map'!$C:$C, ('Activity map'!$A:$A=$A166)*('Activity map'!$F:$F=FALSE)))))"),12.0)</f>
        <v>12</v>
      </c>
      <c r="R166" s="31">
        <f>IFERROR(__xludf.DUMMYFUNCTION("IF(ISERROR(FILTER('Activity map'!$C:$C, 'Activity map'!$A:$A=$A166)), 0, COUNTA(UNIQUE(FILTER('Activity map'!$C:$C, 'Activity map'!$A:$A=$A166))))"),12.0)</f>
        <v>12</v>
      </c>
      <c r="S166" s="91">
        <f t="shared" si="6"/>
        <v>0</v>
      </c>
      <c r="T166" s="31">
        <f>IFERROR(__xludf.DUMMYFUNCTION("IF(ISERROR(FILTER('Activity map'!$E:$E, ('Activity map'!$A:$A=$A166)*('Activity map'!$F:$F=FALSE))), ""-"", MIN(UNIQUE(FILTER('Activity map'!$E:$E, ('Activity map'!$A:$A=$A166)*('Activity map'!$F:$F=FALSE)))))"),3.0)</f>
        <v>3</v>
      </c>
      <c r="U166" s="30" t="str">
        <f>IF($N166=0, "-", VLOOKUP($N166, 'List of log slots'!$A:$C, 2, FALSE))</f>
        <v>Long bone</v>
      </c>
    </row>
    <row r="167">
      <c r="A167" s="26">
        <v>52.0</v>
      </c>
      <c r="B167" s="23" t="str">
        <f>VLOOKUP($A167, 'Completion rates'!$A:$E, 2, FALSE)</f>
        <v>Killing spindel</v>
      </c>
      <c r="C167" s="26">
        <f>IF(Notes!$E$27, VLOOKUP($A167, 'Completion rates'!$A:$E, 4, FALSE), VLOOKUP($A167, 'Completion rates'!$A:$E, 3, FALSE))</f>
        <v>55</v>
      </c>
      <c r="D167" s="26">
        <f>VLOOKUP($A167, 'Completion rates'!$A:$E, 5, FALSE)</f>
        <v>0</v>
      </c>
      <c r="E167" s="28">
        <f>IF(SUMIFS('Activity map'!$O:$O, 'Activity map'!$A:$A, A167, 'Activity map'!$H:$H, "=TRUE") = 0, "n/a", 1/SUMIFS('Activity map'!$O:$O, 'Activity map'!$A:$A, A167, 'Activity map'!$H:$H, "=TRUE"))</f>
        <v>56.74910342</v>
      </c>
      <c r="F167" s="26">
        <f t="shared" si="1"/>
        <v>1.03180188</v>
      </c>
      <c r="G167" s="26" t="str">
        <f>IF(MINIFS('Activity map'!$N:$N, 'Activity map'!$A:$A, A167, 'Activity map'!$H:$H, "=TRUE") = 0, "n/a", MINIFS('Activity map'!$N:$N, 'Activity map'!$A:$A, A167, 'Activity map'!$H:$H, "=TRUE"))</f>
        <v>n/a</v>
      </c>
      <c r="H167" s="8" t="str">
        <f t="shared" si="2"/>
        <v/>
      </c>
      <c r="I167" s="26" t="str">
        <f>IF(MINIFS('Activity map'!$M:$M, 'Activity map'!$A:$A, A167, 'Activity map'!$H:$H, "=TRUE") = 0, "n/a", MINIFS('Activity map'!$M:$M, 'Activity map'!$A:$A, A167, 'Activity map'!$H:$H, "=TRUE"))</f>
        <v>n/a</v>
      </c>
      <c r="J167" s="8" t="str">
        <f t="shared" si="3"/>
        <v/>
      </c>
      <c r="K167" s="26" t="str">
        <f>IF(MINIFS('Activity map'!$L:$L, 'Activity map'!$A:$A, A167, 'Activity map'!$H:$H, "=TRUE") = 0, "n/a", MINIFS('Activity map'!$L:$L, 'Activity map'!$A:$A, A167, 'Activity map'!$H:$H, "=TRUE"))</f>
        <v>n/a</v>
      </c>
      <c r="L167" s="8" t="str">
        <f t="shared" si="4"/>
        <v/>
      </c>
      <c r="M167" s="26">
        <f>MINIFS('Activity map'!$C:$C, 'Activity map'!$A:$A, $A167, 'Activity map'!$H:$H, "=TRUE", 'Activity map'!$K:$K, MINIFS('Activity map'!$K:$K, 'Activity map'!$A:$A, $A167, 'Activity map'!$H:$H, "=TRUE"))</f>
        <v>11920</v>
      </c>
      <c r="N167" s="26">
        <f>MINIFS('Activity map'!$C:$C, 'Activity map'!$A:$A, $A167, 'Activity map'!$H:$H, "=TRUE", 'Activity map'!$E:$E, $T167)</f>
        <v>10976</v>
      </c>
      <c r="O167" s="149">
        <f t="shared" si="5"/>
        <v>0.04299174502</v>
      </c>
      <c r="P167" s="30" t="str">
        <f>IF($M167=0, "-", VLOOKUP($M167, 'List of log slots'!$A:$C, 2, FALSE))</f>
        <v>Dragon pickaxe</v>
      </c>
      <c r="Q167" s="31">
        <f>IFERROR(__xludf.DUMMYFUNCTION("IF(ISERROR(FILTER('Activity map'!$C:$C, ('Activity map'!$A:$A=$A167)*('Activity map'!$F:$F=FALSE))), 0, COUNTA(UNIQUE(FILTER('Activity map'!$C:$C, ('Activity map'!$A:$A=$A167)*('Activity map'!$F:$F=FALSE)))))"),8.0)</f>
        <v>8</v>
      </c>
      <c r="R167" s="31">
        <f>IFERROR(__xludf.DUMMYFUNCTION("IF(ISERROR(FILTER('Activity map'!$C:$C, 'Activity map'!$A:$A=$A167)), 0, COUNTA(UNIQUE(FILTER('Activity map'!$C:$C, 'Activity map'!$A:$A=$A167))))"),8.0)</f>
        <v>8</v>
      </c>
      <c r="S167" s="55">
        <f t="shared" si="6"/>
        <v>0</v>
      </c>
      <c r="T167" s="31">
        <f>IFERROR(__xludf.DUMMYFUNCTION("IF(ISERROR(FILTER('Activity map'!$E:$E, ('Activity map'!$A:$A=$A167)*('Activity map'!$F:$F=FALSE))), ""-"", MIN(UNIQUE(FILTER('Activity map'!$E:$E, ('Activity map'!$A:$A=$A167)*('Activity map'!$F:$F=FALSE)))))"),3.0)</f>
        <v>3</v>
      </c>
      <c r="U167" s="30" t="str">
        <f>IF($N167=0, "-", VLOOKUP($N167, 'List of log slots'!$A:$C, 2, FALSE))</f>
        <v>Long bone</v>
      </c>
    </row>
    <row r="168">
      <c r="A168" s="26">
        <v>131.0</v>
      </c>
      <c r="B168" s="23" t="str">
        <f>VLOOKUP($A168, 'Completion rates'!$A:$E, 2, FALSE)</f>
        <v>Running laps of monkey agility</v>
      </c>
      <c r="C168" s="26">
        <f>IF(Notes!$E$27, VLOOKUP($A168, 'Completion rates'!$A:$E, 4, FALSE), VLOOKUP($A168, 'Completion rates'!$A:$E, 3, FALSE))</f>
        <v>95</v>
      </c>
      <c r="D168" s="26">
        <f>VLOOKUP($A168, 'Completion rates'!$A:$E, 5, FALSE)</f>
        <v>0</v>
      </c>
      <c r="E168" s="28" t="str">
        <f>IF(SUMIFS('Activity map'!$O:$O, 'Activity map'!$A:$A, A168, 'Activity map'!$H:$H, "=TRUE") = 0, "n/a", 1/SUMIFS('Activity map'!$O:$O, 'Activity map'!$A:$A, A168, 'Activity map'!$H:$H, "=TRUE"))</f>
        <v>n/a</v>
      </c>
      <c r="F168" s="8" t="str">
        <f t="shared" si="1"/>
        <v/>
      </c>
      <c r="G168" s="26" t="str">
        <f>IF(MINIFS('Activity map'!$N:$N, 'Activity map'!$A:$A, A168, 'Activity map'!$H:$H, "=TRUE") = 0, "n/a", MINIFS('Activity map'!$N:$N, 'Activity map'!$A:$A, A168, 'Activity map'!$H:$H, "=TRUE"))</f>
        <v>n/a</v>
      </c>
      <c r="H168" s="8" t="str">
        <f t="shared" si="2"/>
        <v/>
      </c>
      <c r="I168" s="26">
        <f>IF(MINIFS('Activity map'!$M:$M, 'Activity map'!$A:$A, A168, 'Activity map'!$H:$H, "=TRUE") = 0, "n/a", MINIFS('Activity map'!$M:$M, 'Activity map'!$A:$A, A168, 'Activity map'!$H:$H, "=TRUE"))</f>
        <v>100</v>
      </c>
      <c r="J168" s="8">
        <f t="shared" si="3"/>
        <v>1.052631579</v>
      </c>
      <c r="K168" s="26" t="str">
        <f>IF(MINIFS('Activity map'!$L:$L, 'Activity map'!$A:$A, A168, 'Activity map'!$H:$H, "=TRUE") = 0, "n/a", MINIFS('Activity map'!$L:$L, 'Activity map'!$A:$A, A168, 'Activity map'!$H:$H, "=TRUE"))</f>
        <v>n/a</v>
      </c>
      <c r="L168" s="8" t="str">
        <f t="shared" si="4"/>
        <v/>
      </c>
      <c r="M168" s="26">
        <f>MINIFS('Activity map'!$C:$C, 'Activity map'!$A:$A, $A168, 'Activity map'!$H:$H, "=TRUE", 'Activity map'!$K:$K, MINIFS('Activity map'!$K:$K, 'Activity map'!$A:$A, $A168, 'Activity map'!$H:$H, "=TRUE"))</f>
        <v>24862</v>
      </c>
      <c r="N168" s="26">
        <f>MINIFS('Activity map'!$C:$C, 'Activity map'!$A:$A, $A168, 'Activity map'!$H:$H, "=TRUE", 'Activity map'!$E:$E, $T168)</f>
        <v>24862</v>
      </c>
      <c r="O168" s="35">
        <f t="shared" si="5"/>
        <v>0.04385964912</v>
      </c>
      <c r="P168" s="30" t="str">
        <f>IF($M168=0, "-", VLOOKUP($M168, 'List of log slots'!$A:$C, 2, FALSE))</f>
        <v>Karamjan monkey</v>
      </c>
      <c r="Q168" s="31">
        <f>IFERROR(__xludf.DUMMYFUNCTION("IF(ISERROR(FILTER('Activity map'!$C:$C, ('Activity map'!$A:$A=$A168)*('Activity map'!$F:$F=FALSE))), 0, COUNTA(UNIQUE(FILTER('Activity map'!$C:$C, ('Activity map'!$A:$A=$A168)*('Activity map'!$F:$F=FALSE)))))"),6.0)</f>
        <v>6</v>
      </c>
      <c r="R168" s="31">
        <f>IFERROR(__xludf.DUMMYFUNCTION("IF(ISERROR(FILTER('Activity map'!$C:$C, 'Activity map'!$A:$A=$A168)), 0, COUNTA(UNIQUE(FILTER('Activity map'!$C:$C, 'Activity map'!$A:$A=$A168))))"),6.0)</f>
        <v>6</v>
      </c>
      <c r="S168" s="36">
        <f t="shared" si="6"/>
        <v>0</v>
      </c>
      <c r="T168" s="31">
        <f>IFERROR(__xludf.DUMMYFUNCTION("IF(ISERROR(FILTER('Activity map'!$E:$E, ('Activity map'!$A:$A=$A168)*('Activity map'!$F:$F=FALSE))), ""-"", MIN(UNIQUE(FILTER('Activity map'!$E:$E, ('Activity map'!$A:$A=$A168)*('Activity map'!$F:$F=FALSE)))))"),3.0)</f>
        <v>3</v>
      </c>
      <c r="U168" s="30" t="str">
        <f>IF($N168=0, "-", VLOOKUP($N168, 'List of log slots'!$A:$C, 2, FALSE))</f>
        <v>Karamjan monkey</v>
      </c>
    </row>
    <row r="169">
      <c r="A169" s="26">
        <v>50.0</v>
      </c>
      <c r="B169" s="23" t="str">
        <f>VLOOKUP($A169, 'Completion rates'!$A:$E, 2, FALSE)</f>
        <v>Killing thermonuclear smoke devil (on task)</v>
      </c>
      <c r="C169" s="26">
        <f>IF(Notes!$E$27, VLOOKUP($A169, 'Completion rates'!$A:$E, 4, FALSE), VLOOKUP($A169, 'Completion rates'!$A:$E, 3, FALSE))</f>
        <v>150</v>
      </c>
      <c r="D169" s="26">
        <f>VLOOKUP($A169, 'Completion rates'!$A:$E, 5, FALSE)</f>
        <v>0</v>
      </c>
      <c r="E169" s="28">
        <f>IF(SUMIFS('Activity map'!$O:$O, 'Activity map'!$A:$A, A169, 'Activity map'!$H:$H, "=TRUE") = 0, "n/a", 1/SUMIFS('Activity map'!$O:$O, 'Activity map'!$A:$A, A169, 'Activity map'!$H:$H, "=TRUE"))</f>
        <v>162.559675</v>
      </c>
      <c r="F169" s="26">
        <f t="shared" si="1"/>
        <v>1.083731167</v>
      </c>
      <c r="G169" s="26" t="str">
        <f>IF(MINIFS('Activity map'!$N:$N, 'Activity map'!$A:$A, A169, 'Activity map'!$H:$H, "=TRUE") = 0, "n/a", MINIFS('Activity map'!$N:$N, 'Activity map'!$A:$A, A169, 'Activity map'!$H:$H, "=TRUE"))</f>
        <v>n/a</v>
      </c>
      <c r="H169" s="8" t="str">
        <f t="shared" si="2"/>
        <v/>
      </c>
      <c r="I169" s="26" t="str">
        <f>IF(MINIFS('Activity map'!$M:$M, 'Activity map'!$A:$A, A169, 'Activity map'!$H:$H, "=TRUE") = 0, "n/a", MINIFS('Activity map'!$M:$M, 'Activity map'!$A:$A, A169, 'Activity map'!$H:$H, "=TRUE"))</f>
        <v>n/a</v>
      </c>
      <c r="J169" s="8" t="str">
        <f t="shared" si="3"/>
        <v/>
      </c>
      <c r="K169" s="26" t="str">
        <f>IF(MINIFS('Activity map'!$L:$L, 'Activity map'!$A:$A, A169, 'Activity map'!$H:$H, "=TRUE") = 0, "n/a", MINIFS('Activity map'!$L:$L, 'Activity map'!$A:$A, A169, 'Activity map'!$H:$H, "=TRUE"))</f>
        <v>n/a</v>
      </c>
      <c r="L169" s="8" t="str">
        <f t="shared" si="4"/>
        <v/>
      </c>
      <c r="M169" s="26">
        <f>MINIFS('Activity map'!$C:$C, 'Activity map'!$A:$A, $A169, 'Activity map'!$H:$H, "=TRUE", 'Activity map'!$K:$K, MINIFS('Activity map'!$K:$K, 'Activity map'!$A:$A, $A169, 'Activity map'!$H:$H, "=TRUE"))</f>
        <v>12002</v>
      </c>
      <c r="N169" s="26">
        <f>MINIFS('Activity map'!$C:$C, 'Activity map'!$A:$A, $A169, 'Activity map'!$H:$H, "=TRUE", 'Activity map'!$E:$E, $T169)</f>
        <v>1249</v>
      </c>
      <c r="O169" s="150">
        <f t="shared" si="5"/>
        <v>0.04515546527</v>
      </c>
      <c r="P169" s="30" t="str">
        <f>IF($M169=0, "-", VLOOKUP($M169, 'List of log slots'!$A:$C, 2, FALSE))</f>
        <v>Occult necklace</v>
      </c>
      <c r="Q169" s="31">
        <f>IFERROR(__xludf.DUMMYFUNCTION("IF(ISERROR(FILTER('Activity map'!$C:$C, ('Activity map'!$A:$A=$A169)*('Activity map'!$F:$F=FALSE))), 0, COUNTA(UNIQUE(FILTER('Activity map'!$C:$C, ('Activity map'!$A:$A=$A169)*('Activity map'!$F:$F=FALSE)))))"),7.0)</f>
        <v>7</v>
      </c>
      <c r="R169" s="31">
        <f>IFERROR(__xludf.DUMMYFUNCTION("IF(ISERROR(FILTER('Activity map'!$C:$C, 'Activity map'!$A:$A=$A169)), 0, COUNTA(UNIQUE(FILTER('Activity map'!$C:$C, 'Activity map'!$A:$A=$A169))))"),7.0)</f>
        <v>7</v>
      </c>
      <c r="S169" s="151">
        <f t="shared" si="6"/>
        <v>0</v>
      </c>
      <c r="T169" s="31">
        <f>IFERROR(__xludf.DUMMYFUNCTION("IF(ISERROR(FILTER('Activity map'!$E:$E, ('Activity map'!$A:$A=$A169)*('Activity map'!$F:$F=FALSE))), ""-"", MIN(UNIQUE(FILTER('Activity map'!$E:$E, ('Activity map'!$A:$A=$A169)*('Activity map'!$F:$F=FALSE)))))"),5.0)</f>
        <v>5</v>
      </c>
      <c r="U169" s="30" t="str">
        <f>IF($N169=0, "-", VLOOKUP($N169, 'List of log slots'!$A:$C, 2, FALSE))</f>
        <v>Dragon spear</v>
      </c>
    </row>
    <row r="170">
      <c r="A170" s="26">
        <v>192.0</v>
      </c>
      <c r="B170" s="23" t="str">
        <f>VLOOKUP($A170, 'Completion rates'!$A:$E, 2, FALSE)</f>
        <v>Killing dark beasts</v>
      </c>
      <c r="C170" s="26">
        <f>IF(Notes!$E$27, VLOOKUP($A170, 'Completion rates'!$A:$E, 4, FALSE), VLOOKUP($A170, 'Completion rates'!$A:$E, 3, FALSE))</f>
        <v>190</v>
      </c>
      <c r="D170" s="26">
        <f>VLOOKUP($A170, 'Completion rates'!$A:$E, 5, FALSE)</f>
        <v>0</v>
      </c>
      <c r="E170" s="28">
        <f>IF(SUMIFS('Activity map'!$O:$O, 'Activity map'!$A:$A, A170, 'Activity map'!$H:$H, "=TRUE") = 0, "n/a", 1/SUMIFS('Activity map'!$O:$O, 'Activity map'!$A:$A, A170, 'Activity map'!$H:$H, "=TRUE"))</f>
        <v>207.7107582</v>
      </c>
      <c r="F170" s="26">
        <f t="shared" si="1"/>
        <v>1.093214517</v>
      </c>
      <c r="G170" s="26" t="str">
        <f>IF(MINIFS('Activity map'!$N:$N, 'Activity map'!$A:$A, A170, 'Activity map'!$H:$H, "=TRUE") = 0, "n/a", MINIFS('Activity map'!$N:$N, 'Activity map'!$A:$A, A170, 'Activity map'!$H:$H, "=TRUE"))</f>
        <v>n/a</v>
      </c>
      <c r="H170" s="8" t="str">
        <f t="shared" si="2"/>
        <v/>
      </c>
      <c r="I170" s="26" t="str">
        <f>IF(MINIFS('Activity map'!$M:$M, 'Activity map'!$A:$A, A170, 'Activity map'!$H:$H, "=TRUE") = 0, "n/a", MINIFS('Activity map'!$M:$M, 'Activity map'!$A:$A, A170, 'Activity map'!$H:$H, "=TRUE"))</f>
        <v>n/a</v>
      </c>
      <c r="J170" s="8" t="str">
        <f t="shared" si="3"/>
        <v/>
      </c>
      <c r="K170" s="26" t="str">
        <f>IF(MINIFS('Activity map'!$L:$L, 'Activity map'!$A:$A, A170, 'Activity map'!$H:$H, "=TRUE") = 0, "n/a", MINIFS('Activity map'!$L:$L, 'Activity map'!$A:$A, A170, 'Activity map'!$H:$H, "=TRUE"))</f>
        <v>n/a</v>
      </c>
      <c r="L170" s="8" t="str">
        <f t="shared" si="4"/>
        <v/>
      </c>
      <c r="M170" s="26">
        <f>MINIFS('Activity map'!$C:$C, 'Activity map'!$A:$A, $A170, 'Activity map'!$H:$H, "=TRUE", 'Activity map'!$K:$K, MINIFS('Activity map'!$K:$K, 'Activity map'!$A:$A, $A170, 'Activity map'!$H:$H, "=TRUE"))</f>
        <v>10976</v>
      </c>
      <c r="N170" s="26">
        <f>MINIFS('Activity map'!$C:$C, 'Activity map'!$A:$A, $A170, 'Activity map'!$H:$H, "=TRUE", 'Activity map'!$E:$E, $T170)</f>
        <v>10976</v>
      </c>
      <c r="O170" s="152">
        <f t="shared" si="5"/>
        <v>0.04555060486</v>
      </c>
      <c r="P170" s="30" t="str">
        <f>IF($M170=0, "-", VLOOKUP($M170, 'List of log slots'!$A:$C, 2, FALSE))</f>
        <v>Long bone</v>
      </c>
      <c r="Q170" s="31">
        <f>IFERROR(__xludf.DUMMYFUNCTION("IF(ISERROR(FILTER('Activity map'!$C:$C, ('Activity map'!$A:$A=$A170)*('Activity map'!$F:$F=FALSE))), 0, COUNTA(UNIQUE(FILTER('Activity map'!$C:$C, ('Activity map'!$A:$A=$A170)*('Activity map'!$F:$F=FALSE)))))"),5.0)</f>
        <v>5</v>
      </c>
      <c r="R170" s="31">
        <f>IFERROR(__xludf.DUMMYFUNCTION("IF(ISERROR(FILTER('Activity map'!$C:$C, 'Activity map'!$A:$A=$A170)), 0, COUNTA(UNIQUE(FILTER('Activity map'!$C:$C, 'Activity map'!$A:$A=$A170))))"),5.0)</f>
        <v>5</v>
      </c>
      <c r="S170" s="100">
        <f t="shared" si="6"/>
        <v>0</v>
      </c>
      <c r="T170" s="31">
        <f>IFERROR(__xludf.DUMMYFUNCTION("IF(ISERROR(FILTER('Activity map'!$E:$E, ('Activity map'!$A:$A=$A170)*('Activity map'!$F:$F=FALSE))), ""-"", MIN(UNIQUE(FILTER('Activity map'!$E:$E, ('Activity map'!$A:$A=$A170)*('Activity map'!$F:$F=FALSE)))))"),3.0)</f>
        <v>3</v>
      </c>
      <c r="U170" s="30" t="str">
        <f>IF($N170=0, "-", VLOOKUP($N170, 'List of log slots'!$A:$C, 2, FALSE))</f>
        <v>Long bone</v>
      </c>
    </row>
    <row r="171">
      <c r="A171" s="26">
        <v>10.0</v>
      </c>
      <c r="B171" s="23" t="str">
        <f>VLOOKUP($A171, 'Completion rates'!$A:$E, 2, FALSE)</f>
        <v>Killing chaos fanatic</v>
      </c>
      <c r="C171" s="26">
        <f>IF(Notes!$E$27, VLOOKUP($A171, 'Completion rates'!$A:$E, 4, FALSE), VLOOKUP($A171, 'Completion rates'!$A:$E, 3, FALSE))</f>
        <v>100</v>
      </c>
      <c r="D171" s="26">
        <f>VLOOKUP($A171, 'Completion rates'!$A:$E, 5, FALSE)</f>
        <v>0</v>
      </c>
      <c r="E171" s="28">
        <f>IF(SUMIFS('Activity map'!$O:$O, 'Activity map'!$A:$A, A171, 'Activity map'!$H:$H, "=TRUE") = 0, "n/a", 1/SUMIFS('Activity map'!$O:$O, 'Activity map'!$A:$A, A171, 'Activity map'!$H:$H, "=TRUE"))</f>
        <v>110.7639763</v>
      </c>
      <c r="F171" s="26">
        <f t="shared" si="1"/>
        <v>1.107639763</v>
      </c>
      <c r="G171" s="26" t="str">
        <f>IF(MINIFS('Activity map'!$N:$N, 'Activity map'!$A:$A, A171, 'Activity map'!$H:$H, "=TRUE") = 0, "n/a", MINIFS('Activity map'!$N:$N, 'Activity map'!$A:$A, A171, 'Activity map'!$H:$H, "=TRUE"))</f>
        <v>n/a</v>
      </c>
      <c r="H171" s="8" t="str">
        <f t="shared" si="2"/>
        <v/>
      </c>
      <c r="I171" s="26" t="str">
        <f>IF(MINIFS('Activity map'!$M:$M, 'Activity map'!$A:$A, A171, 'Activity map'!$H:$H, "=TRUE") = 0, "n/a", MINIFS('Activity map'!$M:$M, 'Activity map'!$A:$A, A171, 'Activity map'!$H:$H, "=TRUE"))</f>
        <v>n/a</v>
      </c>
      <c r="J171" s="8" t="str">
        <f t="shared" si="3"/>
        <v/>
      </c>
      <c r="K171" s="26" t="str">
        <f>IF(MINIFS('Activity map'!$L:$L, 'Activity map'!$A:$A, A171, 'Activity map'!$H:$H, "=TRUE") = 0, "n/a", MINIFS('Activity map'!$L:$L, 'Activity map'!$A:$A, A171, 'Activity map'!$H:$H, "=TRUE"))</f>
        <v>n/a</v>
      </c>
      <c r="L171" s="8" t="str">
        <f t="shared" si="4"/>
        <v/>
      </c>
      <c r="M171" s="26">
        <f>MINIFS('Activity map'!$C:$C, 'Activity map'!$A:$A, $A171, 'Activity map'!$H:$H, "=TRUE", 'Activity map'!$K:$K, MINIFS('Activity map'!$K:$K, 'Activity map'!$A:$A, $A171, 'Activity map'!$H:$H, "=TRUE"))</f>
        <v>11928</v>
      </c>
      <c r="N171" s="26">
        <f>MINIFS('Activity map'!$C:$C, 'Activity map'!$A:$A, $A171, 'Activity map'!$H:$H, "=TRUE", 'Activity map'!$E:$E, $T171)</f>
        <v>11928</v>
      </c>
      <c r="O171" s="106">
        <f t="shared" si="5"/>
        <v>0.04615165679</v>
      </c>
      <c r="P171" s="30" t="str">
        <f>IF($M171=0, "-", VLOOKUP($M171, 'List of log slots'!$A:$C, 2, FALSE))</f>
        <v>Odium shard 1</v>
      </c>
      <c r="Q171" s="31">
        <f>IFERROR(__xludf.DUMMYFUNCTION("IF(ISERROR(FILTER('Activity map'!$C:$C, ('Activity map'!$A:$A=$A171)*('Activity map'!$F:$F=FALSE))), 0, COUNTA(UNIQUE(FILTER('Activity map'!$C:$C, ('Activity map'!$A:$A=$A171)*('Activity map'!$F:$F=FALSE)))))"),5.0)</f>
        <v>5</v>
      </c>
      <c r="R171" s="31">
        <f>IFERROR(__xludf.DUMMYFUNCTION("IF(ISERROR(FILTER('Activity map'!$C:$C, 'Activity map'!$A:$A=$A171)), 0, COUNTA(UNIQUE(FILTER('Activity map'!$C:$C, 'Activity map'!$A:$A=$A171))))"),5.0)</f>
        <v>5</v>
      </c>
      <c r="S171" s="51">
        <f t="shared" si="6"/>
        <v>0</v>
      </c>
      <c r="T171" s="31">
        <f>IFERROR(__xludf.DUMMYFUNCTION("IF(ISERROR(FILTER('Activity map'!$E:$E, ('Activity map'!$A:$A=$A171)*('Activity map'!$F:$F=FALSE))), ""-"", MIN(UNIQUE(FILTER('Activity map'!$E:$E, ('Activity map'!$A:$A=$A171)*('Activity map'!$F:$F=FALSE)))))"),4.0)</f>
        <v>4</v>
      </c>
      <c r="U171" s="30" t="str">
        <f>IF($N171=0, "-", VLOOKUP($N171, 'List of log slots'!$A:$C, 2, FALSE))</f>
        <v>Odium shard 1</v>
      </c>
    </row>
    <row r="172">
      <c r="A172" s="26">
        <v>200.0</v>
      </c>
      <c r="B172" s="23" t="str">
        <f>VLOOKUP($A172, 'Completion rates'!$A:$E, 2, FALSE)</f>
        <v>Killing aberrant spectres</v>
      </c>
      <c r="C172" s="26">
        <f>IF(Notes!$E$27, VLOOKUP($A172, 'Completion rates'!$A:$E, 4, FALSE), VLOOKUP($A172, 'Completion rates'!$A:$E, 3, FALSE))</f>
        <v>450</v>
      </c>
      <c r="D172" s="26">
        <f>VLOOKUP($A172, 'Completion rates'!$A:$E, 5, FALSE)</f>
        <v>0</v>
      </c>
      <c r="E172" s="28">
        <f>IF(SUMIFS('Activity map'!$O:$O, 'Activity map'!$A:$A, A172, 'Activity map'!$H:$H, "=TRUE") = 0, "n/a", 1/SUMIFS('Activity map'!$O:$O, 'Activity map'!$A:$A, A172, 'Activity map'!$H:$H, "=TRUE"))</f>
        <v>507.6620749</v>
      </c>
      <c r="F172" s="26">
        <f t="shared" si="1"/>
        <v>1.128137944</v>
      </c>
      <c r="G172" s="26" t="str">
        <f>IF(MINIFS('Activity map'!$N:$N, 'Activity map'!$A:$A, A172, 'Activity map'!$H:$H, "=TRUE") = 0, "n/a", MINIFS('Activity map'!$N:$N, 'Activity map'!$A:$A, A172, 'Activity map'!$H:$H, "=TRUE"))</f>
        <v>n/a</v>
      </c>
      <c r="H172" s="8" t="str">
        <f t="shared" si="2"/>
        <v/>
      </c>
      <c r="I172" s="26" t="str">
        <f>IF(MINIFS('Activity map'!$M:$M, 'Activity map'!$A:$A, A172, 'Activity map'!$H:$H, "=TRUE") = 0, "n/a", MINIFS('Activity map'!$M:$M, 'Activity map'!$A:$A, A172, 'Activity map'!$H:$H, "=TRUE"))</f>
        <v>n/a</v>
      </c>
      <c r="J172" s="8" t="str">
        <f t="shared" si="3"/>
        <v/>
      </c>
      <c r="K172" s="26" t="str">
        <f>IF(MINIFS('Activity map'!$L:$L, 'Activity map'!$A:$A, A172, 'Activity map'!$H:$H, "=TRUE") = 0, "n/a", MINIFS('Activity map'!$L:$L, 'Activity map'!$A:$A, A172, 'Activity map'!$H:$H, "=TRUE"))</f>
        <v>n/a</v>
      </c>
      <c r="L172" s="8" t="str">
        <f t="shared" si="4"/>
        <v/>
      </c>
      <c r="M172" s="26">
        <f>MINIFS('Activity map'!$C:$C, 'Activity map'!$A:$A, $A172, 'Activity map'!$H:$H, "=TRUE", 'Activity map'!$K:$K, MINIFS('Activity map'!$K:$K, 'Activity map'!$A:$A, $A172, 'Activity map'!$H:$H, "=TRUE"))</f>
        <v>4103</v>
      </c>
      <c r="N172" s="26">
        <f>MINIFS('Activity map'!$C:$C, 'Activity map'!$A:$A, $A172, 'Activity map'!$H:$H, "=TRUE", 'Activity map'!$E:$E, $T172)</f>
        <v>4103</v>
      </c>
      <c r="O172" s="106">
        <f t="shared" si="5"/>
        <v>0.04700574768</v>
      </c>
      <c r="P172" s="30" t="str">
        <f>IF($M172=0, "-", VLOOKUP($M172, 'List of log slots'!$A:$C, 2, FALSE))</f>
        <v>Mystic robe bottom (dark)</v>
      </c>
      <c r="Q172" s="31">
        <f>IFERROR(__xludf.DUMMYFUNCTION("IF(ISERROR(FILTER('Activity map'!$C:$C, ('Activity map'!$A:$A=$A172)*('Activity map'!$F:$F=FALSE))), 0, COUNTA(UNIQUE(FILTER('Activity map'!$C:$C, ('Activity map'!$A:$A=$A172)*('Activity map'!$F:$F=FALSE)))))"),3.0)</f>
        <v>3</v>
      </c>
      <c r="R172" s="31">
        <f>IFERROR(__xludf.DUMMYFUNCTION("IF(ISERROR(FILTER('Activity map'!$C:$C, 'Activity map'!$A:$A=$A172)), 0, COUNTA(UNIQUE(FILTER('Activity map'!$C:$C, 'Activity map'!$A:$A=$A172))))"),3.0)</f>
        <v>3</v>
      </c>
      <c r="S172" s="97">
        <f t="shared" si="6"/>
        <v>0</v>
      </c>
      <c r="T172" s="31">
        <f>IFERROR(__xludf.DUMMYFUNCTION("IF(ISERROR(FILTER('Activity map'!$E:$E, ('Activity map'!$A:$A=$A172)*('Activity map'!$F:$F=FALSE))), ""-"", MIN(UNIQUE(FILTER('Activity map'!$E:$E, ('Activity map'!$A:$A=$A172)*('Activity map'!$F:$F=FALSE)))))"),4.0)</f>
        <v>4</v>
      </c>
      <c r="U172" s="30" t="str">
        <f>IF($N172=0, "-", VLOOKUP($N172, 'List of log slots'!$A:$C, 2, FALSE))</f>
        <v>Mystic robe bottom (dark)</v>
      </c>
    </row>
    <row r="173">
      <c r="A173" s="26">
        <v>232.0</v>
      </c>
      <c r="B173" s="23" t="str">
        <f>VLOOKUP($A173, 'Completion rates'!$A:$E, 2, FALSE)</f>
        <v>Killing ogress shamans</v>
      </c>
      <c r="C173" s="26">
        <f>IF(Notes!$E$27, VLOOKUP($A173, 'Completion rates'!$A:$E, 4, FALSE), VLOOKUP($A173, 'Completion rates'!$A:$E, 3, FALSE))</f>
        <v>250</v>
      </c>
      <c r="D173" s="26">
        <f>VLOOKUP($A173, 'Completion rates'!$A:$E, 5, FALSE)</f>
        <v>0</v>
      </c>
      <c r="E173" s="28">
        <f>IF(SUMIFS('Activity map'!$O:$O, 'Activity map'!$A:$A, A173, 'Activity map'!$H:$H, "=TRUE") = 0, "n/a", 1/SUMIFS('Activity map'!$O:$O, 'Activity map'!$A:$A, A173, 'Activity map'!$H:$H, "=TRUE"))</f>
        <v>283.0604178</v>
      </c>
      <c r="F173" s="26">
        <f t="shared" si="1"/>
        <v>1.132241671</v>
      </c>
      <c r="G173" s="26" t="str">
        <f>IF(MINIFS('Activity map'!$N:$N, 'Activity map'!$A:$A, A173, 'Activity map'!$H:$H, "=TRUE") = 0, "n/a", MINIFS('Activity map'!$N:$N, 'Activity map'!$A:$A, A173, 'Activity map'!$H:$H, "=TRUE"))</f>
        <v>n/a</v>
      </c>
      <c r="H173" s="8" t="str">
        <f t="shared" si="2"/>
        <v/>
      </c>
      <c r="I173" s="26" t="str">
        <f>IF(MINIFS('Activity map'!$M:$M, 'Activity map'!$A:$A, A173, 'Activity map'!$H:$H, "=TRUE") = 0, "n/a", MINIFS('Activity map'!$M:$M, 'Activity map'!$A:$A, A173, 'Activity map'!$H:$H, "=TRUE"))</f>
        <v>n/a</v>
      </c>
      <c r="J173" s="8" t="str">
        <f t="shared" si="3"/>
        <v/>
      </c>
      <c r="K173" s="26" t="str">
        <f>IF(MINIFS('Activity map'!$L:$L, 'Activity map'!$A:$A, A173, 'Activity map'!$H:$H, "=TRUE") = 0, "n/a", MINIFS('Activity map'!$L:$L, 'Activity map'!$A:$A, A173, 'Activity map'!$H:$H, "=TRUE"))</f>
        <v>n/a</v>
      </c>
      <c r="L173" s="8" t="str">
        <f t="shared" si="4"/>
        <v/>
      </c>
      <c r="M173" s="26">
        <f>MINIFS('Activity map'!$C:$C, 'Activity map'!$A:$A, $A173, 'Activity map'!$H:$H, "=TRUE", 'Activity map'!$K:$K, MINIFS('Activity map'!$K:$K, 'Activity map'!$A:$A, $A173, 'Activity map'!$H:$H, "=TRUE"))</f>
        <v>10976</v>
      </c>
      <c r="N173" s="26">
        <f>MINIFS('Activity map'!$C:$C, 'Activity map'!$A:$A, $A173, 'Activity map'!$H:$H, "=TRUE", 'Activity map'!$E:$E, $T173)</f>
        <v>10976</v>
      </c>
      <c r="O173" s="153">
        <f t="shared" si="5"/>
        <v>0.04717673631</v>
      </c>
      <c r="P173" s="30" t="str">
        <f>IF($M173=0, "-", VLOOKUP($M173, 'List of log slots'!$A:$C, 2, FALSE))</f>
        <v>Long bone</v>
      </c>
      <c r="Q173" s="31">
        <f>IFERROR(__xludf.DUMMYFUNCTION("IF(ISERROR(FILTER('Activity map'!$C:$C, ('Activity map'!$A:$A=$A173)*('Activity map'!$F:$F=FALSE))), 0, COUNTA(UNIQUE(FILTER('Activity map'!$C:$C, ('Activity map'!$A:$A=$A173)*('Activity map'!$F:$F=FALSE)))))"),3.0)</f>
        <v>3</v>
      </c>
      <c r="R173" s="31">
        <f>IFERROR(__xludf.DUMMYFUNCTION("IF(ISERROR(FILTER('Activity map'!$C:$C, 'Activity map'!$A:$A=$A173)), 0, COUNTA(UNIQUE(FILTER('Activity map'!$C:$C, 'Activity map'!$A:$A=$A173))))"),3.0)</f>
        <v>3</v>
      </c>
      <c r="S173" s="91">
        <f t="shared" si="6"/>
        <v>0</v>
      </c>
      <c r="T173" s="31">
        <f>IFERROR(__xludf.DUMMYFUNCTION("IF(ISERROR(FILTER('Activity map'!$E:$E, ('Activity map'!$A:$A=$A173)*('Activity map'!$F:$F=FALSE))), ""-"", MIN(UNIQUE(FILTER('Activity map'!$E:$E, ('Activity map'!$A:$A=$A173)*('Activity map'!$F:$F=FALSE)))))"),3.0)</f>
        <v>3</v>
      </c>
      <c r="U173" s="30" t="str">
        <f>IF($N173=0, "-", VLOOKUP($N173, 'List of log slots'!$A:$C, 2, FALSE))</f>
        <v>Long bone</v>
      </c>
    </row>
    <row r="174">
      <c r="A174" s="26">
        <v>167.0</v>
      </c>
      <c r="B174" s="23" t="str">
        <f>VLOOKUP($A174, 'Completion rates'!$A:$E, 2, FALSE)</f>
        <v>Killing basilisks</v>
      </c>
      <c r="C174" s="26">
        <f>IF(Notes!$E$27, VLOOKUP($A174, 'Completion rates'!$A:$E, 4, FALSE), VLOOKUP($A174, 'Completion rates'!$A:$E, 3, FALSE))</f>
        <v>350</v>
      </c>
      <c r="D174" s="26">
        <f>VLOOKUP($A174, 'Completion rates'!$A:$E, 5, FALSE)</f>
        <v>0</v>
      </c>
      <c r="E174" s="28">
        <f>IF(SUMIFS('Activity map'!$O:$O, 'Activity map'!$A:$A, A174, 'Activity map'!$H:$H, "=TRUE") = 0, "n/a", 1/SUMIFS('Activity map'!$O:$O, 'Activity map'!$A:$A, A174, 'Activity map'!$H:$H, "=TRUE"))</f>
        <v>404.8887448</v>
      </c>
      <c r="F174" s="26">
        <f t="shared" si="1"/>
        <v>1.156824985</v>
      </c>
      <c r="G174" s="26" t="str">
        <f>IF(MINIFS('Activity map'!$N:$N, 'Activity map'!$A:$A, A174, 'Activity map'!$H:$H, "=TRUE") = 0, "n/a", MINIFS('Activity map'!$N:$N, 'Activity map'!$A:$A, A174, 'Activity map'!$H:$H, "=TRUE"))</f>
        <v>n/a</v>
      </c>
      <c r="H174" s="8" t="str">
        <f t="shared" si="2"/>
        <v/>
      </c>
      <c r="I174" s="26" t="str">
        <f>IF(MINIFS('Activity map'!$M:$M, 'Activity map'!$A:$A, A174, 'Activity map'!$H:$H, "=TRUE") = 0, "n/a", MINIFS('Activity map'!$M:$M, 'Activity map'!$A:$A, A174, 'Activity map'!$H:$H, "=TRUE"))</f>
        <v>n/a</v>
      </c>
      <c r="J174" s="8" t="str">
        <f t="shared" si="3"/>
        <v/>
      </c>
      <c r="K174" s="26" t="str">
        <f>IF(MINIFS('Activity map'!$L:$L, 'Activity map'!$A:$A, A174, 'Activity map'!$H:$H, "=TRUE") = 0, "n/a", MINIFS('Activity map'!$L:$L, 'Activity map'!$A:$A, A174, 'Activity map'!$H:$H, "=TRUE"))</f>
        <v>n/a</v>
      </c>
      <c r="L174" s="8" t="str">
        <f t="shared" si="4"/>
        <v/>
      </c>
      <c r="M174" s="26">
        <f>MINIFS('Activity map'!$C:$C, 'Activity map'!$A:$A, $A174, 'Activity map'!$H:$H, "=TRUE", 'Activity map'!$K:$K, MINIFS('Activity map'!$K:$K, 'Activity map'!$A:$A, $A174, 'Activity map'!$H:$H, "=TRUE"))</f>
        <v>4109</v>
      </c>
      <c r="N174" s="26">
        <f>MINIFS('Activity map'!$C:$C, 'Activity map'!$A:$A, $A174, 'Activity map'!$H:$H, "=TRUE", 'Activity map'!$E:$E, $T174)</f>
        <v>4109</v>
      </c>
      <c r="O174" s="154">
        <f t="shared" si="5"/>
        <v>0.04820104104</v>
      </c>
      <c r="P174" s="30" t="str">
        <f>IF($M174=0, "-", VLOOKUP($M174, 'List of log slots'!$A:$C, 2, FALSE))</f>
        <v>Mystic hat (light)</v>
      </c>
      <c r="Q174" s="31">
        <f>IFERROR(__xludf.DUMMYFUNCTION("IF(ISERROR(FILTER('Activity map'!$C:$C, ('Activity map'!$A:$A=$A174)*('Activity map'!$F:$F=FALSE))), 0, COUNTA(UNIQUE(FILTER('Activity map'!$C:$C, ('Activity map'!$A:$A=$A174)*('Activity map'!$F:$F=FALSE)))))"),4.0)</f>
        <v>4</v>
      </c>
      <c r="R174" s="31">
        <f>IFERROR(__xludf.DUMMYFUNCTION("IF(ISERROR(FILTER('Activity map'!$C:$C, 'Activity map'!$A:$A=$A174)), 0, COUNTA(UNIQUE(FILTER('Activity map'!$C:$C, 'Activity map'!$A:$A=$A174))))"),4.0)</f>
        <v>4</v>
      </c>
      <c r="S174" s="32">
        <f t="shared" si="6"/>
        <v>0</v>
      </c>
      <c r="T174" s="31">
        <f>IFERROR(__xludf.DUMMYFUNCTION("IF(ISERROR(FILTER('Activity map'!$E:$E, ('Activity map'!$A:$A=$A174)*('Activity map'!$F:$F=FALSE))), ""-"", MIN(UNIQUE(FILTER('Activity map'!$E:$E, ('Activity map'!$A:$A=$A174)*('Activity map'!$F:$F=FALSE)))))"),3.0)</f>
        <v>3</v>
      </c>
      <c r="U174" s="30" t="str">
        <f>IF($N174=0, "-", VLOOKUP($N174, 'List of log slots'!$A:$C, 2, FALSE))</f>
        <v>Mystic hat (light)</v>
      </c>
    </row>
    <row r="175">
      <c r="A175" s="26">
        <v>64.0</v>
      </c>
      <c r="B175" s="23" t="str">
        <f>VLOOKUP($A175, 'Completion rates'!$A:$E, 2, FALSE)</f>
        <v>Tombs of amascut reward chests (150)</v>
      </c>
      <c r="C175" s="26">
        <f>IF(Notes!$E$27, VLOOKUP($A175, 'Completion rates'!$A:$E, 4, FALSE), VLOOKUP($A175, 'Completion rates'!$A:$E, 3, FALSE))</f>
        <v>3.7</v>
      </c>
      <c r="D175" s="26">
        <f>VLOOKUP($A175, 'Completion rates'!$A:$E, 5, FALSE)</f>
        <v>0</v>
      </c>
      <c r="E175" s="28">
        <f>IF(SUMIFS('Activity map'!$O:$O, 'Activity map'!$A:$A, A175, 'Activity map'!$H:$H, "=TRUE") = 0, "n/a", 1/SUMIFS('Activity map'!$O:$O, 'Activity map'!$A:$A, A175, 'Activity map'!$H:$H, "=TRUE"))</f>
        <v>4.314708804</v>
      </c>
      <c r="F175" s="26">
        <f t="shared" si="1"/>
        <v>1.166137515</v>
      </c>
      <c r="G175" s="26">
        <f>IF(MINIFS('Activity map'!$N:$N, 'Activity map'!$A:$A, A175, 'Activity map'!$H:$H, "=TRUE") = 0, "n/a", MINIFS('Activity map'!$N:$N, 'Activity map'!$A:$A, A175, 'Activity map'!$H:$H, "=TRUE"))</f>
        <v>13</v>
      </c>
      <c r="H175" s="26">
        <f t="shared" si="2"/>
        <v>3.513513514</v>
      </c>
      <c r="I175" s="26">
        <f>IF(MINIFS('Activity map'!$M:$M, 'Activity map'!$A:$A, A175, 'Activity map'!$H:$H, "=TRUE") = 0, "n/a", MINIFS('Activity map'!$M:$M, 'Activity map'!$A:$A, A175, 'Activity map'!$H:$H, "=TRUE"))</f>
        <v>100</v>
      </c>
      <c r="J175" s="26">
        <f t="shared" si="3"/>
        <v>27.02702703</v>
      </c>
      <c r="K175" s="26" t="str">
        <f>IF(MINIFS('Activity map'!$L:$L, 'Activity map'!$A:$A, A175, 'Activity map'!$H:$H, "=TRUE") = 0, "n/a", MINIFS('Activity map'!$L:$L, 'Activity map'!$A:$A, A175, 'Activity map'!$H:$H, "=TRUE"))</f>
        <v>n/a</v>
      </c>
      <c r="L175" s="8" t="str">
        <f t="shared" si="4"/>
        <v/>
      </c>
      <c r="M175" s="26">
        <f>MINIFS('Activity map'!$C:$C, 'Activity map'!$A:$A, $A175, 'Activity map'!$H:$H, "=TRUE", 'Activity map'!$K:$K, MINIFS('Activity map'!$K:$K, 'Activity map'!$A:$A, $A175, 'Activity map'!$H:$H, "=TRUE"))</f>
        <v>27293</v>
      </c>
      <c r="N175" s="26">
        <f>MINIFS('Activity map'!$C:$C, 'Activity map'!$A:$A, $A175, 'Activity map'!$H:$H, "=TRUE", 'Activity map'!$E:$E, $T175)</f>
        <v>27279</v>
      </c>
      <c r="O175" s="155">
        <f t="shared" si="5"/>
        <v>0.04858906311</v>
      </c>
      <c r="P175" s="30" t="str">
        <f>IF($M175=0, "-", VLOOKUP($M175, 'List of log slots'!$A:$C, 2, FALSE))</f>
        <v>Cache of runes</v>
      </c>
      <c r="Q175" s="31">
        <f>IFERROR(__xludf.DUMMYFUNCTION("IF(ISERROR(FILTER('Activity map'!$C:$C, ('Activity map'!$A:$A=$A175)*('Activity map'!$F:$F=FALSE))), 0, COUNTA(UNIQUE(FILTER('Activity map'!$C:$C, ('Activity map'!$A:$A=$A175)*('Activity map'!$F:$F=FALSE)))))"),19.0)</f>
        <v>19</v>
      </c>
      <c r="R175" s="31">
        <f>IFERROR(__xludf.DUMMYFUNCTION("IF(ISERROR(FILTER('Activity map'!$C:$C, 'Activity map'!$A:$A=$A175)), 0, COUNTA(UNIQUE(FILTER('Activity map'!$C:$C, 'Activity map'!$A:$A=$A175))))"),19.0)</f>
        <v>19</v>
      </c>
      <c r="S175" s="72">
        <f t="shared" si="6"/>
        <v>0</v>
      </c>
      <c r="T175" s="31">
        <f>IFERROR(__xludf.DUMMYFUNCTION("IF(ISERROR(FILTER('Activity map'!$E:$E, ('Activity map'!$A:$A=$A175)*('Activity map'!$F:$F=FALSE))), ""-"", MIN(UNIQUE(FILTER('Activity map'!$E:$E, ('Activity map'!$A:$A=$A175)*('Activity map'!$F:$F=FALSE)))))"),5.0)</f>
        <v>5</v>
      </c>
      <c r="U175" s="30" t="str">
        <f>IF($N175=0, "-", VLOOKUP($N175, 'List of log slots'!$A:$C, 2, FALSE))</f>
        <v>Thread of elidinis</v>
      </c>
    </row>
    <row r="176">
      <c r="A176" s="26">
        <v>168.0</v>
      </c>
      <c r="B176" s="23" t="str">
        <f>VLOOKUP($A176, 'Completion rates'!$A:$E, 2, FALSE)</f>
        <v>Killing basilisk knights (on task)</v>
      </c>
      <c r="C176" s="26">
        <f>IF(Notes!$E$27, VLOOKUP($A176, 'Completion rates'!$A:$E, 4, FALSE), VLOOKUP($A176, 'Completion rates'!$A:$E, 3, FALSE))</f>
        <v>90</v>
      </c>
      <c r="D176" s="26">
        <f>VLOOKUP($A176, 'Completion rates'!$A:$E, 5, FALSE)</f>
        <v>0</v>
      </c>
      <c r="E176" s="28">
        <f>IF(SUMIFS('Activity map'!$O:$O, 'Activity map'!$A:$A, A176, 'Activity map'!$H:$H, "=TRUE") = 0, "n/a", 1/SUMIFS('Activity map'!$O:$O, 'Activity map'!$A:$A, A176, 'Activity map'!$H:$H, "=TRUE"))</f>
        <v>114.3950539</v>
      </c>
      <c r="F176" s="26">
        <f t="shared" si="1"/>
        <v>1.271056154</v>
      </c>
      <c r="G176" s="26" t="str">
        <f>IF(MINIFS('Activity map'!$N:$N, 'Activity map'!$A:$A, A176, 'Activity map'!$H:$H, "=TRUE") = 0, "n/a", MINIFS('Activity map'!$N:$N, 'Activity map'!$A:$A, A176, 'Activity map'!$H:$H, "=TRUE"))</f>
        <v>n/a</v>
      </c>
      <c r="H176" s="8" t="str">
        <f t="shared" si="2"/>
        <v/>
      </c>
      <c r="I176" s="26" t="str">
        <f>IF(MINIFS('Activity map'!$M:$M, 'Activity map'!$A:$A, A176, 'Activity map'!$H:$H, "=TRUE") = 0, "n/a", MINIFS('Activity map'!$M:$M, 'Activity map'!$A:$A, A176, 'Activity map'!$H:$H, "=TRUE"))</f>
        <v>n/a</v>
      </c>
      <c r="J176" s="8" t="str">
        <f t="shared" si="3"/>
        <v/>
      </c>
      <c r="K176" s="26" t="str">
        <f>IF(MINIFS('Activity map'!$L:$L, 'Activity map'!$A:$A, A176, 'Activity map'!$H:$H, "=TRUE") = 0, "n/a", MINIFS('Activity map'!$L:$L, 'Activity map'!$A:$A, A176, 'Activity map'!$H:$H, "=TRUE"))</f>
        <v>n/a</v>
      </c>
      <c r="L176" s="8" t="str">
        <f t="shared" si="4"/>
        <v/>
      </c>
      <c r="M176" s="26">
        <f>MINIFS('Activity map'!$C:$C, 'Activity map'!$A:$A, $A176, 'Activity map'!$H:$H, "=TRUE", 'Activity map'!$K:$K, MINIFS('Activity map'!$K:$K, 'Activity map'!$A:$A, $A176, 'Activity map'!$H:$H, "=TRUE"))</f>
        <v>4109</v>
      </c>
      <c r="N176" s="26">
        <f>MINIFS('Activity map'!$C:$C, 'Activity map'!$A:$A, $A176, 'Activity map'!$H:$H, "=TRUE", 'Activity map'!$E:$E, $T176)</f>
        <v>4109</v>
      </c>
      <c r="O176" s="156">
        <f t="shared" si="5"/>
        <v>0.05296067308</v>
      </c>
      <c r="P176" s="30" t="str">
        <f>IF($M176=0, "-", VLOOKUP($M176, 'List of log slots'!$A:$C, 2, FALSE))</f>
        <v>Mystic hat (light)</v>
      </c>
      <c r="Q176" s="31">
        <f>IFERROR(__xludf.DUMMYFUNCTION("IF(ISERROR(FILTER('Activity map'!$C:$C, ('Activity map'!$A:$A=$A176)*('Activity map'!$F:$F=FALSE))), 0, COUNTA(UNIQUE(FILTER('Activity map'!$C:$C, ('Activity map'!$A:$A=$A176)*('Activity map'!$F:$F=FALSE)))))"),11.0)</f>
        <v>11</v>
      </c>
      <c r="R176" s="31">
        <f>IFERROR(__xludf.DUMMYFUNCTION("IF(ISERROR(FILTER('Activity map'!$C:$C, 'Activity map'!$A:$A=$A176)), 0, COUNTA(UNIQUE(FILTER('Activity map'!$C:$C, 'Activity map'!$A:$A=$A176))))"),11.0)</f>
        <v>11</v>
      </c>
      <c r="S176" s="102">
        <f t="shared" si="6"/>
        <v>0</v>
      </c>
      <c r="T176" s="31">
        <f>IFERROR(__xludf.DUMMYFUNCTION("IF(ISERROR(FILTER('Activity map'!$E:$E, ('Activity map'!$A:$A=$A176)*('Activity map'!$F:$F=FALSE))), ""-"", MIN(UNIQUE(FILTER('Activity map'!$E:$E, ('Activity map'!$A:$A=$A176)*('Activity map'!$F:$F=FALSE)))))"),3.0)</f>
        <v>3</v>
      </c>
      <c r="U176" s="30" t="str">
        <f>IF($N176=0, "-", VLOOKUP($N176, 'List of log slots'!$A:$C, 2, FALSE))</f>
        <v>Mystic hat (light)</v>
      </c>
    </row>
    <row r="177">
      <c r="A177" s="26">
        <v>196.0</v>
      </c>
      <c r="B177" s="23" t="str">
        <f>VLOOKUP($A177, 'Completion rates'!$A:$E, 2, FALSE)</f>
        <v>Killing drakes (on task)</v>
      </c>
      <c r="C177" s="26">
        <f>IF(Notes!$E$27, VLOOKUP($A177, 'Completion rates'!$A:$E, 4, FALSE), VLOOKUP($A177, 'Completion rates'!$A:$E, 3, FALSE))</f>
        <v>155</v>
      </c>
      <c r="D177" s="26">
        <f>VLOOKUP($A177, 'Completion rates'!$A:$E, 5, FALSE)</f>
        <v>0</v>
      </c>
      <c r="E177" s="28">
        <f>IF(SUMIFS('Activity map'!$O:$O, 'Activity map'!$A:$A, A177, 'Activity map'!$H:$H, "=TRUE") = 0, "n/a", 1/SUMIFS('Activity map'!$O:$O, 'Activity map'!$A:$A, A177, 'Activity map'!$H:$H, "=TRUE"))</f>
        <v>197.7768317</v>
      </c>
      <c r="F177" s="26">
        <f t="shared" si="1"/>
        <v>1.275979559</v>
      </c>
      <c r="G177" s="26" t="str">
        <f>IF(MINIFS('Activity map'!$N:$N, 'Activity map'!$A:$A, A177, 'Activity map'!$H:$H, "=TRUE") = 0, "n/a", MINIFS('Activity map'!$N:$N, 'Activity map'!$A:$A, A177, 'Activity map'!$H:$H, "=TRUE"))</f>
        <v>n/a</v>
      </c>
      <c r="H177" s="8" t="str">
        <f t="shared" si="2"/>
        <v/>
      </c>
      <c r="I177" s="26" t="str">
        <f>IF(MINIFS('Activity map'!$M:$M, 'Activity map'!$A:$A, A177, 'Activity map'!$H:$H, "=TRUE") = 0, "n/a", MINIFS('Activity map'!$M:$M, 'Activity map'!$A:$A, A177, 'Activity map'!$H:$H, "=TRUE"))</f>
        <v>n/a</v>
      </c>
      <c r="J177" s="8" t="str">
        <f t="shared" si="3"/>
        <v/>
      </c>
      <c r="K177" s="26" t="str">
        <f>IF(MINIFS('Activity map'!$L:$L, 'Activity map'!$A:$A, A177, 'Activity map'!$H:$H, "=TRUE") = 0, "n/a", MINIFS('Activity map'!$L:$L, 'Activity map'!$A:$A, A177, 'Activity map'!$H:$H, "=TRUE"))</f>
        <v>n/a</v>
      </c>
      <c r="L177" s="8" t="str">
        <f t="shared" si="4"/>
        <v/>
      </c>
      <c r="M177" s="26">
        <f>MINIFS('Activity map'!$C:$C, 'Activity map'!$A:$A, $A177, 'Activity map'!$H:$H, "=TRUE", 'Activity map'!$K:$K, MINIFS('Activity map'!$K:$K, 'Activity map'!$A:$A, $A177, 'Activity map'!$H:$H, "=TRUE"))</f>
        <v>22957</v>
      </c>
      <c r="N177" s="26">
        <f>MINIFS('Activity map'!$C:$C, 'Activity map'!$A:$A, $A177, 'Activity map'!$H:$H, "=TRUE", 'Activity map'!$E:$E, $T177)</f>
        <v>22957</v>
      </c>
      <c r="O177" s="144">
        <f t="shared" si="5"/>
        <v>0.05316581497</v>
      </c>
      <c r="P177" s="30" t="str">
        <f>IF($M177=0, "-", VLOOKUP($M177, 'List of log slots'!$A:$C, 2, FALSE))</f>
        <v>Drake's claw</v>
      </c>
      <c r="Q177" s="31">
        <f>IFERROR(__xludf.DUMMYFUNCTION("IF(ISERROR(FILTER('Activity map'!$C:$C, ('Activity map'!$A:$A=$A177)*('Activity map'!$F:$F=FALSE))), 0, COUNTA(UNIQUE(FILTER('Activity map'!$C:$C, ('Activity map'!$A:$A=$A177)*('Activity map'!$F:$F=FALSE)))))"),10.0)</f>
        <v>10</v>
      </c>
      <c r="R177" s="31">
        <f>IFERROR(__xludf.DUMMYFUNCTION("IF(ISERROR(FILTER('Activity map'!$C:$C, 'Activity map'!$A:$A=$A177)), 0, COUNTA(UNIQUE(FILTER('Activity map'!$C:$C, 'Activity map'!$A:$A=$A177))))"),10.0)</f>
        <v>10</v>
      </c>
      <c r="S177" s="58">
        <f t="shared" si="6"/>
        <v>0</v>
      </c>
      <c r="T177" s="31">
        <f>IFERROR(__xludf.DUMMYFUNCTION("IF(ISERROR(FILTER('Activity map'!$E:$E, ('Activity map'!$A:$A=$A177)*('Activity map'!$F:$F=FALSE))), ""-"", MIN(UNIQUE(FILTER('Activity map'!$E:$E, ('Activity map'!$A:$A=$A177)*('Activity map'!$F:$F=FALSE)))))"),4.0)</f>
        <v>4</v>
      </c>
      <c r="U177" s="30" t="str">
        <f>IF($N177=0, "-", VLOOKUP($N177, 'List of log slots'!$A:$C, 2, FALSE))</f>
        <v>Drake's claw</v>
      </c>
    </row>
    <row r="178">
      <c r="A178" s="26">
        <v>7.0</v>
      </c>
      <c r="B178" s="23" t="str">
        <f>VLOOKUP($A178, 'Completion rates'!$A:$E, 2, FALSE)</f>
        <v>Killing artio</v>
      </c>
      <c r="C178" s="26">
        <f>IF(Notes!$E$27, VLOOKUP($A178, 'Completion rates'!$A:$E, 4, FALSE), VLOOKUP($A178, 'Completion rates'!$A:$E, 3, FALSE))</f>
        <v>60</v>
      </c>
      <c r="D178" s="26">
        <f>VLOOKUP($A178, 'Completion rates'!$A:$E, 5, FALSE)</f>
        <v>0</v>
      </c>
      <c r="E178" s="28">
        <f>IF(SUMIFS('Activity map'!$O:$O, 'Activity map'!$A:$A, A178, 'Activity map'!$H:$H, "=TRUE") = 0, "n/a", 1/SUMIFS('Activity map'!$O:$O, 'Activity map'!$A:$A, A178, 'Activity map'!$H:$H, "=TRUE"))</f>
        <v>78.40383199</v>
      </c>
      <c r="F178" s="26">
        <f t="shared" si="1"/>
        <v>1.306730533</v>
      </c>
      <c r="G178" s="26" t="str">
        <f>IF(MINIFS('Activity map'!$N:$N, 'Activity map'!$A:$A, A178, 'Activity map'!$H:$H, "=TRUE") = 0, "n/a", MINIFS('Activity map'!$N:$N, 'Activity map'!$A:$A, A178, 'Activity map'!$H:$H, "=TRUE"))</f>
        <v>n/a</v>
      </c>
      <c r="H178" s="8" t="str">
        <f t="shared" si="2"/>
        <v/>
      </c>
      <c r="I178" s="26" t="str">
        <f>IF(MINIFS('Activity map'!$M:$M, 'Activity map'!$A:$A, A178, 'Activity map'!$H:$H, "=TRUE") = 0, "n/a", MINIFS('Activity map'!$M:$M, 'Activity map'!$A:$A, A178, 'Activity map'!$H:$H, "=TRUE"))</f>
        <v>n/a</v>
      </c>
      <c r="J178" s="8" t="str">
        <f t="shared" si="3"/>
        <v/>
      </c>
      <c r="K178" s="26" t="str">
        <f>IF(MINIFS('Activity map'!$L:$L, 'Activity map'!$A:$A, A178, 'Activity map'!$H:$H, "=TRUE") = 0, "n/a", MINIFS('Activity map'!$L:$L, 'Activity map'!$A:$A, A178, 'Activity map'!$H:$H, "=TRUE"))</f>
        <v>n/a</v>
      </c>
      <c r="L178" s="8" t="str">
        <f t="shared" si="4"/>
        <v/>
      </c>
      <c r="M178" s="26">
        <f>MINIFS('Activity map'!$C:$C, 'Activity map'!$A:$A, $A178, 'Activity map'!$H:$H, "=TRUE", 'Activity map'!$K:$K, MINIFS('Activity map'!$K:$K, 'Activity map'!$A:$A, $A178, 'Activity map'!$H:$H, "=TRUE"))</f>
        <v>7158</v>
      </c>
      <c r="N178" s="26">
        <f>MINIFS('Activity map'!$C:$C, 'Activity map'!$A:$A, $A178, 'Activity map'!$H:$H, "=TRUE", 'Activity map'!$E:$E, $T178)</f>
        <v>10976</v>
      </c>
      <c r="O178" s="157">
        <f t="shared" si="5"/>
        <v>0.05444710555</v>
      </c>
      <c r="P178" s="30" t="str">
        <f>IF($M178=0, "-", VLOOKUP($M178, 'List of log slots'!$A:$C, 2, FALSE))</f>
        <v>Dragon 2h sword</v>
      </c>
      <c r="Q178" s="31">
        <f>IFERROR(__xludf.DUMMYFUNCTION("IF(ISERROR(FILTER('Activity map'!$C:$C, ('Activity map'!$A:$A=$A178)*('Activity map'!$F:$F=FALSE))), 0, COUNTA(UNIQUE(FILTER('Activity map'!$C:$C, ('Activity map'!$A:$A=$A178)*('Activity map'!$F:$F=FALSE)))))"),8.0)</f>
        <v>8</v>
      </c>
      <c r="R178" s="31">
        <f>IFERROR(__xludf.DUMMYFUNCTION("IF(ISERROR(FILTER('Activity map'!$C:$C, 'Activity map'!$A:$A=$A178)), 0, COUNTA(UNIQUE(FILTER('Activity map'!$C:$C, 'Activity map'!$A:$A=$A178))))"),8.0)</f>
        <v>8</v>
      </c>
      <c r="S178" s="55">
        <f t="shared" si="6"/>
        <v>0</v>
      </c>
      <c r="T178" s="31">
        <f>IFERROR(__xludf.DUMMYFUNCTION("IF(ISERROR(FILTER('Activity map'!$E:$E, ('Activity map'!$A:$A=$A178)*('Activity map'!$F:$F=FALSE))), ""-"", MIN(UNIQUE(FILTER('Activity map'!$E:$E, ('Activity map'!$A:$A=$A178)*('Activity map'!$F:$F=FALSE)))))"),3.0)</f>
        <v>3</v>
      </c>
      <c r="U178" s="30" t="str">
        <f>IF($N178=0, "-", VLOOKUP($N178, 'List of log slots'!$A:$C, 2, FALSE))</f>
        <v>Long bone</v>
      </c>
    </row>
    <row r="179">
      <c r="A179" s="26">
        <v>65.0</v>
      </c>
      <c r="B179" s="23" t="str">
        <f>VLOOKUP($A179, 'Completion rates'!$A:$E, 2, FALSE)</f>
        <v>Tombs of amascut reward chests (300)</v>
      </c>
      <c r="C179" s="26">
        <f>IF(Notes!$E$27, VLOOKUP($A179, 'Completion rates'!$A:$E, 4, FALSE), VLOOKUP($A179, 'Completion rates'!$A:$E, 3, FALSE))</f>
        <v>3</v>
      </c>
      <c r="D179" s="26">
        <f>VLOOKUP($A179, 'Completion rates'!$A:$E, 5, FALSE)</f>
        <v>0</v>
      </c>
      <c r="E179" s="28">
        <f>IF(SUMIFS('Activity map'!$O:$O, 'Activity map'!$A:$A, A179, 'Activity map'!$H:$H, "=TRUE") = 0, "n/a", 1/SUMIFS('Activity map'!$O:$O, 'Activity map'!$A:$A, A179, 'Activity map'!$H:$H, "=TRUE"))</f>
        <v>3.963793258</v>
      </c>
      <c r="F179" s="26">
        <f t="shared" si="1"/>
        <v>1.321264419</v>
      </c>
      <c r="G179" s="26">
        <f>IF(MINIFS('Activity map'!$N:$N, 'Activity map'!$A:$A, A179, 'Activity map'!$H:$H, "=TRUE") = 0, "n/a", MINIFS('Activity map'!$N:$N, 'Activity map'!$A:$A, A179, 'Activity map'!$H:$H, "=TRUE"))</f>
        <v>13</v>
      </c>
      <c r="H179" s="26">
        <f t="shared" si="2"/>
        <v>4.333333333</v>
      </c>
      <c r="I179" s="26">
        <f>IF(MINIFS('Activity map'!$M:$M, 'Activity map'!$A:$A, A179, 'Activity map'!$H:$H, "=TRUE") = 0, "n/a", MINIFS('Activity map'!$M:$M, 'Activity map'!$A:$A, A179, 'Activity map'!$H:$H, "=TRUE"))</f>
        <v>100</v>
      </c>
      <c r="J179" s="26">
        <f t="shared" si="3"/>
        <v>33.33333333</v>
      </c>
      <c r="K179" s="26" t="str">
        <f>IF(MINIFS('Activity map'!$L:$L, 'Activity map'!$A:$A, A179, 'Activity map'!$H:$H, "=TRUE") = 0, "n/a", MINIFS('Activity map'!$L:$L, 'Activity map'!$A:$A, A179, 'Activity map'!$H:$H, "=TRUE"))</f>
        <v>n/a</v>
      </c>
      <c r="L179" s="8" t="str">
        <f t="shared" si="4"/>
        <v/>
      </c>
      <c r="M179" s="26">
        <f>MINIFS('Activity map'!$C:$C, 'Activity map'!$A:$A, $A179, 'Activity map'!$H:$H, "=TRUE", 'Activity map'!$K:$K, MINIFS('Activity map'!$K:$K, 'Activity map'!$A:$A, $A179, 'Activity map'!$H:$H, "=TRUE"))</f>
        <v>27293</v>
      </c>
      <c r="N179" s="26">
        <f>MINIFS('Activity map'!$C:$C, 'Activity map'!$A:$A, $A179, 'Activity map'!$H:$H, "=TRUE", 'Activity map'!$E:$E, $T179)</f>
        <v>27279</v>
      </c>
      <c r="O179" s="158">
        <f t="shared" si="5"/>
        <v>0.05505268414</v>
      </c>
      <c r="P179" s="30" t="str">
        <f>IF($M179=0, "-", VLOOKUP($M179, 'List of log slots'!$A:$C, 2, FALSE))</f>
        <v>Cache of runes</v>
      </c>
      <c r="Q179" s="31">
        <f>IFERROR(__xludf.DUMMYFUNCTION("IF(ISERROR(FILTER('Activity map'!$C:$C, ('Activity map'!$A:$A=$A179)*('Activity map'!$F:$F=FALSE))), 0, COUNTA(UNIQUE(FILTER('Activity map'!$C:$C, ('Activity map'!$A:$A=$A179)*('Activity map'!$F:$F=FALSE)))))"),19.0)</f>
        <v>19</v>
      </c>
      <c r="R179" s="31">
        <f>IFERROR(__xludf.DUMMYFUNCTION("IF(ISERROR(FILTER('Activity map'!$C:$C, 'Activity map'!$A:$A=$A179)), 0, COUNTA(UNIQUE(FILTER('Activity map'!$C:$C, 'Activity map'!$A:$A=$A179))))"),19.0)</f>
        <v>19</v>
      </c>
      <c r="S179" s="72">
        <f t="shared" si="6"/>
        <v>0</v>
      </c>
      <c r="T179" s="31">
        <f>IFERROR(__xludf.DUMMYFUNCTION("IF(ISERROR(FILTER('Activity map'!$E:$E, ('Activity map'!$A:$A=$A179)*('Activity map'!$F:$F=FALSE))), ""-"", MIN(UNIQUE(FILTER('Activity map'!$E:$E, ('Activity map'!$A:$A=$A179)*('Activity map'!$F:$F=FALSE)))))"),5.0)</f>
        <v>5</v>
      </c>
      <c r="U179" s="30" t="str">
        <f>IF($N179=0, "-", VLOOKUP($N179, 'List of log slots'!$A:$C, 2, FALSE))</f>
        <v>Thread of elidinis</v>
      </c>
    </row>
    <row r="180">
      <c r="A180" s="26">
        <v>62.0</v>
      </c>
      <c r="B180" s="23" t="str">
        <f>VLOOKUP($A180, 'Completion rates'!$A:$E, 2, FALSE)</f>
        <v>Theater of blood (4 person team)</v>
      </c>
      <c r="C180" s="26">
        <f>IF(Notes!$E$27, VLOOKUP($A180, 'Completion rates'!$A:$E, 4, FALSE), VLOOKUP($A180, 'Completion rates'!$A:$E, 3, FALSE))</f>
        <v>3.2</v>
      </c>
      <c r="D180" s="26">
        <f>VLOOKUP($A180, 'Completion rates'!$A:$E, 5, FALSE)</f>
        <v>0</v>
      </c>
      <c r="E180" s="28">
        <f>IF(SUMIFS('Activity map'!$O:$O, 'Activity map'!$A:$A, A180, 'Activity map'!$H:$H, "=TRUE") = 0, "n/a", 1/SUMIFS('Activity map'!$O:$O, 'Activity map'!$A:$A, A180, 'Activity map'!$H:$H, "=TRUE"))</f>
        <v>4.365624124</v>
      </c>
      <c r="F180" s="26">
        <f t="shared" si="1"/>
        <v>1.364257539</v>
      </c>
      <c r="G180" s="26" t="str">
        <f>IF(MINIFS('Activity map'!$N:$N, 'Activity map'!$A:$A, A180, 'Activity map'!$H:$H, "=TRUE") = 0, "n/a", MINIFS('Activity map'!$N:$N, 'Activity map'!$A:$A, A180, 'Activity map'!$H:$H, "=TRUE"))</f>
        <v>n/a</v>
      </c>
      <c r="H180" s="8" t="str">
        <f t="shared" si="2"/>
        <v/>
      </c>
      <c r="I180" s="26">
        <f>IF(MINIFS('Activity map'!$M:$M, 'Activity map'!$A:$A, A180, 'Activity map'!$H:$H, "=TRUE") = 0, "n/a", MINIFS('Activity map'!$M:$M, 'Activity map'!$A:$A, A180, 'Activity map'!$H:$H, "=TRUE"))</f>
        <v>100</v>
      </c>
      <c r="J180" s="26">
        <f t="shared" si="3"/>
        <v>31.25</v>
      </c>
      <c r="K180" s="26" t="str">
        <f>IF(MINIFS('Activity map'!$L:$L, 'Activity map'!$A:$A, A180, 'Activity map'!$H:$H, "=TRUE") = 0, "n/a", MINIFS('Activity map'!$L:$L, 'Activity map'!$A:$A, A180, 'Activity map'!$H:$H, "=TRUE"))</f>
        <v>n/a</v>
      </c>
      <c r="L180" s="8" t="str">
        <f t="shared" si="4"/>
        <v/>
      </c>
      <c r="M180" s="26">
        <f>MINIFS('Activity map'!$C:$C, 'Activity map'!$A:$A, $A180, 'Activity map'!$H:$H, "=TRUE", 'Activity map'!$K:$K, MINIFS('Activity map'!$K:$K, 'Activity map'!$A:$A, $A180, 'Activity map'!$H:$H, "=TRUE"))</f>
        <v>22446</v>
      </c>
      <c r="N180" s="26">
        <f>MINIFS('Activity map'!$C:$C, 'Activity map'!$A:$A, $A180, 'Activity map'!$H:$H, "=TRUE", 'Activity map'!$E:$E, $T180)</f>
        <v>22446</v>
      </c>
      <c r="O180" s="159">
        <f t="shared" si="5"/>
        <v>0.05684406411</v>
      </c>
      <c r="P180" s="30" t="str">
        <f>IF($M180=0, "-", VLOOKUP($M180, 'List of log slots'!$A:$C, 2, FALSE))</f>
        <v>Vial of blood</v>
      </c>
      <c r="Q180" s="31">
        <f>IFERROR(__xludf.DUMMYFUNCTION("IF(ISERROR(FILTER('Activity map'!$C:$C, ('Activity map'!$A:$A=$A180)*('Activity map'!$F:$F=FALSE))), 0, COUNTA(UNIQUE(FILTER('Activity map'!$C:$C, ('Activity map'!$A:$A=$A180)*('Activity map'!$F:$F=FALSE)))))"),14.0)</f>
        <v>14</v>
      </c>
      <c r="R180" s="31">
        <f>IFERROR(__xludf.DUMMYFUNCTION("IF(ISERROR(FILTER('Activity map'!$C:$C, 'Activity map'!$A:$A=$A180)), 0, COUNTA(UNIQUE(FILTER('Activity map'!$C:$C, 'Activity map'!$A:$A=$A180))))"),14.0)</f>
        <v>14</v>
      </c>
      <c r="S180" s="72">
        <f t="shared" si="6"/>
        <v>0</v>
      </c>
      <c r="T180" s="31">
        <f>IFERROR(__xludf.DUMMYFUNCTION("IF(ISERROR(FILTER('Activity map'!$E:$E, ('Activity map'!$A:$A=$A180)*('Activity map'!$F:$F=FALSE))), ""-"", MIN(UNIQUE(FILTER('Activity map'!$E:$E, ('Activity map'!$A:$A=$A180)*('Activity map'!$F:$F=FALSE)))))"),6.0)</f>
        <v>6</v>
      </c>
      <c r="U180" s="30" t="str">
        <f>IF($N180=0, "-", VLOOKUP($N180, 'List of log slots'!$A:$C, 2, FALSE))</f>
        <v>Vial of blood</v>
      </c>
    </row>
    <row r="181">
      <c r="A181" s="26">
        <v>53.0</v>
      </c>
      <c r="B181" s="23" t="str">
        <f>VLOOKUP($A181, 'Completion rates'!$A:$E, 2, FALSE)</f>
        <v>Killing calvar'ion</v>
      </c>
      <c r="C181" s="26">
        <f>IF(Notes!$E$27, VLOOKUP($A181, 'Completion rates'!$A:$E, 4, FALSE), VLOOKUP($A181, 'Completion rates'!$A:$E, 3, FALSE))</f>
        <v>55</v>
      </c>
      <c r="D181" s="26">
        <f>VLOOKUP($A181, 'Completion rates'!$A:$E, 5, FALSE)</f>
        <v>0</v>
      </c>
      <c r="E181" s="28">
        <f>IF(SUMIFS('Activity map'!$O:$O, 'Activity map'!$A:$A, A181, 'Activity map'!$H:$H, "=TRUE") = 0, "n/a", 1/SUMIFS('Activity map'!$O:$O, 'Activity map'!$A:$A, A181, 'Activity map'!$H:$H, "=TRUE"))</f>
        <v>79.60921409</v>
      </c>
      <c r="F181" s="26">
        <f t="shared" si="1"/>
        <v>1.447440256</v>
      </c>
      <c r="G181" s="26" t="str">
        <f>IF(MINIFS('Activity map'!$N:$N, 'Activity map'!$A:$A, A181, 'Activity map'!$H:$H, "=TRUE") = 0, "n/a", MINIFS('Activity map'!$N:$N, 'Activity map'!$A:$A, A181, 'Activity map'!$H:$H, "=TRUE"))</f>
        <v>n/a</v>
      </c>
      <c r="H181" s="8" t="str">
        <f t="shared" si="2"/>
        <v/>
      </c>
      <c r="I181" s="26" t="str">
        <f>IF(MINIFS('Activity map'!$M:$M, 'Activity map'!$A:$A, A181, 'Activity map'!$H:$H, "=TRUE") = 0, "n/a", MINIFS('Activity map'!$M:$M, 'Activity map'!$A:$A, A181, 'Activity map'!$H:$H, "=TRUE"))</f>
        <v>n/a</v>
      </c>
      <c r="J181" s="8" t="str">
        <f t="shared" si="3"/>
        <v/>
      </c>
      <c r="K181" s="26" t="str">
        <f>IF(MINIFS('Activity map'!$L:$L, 'Activity map'!$A:$A, A181, 'Activity map'!$H:$H, "=TRUE") = 0, "n/a", MINIFS('Activity map'!$L:$L, 'Activity map'!$A:$A, A181, 'Activity map'!$H:$H, "=TRUE"))</f>
        <v>n/a</v>
      </c>
      <c r="L181" s="8" t="str">
        <f t="shared" si="4"/>
        <v/>
      </c>
      <c r="M181" s="26">
        <f>MINIFS('Activity map'!$C:$C, 'Activity map'!$A:$A, $A181, 'Activity map'!$H:$H, "=TRUE", 'Activity map'!$K:$K, MINIFS('Activity map'!$K:$K, 'Activity map'!$A:$A, $A181, 'Activity map'!$H:$H, "=TRUE"))</f>
        <v>7158</v>
      </c>
      <c r="N181" s="26">
        <f>MINIFS('Activity map'!$C:$C, 'Activity map'!$A:$A, $A181, 'Activity map'!$H:$H, "=TRUE", 'Activity map'!$E:$E, $T181)</f>
        <v>10976</v>
      </c>
      <c r="O181" s="160">
        <f t="shared" si="5"/>
        <v>0.06031001068</v>
      </c>
      <c r="P181" s="30" t="str">
        <f>IF($M181=0, "-", VLOOKUP($M181, 'List of log slots'!$A:$C, 2, FALSE))</f>
        <v>Dragon 2h sword</v>
      </c>
      <c r="Q181" s="31">
        <f>IFERROR(__xludf.DUMMYFUNCTION("IF(ISERROR(FILTER('Activity map'!$C:$C, ('Activity map'!$A:$A=$A181)*('Activity map'!$F:$F=FALSE))), 0, COUNTA(UNIQUE(FILTER('Activity map'!$C:$C, ('Activity map'!$A:$A=$A181)*('Activity map'!$F:$F=FALSE)))))"),9.0)</f>
        <v>9</v>
      </c>
      <c r="R181" s="31">
        <f>IFERROR(__xludf.DUMMYFUNCTION("IF(ISERROR(FILTER('Activity map'!$C:$C, 'Activity map'!$A:$A=$A181)), 0, COUNTA(UNIQUE(FILTER('Activity map'!$C:$C, 'Activity map'!$A:$A=$A181))))"),9.0)</f>
        <v>9</v>
      </c>
      <c r="S181" s="161">
        <f t="shared" si="6"/>
        <v>0</v>
      </c>
      <c r="T181" s="31">
        <f>IFERROR(__xludf.DUMMYFUNCTION("IF(ISERROR(FILTER('Activity map'!$E:$E, ('Activity map'!$A:$A=$A181)*('Activity map'!$F:$F=FALSE))), ""-"", MIN(UNIQUE(FILTER('Activity map'!$E:$E, ('Activity map'!$A:$A=$A181)*('Activity map'!$F:$F=FALSE)))))"),3.0)</f>
        <v>3</v>
      </c>
      <c r="U181" s="30" t="str">
        <f>IF($N181=0, "-", VLOOKUP($N181, 'List of log slots'!$A:$C, 2, FALSE))</f>
        <v>Long bone</v>
      </c>
    </row>
    <row r="182">
      <c r="A182" s="26">
        <v>63.0</v>
      </c>
      <c r="B182" s="23" t="str">
        <f>VLOOKUP($A182, 'Completion rates'!$A:$E, 2, FALSE)</f>
        <v>Theater of blood hard mode (4 person team)</v>
      </c>
      <c r="C182" s="26">
        <f>IF(Notes!$E$27, VLOOKUP($A182, 'Completion rates'!$A:$E, 4, FALSE), VLOOKUP($A182, 'Completion rates'!$A:$E, 3, FALSE))</f>
        <v>2.7</v>
      </c>
      <c r="D182" s="26">
        <f>VLOOKUP($A182, 'Completion rates'!$A:$E, 5, FALSE)</f>
        <v>0</v>
      </c>
      <c r="E182" s="28">
        <f>IF(SUMIFS('Activity map'!$O:$O, 'Activity map'!$A:$A, A182, 'Activity map'!$H:$H, "=TRUE") = 0, "n/a", 1/SUMIFS('Activity map'!$O:$O, 'Activity map'!$A:$A, A182, 'Activity map'!$H:$H, "=TRUE"))</f>
        <v>3.924487202</v>
      </c>
      <c r="F182" s="26">
        <f t="shared" si="1"/>
        <v>1.453513779</v>
      </c>
      <c r="G182" s="26" t="str">
        <f>IF(MINIFS('Activity map'!$N:$N, 'Activity map'!$A:$A, A182, 'Activity map'!$H:$H, "=TRUE") = 0, "n/a", MINIFS('Activity map'!$N:$N, 'Activity map'!$A:$A, A182, 'Activity map'!$H:$H, "=TRUE"))</f>
        <v>n/a</v>
      </c>
      <c r="H182" s="8" t="str">
        <f t="shared" si="2"/>
        <v/>
      </c>
      <c r="I182" s="26">
        <f>IF(MINIFS('Activity map'!$M:$M, 'Activity map'!$A:$A, A182, 'Activity map'!$H:$H, "=TRUE") = 0, "n/a", MINIFS('Activity map'!$M:$M, 'Activity map'!$A:$A, A182, 'Activity map'!$H:$H, "=TRUE"))</f>
        <v>100</v>
      </c>
      <c r="J182" s="26">
        <f t="shared" si="3"/>
        <v>37.03703704</v>
      </c>
      <c r="K182" s="26" t="str">
        <f>IF(MINIFS('Activity map'!$L:$L, 'Activity map'!$A:$A, A182, 'Activity map'!$H:$H, "=TRUE") = 0, "n/a", MINIFS('Activity map'!$L:$L, 'Activity map'!$A:$A, A182, 'Activity map'!$H:$H, "=TRUE"))</f>
        <v>n/a</v>
      </c>
      <c r="L182" s="8" t="str">
        <f t="shared" si="4"/>
        <v/>
      </c>
      <c r="M182" s="26">
        <f>MINIFS('Activity map'!$C:$C, 'Activity map'!$A:$A, $A182, 'Activity map'!$H:$H, "=TRUE", 'Activity map'!$K:$K, MINIFS('Activity map'!$K:$K, 'Activity map'!$A:$A, $A182, 'Activity map'!$H:$H, "=TRUE"))</f>
        <v>22446</v>
      </c>
      <c r="N182" s="26">
        <f>MINIFS('Activity map'!$C:$C, 'Activity map'!$A:$A, $A182, 'Activity map'!$H:$H, "=TRUE", 'Activity map'!$E:$E, $T182)</f>
        <v>22446</v>
      </c>
      <c r="O182" s="144">
        <f t="shared" si="5"/>
        <v>0.06056307411</v>
      </c>
      <c r="P182" s="30" t="str">
        <f>IF($M182=0, "-", VLOOKUP($M182, 'List of log slots'!$A:$C, 2, FALSE))</f>
        <v>Vial of blood</v>
      </c>
      <c r="Q182" s="31">
        <f>IFERROR(__xludf.DUMMYFUNCTION("IF(ISERROR(FILTER('Activity map'!$C:$C, ('Activity map'!$A:$A=$A182)*('Activity map'!$F:$F=FALSE))), 0, COUNTA(UNIQUE(FILTER('Activity map'!$C:$C, ('Activity map'!$A:$A=$A182)*('Activity map'!$F:$F=FALSE)))))"),17.0)</f>
        <v>17</v>
      </c>
      <c r="R182" s="31">
        <f>IFERROR(__xludf.DUMMYFUNCTION("IF(ISERROR(FILTER('Activity map'!$C:$C, 'Activity map'!$A:$A=$A182)), 0, COUNTA(UNIQUE(FILTER('Activity map'!$C:$C, 'Activity map'!$A:$A=$A182))))"),17.0)</f>
        <v>17</v>
      </c>
      <c r="S182" s="72">
        <f t="shared" si="6"/>
        <v>0</v>
      </c>
      <c r="T182" s="31">
        <f>IFERROR(__xludf.DUMMYFUNCTION("IF(ISERROR(FILTER('Activity map'!$E:$E, ('Activity map'!$A:$A=$A182)*('Activity map'!$F:$F=FALSE))), ""-"", MIN(UNIQUE(FILTER('Activity map'!$E:$E, ('Activity map'!$A:$A=$A182)*('Activity map'!$F:$F=FALSE)))))"),6.0)</f>
        <v>6</v>
      </c>
      <c r="U182" s="30" t="str">
        <f>IF($N182=0, "-", VLOOKUP($N182, 'List of log slots'!$A:$C, 2, FALSE))</f>
        <v>Vial of blood</v>
      </c>
    </row>
    <row r="183">
      <c r="A183" s="26">
        <v>31.0</v>
      </c>
      <c r="B183" s="23" t="str">
        <f>VLOOKUP($A183, 'Completion rates'!$A:$E, 2, FALSE)</f>
        <v>Killing kree'arra</v>
      </c>
      <c r="C183" s="26">
        <f>IF(Notes!$E$27, VLOOKUP($A183, 'Completion rates'!$A:$E, 4, FALSE), VLOOKUP($A183, 'Completion rates'!$A:$E, 3, FALSE))</f>
        <v>40</v>
      </c>
      <c r="D183" s="26">
        <f>VLOOKUP($A183, 'Completion rates'!$A:$E, 5, FALSE)</f>
        <v>0</v>
      </c>
      <c r="E183" s="28">
        <f>IF(SUMIFS('Activity map'!$O:$O, 'Activity map'!$A:$A, A183, 'Activity map'!$H:$H, "=TRUE") = 0, "n/a", 1/SUMIFS('Activity map'!$O:$O, 'Activity map'!$A:$A, A183, 'Activity map'!$H:$H, "=TRUE"))</f>
        <v>58.50141852</v>
      </c>
      <c r="F183" s="26">
        <f t="shared" si="1"/>
        <v>1.462535463</v>
      </c>
      <c r="G183" s="26" t="str">
        <f>IF(MINIFS('Activity map'!$N:$N, 'Activity map'!$A:$A, A183, 'Activity map'!$H:$H, "=TRUE") = 0, "n/a", MINIFS('Activity map'!$N:$N, 'Activity map'!$A:$A, A183, 'Activity map'!$H:$H, "=TRUE"))</f>
        <v>n/a</v>
      </c>
      <c r="H183" s="8" t="str">
        <f t="shared" si="2"/>
        <v/>
      </c>
      <c r="I183" s="26" t="str">
        <f>IF(MINIFS('Activity map'!$M:$M, 'Activity map'!$A:$A, A183, 'Activity map'!$H:$H, "=TRUE") = 0, "n/a", MINIFS('Activity map'!$M:$M, 'Activity map'!$A:$A, A183, 'Activity map'!$H:$H, "=TRUE"))</f>
        <v>n/a</v>
      </c>
      <c r="J183" s="8" t="str">
        <f t="shared" si="3"/>
        <v/>
      </c>
      <c r="K183" s="26" t="str">
        <f>IF(MINIFS('Activity map'!$L:$L, 'Activity map'!$A:$A, A183, 'Activity map'!$H:$H, "=TRUE") = 0, "n/a", MINIFS('Activity map'!$L:$L, 'Activity map'!$A:$A, A183, 'Activity map'!$H:$H, "=TRUE"))</f>
        <v>n/a</v>
      </c>
      <c r="L183" s="8" t="str">
        <f t="shared" si="4"/>
        <v/>
      </c>
      <c r="M183" s="26">
        <f>MINIFS('Activity map'!$C:$C, 'Activity map'!$A:$A, $A183, 'Activity map'!$H:$H, "=TRUE", 'Activity map'!$K:$K, MINIFS('Activity map'!$K:$K, 'Activity map'!$A:$A, $A183, 'Activity map'!$H:$H, "=TRUE"))</f>
        <v>11826</v>
      </c>
      <c r="N183" s="26">
        <f>MINIFS('Activity map'!$C:$C, 'Activity map'!$A:$A, $A183, 'Activity map'!$H:$H, "=TRUE", 'Activity map'!$E:$E, $T183)</f>
        <v>10976</v>
      </c>
      <c r="O183" s="162">
        <f t="shared" si="5"/>
        <v>0.06093897762</v>
      </c>
      <c r="P183" s="30" t="str">
        <f>IF($M183=0, "-", VLOOKUP($M183, 'List of log slots'!$A:$C, 2, FALSE))</f>
        <v>Armadyl helmet</v>
      </c>
      <c r="Q183" s="31">
        <f>IFERROR(__xludf.DUMMYFUNCTION("IF(ISERROR(FILTER('Activity map'!$C:$C, ('Activity map'!$A:$A=$A183)*('Activity map'!$F:$F=FALSE))), 0, COUNTA(UNIQUE(FILTER('Activity map'!$C:$C, ('Activity map'!$A:$A=$A183)*('Activity map'!$F:$F=FALSE)))))"),12.0)</f>
        <v>12</v>
      </c>
      <c r="R183" s="31">
        <f>IFERROR(__xludf.DUMMYFUNCTION("IF(ISERROR(FILTER('Activity map'!$C:$C, 'Activity map'!$A:$A=$A183)), 0, COUNTA(UNIQUE(FILTER('Activity map'!$C:$C, 'Activity map'!$A:$A=$A183))))"),12.0)</f>
        <v>12</v>
      </c>
      <c r="S183" s="55">
        <f t="shared" si="6"/>
        <v>0</v>
      </c>
      <c r="T183" s="31">
        <f>IFERROR(__xludf.DUMMYFUNCTION("IF(ISERROR(FILTER('Activity map'!$E:$E, ('Activity map'!$A:$A=$A183)*('Activity map'!$F:$F=FALSE))), ""-"", MIN(UNIQUE(FILTER('Activity map'!$E:$E, ('Activity map'!$A:$A=$A183)*('Activity map'!$F:$F=FALSE)))))"),3.0)</f>
        <v>3</v>
      </c>
      <c r="U183" s="30" t="str">
        <f>IF($N183=0, "-", VLOOKUP($N183, 'List of log slots'!$A:$C, 2, FALSE))</f>
        <v>Long bone</v>
      </c>
    </row>
    <row r="184">
      <c r="A184" s="26">
        <v>54.0</v>
      </c>
      <c r="B184" s="23" t="str">
        <f>VLOOKUP($A184, 'Completion rates'!$A:$E, 2, FALSE)</f>
        <v>Killing vorkath</v>
      </c>
      <c r="C184" s="26">
        <f>IF(Notes!$E$27, VLOOKUP($A184, 'Completion rates'!$A:$E, 4, FALSE), VLOOKUP($A184, 'Completion rates'!$A:$E, 3, FALSE))</f>
        <v>34</v>
      </c>
      <c r="D184" s="26">
        <f>VLOOKUP($A184, 'Completion rates'!$A:$E, 5, FALSE)</f>
        <v>0</v>
      </c>
      <c r="E184" s="28">
        <f>IF(SUMIFS('Activity map'!$O:$O, 'Activity map'!$A:$A, A184, 'Activity map'!$H:$H, "=TRUE") = 0, "n/a", 1/SUMIFS('Activity map'!$O:$O, 'Activity map'!$A:$A, A184, 'Activity map'!$H:$H, "=TRUE"))</f>
        <v>400.2640945</v>
      </c>
      <c r="F184" s="26">
        <f t="shared" si="1"/>
        <v>11.77247337</v>
      </c>
      <c r="G184" s="26" t="str">
        <f>IF(MINIFS('Activity map'!$N:$N, 'Activity map'!$A:$A, A184, 'Activity map'!$H:$H, "=TRUE") = 0, "n/a", MINIFS('Activity map'!$N:$N, 'Activity map'!$A:$A, A184, 'Activity map'!$H:$H, "=TRUE"))</f>
        <v>n/a</v>
      </c>
      <c r="H184" s="8" t="str">
        <f t="shared" si="2"/>
        <v/>
      </c>
      <c r="I184" s="26">
        <f>IF(MINIFS('Activity map'!$M:$M, 'Activity map'!$A:$A, A184, 'Activity map'!$H:$H, "=TRUE") = 0, "n/a", MINIFS('Activity map'!$M:$M, 'Activity map'!$A:$A, A184, 'Activity map'!$H:$H, "=TRUE"))</f>
        <v>50</v>
      </c>
      <c r="J184" s="8">
        <f t="shared" si="3"/>
        <v>1.470588235</v>
      </c>
      <c r="K184" s="26" t="str">
        <f>IF(MINIFS('Activity map'!$L:$L, 'Activity map'!$A:$A, A184, 'Activity map'!$H:$H, "=TRUE") = 0, "n/a", MINIFS('Activity map'!$L:$L, 'Activity map'!$A:$A, A184, 'Activity map'!$H:$H, "=TRUE"))</f>
        <v>n/a</v>
      </c>
      <c r="L184" s="8" t="str">
        <f t="shared" si="4"/>
        <v/>
      </c>
      <c r="M184" s="26">
        <f>MINIFS('Activity map'!$C:$C, 'Activity map'!$A:$A, $A184, 'Activity map'!$H:$H, "=TRUE", 'Activity map'!$K:$K, MINIFS('Activity map'!$K:$K, 'Activity map'!$A:$A, $A184, 'Activity map'!$H:$H, "=TRUE"))</f>
        <v>21907</v>
      </c>
      <c r="N184" s="26">
        <f>MINIFS('Activity map'!$C:$C, 'Activity map'!$A:$A, $A184, 'Activity map'!$H:$H, "=TRUE", 'Activity map'!$E:$E, $T184)</f>
        <v>1249</v>
      </c>
      <c r="O184" s="163">
        <f t="shared" si="5"/>
        <v>0.0612745098</v>
      </c>
      <c r="P184" s="30" t="str">
        <f>IF($M184=0, "-", VLOOKUP($M184, 'List of log slots'!$A:$C, 2, FALSE))</f>
        <v>Vorkath's head</v>
      </c>
      <c r="Q184" s="31">
        <f>IFERROR(__xludf.DUMMYFUNCTION("IF(ISERROR(FILTER('Activity map'!$C:$C, ('Activity map'!$A:$A=$A184)*('Activity map'!$F:$F=FALSE))), 0, COUNTA(UNIQUE(FILTER('Activity map'!$C:$C, ('Activity map'!$A:$A=$A184)*('Activity map'!$F:$F=FALSE)))))"),8.0)</f>
        <v>8</v>
      </c>
      <c r="R184" s="31">
        <f>IFERROR(__xludf.DUMMYFUNCTION("IF(ISERROR(FILTER('Activity map'!$C:$C, 'Activity map'!$A:$A=$A184)), 0, COUNTA(UNIQUE(FILTER('Activity map'!$C:$C, 'Activity map'!$A:$A=$A184))))"),8.0)</f>
        <v>8</v>
      </c>
      <c r="S184" s="134">
        <f t="shared" si="6"/>
        <v>0</v>
      </c>
      <c r="T184" s="31">
        <f>IFERROR(__xludf.DUMMYFUNCTION("IF(ISERROR(FILTER('Activity map'!$E:$E, ('Activity map'!$A:$A=$A184)*('Activity map'!$F:$F=FALSE))), ""-"", MIN(UNIQUE(FILTER('Activity map'!$E:$E, ('Activity map'!$A:$A=$A184)*('Activity map'!$F:$F=FALSE)))))"),5.0)</f>
        <v>5</v>
      </c>
      <c r="U184" s="30" t="str">
        <f>IF($N184=0, "-", VLOOKUP($N184, 'List of log slots'!$A:$C, 2, FALSE))</f>
        <v>Dragon spear</v>
      </c>
    </row>
    <row r="185">
      <c r="A185" s="26">
        <v>209.0</v>
      </c>
      <c r="B185" s="23" t="str">
        <f>VLOOKUP($A185, 'Completion rates'!$A:$E, 2, FALSE)</f>
        <v>Killing earthen naguas</v>
      </c>
      <c r="C185" s="26">
        <f>IF(Notes!$E$27, VLOOKUP($A185, 'Completion rates'!$A:$E, 4, FALSE), VLOOKUP($A185, 'Completion rates'!$A:$E, 3, FALSE))</f>
        <v>270</v>
      </c>
      <c r="D185" s="26">
        <f>VLOOKUP($A185, 'Completion rates'!$A:$E, 5, FALSE)</f>
        <v>0</v>
      </c>
      <c r="E185" s="28">
        <f>IF(SUMIFS('Activity map'!$O:$O, 'Activity map'!$A:$A, A185, 'Activity map'!$H:$H, "=TRUE") = 0, "n/a", 1/SUMIFS('Activity map'!$O:$O, 'Activity map'!$A:$A, A185, 'Activity map'!$H:$H, "=TRUE"))</f>
        <v>397.8751194</v>
      </c>
      <c r="F185" s="26">
        <f t="shared" si="1"/>
        <v>1.473611553</v>
      </c>
      <c r="G185" s="26" t="str">
        <f>IF(MINIFS('Activity map'!$N:$N, 'Activity map'!$A:$A, A185, 'Activity map'!$H:$H, "=TRUE") = 0, "n/a", MINIFS('Activity map'!$N:$N, 'Activity map'!$A:$A, A185, 'Activity map'!$H:$H, "=TRUE"))</f>
        <v>n/a</v>
      </c>
      <c r="H185" s="8" t="str">
        <f t="shared" si="2"/>
        <v/>
      </c>
      <c r="I185" s="26" t="str">
        <f>IF(MINIFS('Activity map'!$M:$M, 'Activity map'!$A:$A, A185, 'Activity map'!$H:$H, "=TRUE") = 0, "n/a", MINIFS('Activity map'!$M:$M, 'Activity map'!$A:$A, A185, 'Activity map'!$H:$H, "=TRUE"))</f>
        <v>n/a</v>
      </c>
      <c r="J185" s="8" t="str">
        <f t="shared" si="3"/>
        <v/>
      </c>
      <c r="K185" s="26" t="str">
        <f>IF(MINIFS('Activity map'!$L:$L, 'Activity map'!$A:$A, A185, 'Activity map'!$H:$H, "=TRUE") = 0, "n/a", MINIFS('Activity map'!$L:$L, 'Activity map'!$A:$A, A185, 'Activity map'!$H:$H, "=TRUE"))</f>
        <v>n/a</v>
      </c>
      <c r="L185" s="8" t="str">
        <f t="shared" si="4"/>
        <v/>
      </c>
      <c r="M185" s="26">
        <f>MINIFS('Activity map'!$C:$C, 'Activity map'!$A:$A, $A185, 'Activity map'!$H:$H, "=TRUE", 'Activity map'!$K:$K, MINIFS('Activity map'!$K:$K, 'Activity map'!$A:$A, $A185, 'Activity map'!$H:$H, "=TRUE"))</f>
        <v>30957</v>
      </c>
      <c r="N185" s="26">
        <f>MINIFS('Activity map'!$C:$C, 'Activity map'!$A:$A, $A185, 'Activity map'!$H:$H, "=TRUE", 'Activity map'!$E:$E, $T185)</f>
        <v>30957</v>
      </c>
      <c r="O185" s="148">
        <f t="shared" si="5"/>
        <v>0.06140048138</v>
      </c>
      <c r="P185" s="30" t="str">
        <f>IF($M185=0, "-", VLOOKUP($M185, 'List of log slots'!$A:$C, 2, FALSE))</f>
        <v>Earthbound tecpatl</v>
      </c>
      <c r="Q185" s="31">
        <f>IFERROR(__xludf.DUMMYFUNCTION("IF(ISERROR(FILTER('Activity map'!$C:$C, ('Activity map'!$A:$A=$A185)*('Activity map'!$F:$F=FALSE))), 0, COUNTA(UNIQUE(FILTER('Activity map'!$C:$C, ('Activity map'!$A:$A=$A185)*('Activity map'!$F:$F=FALSE)))))"),3.0)</f>
        <v>3</v>
      </c>
      <c r="R185" s="31">
        <f>IFERROR(__xludf.DUMMYFUNCTION("IF(ISERROR(FILTER('Activity map'!$C:$C, 'Activity map'!$A:$A=$A185)), 0, COUNTA(UNIQUE(FILTER('Activity map'!$C:$C, 'Activity map'!$A:$A=$A185))))"),3.0)</f>
        <v>3</v>
      </c>
      <c r="S185" s="97">
        <f t="shared" si="6"/>
        <v>0</v>
      </c>
      <c r="T185" s="31">
        <f>IFERROR(__xludf.DUMMYFUNCTION("IF(ISERROR(FILTER('Activity map'!$E:$E, ('Activity map'!$A:$A=$A185)*('Activity map'!$F:$F=FALSE))), ""-"", MIN(UNIQUE(FILTER('Activity map'!$E:$E, ('Activity map'!$A:$A=$A185)*('Activity map'!$F:$F=FALSE)))))"),4.0)</f>
        <v>4</v>
      </c>
      <c r="U185" s="30" t="str">
        <f>IF($N185=0, "-", VLOOKUP($N185, 'List of log slots'!$A:$C, 2, FALSE))</f>
        <v>Earthbound tecpatl</v>
      </c>
    </row>
    <row r="186">
      <c r="A186" s="26">
        <v>206.0</v>
      </c>
      <c r="B186" s="23" t="str">
        <f>VLOOKUP($A186, 'Completion rates'!$A:$E, 2, FALSE)</f>
        <v>Killing sulphur naguas</v>
      </c>
      <c r="C186" s="26">
        <f>IF(Notes!$E$27, VLOOKUP($A186, 'Completion rates'!$A:$E, 4, FALSE), VLOOKUP($A186, 'Completion rates'!$A:$E, 3, FALSE))</f>
        <v>300</v>
      </c>
      <c r="D186" s="26">
        <f>VLOOKUP($A186, 'Completion rates'!$A:$E, 5, FALSE)</f>
        <v>0</v>
      </c>
      <c r="E186" s="28">
        <f>IF(SUMIFS('Activity map'!$O:$O, 'Activity map'!$A:$A, A186, 'Activity map'!$H:$H, "=TRUE") = 0, "n/a", 1/SUMIFS('Activity map'!$O:$O, 'Activity map'!$A:$A, A186, 'Activity map'!$H:$H, "=TRUE"))</f>
        <v>450</v>
      </c>
      <c r="F186" s="8">
        <f t="shared" si="1"/>
        <v>1.5</v>
      </c>
      <c r="G186" s="26" t="str">
        <f>IF(MINIFS('Activity map'!$N:$N, 'Activity map'!$A:$A, A186, 'Activity map'!$H:$H, "=TRUE") = 0, "n/a", MINIFS('Activity map'!$N:$N, 'Activity map'!$A:$A, A186, 'Activity map'!$H:$H, "=TRUE"))</f>
        <v>n/a</v>
      </c>
      <c r="H186" s="8" t="str">
        <f t="shared" si="2"/>
        <v/>
      </c>
      <c r="I186" s="26" t="str">
        <f>IF(MINIFS('Activity map'!$M:$M, 'Activity map'!$A:$A, A186, 'Activity map'!$H:$H, "=TRUE") = 0, "n/a", MINIFS('Activity map'!$M:$M, 'Activity map'!$A:$A, A186, 'Activity map'!$H:$H, "=TRUE"))</f>
        <v>n/a</v>
      </c>
      <c r="J186" s="8" t="str">
        <f t="shared" si="3"/>
        <v/>
      </c>
      <c r="K186" s="26" t="str">
        <f>IF(MINIFS('Activity map'!$L:$L, 'Activity map'!$A:$A, A186, 'Activity map'!$H:$H, "=TRUE") = 0, "n/a", MINIFS('Activity map'!$L:$L, 'Activity map'!$A:$A, A186, 'Activity map'!$H:$H, "=TRUE"))</f>
        <v>n/a</v>
      </c>
      <c r="L186" s="8" t="str">
        <f t="shared" si="4"/>
        <v/>
      </c>
      <c r="M186" s="26">
        <f>MINIFS('Activity map'!$C:$C, 'Activity map'!$A:$A, $A186, 'Activity map'!$H:$H, "=TRUE", 'Activity map'!$K:$K, MINIFS('Activity map'!$K:$K, 'Activity map'!$A:$A, $A186, 'Activity map'!$H:$H, "=TRUE"))</f>
        <v>29084</v>
      </c>
      <c r="N186" s="26">
        <f>MINIFS('Activity map'!$C:$C, 'Activity map'!$A:$A, $A186, 'Activity map'!$H:$H, "=TRUE", 'Activity map'!$E:$E, $T186)</f>
        <v>29084</v>
      </c>
      <c r="O186" s="35">
        <f t="shared" si="5"/>
        <v>0.0625</v>
      </c>
      <c r="P186" s="30" t="str">
        <f>IF($M186=0, "-", VLOOKUP($M186, 'List of log slots'!$A:$C, 2, FALSE))</f>
        <v>Sulphur blades</v>
      </c>
      <c r="Q186" s="31">
        <f>IFERROR(__xludf.DUMMYFUNCTION("IF(ISERROR(FILTER('Activity map'!$C:$C, ('Activity map'!$A:$A=$A186)*('Activity map'!$F:$F=FALSE))), 0, COUNTA(UNIQUE(FILTER('Activity map'!$C:$C, ('Activity map'!$A:$A=$A186)*('Activity map'!$F:$F=FALSE)))))"),1.0)</f>
        <v>1</v>
      </c>
      <c r="R186" s="31">
        <f>IFERROR(__xludf.DUMMYFUNCTION("IF(ISERROR(FILTER('Activity map'!$C:$C, 'Activity map'!$A:$A=$A186)), 0, COUNTA(UNIQUE(FILTER('Activity map'!$C:$C, 'Activity map'!$A:$A=$A186))))"),1.0)</f>
        <v>1</v>
      </c>
      <c r="S186" s="36">
        <f t="shared" si="6"/>
        <v>0</v>
      </c>
      <c r="T186" s="31">
        <f>IFERROR(__xludf.DUMMYFUNCTION("IF(ISERROR(FILTER('Activity map'!$E:$E, ('Activity map'!$A:$A=$A186)*('Activity map'!$F:$F=FALSE))), ""-"", MIN(UNIQUE(FILTER('Activity map'!$E:$E, ('Activity map'!$A:$A=$A186)*('Activity map'!$F:$F=FALSE)))))"),3.0)</f>
        <v>3</v>
      </c>
      <c r="U186" s="30" t="str">
        <f>IF($N186=0, "-", VLOOKUP($N186, 'List of log slots'!$A:$C, 2, FALSE))</f>
        <v>Sulphur blades</v>
      </c>
    </row>
    <row r="187">
      <c r="A187" s="26">
        <v>205.0</v>
      </c>
      <c r="B187" s="23" t="str">
        <f>VLOOKUP($A187, 'Completion rates'!$A:$E, 2, FALSE)</f>
        <v>Killing warped terrorbirds</v>
      </c>
      <c r="C187" s="26">
        <f>IF(Notes!$E$27, VLOOKUP($A187, 'Completion rates'!$A:$E, 4, FALSE), VLOOKUP($A187, 'Completion rates'!$A:$E, 3, FALSE))</f>
        <v>200</v>
      </c>
      <c r="D187" s="26">
        <f>VLOOKUP($A187, 'Completion rates'!$A:$E, 5, FALSE)</f>
        <v>0</v>
      </c>
      <c r="E187" s="28">
        <f>IF(SUMIFS('Activity map'!$O:$O, 'Activity map'!$A:$A, A187, 'Activity map'!$H:$H, "=TRUE") = 0, "n/a", 1/SUMIFS('Activity map'!$O:$O, 'Activity map'!$A:$A, A187, 'Activity map'!$H:$H, "=TRUE"))</f>
        <v>320</v>
      </c>
      <c r="F187" s="26">
        <f t="shared" si="1"/>
        <v>1.6</v>
      </c>
      <c r="G187" s="26" t="str">
        <f>IF(MINIFS('Activity map'!$N:$N, 'Activity map'!$A:$A, A187, 'Activity map'!$H:$H, "=TRUE") = 0, "n/a", MINIFS('Activity map'!$N:$N, 'Activity map'!$A:$A, A187, 'Activity map'!$H:$H, "=TRUE"))</f>
        <v>n/a</v>
      </c>
      <c r="H187" s="8" t="str">
        <f t="shared" si="2"/>
        <v/>
      </c>
      <c r="I187" s="26" t="str">
        <f>IF(MINIFS('Activity map'!$M:$M, 'Activity map'!$A:$A, A187, 'Activity map'!$H:$H, "=TRUE") = 0, "n/a", MINIFS('Activity map'!$M:$M, 'Activity map'!$A:$A, A187, 'Activity map'!$H:$H, "=TRUE"))</f>
        <v>n/a</v>
      </c>
      <c r="J187" s="8" t="str">
        <f t="shared" si="3"/>
        <v/>
      </c>
      <c r="K187" s="26" t="str">
        <f>IF(MINIFS('Activity map'!$L:$L, 'Activity map'!$A:$A, A187, 'Activity map'!$H:$H, "=TRUE") = 0, "n/a", MINIFS('Activity map'!$L:$L, 'Activity map'!$A:$A, A187, 'Activity map'!$H:$H, "=TRUE"))</f>
        <v>n/a</v>
      </c>
      <c r="L187" s="8" t="str">
        <f t="shared" si="4"/>
        <v/>
      </c>
      <c r="M187" s="26">
        <f>MINIFS('Activity map'!$C:$C, 'Activity map'!$A:$A, $A187, 'Activity map'!$H:$H, "=TRUE", 'Activity map'!$K:$K, MINIFS('Activity map'!$K:$K, 'Activity map'!$A:$A, $A187, 'Activity map'!$H:$H, "=TRUE"))</f>
        <v>28583</v>
      </c>
      <c r="N187" s="26">
        <f>MINIFS('Activity map'!$C:$C, 'Activity map'!$A:$A, $A187, 'Activity map'!$H:$H, "=TRUE", 'Activity map'!$E:$E, $T187)</f>
        <v>28583</v>
      </c>
      <c r="O187" s="164">
        <f t="shared" si="5"/>
        <v>0.06666666667</v>
      </c>
      <c r="P187" s="30" t="str">
        <f>IF($M187=0, "-", VLOOKUP($M187, 'List of log slots'!$A:$C, 2, FALSE))</f>
        <v>Warped sceptre (uncharged)</v>
      </c>
      <c r="Q187" s="31">
        <f>IFERROR(__xludf.DUMMYFUNCTION("IF(ISERROR(FILTER('Activity map'!$C:$C, ('Activity map'!$A:$A=$A187)*('Activity map'!$F:$F=FALSE))), 0, COUNTA(UNIQUE(FILTER('Activity map'!$C:$C, ('Activity map'!$A:$A=$A187)*('Activity map'!$F:$F=FALSE)))))"),1.0)</f>
        <v>1</v>
      </c>
      <c r="R187" s="31">
        <f>IFERROR(__xludf.DUMMYFUNCTION("IF(ISERROR(FILTER('Activity map'!$C:$C, 'Activity map'!$A:$A=$A187)), 0, COUNTA(UNIQUE(FILTER('Activity map'!$C:$C, 'Activity map'!$A:$A=$A187))))"),1.0)</f>
        <v>1</v>
      </c>
      <c r="S187" s="72">
        <f t="shared" si="6"/>
        <v>0</v>
      </c>
      <c r="T187" s="31">
        <f>IFERROR(__xludf.DUMMYFUNCTION("IF(ISERROR(FILTER('Activity map'!$E:$E, ('Activity map'!$A:$A=$A187)*('Activity map'!$F:$F=FALSE))), ""-"", MIN(UNIQUE(FILTER('Activity map'!$E:$E, ('Activity map'!$A:$A=$A187)*('Activity map'!$F:$F=FALSE)))))"),4.0)</f>
        <v>4</v>
      </c>
      <c r="U187" s="30" t="str">
        <f>IF($N187=0, "-", VLOOKUP($N187, 'List of log slots'!$A:$C, 2, FALSE))</f>
        <v>Warped sceptre (uncharged)</v>
      </c>
    </row>
    <row r="188">
      <c r="A188" s="26">
        <v>128.0</v>
      </c>
      <c r="B188" s="23" t="str">
        <f>VLOOKUP($A188, 'Completion rates'!$A:$E, 2, FALSE)</f>
        <v>Killing demonic gorillas</v>
      </c>
      <c r="C188" s="26">
        <f>IF(Notes!$E$27, VLOOKUP($A188, 'Completion rates'!$A:$E, 4, FALSE), VLOOKUP($A188, 'Completion rates'!$A:$E, 3, FALSE))</f>
        <v>60</v>
      </c>
      <c r="D188" s="26">
        <f>VLOOKUP($A188, 'Completion rates'!$A:$E, 5, FALSE)</f>
        <v>0</v>
      </c>
      <c r="E188" s="28">
        <f>IF(SUMIFS('Activity map'!$O:$O, 'Activity map'!$A:$A, A188, 'Activity map'!$H:$H, "=TRUE") = 0, "n/a", 1/SUMIFS('Activity map'!$O:$O, 'Activity map'!$A:$A, A188, 'Activity map'!$H:$H, "=TRUE"))</f>
        <v>99.35662272</v>
      </c>
      <c r="F188" s="26">
        <f t="shared" si="1"/>
        <v>1.655943712</v>
      </c>
      <c r="G188" s="26" t="str">
        <f>IF(MINIFS('Activity map'!$N:$N, 'Activity map'!$A:$A, A188, 'Activity map'!$H:$H, "=TRUE") = 0, "n/a", MINIFS('Activity map'!$N:$N, 'Activity map'!$A:$A, A188, 'Activity map'!$H:$H, "=TRUE"))</f>
        <v>n/a</v>
      </c>
      <c r="H188" s="8" t="str">
        <f t="shared" si="2"/>
        <v/>
      </c>
      <c r="I188" s="26" t="str">
        <f>IF(MINIFS('Activity map'!$M:$M, 'Activity map'!$A:$A, A188, 'Activity map'!$H:$H, "=TRUE") = 0, "n/a", MINIFS('Activity map'!$M:$M, 'Activity map'!$A:$A, A188, 'Activity map'!$H:$H, "=TRUE"))</f>
        <v>n/a</v>
      </c>
      <c r="J188" s="8" t="str">
        <f t="shared" si="3"/>
        <v/>
      </c>
      <c r="K188" s="26" t="str">
        <f>IF(MINIFS('Activity map'!$L:$L, 'Activity map'!$A:$A, A188, 'Activity map'!$H:$H, "=TRUE") = 0, "n/a", MINIFS('Activity map'!$L:$L, 'Activity map'!$A:$A, A188, 'Activity map'!$H:$H, "=TRUE"))</f>
        <v>n/a</v>
      </c>
      <c r="L188" s="8" t="str">
        <f t="shared" si="4"/>
        <v/>
      </c>
      <c r="M188" s="26">
        <f>MINIFS('Activity map'!$C:$C, 'Activity map'!$A:$A, $A188, 'Activity map'!$H:$H, "=TRUE", 'Activity map'!$K:$K, MINIFS('Activity map'!$K:$K, 'Activity map'!$A:$A, $A188, 'Activity map'!$H:$H, "=TRUE"))</f>
        <v>19529</v>
      </c>
      <c r="N188" s="26">
        <f>MINIFS('Activity map'!$C:$C, 'Activity map'!$A:$A, $A188, 'Activity map'!$H:$H, "=TRUE", 'Activity map'!$E:$E, $T188)</f>
        <v>1249</v>
      </c>
      <c r="O188" s="82">
        <f t="shared" si="5"/>
        <v>0.06899765466</v>
      </c>
      <c r="P188" s="30" t="str">
        <f>IF($M188=0, "-", VLOOKUP($M188, 'List of log slots'!$A:$C, 2, FALSE))</f>
        <v>Zenyte shard</v>
      </c>
      <c r="Q188" s="31">
        <f>IFERROR(__xludf.DUMMYFUNCTION("IF(ISERROR(FILTER('Activity map'!$C:$C, ('Activity map'!$A:$A=$A188)*('Activity map'!$F:$F=FALSE))), 0, COUNTA(UNIQUE(FILTER('Activity map'!$C:$C, ('Activity map'!$A:$A=$A188)*('Activity map'!$F:$F=FALSE)))))"),8.0)</f>
        <v>8</v>
      </c>
      <c r="R188" s="31">
        <f>IFERROR(__xludf.DUMMYFUNCTION("IF(ISERROR(FILTER('Activity map'!$C:$C, 'Activity map'!$A:$A=$A188)), 0, COUNTA(UNIQUE(FILTER('Activity map'!$C:$C, 'Activity map'!$A:$A=$A188))))"),8.0)</f>
        <v>8</v>
      </c>
      <c r="S188" s="32">
        <f t="shared" si="6"/>
        <v>0</v>
      </c>
      <c r="T188" s="31">
        <f>IFERROR(__xludf.DUMMYFUNCTION("IF(ISERROR(FILTER('Activity map'!$E:$E, ('Activity map'!$A:$A=$A188)*('Activity map'!$F:$F=FALSE))), ""-"", MIN(UNIQUE(FILTER('Activity map'!$E:$E, ('Activity map'!$A:$A=$A188)*('Activity map'!$F:$F=FALSE)))))"),5.0)</f>
        <v>5</v>
      </c>
      <c r="U188" s="30" t="str">
        <f>IF($N188=0, "-", VLOOKUP($N188, 'List of log slots'!$A:$C, 2, FALSE))</f>
        <v>Dragon spear</v>
      </c>
    </row>
    <row r="189">
      <c r="A189" s="26">
        <v>30.0</v>
      </c>
      <c r="B189" s="23" t="str">
        <f>VLOOKUP($A189, 'Completion rates'!$A:$E, 2, FALSE)</f>
        <v>Killing kraken (on task)</v>
      </c>
      <c r="C189" s="26">
        <f>IF(Notes!$E$27, VLOOKUP($A189, 'Completion rates'!$A:$E, 4, FALSE), VLOOKUP($A189, 'Completion rates'!$A:$E, 3, FALSE))</f>
        <v>100</v>
      </c>
      <c r="D189" s="26">
        <f>VLOOKUP($A189, 'Completion rates'!$A:$E, 5, FALSE)</f>
        <v>0</v>
      </c>
      <c r="E189" s="28">
        <f>IF(SUMIFS('Activity map'!$O:$O, 'Activity map'!$A:$A, A189, 'Activity map'!$H:$H, "=TRUE") = 0, "n/a", 1/SUMIFS('Activity map'!$O:$O, 'Activity map'!$A:$A, A189, 'Activity map'!$H:$H, "=TRUE"))</f>
        <v>172.6181356</v>
      </c>
      <c r="F189" s="26">
        <f t="shared" si="1"/>
        <v>1.726181356</v>
      </c>
      <c r="G189" s="26" t="str">
        <f>IF(MINIFS('Activity map'!$N:$N, 'Activity map'!$A:$A, A189, 'Activity map'!$H:$H, "=TRUE") = 0, "n/a", MINIFS('Activity map'!$N:$N, 'Activity map'!$A:$A, A189, 'Activity map'!$H:$H, "=TRUE"))</f>
        <v>n/a</v>
      </c>
      <c r="H189" s="8" t="str">
        <f t="shared" si="2"/>
        <v/>
      </c>
      <c r="I189" s="26" t="str">
        <f>IF(MINIFS('Activity map'!$M:$M, 'Activity map'!$A:$A, A189, 'Activity map'!$H:$H, "=TRUE") = 0, "n/a", MINIFS('Activity map'!$M:$M, 'Activity map'!$A:$A, A189, 'Activity map'!$H:$H, "=TRUE"))</f>
        <v>n/a</v>
      </c>
      <c r="J189" s="8" t="str">
        <f t="shared" si="3"/>
        <v/>
      </c>
      <c r="K189" s="26" t="str">
        <f>IF(MINIFS('Activity map'!$L:$L, 'Activity map'!$A:$A, A189, 'Activity map'!$H:$H, "=TRUE") = 0, "n/a", MINIFS('Activity map'!$L:$L, 'Activity map'!$A:$A, A189, 'Activity map'!$H:$H, "=TRUE"))</f>
        <v>n/a</v>
      </c>
      <c r="L189" s="8" t="str">
        <f t="shared" si="4"/>
        <v/>
      </c>
      <c r="M189" s="26">
        <f>MINIFS('Activity map'!$C:$C, 'Activity map'!$A:$A, $A189, 'Activity map'!$H:$H, "=TRUE", 'Activity map'!$K:$K, MINIFS('Activity map'!$K:$K, 'Activity map'!$A:$A, $A189, 'Activity map'!$H:$H, "=TRUE"))</f>
        <v>12004</v>
      </c>
      <c r="N189" s="26">
        <f>MINIFS('Activity map'!$C:$C, 'Activity map'!$A:$A, $A189, 'Activity map'!$H:$H, "=TRUE", 'Activity map'!$E:$E, $T189)</f>
        <v>1249</v>
      </c>
      <c r="O189" s="165">
        <f t="shared" si="5"/>
        <v>0.07192422316</v>
      </c>
      <c r="P189" s="30" t="str">
        <f>IF($M189=0, "-", VLOOKUP($M189, 'List of log slots'!$A:$C, 2, FALSE))</f>
        <v>Kraken tentacle</v>
      </c>
      <c r="Q189" s="31">
        <f>IFERROR(__xludf.DUMMYFUNCTION("IF(ISERROR(FILTER('Activity map'!$C:$C, ('Activity map'!$A:$A=$A189)*('Activity map'!$F:$F=FALSE))), 0, COUNTA(UNIQUE(FILTER('Activity map'!$C:$C, ('Activity map'!$A:$A=$A189)*('Activity map'!$F:$F=FALSE)))))"),6.0)</f>
        <v>6</v>
      </c>
      <c r="R189" s="31">
        <f>IFERROR(__xludf.DUMMYFUNCTION("IF(ISERROR(FILTER('Activity map'!$C:$C, 'Activity map'!$A:$A=$A189)), 0, COUNTA(UNIQUE(FILTER('Activity map'!$C:$C, 'Activity map'!$A:$A=$A189))))"),6.0)</f>
        <v>6</v>
      </c>
      <c r="S189" s="97">
        <f t="shared" si="6"/>
        <v>0</v>
      </c>
      <c r="T189" s="31">
        <f>IFERROR(__xludf.DUMMYFUNCTION("IF(ISERROR(FILTER('Activity map'!$E:$E, ('Activity map'!$A:$A=$A189)*('Activity map'!$F:$F=FALSE))), ""-"", MIN(UNIQUE(FILTER('Activity map'!$E:$E, ('Activity map'!$A:$A=$A189)*('Activity map'!$F:$F=FALSE)))))"),5.0)</f>
        <v>5</v>
      </c>
      <c r="U189" s="30" t="str">
        <f>IF($N189=0, "-", VLOOKUP($N189, 'List of log slots'!$A:$C, 2, FALSE))</f>
        <v>Dragon spear</v>
      </c>
    </row>
    <row r="190">
      <c r="A190" s="26">
        <v>247.0</v>
      </c>
      <c r="B190" s="23" t="str">
        <f>VLOOKUP($A190, 'Completion rates'!$A:$E, 2, FALSE)</f>
        <v>Collecting mermaid tears (fossil island underwater)</v>
      </c>
      <c r="C190" s="26">
        <f>IF(Notes!$E$27, VLOOKUP($A190, 'Completion rates'!$A:$E, 4, FALSE), VLOOKUP($A190, 'Completion rates'!$A:$E, 3, FALSE))</f>
        <v>230</v>
      </c>
      <c r="D190" s="26">
        <f>VLOOKUP($A190, 'Completion rates'!$A:$E, 5, FALSE)</f>
        <v>0</v>
      </c>
      <c r="E190" s="28" t="str">
        <f>IF(SUMIFS('Activity map'!$O:$O, 'Activity map'!$A:$A, A190, 'Activity map'!$H:$H, "=TRUE") = 0, "n/a", 1/SUMIFS('Activity map'!$O:$O, 'Activity map'!$A:$A, A190, 'Activity map'!$H:$H, "=TRUE"))</f>
        <v>n/a</v>
      </c>
      <c r="F190" s="8" t="str">
        <f t="shared" si="1"/>
        <v/>
      </c>
      <c r="G190" s="26" t="str">
        <f>IF(MINIFS('Activity map'!$N:$N, 'Activity map'!$A:$A, A190, 'Activity map'!$H:$H, "=TRUE") = 0, "n/a", MINIFS('Activity map'!$N:$N, 'Activity map'!$A:$A, A190, 'Activity map'!$H:$H, "=TRUE"))</f>
        <v>n/a</v>
      </c>
      <c r="H190" s="8" t="str">
        <f t="shared" si="2"/>
        <v/>
      </c>
      <c r="I190" s="26" t="str">
        <f>IF(MINIFS('Activity map'!$M:$M, 'Activity map'!$A:$A, A190, 'Activity map'!$H:$H, "=TRUE") = 0, "n/a", MINIFS('Activity map'!$M:$M, 'Activity map'!$A:$A, A190, 'Activity map'!$H:$H, "=TRUE"))</f>
        <v>n/a</v>
      </c>
      <c r="J190" s="8" t="str">
        <f t="shared" si="3"/>
        <v/>
      </c>
      <c r="K190" s="26">
        <f>IF(MINIFS('Activity map'!$L:$L, 'Activity map'!$A:$A, A190, 'Activity map'!$H:$H, "=TRUE") = 0, "n/a", MINIFS('Activity map'!$L:$L, 'Activity map'!$A:$A, A190, 'Activity map'!$H:$H, "=TRUE"))</f>
        <v>400</v>
      </c>
      <c r="L190" s="26">
        <f t="shared" si="4"/>
        <v>1.739130435</v>
      </c>
      <c r="M190" s="26">
        <f>MINIFS('Activity map'!$C:$C, 'Activity map'!$A:$A, $A190, 'Activity map'!$H:$H, "=TRUE", 'Activity map'!$K:$K, MINIFS('Activity map'!$K:$K, 'Activity map'!$A:$A, $A190, 'Activity map'!$H:$H, "=TRUE"))</f>
        <v>21649</v>
      </c>
      <c r="N190" s="26">
        <f>MINIFS('Activity map'!$C:$C, 'Activity map'!$A:$A, $A190, 'Activity map'!$H:$H, "=TRUE", 'Activity map'!$E:$E, $T190)</f>
        <v>21649</v>
      </c>
      <c r="O190" s="145">
        <f t="shared" si="5"/>
        <v>0.07246376812</v>
      </c>
      <c r="P190" s="30" t="str">
        <f>IF($M190=0, "-", VLOOKUP($M190, 'List of log slots'!$A:$C, 2, FALSE))</f>
        <v>Merfolk trident</v>
      </c>
      <c r="Q190" s="31">
        <f>IFERROR(__xludf.DUMMYFUNCTION("IF(ISERROR(FILTER('Activity map'!$C:$C, ('Activity map'!$A:$A=$A190)*('Activity map'!$F:$F=FALSE))), 0, COUNTA(UNIQUE(FILTER('Activity map'!$C:$C, ('Activity map'!$A:$A=$A190)*('Activity map'!$F:$F=FALSE)))))"),1.0)</f>
        <v>1</v>
      </c>
      <c r="R190" s="31">
        <f>IFERROR(__xludf.DUMMYFUNCTION("IF(ISERROR(FILTER('Activity map'!$C:$C, 'Activity map'!$A:$A=$A190)), 0, COUNTA(UNIQUE(FILTER('Activity map'!$C:$C, 'Activity map'!$A:$A=$A190))))"),1.0)</f>
        <v>1</v>
      </c>
      <c r="S190" s="72">
        <f t="shared" si="6"/>
        <v>0</v>
      </c>
      <c r="T190" s="31">
        <f>IFERROR(__xludf.DUMMYFUNCTION("IF(ISERROR(FILTER('Activity map'!$E:$E, ('Activity map'!$A:$A=$A190)*('Activity map'!$F:$F=FALSE))), ""-"", MIN(UNIQUE(FILTER('Activity map'!$E:$E, ('Activity map'!$A:$A=$A190)*('Activity map'!$F:$F=FALSE)))))"),4.0)</f>
        <v>4</v>
      </c>
      <c r="U190" s="30" t="str">
        <f>IF($N190=0, "-", VLOOKUP($N190, 'List of log slots'!$A:$C, 2, FALSE))</f>
        <v>Merfolk trident</v>
      </c>
    </row>
    <row r="191">
      <c r="A191" s="26">
        <v>241.0</v>
      </c>
      <c r="B191" s="23" t="str">
        <f>VLOOKUP($A191, 'Completion rates'!$A:$E, 2, FALSE)</f>
        <v>Killing undead druids</v>
      </c>
      <c r="C191" s="26">
        <f>IF(Notes!$E$27, VLOOKUP($A191, 'Completion rates'!$A:$E, 4, FALSE), VLOOKUP($A191, 'Completion rates'!$A:$E, 3, FALSE))</f>
        <v>240</v>
      </c>
      <c r="D191" s="26">
        <f>VLOOKUP($A191, 'Completion rates'!$A:$E, 5, FALSE)</f>
        <v>0</v>
      </c>
      <c r="E191" s="28">
        <f>IF(SUMIFS('Activity map'!$O:$O, 'Activity map'!$A:$A, A191, 'Activity map'!$H:$H, "=TRUE") = 0, "n/a", 1/SUMIFS('Activity map'!$O:$O, 'Activity map'!$A:$A, A191, 'Activity map'!$H:$H, "=TRUE"))</f>
        <v>441.1764706</v>
      </c>
      <c r="F191" s="26">
        <f t="shared" si="1"/>
        <v>1.838235294</v>
      </c>
      <c r="G191" s="26" t="str">
        <f>IF(MINIFS('Activity map'!$N:$N, 'Activity map'!$A:$A, A191, 'Activity map'!$H:$H, "=TRUE") = 0, "n/a", MINIFS('Activity map'!$N:$N, 'Activity map'!$A:$A, A191, 'Activity map'!$H:$H, "=TRUE"))</f>
        <v>n/a</v>
      </c>
      <c r="H191" s="8" t="str">
        <f t="shared" si="2"/>
        <v/>
      </c>
      <c r="I191" s="26" t="str">
        <f>IF(MINIFS('Activity map'!$M:$M, 'Activity map'!$A:$A, A191, 'Activity map'!$H:$H, "=TRUE") = 0, "n/a", MINIFS('Activity map'!$M:$M, 'Activity map'!$A:$A, A191, 'Activity map'!$H:$H, "=TRUE"))</f>
        <v>n/a</v>
      </c>
      <c r="J191" s="8" t="str">
        <f t="shared" si="3"/>
        <v/>
      </c>
      <c r="K191" s="26" t="str">
        <f>IF(MINIFS('Activity map'!$L:$L, 'Activity map'!$A:$A, A191, 'Activity map'!$H:$H, "=TRUE") = 0, "n/a", MINIFS('Activity map'!$L:$L, 'Activity map'!$A:$A, A191, 'Activity map'!$H:$H, "=TRUE"))</f>
        <v>n/a</v>
      </c>
      <c r="L191" s="8" t="str">
        <f t="shared" si="4"/>
        <v/>
      </c>
      <c r="M191" s="26">
        <f>MINIFS('Activity map'!$C:$C, 'Activity map'!$A:$A, $A191, 'Activity map'!$H:$H, "=TRUE", 'Activity map'!$K:$K, MINIFS('Activity map'!$K:$K, 'Activity map'!$A:$A, $A191, 'Activity map'!$H:$H, "=TRUE"))</f>
        <v>23522</v>
      </c>
      <c r="N191" s="26">
        <f>MINIFS('Activity map'!$C:$C, 'Activity map'!$A:$A, $A191, 'Activity map'!$H:$H, "=TRUE", 'Activity map'!$E:$E, $T191)</f>
        <v>23522</v>
      </c>
      <c r="O191" s="118">
        <f t="shared" si="5"/>
        <v>0.07659313725</v>
      </c>
      <c r="P191" s="30" t="str">
        <f>IF($M191=0, "-", VLOOKUP($M191, 'List of log slots'!$A:$C, 2, FALSE))</f>
        <v>Mask of ranul</v>
      </c>
      <c r="Q191" s="31">
        <f>IFERROR(__xludf.DUMMYFUNCTION("IF(ISERROR(FILTER('Activity map'!$C:$C, ('Activity map'!$A:$A=$A191)*('Activity map'!$F:$F=FALSE))), 0, COUNTA(UNIQUE(FILTER('Activity map'!$C:$C, ('Activity map'!$A:$A=$A191)*('Activity map'!$F:$F=FALSE)))))"),4.0)</f>
        <v>4</v>
      </c>
      <c r="R191" s="31">
        <f>IFERROR(__xludf.DUMMYFUNCTION("IF(ISERROR(FILTER('Activity map'!$C:$C, 'Activity map'!$A:$A=$A191)), 0, COUNTA(UNIQUE(FILTER('Activity map'!$C:$C, 'Activity map'!$A:$A=$A191))))"),4.0)</f>
        <v>4</v>
      </c>
      <c r="S191" s="46">
        <f t="shared" si="6"/>
        <v>0</v>
      </c>
      <c r="T191" s="31">
        <f>IFERROR(__xludf.DUMMYFUNCTION("IF(ISERROR(FILTER('Activity map'!$E:$E, ('Activity map'!$A:$A=$A191)*('Activity map'!$F:$F=FALSE))), ""-"", MIN(UNIQUE(FILTER('Activity map'!$E:$E, ('Activity map'!$A:$A=$A191)*('Activity map'!$F:$F=FALSE)))))"),4.0)</f>
        <v>4</v>
      </c>
      <c r="U191" s="30" t="str">
        <f>IF($N191=0, "-", VLOOKUP($N191, 'List of log slots'!$A:$C, 2, FALSE))</f>
        <v>Mask of ranul</v>
      </c>
    </row>
    <row r="192">
      <c r="A192" s="26">
        <v>245.0</v>
      </c>
      <c r="B192" s="23" t="str">
        <f>VLOOKUP($A192, 'Completion rates'!$A:$E, 2, FALSE)</f>
        <v>Killing elves (prifddinas)</v>
      </c>
      <c r="C192" s="26">
        <f>IF(Notes!$E$27, VLOOKUP($A192, 'Completion rates'!$A:$E, 4, FALSE), VLOOKUP($A192, 'Completion rates'!$A:$E, 3, FALSE))</f>
        <v>540</v>
      </c>
      <c r="D192" s="26">
        <f>VLOOKUP($A192, 'Completion rates'!$A:$E, 5, FALSE)</f>
        <v>0</v>
      </c>
      <c r="E192" s="28">
        <f>IF(SUMIFS('Activity map'!$O:$O, 'Activity map'!$A:$A, A192, 'Activity map'!$H:$H, "=TRUE") = 0, "n/a", 1/SUMIFS('Activity map'!$O:$O, 'Activity map'!$A:$A, A192, 'Activity map'!$H:$H, "=TRUE"))</f>
        <v>1024</v>
      </c>
      <c r="F192" s="26">
        <f t="shared" si="1"/>
        <v>1.896296296</v>
      </c>
      <c r="G192" s="26" t="str">
        <f>IF(MINIFS('Activity map'!$N:$N, 'Activity map'!$A:$A, A192, 'Activity map'!$H:$H, "=TRUE") = 0, "n/a", MINIFS('Activity map'!$N:$N, 'Activity map'!$A:$A, A192, 'Activity map'!$H:$H, "=TRUE"))</f>
        <v>n/a</v>
      </c>
      <c r="H192" s="8" t="str">
        <f t="shared" si="2"/>
        <v/>
      </c>
      <c r="I192" s="26" t="str">
        <f>IF(MINIFS('Activity map'!$M:$M, 'Activity map'!$A:$A, A192, 'Activity map'!$H:$H, "=TRUE") = 0, "n/a", MINIFS('Activity map'!$M:$M, 'Activity map'!$A:$A, A192, 'Activity map'!$H:$H, "=TRUE"))</f>
        <v>n/a</v>
      </c>
      <c r="J192" s="8" t="str">
        <f t="shared" si="3"/>
        <v/>
      </c>
      <c r="K192" s="26" t="str">
        <f>IF(MINIFS('Activity map'!$L:$L, 'Activity map'!$A:$A, A192, 'Activity map'!$H:$H, "=TRUE") = 0, "n/a", MINIFS('Activity map'!$L:$L, 'Activity map'!$A:$A, A192, 'Activity map'!$H:$H, "=TRUE"))</f>
        <v>n/a</v>
      </c>
      <c r="L192" s="8" t="str">
        <f t="shared" si="4"/>
        <v/>
      </c>
      <c r="M192" s="26">
        <f>MINIFS('Activity map'!$C:$C, 'Activity map'!$A:$A, $A192, 'Activity map'!$H:$H, "=TRUE", 'Activity map'!$K:$K, MINIFS('Activity map'!$K:$K, 'Activity map'!$A:$A, $A192, 'Activity map'!$H:$H, "=TRUE"))</f>
        <v>23959</v>
      </c>
      <c r="N192" s="26">
        <f>MINIFS('Activity map'!$C:$C, 'Activity map'!$A:$A, $A192, 'Activity map'!$H:$H, "=TRUE", 'Activity map'!$E:$E, $T192)</f>
        <v>23959</v>
      </c>
      <c r="O192" s="160">
        <f t="shared" si="5"/>
        <v>0.07901234568</v>
      </c>
      <c r="P192" s="30" t="str">
        <f>IF($M192=0, "-", VLOOKUP($M192, 'List of log slots'!$A:$C, 2, FALSE))</f>
        <v>Enhanced crystal teleport seed</v>
      </c>
      <c r="Q192" s="31">
        <f>IFERROR(__xludf.DUMMYFUNCTION("IF(ISERROR(FILTER('Activity map'!$C:$C, ('Activity map'!$A:$A=$A192)*('Activity map'!$F:$F=FALSE))), 0, COUNTA(UNIQUE(FILTER('Activity map'!$C:$C, ('Activity map'!$A:$A=$A192)*('Activity map'!$F:$F=FALSE)))))"),1.0)</f>
        <v>1</v>
      </c>
      <c r="R192" s="31">
        <f>IFERROR(__xludf.DUMMYFUNCTION("IF(ISERROR(FILTER('Activity map'!$C:$C, 'Activity map'!$A:$A=$A192)), 0, COUNTA(UNIQUE(FILTER('Activity map'!$C:$C, 'Activity map'!$A:$A=$A192))))"),1.0)</f>
        <v>1</v>
      </c>
      <c r="S192" s="72">
        <f t="shared" si="6"/>
        <v>0</v>
      </c>
      <c r="T192" s="31">
        <f>IFERROR(__xludf.DUMMYFUNCTION("IF(ISERROR(FILTER('Activity map'!$E:$E, ('Activity map'!$A:$A=$A192)*('Activity map'!$F:$F=FALSE))), ""-"", MIN(UNIQUE(FILTER('Activity map'!$E:$E, ('Activity map'!$A:$A=$A192)*('Activity map'!$F:$F=FALSE)))))"),5.0)</f>
        <v>5</v>
      </c>
      <c r="U192" s="30" t="str">
        <f>IF($N192=0, "-", VLOOKUP($N192, 'List of log slots'!$A:$C, 2, FALSE))</f>
        <v>Enhanced crystal teleport seed</v>
      </c>
    </row>
    <row r="193">
      <c r="A193" s="26">
        <v>60.0</v>
      </c>
      <c r="B193" s="23" t="str">
        <f>VLOOKUP($A193, 'Completion rates'!$A:$E, 2, FALSE)</f>
        <v>Ancient chest (chambers of xeric)</v>
      </c>
      <c r="C193" s="26">
        <f>IF(Notes!$E$27, VLOOKUP($A193, 'Completion rates'!$A:$E, 4, FALSE), VLOOKUP($A193, 'Completion rates'!$A:$E, 3, FALSE))</f>
        <v>3.5</v>
      </c>
      <c r="D193" s="26">
        <f>VLOOKUP($A193, 'Completion rates'!$A:$E, 5, FALSE)</f>
        <v>0</v>
      </c>
      <c r="E193" s="28">
        <f>IF(SUMIFS('Activity map'!$O:$O, 'Activity map'!$A:$A, A193, 'Activity map'!$H:$H, "=TRUE") = 0, "n/a", 1/SUMIFS('Activity map'!$O:$O, 'Activity map'!$A:$A, A193, 'Activity map'!$H:$H, "=TRUE"))</f>
        <v>6.637627048</v>
      </c>
      <c r="F193" s="26">
        <f t="shared" si="1"/>
        <v>1.896464871</v>
      </c>
      <c r="G193" s="26" t="str">
        <f>IF(MINIFS('Activity map'!$N:$N, 'Activity map'!$A:$A, A193, 'Activity map'!$H:$H, "=TRUE") = 0, "n/a", MINIFS('Activity map'!$N:$N, 'Activity map'!$A:$A, A193, 'Activity map'!$H:$H, "=TRUE"))</f>
        <v>n/a</v>
      </c>
      <c r="H193" s="8" t="str">
        <f t="shared" si="2"/>
        <v/>
      </c>
      <c r="I193" s="26" t="str">
        <f>IF(MINIFS('Activity map'!$M:$M, 'Activity map'!$A:$A, A193, 'Activity map'!$H:$H, "=TRUE") = 0, "n/a", MINIFS('Activity map'!$M:$M, 'Activity map'!$A:$A, A193, 'Activity map'!$H:$H, "=TRUE"))</f>
        <v>n/a</v>
      </c>
      <c r="J193" s="8" t="str">
        <f t="shared" si="3"/>
        <v/>
      </c>
      <c r="K193" s="26" t="str">
        <f>IF(MINIFS('Activity map'!$L:$L, 'Activity map'!$A:$A, A193, 'Activity map'!$H:$H, "=TRUE") = 0, "n/a", MINIFS('Activity map'!$L:$L, 'Activity map'!$A:$A, A193, 'Activity map'!$H:$H, "=TRUE"))</f>
        <v>n/a</v>
      </c>
      <c r="L193" s="8" t="str">
        <f t="shared" si="4"/>
        <v/>
      </c>
      <c r="M193" s="26">
        <f>MINIFS('Activity map'!$C:$C, 'Activity map'!$A:$A, $A193, 'Activity map'!$H:$H, "=TRUE", 'Activity map'!$K:$K, MINIFS('Activity map'!$K:$K, 'Activity map'!$A:$A, $A193, 'Activity map'!$H:$H, "=TRUE"))</f>
        <v>21027</v>
      </c>
      <c r="N193" s="26">
        <f>MINIFS('Activity map'!$C:$C, 'Activity map'!$A:$A, $A193, 'Activity map'!$H:$H, "=TRUE", 'Activity map'!$E:$E, $T193)</f>
        <v>21027</v>
      </c>
      <c r="O193" s="160">
        <f t="shared" si="5"/>
        <v>0.07901936962</v>
      </c>
      <c r="P193" s="30" t="str">
        <f>IF($M193=0, "-", VLOOKUP($M193, 'List of log slots'!$A:$C, 2, FALSE))</f>
        <v>Dark relic</v>
      </c>
      <c r="Q193" s="31">
        <f>IFERROR(__xludf.DUMMYFUNCTION("IF(ISERROR(FILTER('Activity map'!$C:$C, ('Activity map'!$A:$A=$A193)*('Activity map'!$F:$F=FALSE))), 0, COUNTA(UNIQUE(FILTER('Activity map'!$C:$C, ('Activity map'!$A:$A=$A193)*('Activity map'!$F:$F=FALSE)))))"),16.0)</f>
        <v>16</v>
      </c>
      <c r="R193" s="31">
        <f>IFERROR(__xludf.DUMMYFUNCTION("IF(ISERROR(FILTER('Activity map'!$C:$C, 'Activity map'!$A:$A=$A193)), 0, COUNTA(UNIQUE(FILTER('Activity map'!$C:$C, 'Activity map'!$A:$A=$A193))))"),16.0)</f>
        <v>16</v>
      </c>
      <c r="S193" s="72">
        <f t="shared" si="6"/>
        <v>0</v>
      </c>
      <c r="T193" s="31">
        <f>IFERROR(__xludf.DUMMYFUNCTION("IF(ISERROR(FILTER('Activity map'!$E:$E, ('Activity map'!$A:$A=$A193)*('Activity map'!$F:$F=FALSE))), ""-"", MIN(UNIQUE(FILTER('Activity map'!$E:$E, ('Activity map'!$A:$A=$A193)*('Activity map'!$F:$F=FALSE)))))"),5.0)</f>
        <v>5</v>
      </c>
      <c r="U193" s="30" t="str">
        <f>IF($N193=0, "-", VLOOKUP($N193, 'List of log slots'!$A:$C, 2, FALSE))</f>
        <v>Dark relic</v>
      </c>
    </row>
    <row r="194">
      <c r="A194" s="26">
        <v>194.0</v>
      </c>
      <c r="B194" s="23" t="str">
        <f>VLOOKUP($A194, 'Completion rates'!$A:$E, 2, FALSE)</f>
        <v>Killing wyrms (on task)</v>
      </c>
      <c r="C194" s="26">
        <f>IF(Notes!$E$27, VLOOKUP($A194, 'Completion rates'!$A:$E, 4, FALSE), VLOOKUP($A194, 'Completion rates'!$A:$E, 3, FALSE))</f>
        <v>250</v>
      </c>
      <c r="D194" s="26">
        <f>VLOOKUP($A194, 'Completion rates'!$A:$E, 5, FALSE)</f>
        <v>0</v>
      </c>
      <c r="E194" s="28">
        <f>IF(SUMIFS('Activity map'!$O:$O, 'Activity map'!$A:$A, A194, 'Activity map'!$H:$H, "=TRUE") = 0, "n/a", 1/SUMIFS('Activity map'!$O:$O, 'Activity map'!$A:$A, A194, 'Activity map'!$H:$H, "=TRUE"))</f>
        <v>481.0278447</v>
      </c>
      <c r="F194" s="26">
        <f t="shared" si="1"/>
        <v>1.924111379</v>
      </c>
      <c r="G194" s="26" t="str">
        <f>IF(MINIFS('Activity map'!$N:$N, 'Activity map'!$A:$A, A194, 'Activity map'!$H:$H, "=TRUE") = 0, "n/a", MINIFS('Activity map'!$N:$N, 'Activity map'!$A:$A, A194, 'Activity map'!$H:$H, "=TRUE"))</f>
        <v>n/a</v>
      </c>
      <c r="H194" s="8" t="str">
        <f t="shared" si="2"/>
        <v/>
      </c>
      <c r="I194" s="26" t="str">
        <f>IF(MINIFS('Activity map'!$M:$M, 'Activity map'!$A:$A, A194, 'Activity map'!$H:$H, "=TRUE") = 0, "n/a", MINIFS('Activity map'!$M:$M, 'Activity map'!$A:$A, A194, 'Activity map'!$H:$H, "=TRUE"))</f>
        <v>n/a</v>
      </c>
      <c r="J194" s="8" t="str">
        <f t="shared" si="3"/>
        <v/>
      </c>
      <c r="K194" s="26" t="str">
        <f>IF(MINIFS('Activity map'!$L:$L, 'Activity map'!$A:$A, A194, 'Activity map'!$H:$H, "=TRUE") = 0, "n/a", MINIFS('Activity map'!$L:$L, 'Activity map'!$A:$A, A194, 'Activity map'!$H:$H, "=TRUE"))</f>
        <v>n/a</v>
      </c>
      <c r="L194" s="8" t="str">
        <f t="shared" si="4"/>
        <v/>
      </c>
      <c r="M194" s="26">
        <f>MINIFS('Activity map'!$C:$C, 'Activity map'!$A:$A, $A194, 'Activity map'!$H:$H, "=TRUE", 'Activity map'!$K:$K, MINIFS('Activity map'!$K:$K, 'Activity map'!$A:$A, $A194, 'Activity map'!$H:$H, "=TRUE"))</f>
        <v>20849</v>
      </c>
      <c r="N194" s="26">
        <f>MINIFS('Activity map'!$C:$C, 'Activity map'!$A:$A, $A194, 'Activity map'!$H:$H, "=TRUE", 'Activity map'!$E:$E, $T194)</f>
        <v>1249</v>
      </c>
      <c r="O194" s="166">
        <f t="shared" si="5"/>
        <v>0.08017130745</v>
      </c>
      <c r="P194" s="30" t="str">
        <f>IF($M194=0, "-", VLOOKUP($M194, 'List of log slots'!$A:$C, 2, FALSE))</f>
        <v>Dragon thrownaxe</v>
      </c>
      <c r="Q194" s="31">
        <f>IFERROR(__xludf.DUMMYFUNCTION("IF(ISERROR(FILTER('Activity map'!$C:$C, ('Activity map'!$A:$A=$A194)*('Activity map'!$F:$F=FALSE))), 0, COUNTA(UNIQUE(FILTER('Activity map'!$C:$C, ('Activity map'!$A:$A=$A194)*('Activity map'!$F:$F=FALSE)))))"),10.0)</f>
        <v>10</v>
      </c>
      <c r="R194" s="31">
        <f>IFERROR(__xludf.DUMMYFUNCTION("IF(ISERROR(FILTER('Activity map'!$C:$C, 'Activity map'!$A:$A=$A194)), 0, COUNTA(UNIQUE(FILTER('Activity map'!$C:$C, 'Activity map'!$A:$A=$A194))))"),10.0)</f>
        <v>10</v>
      </c>
      <c r="S194" s="167">
        <f t="shared" si="6"/>
        <v>0</v>
      </c>
      <c r="T194" s="31">
        <f>IFERROR(__xludf.DUMMYFUNCTION("IF(ISERROR(FILTER('Activity map'!$E:$E, ('Activity map'!$A:$A=$A194)*('Activity map'!$F:$F=FALSE))), ""-"", MIN(UNIQUE(FILTER('Activity map'!$E:$E, ('Activity map'!$A:$A=$A194)*('Activity map'!$F:$F=FALSE)))))"),5.0)</f>
        <v>5</v>
      </c>
      <c r="U194" s="30" t="str">
        <f>IF($N194=0, "-", VLOOKUP($N194, 'List of log slots'!$A:$C, 2, FALSE))</f>
        <v>Dragon spear</v>
      </c>
    </row>
    <row r="195">
      <c r="A195" s="26">
        <v>66.0</v>
      </c>
      <c r="B195" s="23" t="str">
        <f>VLOOKUP($A195, 'Completion rates'!$A:$E, 2, FALSE)</f>
        <v>Tombs of amascut reward chests (500)</v>
      </c>
      <c r="C195" s="26">
        <f>IF(Notes!$E$27, VLOOKUP($A195, 'Completion rates'!$A:$E, 4, FALSE), VLOOKUP($A195, 'Completion rates'!$A:$E, 3, FALSE))</f>
        <v>1.7</v>
      </c>
      <c r="D195" s="26">
        <f>VLOOKUP($A195, 'Completion rates'!$A:$E, 5, FALSE)</f>
        <v>0</v>
      </c>
      <c r="E195" s="28">
        <f>IF(SUMIFS('Activity map'!$O:$O, 'Activity map'!$A:$A, A195, 'Activity map'!$H:$H, "=TRUE") = 0, "n/a", 1/SUMIFS('Activity map'!$O:$O, 'Activity map'!$A:$A, A195, 'Activity map'!$H:$H, "=TRUE"))</f>
        <v>3.324126299</v>
      </c>
      <c r="F195" s="26">
        <f t="shared" si="1"/>
        <v>1.955368411</v>
      </c>
      <c r="G195" s="26">
        <f>IF(MINIFS('Activity map'!$N:$N, 'Activity map'!$A:$A, A195, 'Activity map'!$H:$H, "=TRUE") = 0, "n/a", MINIFS('Activity map'!$N:$N, 'Activity map'!$A:$A, A195, 'Activity map'!$H:$H, "=TRUE"))</f>
        <v>13</v>
      </c>
      <c r="H195" s="26">
        <f t="shared" si="2"/>
        <v>7.647058824</v>
      </c>
      <c r="I195" s="26">
        <f>IF(MINIFS('Activity map'!$M:$M, 'Activity map'!$A:$A, A195, 'Activity map'!$H:$H, "=TRUE") = 0, "n/a", MINIFS('Activity map'!$M:$M, 'Activity map'!$A:$A, A195, 'Activity map'!$H:$H, "=TRUE"))</f>
        <v>100</v>
      </c>
      <c r="J195" s="26">
        <f t="shared" si="3"/>
        <v>58.82352941</v>
      </c>
      <c r="K195" s="26" t="str">
        <f>IF(MINIFS('Activity map'!$L:$L, 'Activity map'!$A:$A, A195, 'Activity map'!$H:$H, "=TRUE") = 0, "n/a", MINIFS('Activity map'!$L:$L, 'Activity map'!$A:$A, A195, 'Activity map'!$H:$H, "=TRUE"))</f>
        <v>n/a</v>
      </c>
      <c r="L195" s="8" t="str">
        <f t="shared" si="4"/>
        <v/>
      </c>
      <c r="M195" s="26">
        <f>MINIFS('Activity map'!$C:$C, 'Activity map'!$A:$A, $A195, 'Activity map'!$H:$H, "=TRUE", 'Activity map'!$K:$K, MINIFS('Activity map'!$K:$K, 'Activity map'!$A:$A, $A195, 'Activity map'!$H:$H, "=TRUE"))</f>
        <v>27293</v>
      </c>
      <c r="N195" s="26">
        <f>MINIFS('Activity map'!$C:$C, 'Activity map'!$A:$A, $A195, 'Activity map'!$H:$H, "=TRUE", 'Activity map'!$E:$E, $T195)</f>
        <v>27279</v>
      </c>
      <c r="O195" s="149">
        <f t="shared" si="5"/>
        <v>0.08147368381</v>
      </c>
      <c r="P195" s="30" t="str">
        <f>IF($M195=0, "-", VLOOKUP($M195, 'List of log slots'!$A:$C, 2, FALSE))</f>
        <v>Cache of runes</v>
      </c>
      <c r="Q195" s="31">
        <f>IFERROR(__xludf.DUMMYFUNCTION("IF(ISERROR(FILTER('Activity map'!$C:$C, ('Activity map'!$A:$A=$A195)*('Activity map'!$F:$F=FALSE))), 0, COUNTA(UNIQUE(FILTER('Activity map'!$C:$C, ('Activity map'!$A:$A=$A195)*('Activity map'!$F:$F=FALSE)))))"),19.0)</f>
        <v>19</v>
      </c>
      <c r="R195" s="31">
        <f>IFERROR(__xludf.DUMMYFUNCTION("IF(ISERROR(FILTER('Activity map'!$C:$C, 'Activity map'!$A:$A=$A195)), 0, COUNTA(UNIQUE(FILTER('Activity map'!$C:$C, 'Activity map'!$A:$A=$A195))))"),19.0)</f>
        <v>19</v>
      </c>
      <c r="S195" s="72">
        <f t="shared" si="6"/>
        <v>0</v>
      </c>
      <c r="T195" s="31">
        <f>IFERROR(__xludf.DUMMYFUNCTION("IF(ISERROR(FILTER('Activity map'!$E:$E, ('Activity map'!$A:$A=$A195)*('Activity map'!$F:$F=FALSE))), ""-"", MIN(UNIQUE(FILTER('Activity map'!$E:$E, ('Activity map'!$A:$A=$A195)*('Activity map'!$F:$F=FALSE)))))"),5.0)</f>
        <v>5</v>
      </c>
      <c r="U195" s="30" t="str">
        <f>IF($N195=0, "-", VLOOKUP($N195, 'List of log slots'!$A:$C, 2, FALSE))</f>
        <v>Thread of elidinis</v>
      </c>
    </row>
    <row r="196">
      <c r="A196" s="26">
        <v>1.0</v>
      </c>
      <c r="B196" s="23" t="str">
        <f>VLOOKUP($A196, 'Completion rates'!$A:$E, 2, FALSE)</f>
        <v>Killing abyssal sire (on task)</v>
      </c>
      <c r="C196" s="26">
        <f>IF(Notes!$E$27, VLOOKUP($A196, 'Completion rates'!$A:$E, 4, FALSE), VLOOKUP($A196, 'Completion rates'!$A:$E, 3, FALSE))</f>
        <v>50</v>
      </c>
      <c r="D196" s="26">
        <f>VLOOKUP($A196, 'Completion rates'!$A:$E, 5, FALSE)</f>
        <v>0</v>
      </c>
      <c r="E196" s="28">
        <f>IF(SUMIFS('Activity map'!$O:$O, 'Activity map'!$A:$A, A196, 'Activity map'!$H:$H, "=TRUE") = 0, "n/a", 1/SUMIFS('Activity map'!$O:$O, 'Activity map'!$A:$A, A196, 'Activity map'!$H:$H, "=TRUE"))</f>
        <v>98.5129098</v>
      </c>
      <c r="F196" s="26">
        <f t="shared" si="1"/>
        <v>1.970258196</v>
      </c>
      <c r="G196" s="26">
        <f>IF(MINIFS('Activity map'!$N:$N, 'Activity map'!$A:$A, A196, 'Activity map'!$H:$H, "=TRUE") = 0, "n/a", MINIFS('Activity map'!$N:$N, 'Activity map'!$A:$A, A196, 'Activity map'!$H:$H, "=TRUE"))</f>
        <v>100</v>
      </c>
      <c r="H196" s="8">
        <f t="shared" si="2"/>
        <v>2</v>
      </c>
      <c r="I196" s="26" t="str">
        <f>IF(MINIFS('Activity map'!$M:$M, 'Activity map'!$A:$A, A196, 'Activity map'!$H:$H, "=TRUE") = 0, "n/a", MINIFS('Activity map'!$M:$M, 'Activity map'!$A:$A, A196, 'Activity map'!$H:$H, "=TRUE"))</f>
        <v>n/a</v>
      </c>
      <c r="J196" s="8" t="str">
        <f t="shared" si="3"/>
        <v/>
      </c>
      <c r="K196" s="26" t="str">
        <f>IF(MINIFS('Activity map'!$L:$L, 'Activity map'!$A:$A, A196, 'Activity map'!$H:$H, "=TRUE") = 0, "n/a", MINIFS('Activity map'!$L:$L, 'Activity map'!$A:$A, A196, 'Activity map'!$H:$H, "=TRUE"))</f>
        <v>n/a</v>
      </c>
      <c r="L196" s="8" t="str">
        <f t="shared" si="4"/>
        <v/>
      </c>
      <c r="M196" s="26">
        <f>MINIFS('Activity map'!$C:$C, 'Activity map'!$A:$A, $A196, 'Activity map'!$H:$H, "=TRUE", 'Activity map'!$K:$K, MINIFS('Activity map'!$K:$K, 'Activity map'!$A:$A, $A196, 'Activity map'!$H:$H, "=TRUE"))</f>
        <v>25624</v>
      </c>
      <c r="N196" s="26">
        <f>MINIFS('Activity map'!$C:$C, 'Activity map'!$A:$A, $A196, 'Activity map'!$H:$H, "=TRUE", 'Activity map'!$E:$E, $T196)</f>
        <v>1249</v>
      </c>
      <c r="O196" s="168">
        <f t="shared" si="5"/>
        <v>0.0820940915</v>
      </c>
      <c r="P196" s="30" t="str">
        <f>IF($M196=0, "-", VLOOKUP($M196, 'List of log slots'!$A:$C, 2, FALSE))</f>
        <v>Unsired</v>
      </c>
      <c r="Q196" s="31">
        <f>IFERROR(__xludf.DUMMYFUNCTION("IF(ISERROR(FILTER('Activity map'!$C:$C, ('Activity map'!$A:$A=$A196)*('Activity map'!$F:$F=FALSE))), 0, COUNTA(UNIQUE(FILTER('Activity map'!$C:$C, ('Activity map'!$A:$A=$A196)*('Activity map'!$F:$F=FALSE)))))"),11.0)</f>
        <v>11</v>
      </c>
      <c r="R196" s="31">
        <f>IFERROR(__xludf.DUMMYFUNCTION("IF(ISERROR(FILTER('Activity map'!$C:$C, 'Activity map'!$A:$A=$A196)), 0, COUNTA(UNIQUE(FILTER('Activity map'!$C:$C, 'Activity map'!$A:$A=$A196))))"),11.0)</f>
        <v>11</v>
      </c>
      <c r="S196" s="92">
        <f t="shared" si="6"/>
        <v>0</v>
      </c>
      <c r="T196" s="31">
        <f>IFERROR(__xludf.DUMMYFUNCTION("IF(ISERROR(FILTER('Activity map'!$E:$E, ('Activity map'!$A:$A=$A196)*('Activity map'!$F:$F=FALSE))), ""-"", MIN(UNIQUE(FILTER('Activity map'!$E:$E, ('Activity map'!$A:$A=$A196)*('Activity map'!$F:$F=FALSE)))))"),5.0)</f>
        <v>5</v>
      </c>
      <c r="U196" s="30" t="str">
        <f>IF($N196=0, "-", VLOOKUP($N196, 'List of log slots'!$A:$C, 2, FALSE))</f>
        <v>Dragon spear</v>
      </c>
    </row>
    <row r="197">
      <c r="A197" s="26">
        <v>134.0</v>
      </c>
      <c r="B197" s="23" t="str">
        <f>VLOOKUP($A197, 'Completion rates'!$A:$E, 2, FALSE)</f>
        <v>Giving items to the clam (ocean encounters)</v>
      </c>
      <c r="C197" s="26">
        <f>IF(Notes!$E$27, VLOOKUP($A197, 'Completion rates'!$A:$E, 4, FALSE), VLOOKUP($A197, 'Completion rates'!$A:$E, 3, FALSE))</f>
        <v>0.5</v>
      </c>
      <c r="D197" s="26">
        <f>VLOOKUP($A197, 'Completion rates'!$A:$E, 5, FALSE)</f>
        <v>0</v>
      </c>
      <c r="E197" s="28" t="str">
        <f>IF(SUMIFS('Activity map'!$O:$O, 'Activity map'!$A:$A, A197, 'Activity map'!$H:$H, "=TRUE") = 0, "n/a", 1/SUMIFS('Activity map'!$O:$O, 'Activity map'!$A:$A, A197, 'Activity map'!$H:$H, "=TRUE"))</f>
        <v>n/a</v>
      </c>
      <c r="F197" s="8" t="str">
        <f t="shared" si="1"/>
        <v/>
      </c>
      <c r="G197" s="26" t="str">
        <f>IF(MINIFS('Activity map'!$N:$N, 'Activity map'!$A:$A, A197, 'Activity map'!$H:$H, "=TRUE") = 0, "n/a", MINIFS('Activity map'!$N:$N, 'Activity map'!$A:$A, A197, 'Activity map'!$H:$H, "=TRUE"))</f>
        <v>n/a</v>
      </c>
      <c r="H197" s="8" t="str">
        <f t="shared" si="2"/>
        <v/>
      </c>
      <c r="I197" s="26" t="str">
        <f>IF(MINIFS('Activity map'!$M:$M, 'Activity map'!$A:$A, A197, 'Activity map'!$H:$H, "=TRUE") = 0, "n/a", MINIFS('Activity map'!$M:$M, 'Activity map'!$A:$A, A197, 'Activity map'!$H:$H, "=TRUE"))</f>
        <v>n/a</v>
      </c>
      <c r="J197" s="8" t="str">
        <f t="shared" si="3"/>
        <v/>
      </c>
      <c r="K197" s="26">
        <f>IF(MINIFS('Activity map'!$L:$L, 'Activity map'!$A:$A, A197, 'Activity map'!$H:$H, "=TRUE") = 0, "n/a", MINIFS('Activity map'!$L:$L, 'Activity map'!$A:$A, A197, 'Activity map'!$H:$H, "=TRUE"))</f>
        <v>1</v>
      </c>
      <c r="L197" s="26">
        <f t="shared" si="4"/>
        <v>2</v>
      </c>
      <c r="M197" s="26">
        <f>MINIFS('Activity map'!$C:$C, 'Activity map'!$A:$A, $A197, 'Activity map'!$H:$H, "=TRUE", 'Activity map'!$K:$K, MINIFS('Activity map'!$K:$K, 'Activity map'!$A:$A, $A197, 'Activity map'!$H:$H, "=TRUE"))</f>
        <v>31770</v>
      </c>
      <c r="N197" s="26">
        <f>MINIFS('Activity map'!$C:$C, 'Activity map'!$A:$A, $A197, 'Activity map'!$H:$H, "=TRUE", 'Activity map'!$E:$E, $T197)</f>
        <v>31770</v>
      </c>
      <c r="O197" s="169">
        <f t="shared" si="5"/>
        <v>0.08333333333</v>
      </c>
      <c r="P197" s="30" t="str">
        <f>IF($M197=0, "-", VLOOKUP($M197, 'List of log slots'!$A:$C, 2, FALSE))</f>
        <v>Tiny pearl</v>
      </c>
      <c r="Q197" s="31">
        <f>IFERROR(__xludf.DUMMYFUNCTION("IF(ISERROR(FILTER('Activity map'!$C:$C, ('Activity map'!$A:$A=$A197)*('Activity map'!$F:$F=FALSE))), 0, COUNTA(UNIQUE(FILTER('Activity map'!$C:$C, ('Activity map'!$A:$A=$A197)*('Activity map'!$F:$F=FALSE)))))"),11.0)</f>
        <v>11</v>
      </c>
      <c r="R197" s="31">
        <f>IFERROR(__xludf.DUMMYFUNCTION("IF(ISERROR(FILTER('Activity map'!$C:$C, 'Activity map'!$A:$A=$A197)), 0, COUNTA(UNIQUE(FILTER('Activity map'!$C:$C, 'Activity map'!$A:$A=$A197))))"),11.0)</f>
        <v>11</v>
      </c>
      <c r="S197" s="170">
        <f t="shared" si="6"/>
        <v>0</v>
      </c>
      <c r="T197" s="31">
        <f>IFERROR(__xludf.DUMMYFUNCTION("IF(ISERROR(FILTER('Activity map'!$E:$E, ('Activity map'!$A:$A=$A197)*('Activity map'!$F:$F=FALSE))), ""-"", MIN(UNIQUE(FILTER('Activity map'!$E:$E, ('Activity map'!$A:$A=$A197)*('Activity map'!$F:$F=FALSE)))))"),2.0)</f>
        <v>2</v>
      </c>
      <c r="U197" s="30" t="str">
        <f>IF($N197=0, "-", VLOOKUP($N197, 'List of log slots'!$A:$C, 2, FALSE))</f>
        <v>Tiny pearl</v>
      </c>
    </row>
    <row r="198">
      <c r="A198" s="26">
        <v>233.0</v>
      </c>
      <c r="B198" s="23" t="str">
        <f>VLOOKUP($A198, 'Completion rates'!$A:$E, 2, FALSE)</f>
        <v>Collecting unidentified minerals at the mining guild</v>
      </c>
      <c r="C198" s="26">
        <f>IF(Notes!$E$27, VLOOKUP($A198, 'Completion rates'!$A:$E, 4, FALSE), VLOOKUP($A198, 'Completion rates'!$A:$E, 3, FALSE))</f>
        <v>20</v>
      </c>
      <c r="D198" s="26">
        <f>VLOOKUP($A198, 'Completion rates'!$A:$E, 5, FALSE)</f>
        <v>0</v>
      </c>
      <c r="E198" s="28">
        <f>IF(SUMIFS('Activity map'!$O:$O, 'Activity map'!$A:$A, A198, 'Activity map'!$H:$H, "=TRUE") = 0, "n/a", 1/SUMIFS('Activity map'!$O:$O, 'Activity map'!$A:$A, A198, 'Activity map'!$H:$H, "=TRUE"))</f>
        <v>40</v>
      </c>
      <c r="F198" s="8">
        <f t="shared" si="1"/>
        <v>2</v>
      </c>
      <c r="G198" s="26" t="str">
        <f>IF(MINIFS('Activity map'!$N:$N, 'Activity map'!$A:$A, A198, 'Activity map'!$H:$H, "=TRUE") = 0, "n/a", MINIFS('Activity map'!$N:$N, 'Activity map'!$A:$A, A198, 'Activity map'!$H:$H, "=TRUE"))</f>
        <v>n/a</v>
      </c>
      <c r="H198" s="8" t="str">
        <f t="shared" si="2"/>
        <v/>
      </c>
      <c r="I198" s="26" t="str">
        <f>IF(MINIFS('Activity map'!$M:$M, 'Activity map'!$A:$A, A198, 'Activity map'!$H:$H, "=TRUE") = 0, "n/a", MINIFS('Activity map'!$M:$M, 'Activity map'!$A:$A, A198, 'Activity map'!$H:$H, "=TRUE"))</f>
        <v>n/a</v>
      </c>
      <c r="J198" s="8" t="str">
        <f t="shared" si="3"/>
        <v/>
      </c>
      <c r="K198" s="26" t="str">
        <f>IF(MINIFS('Activity map'!$L:$L, 'Activity map'!$A:$A, A198, 'Activity map'!$H:$H, "=TRUE") = 0, "n/a", MINIFS('Activity map'!$L:$L, 'Activity map'!$A:$A, A198, 'Activity map'!$H:$H, "=TRUE"))</f>
        <v>n/a</v>
      </c>
      <c r="L198" s="8" t="str">
        <f t="shared" si="4"/>
        <v/>
      </c>
      <c r="M198" s="26">
        <f>MINIFS('Activity map'!$C:$C, 'Activity map'!$A:$A, $A198, 'Activity map'!$H:$H, "=TRUE", 'Activity map'!$K:$K, MINIFS('Activity map'!$K:$K, 'Activity map'!$A:$A, $A198, 'Activity map'!$H:$H, "=TRUE"))</f>
        <v>21343</v>
      </c>
      <c r="N198" s="26">
        <f>MINIFS('Activity map'!$C:$C, 'Activity map'!$A:$A, $A198, 'Activity map'!$H:$H, "=TRUE", 'Activity map'!$E:$E, $T198)</f>
        <v>21343</v>
      </c>
      <c r="O198" s="35">
        <f t="shared" si="5"/>
        <v>0.08333333333</v>
      </c>
      <c r="P198" s="30" t="str">
        <f>IF($M198=0, "-", VLOOKUP($M198, 'List of log slots'!$A:$C, 2, FALSE))</f>
        <v>Mining gloves</v>
      </c>
      <c r="Q198" s="31">
        <f>IFERROR(__xludf.DUMMYFUNCTION("IF(ISERROR(FILTER('Activity map'!$C:$C, ('Activity map'!$A:$A=$A198)*('Activity map'!$F:$F=FALSE))), 0, COUNTA(UNIQUE(FILTER('Activity map'!$C:$C, ('Activity map'!$A:$A=$A198)*('Activity map'!$F:$F=FALSE)))))"),3.0)</f>
        <v>3</v>
      </c>
      <c r="R198" s="31">
        <f>IFERROR(__xludf.DUMMYFUNCTION("IF(ISERROR(FILTER('Activity map'!$C:$C, 'Activity map'!$A:$A=$A198)), 0, COUNTA(UNIQUE(FILTER('Activity map'!$C:$C, 'Activity map'!$A:$A=$A198))))"),3.0)</f>
        <v>3</v>
      </c>
      <c r="S198" s="36">
        <f t="shared" si="6"/>
        <v>0</v>
      </c>
      <c r="T198" s="31">
        <f>IFERROR(__xludf.DUMMYFUNCTION("IF(ISERROR(FILTER('Activity map'!$E:$E, ('Activity map'!$A:$A=$A198)*('Activity map'!$F:$F=FALSE))), ""-"", MIN(UNIQUE(FILTER('Activity map'!$E:$E, ('Activity map'!$A:$A=$A198)*('Activity map'!$F:$F=FALSE)))))"),4.0)</f>
        <v>4</v>
      </c>
      <c r="U198" s="30" t="str">
        <f>IF($N198=0, "-", VLOOKUP($N198, 'List of log slots'!$A:$C, 2, FALSE))</f>
        <v>Mining gloves</v>
      </c>
    </row>
    <row r="199">
      <c r="A199" s="26">
        <v>48.0</v>
      </c>
      <c r="B199" s="23" t="str">
        <f>VLOOKUP($A199, 'Completion rates'!$A:$E, 2, FALSE)</f>
        <v>Killing skotizo</v>
      </c>
      <c r="C199" s="26">
        <f>IF(Notes!$E$27, VLOOKUP($A199, 'Completion rates'!$A:$E, 4, FALSE), VLOOKUP($A199, 'Completion rates'!$A:$E, 3, FALSE))</f>
        <v>0.45</v>
      </c>
      <c r="D199" s="26">
        <f>VLOOKUP($A199, 'Completion rates'!$A:$E, 5, FALSE)</f>
        <v>0</v>
      </c>
      <c r="E199" s="28">
        <f>IF(SUMIFS('Activity map'!$O:$O, 'Activity map'!$A:$A, A199, 'Activity map'!$H:$H, "=TRUE") = 0, "n/a", 1/SUMIFS('Activity map'!$O:$O, 'Activity map'!$A:$A, A199, 'Activity map'!$H:$H, "=TRUE"))</f>
        <v>12.62672252</v>
      </c>
      <c r="F199" s="26">
        <f t="shared" si="1"/>
        <v>28.05938337</v>
      </c>
      <c r="G199" s="26" t="str">
        <f>IF(MINIFS('Activity map'!$N:$N, 'Activity map'!$A:$A, A199, 'Activity map'!$H:$H, "=TRUE") = 0, "n/a", MINIFS('Activity map'!$N:$N, 'Activity map'!$A:$A, A199, 'Activity map'!$H:$H, "=TRUE"))</f>
        <v>n/a</v>
      </c>
      <c r="H199" s="8" t="str">
        <f t="shared" si="2"/>
        <v/>
      </c>
      <c r="I199" s="26">
        <f>IF(MINIFS('Activity map'!$M:$M, 'Activity map'!$A:$A, A199, 'Activity map'!$H:$H, "=TRUE") = 0, "n/a", MINIFS('Activity map'!$M:$M, 'Activity map'!$A:$A, A199, 'Activity map'!$H:$H, "=TRUE"))</f>
        <v>1</v>
      </c>
      <c r="J199" s="8">
        <f t="shared" si="3"/>
        <v>2.222222222</v>
      </c>
      <c r="K199" s="26" t="str">
        <f>IF(MINIFS('Activity map'!$L:$L, 'Activity map'!$A:$A, A199, 'Activity map'!$H:$H, "=TRUE") = 0, "n/a", MINIFS('Activity map'!$L:$L, 'Activity map'!$A:$A, A199, 'Activity map'!$H:$H, "=TRUE"))</f>
        <v>n/a</v>
      </c>
      <c r="L199" s="8" t="str">
        <f t="shared" si="4"/>
        <v/>
      </c>
      <c r="M199" s="26">
        <f>MINIFS('Activity map'!$C:$C, 'Activity map'!$A:$A, $A199, 'Activity map'!$H:$H, "=TRUE", 'Activity map'!$K:$K, MINIFS('Activity map'!$K:$K, 'Activity map'!$A:$A, $A199, 'Activity map'!$H:$H, "=TRUE"))</f>
        <v>19677</v>
      </c>
      <c r="N199" s="26">
        <f>MINIFS('Activity map'!$C:$C, 'Activity map'!$A:$A, $A199, 'Activity map'!$H:$H, "=TRUE", 'Activity map'!$E:$E, $T199)</f>
        <v>2366</v>
      </c>
      <c r="O199" s="66">
        <f t="shared" si="5"/>
        <v>0.09259259259</v>
      </c>
      <c r="P199" s="30" t="str">
        <f>IF($M199=0, "-", VLOOKUP($M199, 'List of log slots'!$A:$C, 2, FALSE))</f>
        <v>Ancient shard</v>
      </c>
      <c r="Q199" s="31">
        <f>IFERROR(__xludf.DUMMYFUNCTION("IF(ISERROR(FILTER('Activity map'!$C:$C, ('Activity map'!$A:$A=$A199)*('Activity map'!$F:$F=FALSE))), 0, COUNTA(UNIQUE(FILTER('Activity map'!$C:$C, ('Activity map'!$A:$A=$A199)*('Activity map'!$F:$F=FALSE)))))"),7.0)</f>
        <v>7</v>
      </c>
      <c r="R199" s="31">
        <f>IFERROR(__xludf.DUMMYFUNCTION("IF(ISERROR(FILTER('Activity map'!$C:$C, 'Activity map'!$A:$A=$A199)), 0, COUNTA(UNIQUE(FILTER('Activity map'!$C:$C, 'Activity map'!$A:$A=$A199))))"),7.0)</f>
        <v>7</v>
      </c>
      <c r="S199" s="34">
        <f t="shared" si="6"/>
        <v>0</v>
      </c>
      <c r="T199" s="31">
        <f>IFERROR(__xludf.DUMMYFUNCTION("IF(ISERROR(FILTER('Activity map'!$E:$E, ('Activity map'!$A:$A=$A199)*('Activity map'!$F:$F=FALSE))), ""-"", MIN(UNIQUE(FILTER('Activity map'!$E:$E, ('Activity map'!$A:$A=$A199)*('Activity map'!$F:$F=FALSE)))))"),5.0)</f>
        <v>5</v>
      </c>
      <c r="U199" s="30" t="str">
        <f>IF($N199=0, "-", VLOOKUP($N199, 'List of log slots'!$A:$C, 2, FALSE))</f>
        <v>Shield left half</v>
      </c>
    </row>
    <row r="200">
      <c r="A200" s="26">
        <v>249.0</v>
      </c>
      <c r="B200" s="23" t="str">
        <f>VLOOKUP($A200, 'Completion rates'!$A:$E, 2, FALSE)</f>
        <v>Opening the moon chest</v>
      </c>
      <c r="C200" s="26">
        <f>IF(Notes!$E$27, VLOOKUP($A200, 'Completion rates'!$A:$E, 4, FALSE), VLOOKUP($A200, 'Completion rates'!$A:$E, 3, FALSE))</f>
        <v>0.4</v>
      </c>
      <c r="D200" s="26">
        <f>VLOOKUP($A200, 'Completion rates'!$A:$E, 5, FALSE)</f>
        <v>0</v>
      </c>
      <c r="E200" s="28">
        <f>IF(SUMIFS('Activity map'!$O:$O, 'Activity map'!$A:$A, A200, 'Activity map'!$H:$H, "=TRUE") = 0, "n/a", 1/SUMIFS('Activity map'!$O:$O, 'Activity map'!$A:$A, A200, 'Activity map'!$H:$H, "=TRUE"))</f>
        <v>0.9072581652</v>
      </c>
      <c r="F200" s="26">
        <f t="shared" si="1"/>
        <v>2.268145413</v>
      </c>
      <c r="G200" s="26" t="str">
        <f>IF(MINIFS('Activity map'!$N:$N, 'Activity map'!$A:$A, A200, 'Activity map'!$H:$H, "=TRUE") = 0, "n/a", MINIFS('Activity map'!$N:$N, 'Activity map'!$A:$A, A200, 'Activity map'!$H:$H, "=TRUE"))</f>
        <v>n/a</v>
      </c>
      <c r="H200" s="8" t="str">
        <f t="shared" si="2"/>
        <v/>
      </c>
      <c r="I200" s="26" t="str">
        <f>IF(MINIFS('Activity map'!$M:$M, 'Activity map'!$A:$A, A200, 'Activity map'!$H:$H, "=TRUE") = 0, "n/a", MINIFS('Activity map'!$M:$M, 'Activity map'!$A:$A, A200, 'Activity map'!$H:$H, "=TRUE"))</f>
        <v>n/a</v>
      </c>
      <c r="J200" s="8" t="str">
        <f t="shared" si="3"/>
        <v/>
      </c>
      <c r="K200" s="26" t="str">
        <f>IF(MINIFS('Activity map'!$L:$L, 'Activity map'!$A:$A, A200, 'Activity map'!$H:$H, "=TRUE") = 0, "n/a", MINIFS('Activity map'!$L:$L, 'Activity map'!$A:$A, A200, 'Activity map'!$H:$H, "=TRUE"))</f>
        <v>n/a</v>
      </c>
      <c r="L200" s="8" t="str">
        <f t="shared" si="4"/>
        <v/>
      </c>
      <c r="M200" s="26">
        <f>MINIFS('Activity map'!$C:$C, 'Activity map'!$A:$A, $A200, 'Activity map'!$H:$H, "=TRUE", 'Activity map'!$K:$K, MINIFS('Activity map'!$K:$K, 'Activity map'!$A:$A, $A200, 'Activity map'!$H:$H, "=TRUE"))</f>
        <v>28924</v>
      </c>
      <c r="N200" s="26">
        <f>MINIFS('Activity map'!$C:$C, 'Activity map'!$A:$A, $A200, 'Activity map'!$H:$H, "=TRUE", 'Activity map'!$E:$E, $T200)</f>
        <v>28924</v>
      </c>
      <c r="O200" s="171">
        <f t="shared" si="5"/>
        <v>0.09450605888</v>
      </c>
      <c r="P200" s="30" t="str">
        <f>IF($M200=0, "-", VLOOKUP($M200, 'List of log slots'!$A:$C, 2, FALSE))</f>
        <v>Sunfire splinters</v>
      </c>
      <c r="Q200" s="31">
        <f>IFERROR(__xludf.DUMMYFUNCTION("IF(ISERROR(FILTER('Activity map'!$C:$C, ('Activity map'!$A:$A=$A200)*('Activity map'!$F:$F=FALSE))), 0, COUNTA(UNIQUE(FILTER('Activity map'!$C:$C, ('Activity map'!$A:$A=$A200)*('Activity map'!$F:$F=FALSE)))))"),4.0)</f>
        <v>4</v>
      </c>
      <c r="R200" s="31">
        <f>IFERROR(__xludf.DUMMYFUNCTION("IF(ISERROR(FILTER('Activity map'!$C:$C, 'Activity map'!$A:$A=$A200)), 0, COUNTA(UNIQUE(FILTER('Activity map'!$C:$C, 'Activity map'!$A:$A=$A200))))"),4.0)</f>
        <v>4</v>
      </c>
      <c r="S200" s="46">
        <f t="shared" si="6"/>
        <v>0</v>
      </c>
      <c r="T200" s="31">
        <f>IFERROR(__xludf.DUMMYFUNCTION("IF(ISERROR(FILTER('Activity map'!$E:$E, ('Activity map'!$A:$A=$A200)*('Activity map'!$F:$F=FALSE))), ""-"", MIN(UNIQUE(FILTER('Activity map'!$E:$E, ('Activity map'!$A:$A=$A200)*('Activity map'!$F:$F=FALSE)))))"),2.0)</f>
        <v>2</v>
      </c>
      <c r="U200" s="30" t="str">
        <f>IF($N200=0, "-", VLOOKUP($N200, 'List of log slots'!$A:$C, 2, FALSE))</f>
        <v>Sunfire splinters</v>
      </c>
    </row>
    <row r="201">
      <c r="A201" s="26">
        <v>244.0</v>
      </c>
      <c r="B201" s="23" t="str">
        <f>VLOOKUP($A201, 'Completion rates'!$A:$E, 2, FALSE)</f>
        <v>Pickpocketing from prifddinas elves</v>
      </c>
      <c r="C201" s="26">
        <f>IF(Notes!$E$27, VLOOKUP($A201, 'Completion rates'!$A:$E, 4, FALSE), VLOOKUP($A201, 'Completion rates'!$A:$E, 3, FALSE))</f>
        <v>450</v>
      </c>
      <c r="D201" s="26">
        <f>VLOOKUP($A201, 'Completion rates'!$A:$E, 5, FALSE)</f>
        <v>0</v>
      </c>
      <c r="E201" s="28">
        <f>IF(SUMIFS('Activity map'!$O:$O, 'Activity map'!$A:$A, A201, 'Activity map'!$H:$H, "=TRUE") = 0, "n/a", 1/SUMIFS('Activity map'!$O:$O, 'Activity map'!$A:$A, A201, 'Activity map'!$H:$H, "=TRUE"))</f>
        <v>1024</v>
      </c>
      <c r="F201" s="26">
        <f t="shared" si="1"/>
        <v>2.275555556</v>
      </c>
      <c r="G201" s="26" t="str">
        <f>IF(MINIFS('Activity map'!$N:$N, 'Activity map'!$A:$A, A201, 'Activity map'!$H:$H, "=TRUE") = 0, "n/a", MINIFS('Activity map'!$N:$N, 'Activity map'!$A:$A, A201, 'Activity map'!$H:$H, "=TRUE"))</f>
        <v>n/a</v>
      </c>
      <c r="H201" s="8" t="str">
        <f t="shared" si="2"/>
        <v/>
      </c>
      <c r="I201" s="26" t="str">
        <f>IF(MINIFS('Activity map'!$M:$M, 'Activity map'!$A:$A, A201, 'Activity map'!$H:$H, "=TRUE") = 0, "n/a", MINIFS('Activity map'!$M:$M, 'Activity map'!$A:$A, A201, 'Activity map'!$H:$H, "=TRUE"))</f>
        <v>n/a</v>
      </c>
      <c r="J201" s="8" t="str">
        <f t="shared" si="3"/>
        <v/>
      </c>
      <c r="K201" s="26" t="str">
        <f>IF(MINIFS('Activity map'!$L:$L, 'Activity map'!$A:$A, A201, 'Activity map'!$H:$H, "=TRUE") = 0, "n/a", MINIFS('Activity map'!$L:$L, 'Activity map'!$A:$A, A201, 'Activity map'!$H:$H, "=TRUE"))</f>
        <v>n/a</v>
      </c>
      <c r="L201" s="8" t="str">
        <f t="shared" si="4"/>
        <v/>
      </c>
      <c r="M201" s="26">
        <f>MINIFS('Activity map'!$C:$C, 'Activity map'!$A:$A, $A201, 'Activity map'!$H:$H, "=TRUE", 'Activity map'!$K:$K, MINIFS('Activity map'!$K:$K, 'Activity map'!$A:$A, $A201, 'Activity map'!$H:$H, "=TRUE"))</f>
        <v>23959</v>
      </c>
      <c r="N201" s="26">
        <f>MINIFS('Activity map'!$C:$C, 'Activity map'!$A:$A, $A201, 'Activity map'!$H:$H, "=TRUE", 'Activity map'!$E:$E, $T201)</f>
        <v>23959</v>
      </c>
      <c r="O201" s="172">
        <f t="shared" si="5"/>
        <v>0.09481481481</v>
      </c>
      <c r="P201" s="30" t="str">
        <f>IF($M201=0, "-", VLOOKUP($M201, 'List of log slots'!$A:$C, 2, FALSE))</f>
        <v>Enhanced crystal teleport seed</v>
      </c>
      <c r="Q201" s="31">
        <f>IFERROR(__xludf.DUMMYFUNCTION("IF(ISERROR(FILTER('Activity map'!$C:$C, ('Activity map'!$A:$A=$A201)*('Activity map'!$F:$F=FALSE))), 0, COUNTA(UNIQUE(FILTER('Activity map'!$C:$C, ('Activity map'!$A:$A=$A201)*('Activity map'!$F:$F=FALSE)))))"),1.0)</f>
        <v>1</v>
      </c>
      <c r="R201" s="31">
        <f>IFERROR(__xludf.DUMMYFUNCTION("IF(ISERROR(FILTER('Activity map'!$C:$C, 'Activity map'!$A:$A=$A201)), 0, COUNTA(UNIQUE(FILTER('Activity map'!$C:$C, 'Activity map'!$A:$A=$A201))))"),1.0)</f>
        <v>1</v>
      </c>
      <c r="S201" s="72">
        <f t="shared" si="6"/>
        <v>0</v>
      </c>
      <c r="T201" s="31">
        <f>IFERROR(__xludf.DUMMYFUNCTION("IF(ISERROR(FILTER('Activity map'!$E:$E, ('Activity map'!$A:$A=$A201)*('Activity map'!$F:$F=FALSE))), ""-"", MIN(UNIQUE(FILTER('Activity map'!$E:$E, ('Activity map'!$A:$A=$A201)*('Activity map'!$F:$F=FALSE)))))"),5.0)</f>
        <v>5</v>
      </c>
      <c r="U201" s="30" t="str">
        <f>IF($N201=0, "-", VLOOKUP($N201, 'List of log slots'!$A:$C, 2, FALSE))</f>
        <v>Enhanced crystal teleport seed</v>
      </c>
    </row>
    <row r="202">
      <c r="A202" s="26">
        <v>39.0</v>
      </c>
      <c r="B202" s="23" t="str">
        <f>VLOOKUP($A202, 'Completion rates'!$A:$E, 2, FALSE)</f>
        <v>Killing phosani's nightmare</v>
      </c>
      <c r="C202" s="26">
        <f>IF(Notes!$E$27, VLOOKUP($A202, 'Completion rates'!$A:$E, 4, FALSE), VLOOKUP($A202, 'Completion rates'!$A:$E, 3, FALSE))</f>
        <v>8</v>
      </c>
      <c r="D202" s="26">
        <f>VLOOKUP($A202, 'Completion rates'!$A:$E, 5, FALSE)</f>
        <v>0</v>
      </c>
      <c r="E202" s="28">
        <f>IF(SUMIFS('Activity map'!$O:$O, 'Activity map'!$A:$A, A202, 'Activity map'!$H:$H, "=TRUE") = 0, "n/a", 1/SUMIFS('Activity map'!$O:$O, 'Activity map'!$A:$A, A202, 'Activity map'!$H:$H, "=TRUE"))</f>
        <v>18.24778472</v>
      </c>
      <c r="F202" s="26">
        <f t="shared" si="1"/>
        <v>2.28097309</v>
      </c>
      <c r="G202" s="26" t="str">
        <f>IF(MINIFS('Activity map'!$N:$N, 'Activity map'!$A:$A, A202, 'Activity map'!$H:$H, "=TRUE") = 0, "n/a", MINIFS('Activity map'!$N:$N, 'Activity map'!$A:$A, A202, 'Activity map'!$H:$H, "=TRUE"))</f>
        <v>n/a</v>
      </c>
      <c r="H202" s="8" t="str">
        <f t="shared" si="2"/>
        <v/>
      </c>
      <c r="I202" s="26">
        <f>IF(MINIFS('Activity map'!$M:$M, 'Activity map'!$A:$A, A202, 'Activity map'!$H:$H, "=TRUE") = 0, "n/a", MINIFS('Activity map'!$M:$M, 'Activity map'!$A:$A, A202, 'Activity map'!$H:$H, "=TRUE"))</f>
        <v>25</v>
      </c>
      <c r="J202" s="26">
        <f t="shared" si="3"/>
        <v>3.125</v>
      </c>
      <c r="K202" s="26" t="str">
        <f>IF(MINIFS('Activity map'!$L:$L, 'Activity map'!$A:$A, A202, 'Activity map'!$H:$H, "=TRUE") = 0, "n/a", MINIFS('Activity map'!$L:$L, 'Activity map'!$A:$A, A202, 'Activity map'!$H:$H, "=TRUE"))</f>
        <v>n/a</v>
      </c>
      <c r="L202" s="8" t="str">
        <f t="shared" si="4"/>
        <v/>
      </c>
      <c r="M202" s="26">
        <f>MINIFS('Activity map'!$C:$C, 'Activity map'!$A:$A, $A202, 'Activity map'!$H:$H, "=TRUE", 'Activity map'!$K:$K, MINIFS('Activity map'!$K:$K, 'Activity map'!$A:$A, $A202, 'Activity map'!$H:$H, "=TRUE"))</f>
        <v>25837</v>
      </c>
      <c r="N202" s="26">
        <f>MINIFS('Activity map'!$C:$C, 'Activity map'!$A:$A, $A202, 'Activity map'!$H:$H, "=TRUE", 'Activity map'!$E:$E, $T202)</f>
        <v>25837</v>
      </c>
      <c r="O202" s="172">
        <f t="shared" si="5"/>
        <v>0.0950405454</v>
      </c>
      <c r="P202" s="30" t="str">
        <f>IF($M202=0, "-", VLOOKUP($M202, 'List of log slots'!$A:$C, 2, FALSE))</f>
        <v>Slepey tablet</v>
      </c>
      <c r="Q202" s="31">
        <f>IFERROR(__xludf.DUMMYFUNCTION("IF(ISERROR(FILTER('Activity map'!$C:$C, ('Activity map'!$A:$A=$A202)*('Activity map'!$F:$F=FALSE))), 0, COUNTA(UNIQUE(FILTER('Activity map'!$C:$C, ('Activity map'!$A:$A=$A202)*('Activity map'!$F:$F=FALSE)))))"),12.0)</f>
        <v>12</v>
      </c>
      <c r="R202" s="31">
        <f>IFERROR(__xludf.DUMMYFUNCTION("IF(ISERROR(FILTER('Activity map'!$C:$C, 'Activity map'!$A:$A=$A202)), 0, COUNTA(UNIQUE(FILTER('Activity map'!$C:$C, 'Activity map'!$A:$A=$A202))))"),12.0)</f>
        <v>12</v>
      </c>
      <c r="S202" s="72">
        <f t="shared" si="6"/>
        <v>0</v>
      </c>
      <c r="T202" s="31">
        <f>IFERROR(__xludf.DUMMYFUNCTION("IF(ISERROR(FILTER('Activity map'!$E:$E, ('Activity map'!$A:$A=$A202)*('Activity map'!$F:$F=FALSE))), ""-"", MIN(UNIQUE(FILTER('Activity map'!$E:$E, ('Activity map'!$A:$A=$A202)*('Activity map'!$F:$F=FALSE)))))"),6.0)</f>
        <v>6</v>
      </c>
      <c r="U202" s="30" t="str">
        <f>IF($N202=0, "-", VLOOKUP($N202, 'List of log slots'!$A:$C, 2, FALSE))</f>
        <v>Slepey tablet</v>
      </c>
    </row>
    <row r="203">
      <c r="A203" s="26">
        <v>155.0</v>
      </c>
      <c r="B203" s="23" t="str">
        <f>VLOOKUP($A203, 'Completion rates'!$A:$E, 2, FALSE)</f>
        <v>Mining stardust from shooting stars</v>
      </c>
      <c r="C203" s="26">
        <f>IF(Notes!$E$27, VLOOKUP($A203, 'Completion rates'!$A:$E, 4, FALSE), VLOOKUP($A203, 'Completion rates'!$A:$E, 3, FALSE))</f>
        <v>800</v>
      </c>
      <c r="D203" s="26">
        <f>VLOOKUP($A203, 'Completion rates'!$A:$E, 5, FALSE)</f>
        <v>0</v>
      </c>
      <c r="E203" s="28" t="str">
        <f>IF(SUMIFS('Activity map'!$O:$O, 'Activity map'!$A:$A, A203, 'Activity map'!$H:$H, "=TRUE") = 0, "n/a", 1/SUMIFS('Activity map'!$O:$O, 'Activity map'!$A:$A, A203, 'Activity map'!$H:$H, "=TRUE"))</f>
        <v>n/a</v>
      </c>
      <c r="F203" s="8" t="str">
        <f t="shared" si="1"/>
        <v/>
      </c>
      <c r="G203" s="26" t="str">
        <f>IF(MINIFS('Activity map'!$N:$N, 'Activity map'!$A:$A, A203, 'Activity map'!$H:$H, "=TRUE") = 0, "n/a", MINIFS('Activity map'!$N:$N, 'Activity map'!$A:$A, A203, 'Activity map'!$H:$H, "=TRUE"))</f>
        <v>n/a</v>
      </c>
      <c r="H203" s="8" t="str">
        <f t="shared" si="2"/>
        <v/>
      </c>
      <c r="I203" s="26" t="str">
        <f>IF(MINIFS('Activity map'!$M:$M, 'Activity map'!$A:$A, A203, 'Activity map'!$H:$H, "=TRUE") = 0, "n/a", MINIFS('Activity map'!$M:$M, 'Activity map'!$A:$A, A203, 'Activity map'!$H:$H, "=TRUE"))</f>
        <v>n/a</v>
      </c>
      <c r="J203" s="8" t="str">
        <f t="shared" si="3"/>
        <v/>
      </c>
      <c r="K203" s="26">
        <f>IF(MINIFS('Activity map'!$L:$L, 'Activity map'!$A:$A, A203, 'Activity map'!$H:$H, "=TRUE") = 0, "n/a", MINIFS('Activity map'!$L:$L, 'Activity map'!$A:$A, A203, 'Activity map'!$H:$H, "=TRUE"))</f>
        <v>2000</v>
      </c>
      <c r="L203" s="8">
        <f t="shared" si="4"/>
        <v>2.5</v>
      </c>
      <c r="M203" s="26">
        <f>MINIFS('Activity map'!$C:$C, 'Activity map'!$A:$A, $A203, 'Activity map'!$H:$H, "=TRUE", 'Activity map'!$K:$K, MINIFS('Activity map'!$K:$K, 'Activity map'!$A:$A, $A203, 'Activity map'!$H:$H, "=TRUE"))</f>
        <v>25539</v>
      </c>
      <c r="N203" s="26">
        <f>MINIFS('Activity map'!$C:$C, 'Activity map'!$A:$A, $A203, 'Activity map'!$H:$H, "=TRUE", 'Activity map'!$E:$E, $T203)</f>
        <v>25539</v>
      </c>
      <c r="O203" s="35">
        <f t="shared" si="5"/>
        <v>0.1041666667</v>
      </c>
      <c r="P203" s="30" t="str">
        <f>IF($M203=0, "-", VLOOKUP($M203, 'List of log slots'!$A:$C, 2, FALSE))</f>
        <v>Celestial ring (uncharged)</v>
      </c>
      <c r="Q203" s="31">
        <f>IFERROR(__xludf.DUMMYFUNCTION("IF(ISERROR(FILTER('Activity map'!$C:$C, ('Activity map'!$A:$A=$A203)*('Activity map'!$F:$F=FALSE))), 0, COUNTA(UNIQUE(FILTER('Activity map'!$C:$C, ('Activity map'!$A:$A=$A203)*('Activity map'!$F:$F=FALSE)))))"),2.0)</f>
        <v>2</v>
      </c>
      <c r="R203" s="31">
        <f>IFERROR(__xludf.DUMMYFUNCTION("IF(ISERROR(FILTER('Activity map'!$C:$C, 'Activity map'!$A:$A=$A203)), 0, COUNTA(UNIQUE(FILTER('Activity map'!$C:$C, 'Activity map'!$A:$A=$A203))))"),2.0)</f>
        <v>2</v>
      </c>
      <c r="S203" s="36">
        <f t="shared" si="6"/>
        <v>0</v>
      </c>
      <c r="T203" s="31">
        <f>IFERROR(__xludf.DUMMYFUNCTION("IF(ISERROR(FILTER('Activity map'!$E:$E, ('Activity map'!$A:$A=$A203)*('Activity map'!$F:$F=FALSE))), ""-"", MIN(UNIQUE(FILTER('Activity map'!$E:$E, ('Activity map'!$A:$A=$A203)*('Activity map'!$F:$F=FALSE)))))"),1.0)</f>
        <v>1</v>
      </c>
      <c r="U203" s="30" t="str">
        <f>IF($N203=0, "-", VLOOKUP($N203, 'List of log slots'!$A:$C, 2, FALSE))</f>
        <v>Celestial ring (uncharged)</v>
      </c>
    </row>
    <row r="204">
      <c r="A204" s="26">
        <v>219.0</v>
      </c>
      <c r="B204" s="23" t="str">
        <f>VLOOKUP($A204, 'Completion rates'!$A:$E, 2, FALSE)</f>
        <v>Fishing bass</v>
      </c>
      <c r="C204" s="26">
        <f>IF(Notes!$E$27, VLOOKUP($A204, 'Completion rates'!$A:$E, 4, FALSE), VLOOKUP($A204, 'Completion rates'!$A:$E, 3, FALSE))</f>
        <v>360</v>
      </c>
      <c r="D204" s="26">
        <f>VLOOKUP($A204, 'Completion rates'!$A:$E, 5, FALSE)</f>
        <v>0</v>
      </c>
      <c r="E204" s="28">
        <f>IF(SUMIFS('Activity map'!$O:$O, 'Activity map'!$A:$A, A204, 'Activity map'!$H:$H, "=TRUE") = 0, "n/a", 1/SUMIFS('Activity map'!$O:$O, 'Activity map'!$A:$A, A204, 'Activity map'!$H:$H, "=TRUE"))</f>
        <v>1000</v>
      </c>
      <c r="F204" s="8">
        <f t="shared" si="1"/>
        <v>2.777777778</v>
      </c>
      <c r="G204" s="26" t="str">
        <f>IF(MINIFS('Activity map'!$N:$N, 'Activity map'!$A:$A, A204, 'Activity map'!$H:$H, "=TRUE") = 0, "n/a", MINIFS('Activity map'!$N:$N, 'Activity map'!$A:$A, A204, 'Activity map'!$H:$H, "=TRUE"))</f>
        <v>n/a</v>
      </c>
      <c r="H204" s="8" t="str">
        <f t="shared" si="2"/>
        <v/>
      </c>
      <c r="I204" s="26" t="str">
        <f>IF(MINIFS('Activity map'!$M:$M, 'Activity map'!$A:$A, A204, 'Activity map'!$H:$H, "=TRUE") = 0, "n/a", MINIFS('Activity map'!$M:$M, 'Activity map'!$A:$A, A204, 'Activity map'!$H:$H, "=TRUE"))</f>
        <v>n/a</v>
      </c>
      <c r="J204" s="8" t="str">
        <f t="shared" si="3"/>
        <v/>
      </c>
      <c r="K204" s="26" t="str">
        <f>IF(MINIFS('Activity map'!$L:$L, 'Activity map'!$A:$A, A204, 'Activity map'!$H:$H, "=TRUE") = 0, "n/a", MINIFS('Activity map'!$L:$L, 'Activity map'!$A:$A, A204, 'Activity map'!$H:$H, "=TRUE"))</f>
        <v>n/a</v>
      </c>
      <c r="L204" s="8" t="str">
        <f t="shared" si="4"/>
        <v/>
      </c>
      <c r="M204" s="26">
        <f>MINIFS('Activity map'!$C:$C, 'Activity map'!$A:$A, $A204, 'Activity map'!$H:$H, "=TRUE", 'Activity map'!$K:$K, MINIFS('Activity map'!$K:$K, 'Activity map'!$A:$A, $A204, 'Activity map'!$H:$H, "=TRUE"))</f>
        <v>7989</v>
      </c>
      <c r="N204" s="26">
        <f>MINIFS('Activity map'!$C:$C, 'Activity map'!$A:$A, $A204, 'Activity map'!$H:$H, "=TRUE", 'Activity map'!$E:$E, $T204)</f>
        <v>7989</v>
      </c>
      <c r="O204" s="35">
        <f t="shared" si="5"/>
        <v>0.1157407407</v>
      </c>
      <c r="P204" s="30" t="str">
        <f>IF($M204=0, "-", VLOOKUP($M204, 'List of log slots'!$A:$C, 2, FALSE))</f>
        <v>Big bass</v>
      </c>
      <c r="Q204" s="31">
        <f>IFERROR(__xludf.DUMMYFUNCTION("IF(ISERROR(FILTER('Activity map'!$C:$C, ('Activity map'!$A:$A=$A204)*('Activity map'!$F:$F=FALSE))), 0, COUNTA(UNIQUE(FILTER('Activity map'!$C:$C, ('Activity map'!$A:$A=$A204)*('Activity map'!$F:$F=FALSE)))))"),1.0)</f>
        <v>1</v>
      </c>
      <c r="R204" s="31">
        <f>IFERROR(__xludf.DUMMYFUNCTION("IF(ISERROR(FILTER('Activity map'!$C:$C, 'Activity map'!$A:$A=$A204)), 0, COUNTA(UNIQUE(FILTER('Activity map'!$C:$C, 'Activity map'!$A:$A=$A204))))"),1.0)</f>
        <v>1</v>
      </c>
      <c r="S204" s="36">
        <f t="shared" si="6"/>
        <v>0</v>
      </c>
      <c r="T204" s="31">
        <f>IFERROR(__xludf.DUMMYFUNCTION("IF(ISERROR(FILTER('Activity map'!$E:$E, ('Activity map'!$A:$A=$A204)*('Activity map'!$F:$F=FALSE))), ""-"", MIN(UNIQUE(FILTER('Activity map'!$E:$E, ('Activity map'!$A:$A=$A204)*('Activity map'!$F:$F=FALSE)))))"),5.0)</f>
        <v>5</v>
      </c>
      <c r="U204" s="30" t="str">
        <f>IF($N204=0, "-", VLOOKUP($N204, 'List of log slots'!$A:$C, 2, FALSE))</f>
        <v>Big bass</v>
      </c>
    </row>
    <row r="205">
      <c r="A205" s="26">
        <v>178.0</v>
      </c>
      <c r="B205" s="23" t="str">
        <f>VLOOKUP($A205, 'Completion rates'!$A:$E, 2, FALSE)</f>
        <v>Killing fossil island wyverns</v>
      </c>
      <c r="C205" s="26">
        <f>IF(Notes!$E$27, VLOOKUP($A205, 'Completion rates'!$A:$E, 4, FALSE), VLOOKUP($A205, 'Completion rates'!$A:$E, 3, FALSE))</f>
        <v>145</v>
      </c>
      <c r="D205" s="26">
        <f>VLOOKUP($A205, 'Completion rates'!$A:$E, 5, FALSE)</f>
        <v>0</v>
      </c>
      <c r="E205" s="28">
        <f>IF(SUMIFS('Activity map'!$O:$O, 'Activity map'!$A:$A, A205, 'Activity map'!$H:$H, "=TRUE") = 0, "n/a", 1/SUMIFS('Activity map'!$O:$O, 'Activity map'!$A:$A, A205, 'Activity map'!$H:$H, "=TRUE"))</f>
        <v>412.0171674</v>
      </c>
      <c r="F205" s="26">
        <f t="shared" si="1"/>
        <v>2.841497706</v>
      </c>
      <c r="G205" s="26" t="str">
        <f>IF(MINIFS('Activity map'!$N:$N, 'Activity map'!$A:$A, A205, 'Activity map'!$H:$H, "=TRUE") = 0, "n/a", MINIFS('Activity map'!$N:$N, 'Activity map'!$A:$A, A205, 'Activity map'!$H:$H, "=TRUE"))</f>
        <v>n/a</v>
      </c>
      <c r="H205" s="8" t="str">
        <f t="shared" si="2"/>
        <v/>
      </c>
      <c r="I205" s="26" t="str">
        <f>IF(MINIFS('Activity map'!$M:$M, 'Activity map'!$A:$A, A205, 'Activity map'!$H:$H, "=TRUE") = 0, "n/a", MINIFS('Activity map'!$M:$M, 'Activity map'!$A:$A, A205, 'Activity map'!$H:$H, "=TRUE"))</f>
        <v>n/a</v>
      </c>
      <c r="J205" s="8" t="str">
        <f t="shared" si="3"/>
        <v/>
      </c>
      <c r="K205" s="26" t="str">
        <f>IF(MINIFS('Activity map'!$L:$L, 'Activity map'!$A:$A, A205, 'Activity map'!$H:$H, "=TRUE") = 0, "n/a", MINIFS('Activity map'!$L:$L, 'Activity map'!$A:$A, A205, 'Activity map'!$H:$H, "=TRUE"))</f>
        <v>n/a</v>
      </c>
      <c r="L205" s="8" t="str">
        <f t="shared" si="4"/>
        <v/>
      </c>
      <c r="M205" s="26">
        <f>MINIFS('Activity map'!$C:$C, 'Activity map'!$A:$A, $A205, 'Activity map'!$H:$H, "=TRUE", 'Activity map'!$K:$K, MINIFS('Activity map'!$K:$K, 'Activity map'!$A:$A, $A205, 'Activity map'!$H:$H, "=TRUE"))</f>
        <v>21646</v>
      </c>
      <c r="N205" s="26">
        <f>MINIFS('Activity map'!$C:$C, 'Activity map'!$A:$A, $A205, 'Activity map'!$H:$H, "=TRUE", 'Activity map'!$E:$E, $T205)</f>
        <v>21646</v>
      </c>
      <c r="O205" s="136">
        <f t="shared" si="5"/>
        <v>0.1183957378</v>
      </c>
      <c r="P205" s="30" t="str">
        <f>IF($M205=0, "-", VLOOKUP($M205, 'List of log slots'!$A:$C, 2, FALSE))</f>
        <v>Granite longsword</v>
      </c>
      <c r="Q205" s="31">
        <f>IFERROR(__xludf.DUMMYFUNCTION("IF(ISERROR(FILTER('Activity map'!$C:$C, ('Activity map'!$A:$A=$A205)*('Activity map'!$F:$F=FALSE))), 0, COUNTA(UNIQUE(FILTER('Activity map'!$C:$C, ('Activity map'!$A:$A=$A205)*('Activity map'!$F:$F=FALSE)))))"),3.0)</f>
        <v>3</v>
      </c>
      <c r="R205" s="31">
        <f>IFERROR(__xludf.DUMMYFUNCTION("IF(ISERROR(FILTER('Activity map'!$C:$C, 'Activity map'!$A:$A=$A205)), 0, COUNTA(UNIQUE(FILTER('Activity map'!$C:$C, 'Activity map'!$A:$A=$A205))))"),3.0)</f>
        <v>3</v>
      </c>
      <c r="S205" s="72">
        <f t="shared" si="6"/>
        <v>0</v>
      </c>
      <c r="T205" s="31">
        <f>IFERROR(__xludf.DUMMYFUNCTION("IF(ISERROR(FILTER('Activity map'!$E:$E, ('Activity map'!$A:$A=$A205)*('Activity map'!$F:$F=FALSE))), ""-"", MIN(UNIQUE(FILTER('Activity map'!$E:$E, ('Activity map'!$A:$A=$A205)*('Activity map'!$F:$F=FALSE)))))"),5.0)</f>
        <v>5</v>
      </c>
      <c r="U205" s="30" t="str">
        <f>IF($N205=0, "-", VLOOKUP($N205, 'List of log slots'!$A:$C, 2, FALSE))</f>
        <v>Granite longsword</v>
      </c>
    </row>
    <row r="206">
      <c r="A206" s="26">
        <v>132.0</v>
      </c>
      <c r="B206" s="23" t="str">
        <f>VLOOKUP($A206, 'Completion rates'!$A:$E, 2, FALSE)</f>
        <v>Collecting gold nuggets at the motherlode mine</v>
      </c>
      <c r="C206" s="26">
        <f>IF(Notes!$E$27, VLOOKUP($A206, 'Completion rates'!$A:$E, 4, FALSE), VLOOKUP($A206, 'Completion rates'!$A:$E, 3, FALSE))</f>
        <v>10</v>
      </c>
      <c r="D206" s="26">
        <f>VLOOKUP($A206, 'Completion rates'!$A:$E, 5, FALSE)</f>
        <v>0</v>
      </c>
      <c r="E206" s="28" t="str">
        <f>IF(SUMIFS('Activity map'!$O:$O, 'Activity map'!$A:$A, A206, 'Activity map'!$H:$H, "=TRUE") = 0, "n/a", 1/SUMIFS('Activity map'!$O:$O, 'Activity map'!$A:$A, A206, 'Activity map'!$H:$H, "=TRUE"))</f>
        <v>n/a</v>
      </c>
      <c r="F206" s="8" t="str">
        <f t="shared" si="1"/>
        <v/>
      </c>
      <c r="G206" s="26" t="str">
        <f>IF(MINIFS('Activity map'!$N:$N, 'Activity map'!$A:$A, A206, 'Activity map'!$H:$H, "=TRUE") = 0, "n/a", MINIFS('Activity map'!$N:$N, 'Activity map'!$A:$A, A206, 'Activity map'!$H:$H, "=TRUE"))</f>
        <v>n/a</v>
      </c>
      <c r="H206" s="8" t="str">
        <f t="shared" si="2"/>
        <v/>
      </c>
      <c r="I206" s="26" t="str">
        <f>IF(MINIFS('Activity map'!$M:$M, 'Activity map'!$A:$A, A206, 'Activity map'!$H:$H, "=TRUE") = 0, "n/a", MINIFS('Activity map'!$M:$M, 'Activity map'!$A:$A, A206, 'Activity map'!$H:$H, "=TRUE"))</f>
        <v>n/a</v>
      </c>
      <c r="J206" s="8" t="str">
        <f t="shared" si="3"/>
        <v/>
      </c>
      <c r="K206" s="26">
        <f>IF(MINIFS('Activity map'!$L:$L, 'Activity map'!$A:$A, A206, 'Activity map'!$H:$H, "=TRUE") = 0, "n/a", MINIFS('Activity map'!$L:$L, 'Activity map'!$A:$A, A206, 'Activity map'!$H:$H, "=TRUE"))</f>
        <v>30</v>
      </c>
      <c r="L206" s="8">
        <f t="shared" si="4"/>
        <v>3</v>
      </c>
      <c r="M206" s="26">
        <f>MINIFS('Activity map'!$C:$C, 'Activity map'!$A:$A, $A206, 'Activity map'!$H:$H, "=TRUE", 'Activity map'!$K:$K, MINIFS('Activity map'!$K:$K, 'Activity map'!$A:$A, $A206, 'Activity map'!$H:$H, "=TRUE"))</f>
        <v>12016</v>
      </c>
      <c r="N206" s="26">
        <f>MINIFS('Activity map'!$C:$C, 'Activity map'!$A:$A, $A206, 'Activity map'!$H:$H, "=TRUE", 'Activity map'!$E:$E, $T206)</f>
        <v>12013</v>
      </c>
      <c r="O206" s="35">
        <f t="shared" si="5"/>
        <v>0.125</v>
      </c>
      <c r="P206" s="30" t="str">
        <f>IF($M206=0, "-", VLOOKUP($M206, 'List of log slots'!$A:$C, 2, FALSE))</f>
        <v>Prospector boots</v>
      </c>
      <c r="Q206" s="31">
        <f>IFERROR(__xludf.DUMMYFUNCTION("IF(ISERROR(FILTER('Activity map'!$C:$C, ('Activity map'!$A:$A=$A206)*('Activity map'!$F:$F=FALSE))), 0, COUNTA(UNIQUE(FILTER('Activity map'!$C:$C, ('Activity map'!$A:$A=$A206)*('Activity map'!$F:$F=FALSE)))))"),6.0)</f>
        <v>6</v>
      </c>
      <c r="R206" s="31">
        <f>IFERROR(__xludf.DUMMYFUNCTION("IF(ISERROR(FILTER('Activity map'!$C:$C, 'Activity map'!$A:$A=$A206)), 0, COUNTA(UNIQUE(FILTER('Activity map'!$C:$C, 'Activity map'!$A:$A=$A206))))"),6.0)</f>
        <v>6</v>
      </c>
      <c r="S206" s="36">
        <f t="shared" si="6"/>
        <v>0</v>
      </c>
      <c r="T206" s="31">
        <f>IFERROR(__xludf.DUMMYFUNCTION("IF(ISERROR(FILTER('Activity map'!$E:$E, ('Activity map'!$A:$A=$A206)*('Activity map'!$F:$F=FALSE))), ""-"", MIN(UNIQUE(FILTER('Activity map'!$E:$E, ('Activity map'!$A:$A=$A206)*('Activity map'!$F:$F=FALSE)))))"),2.0)</f>
        <v>2</v>
      </c>
      <c r="U206" s="30" t="str">
        <f>IF($N206=0, "-", VLOOKUP($N206, 'List of log slots'!$A:$C, 2, FALSE))</f>
        <v>Prospector helmet</v>
      </c>
    </row>
    <row r="207">
      <c r="A207" s="26">
        <v>61.0</v>
      </c>
      <c r="B207" s="23" t="str">
        <f>VLOOKUP($A207, 'Completion rates'!$A:$E, 2, FALSE)</f>
        <v>Ancient chest (chambers of xeric challenge mode)</v>
      </c>
      <c r="C207" s="26">
        <f>IF(Notes!$E$27, VLOOKUP($A207, 'Completion rates'!$A:$E, 4, FALSE), VLOOKUP($A207, 'Completion rates'!$A:$E, 3, FALSE))</f>
        <v>3</v>
      </c>
      <c r="D207" s="26">
        <f>VLOOKUP($A207, 'Completion rates'!$A:$E, 5, FALSE)</f>
        <v>0</v>
      </c>
      <c r="E207" s="28">
        <f>IF(SUMIFS('Activity map'!$O:$O, 'Activity map'!$A:$A, A207, 'Activity map'!$H:$H, "=TRUE") = 0, "n/a", 1/SUMIFS('Activity map'!$O:$O, 'Activity map'!$A:$A, A207, 'Activity map'!$H:$H, "=TRUE"))</f>
        <v>9.103500481</v>
      </c>
      <c r="F207" s="26">
        <f t="shared" si="1"/>
        <v>3.03450016</v>
      </c>
      <c r="G207" s="26" t="str">
        <f>IF(MINIFS('Activity map'!$N:$N, 'Activity map'!$A:$A, A207, 'Activity map'!$H:$H, "=TRUE") = 0, "n/a", MINIFS('Activity map'!$N:$N, 'Activity map'!$A:$A, A207, 'Activity map'!$H:$H, "=TRUE"))</f>
        <v>n/a</v>
      </c>
      <c r="H207" s="8" t="str">
        <f t="shared" si="2"/>
        <v/>
      </c>
      <c r="I207" s="26">
        <f>IF(MINIFS('Activity map'!$M:$M, 'Activity map'!$A:$A, A207, 'Activity map'!$H:$H, "=TRUE") = 0, "n/a", MINIFS('Activity map'!$M:$M, 'Activity map'!$A:$A, A207, 'Activity map'!$H:$H, "=TRUE"))</f>
        <v>100</v>
      </c>
      <c r="J207" s="26">
        <f t="shared" si="3"/>
        <v>33.33333333</v>
      </c>
      <c r="K207" s="26" t="str">
        <f>IF(MINIFS('Activity map'!$L:$L, 'Activity map'!$A:$A, A207, 'Activity map'!$H:$H, "=TRUE") = 0, "n/a", MINIFS('Activity map'!$L:$L, 'Activity map'!$A:$A, A207, 'Activity map'!$H:$H, "=TRUE"))</f>
        <v>n/a</v>
      </c>
      <c r="L207" s="8" t="str">
        <f t="shared" si="4"/>
        <v/>
      </c>
      <c r="M207" s="26">
        <f>MINIFS('Activity map'!$C:$C, 'Activity map'!$A:$A, $A207, 'Activity map'!$H:$H, "=TRUE", 'Activity map'!$K:$K, MINIFS('Activity map'!$K:$K, 'Activity map'!$A:$A, $A207, 'Activity map'!$H:$H, "=TRUE"))</f>
        <v>21027</v>
      </c>
      <c r="N207" s="26">
        <f>MINIFS('Activity map'!$C:$C, 'Activity map'!$A:$A, $A207, 'Activity map'!$H:$H, "=TRUE", 'Activity map'!$E:$E, $T207)</f>
        <v>21027</v>
      </c>
      <c r="O207" s="129">
        <f t="shared" si="5"/>
        <v>0.1264375067</v>
      </c>
      <c r="P207" s="30" t="str">
        <f>IF($M207=0, "-", VLOOKUP($M207, 'List of log slots'!$A:$C, 2, FALSE))</f>
        <v>Dark relic</v>
      </c>
      <c r="Q207" s="31">
        <f>IFERROR(__xludf.DUMMYFUNCTION("IF(ISERROR(FILTER('Activity map'!$C:$C, ('Activity map'!$A:$A=$A207)*('Activity map'!$F:$F=FALSE))), 0, COUNTA(UNIQUE(FILTER('Activity map'!$C:$C, ('Activity map'!$A:$A=$A207)*('Activity map'!$F:$F=FALSE)))))"),23.0)</f>
        <v>23</v>
      </c>
      <c r="R207" s="31">
        <f>IFERROR(__xludf.DUMMYFUNCTION("IF(ISERROR(FILTER('Activity map'!$C:$C, 'Activity map'!$A:$A=$A207)), 0, COUNTA(UNIQUE(FILTER('Activity map'!$C:$C, 'Activity map'!$A:$A=$A207))))"),23.0)</f>
        <v>23</v>
      </c>
      <c r="S207" s="72">
        <f t="shared" si="6"/>
        <v>0</v>
      </c>
      <c r="T207" s="31">
        <f>IFERROR(__xludf.DUMMYFUNCTION("IF(ISERROR(FILTER('Activity map'!$E:$E, ('Activity map'!$A:$A=$A207)*('Activity map'!$F:$F=FALSE))), ""-"", MIN(UNIQUE(FILTER('Activity map'!$E:$E, ('Activity map'!$A:$A=$A207)*('Activity map'!$F:$F=FALSE)))))"),5.0)</f>
        <v>5</v>
      </c>
      <c r="U207" s="30" t="str">
        <f>IF($N207=0, "-", VLOOKUP($N207, 'List of log slots'!$A:$C, 2, FALSE))</f>
        <v>Dark relic</v>
      </c>
    </row>
    <row r="208">
      <c r="A208" s="26">
        <v>101.0</v>
      </c>
      <c r="B208" s="23" t="str">
        <f>VLOOKUP($A208, 'Completion rates'!$A:$E, 2, FALSE)</f>
        <v>Collecting pearls while aerial fishing</v>
      </c>
      <c r="C208" s="26">
        <f>IF(Notes!$E$27, VLOOKUP($A208, 'Completion rates'!$A:$E, 4, FALSE), VLOOKUP($A208, 'Completion rates'!$A:$E, 3, FALSE))</f>
        <v>32</v>
      </c>
      <c r="D208" s="26">
        <f>VLOOKUP($A208, 'Completion rates'!$A:$E, 5, FALSE)</f>
        <v>0</v>
      </c>
      <c r="E208" s="28">
        <f>IF(SUMIFS('Activity map'!$O:$O, 'Activity map'!$A:$A, A208, 'Activity map'!$H:$H, "=TRUE") = 0, "n/a", 1/SUMIFS('Activity map'!$O:$O, 'Activity map'!$A:$A, A208, 'Activity map'!$H:$H, "=TRUE"))</f>
        <v>267</v>
      </c>
      <c r="F208" s="26">
        <f t="shared" si="1"/>
        <v>8.34375</v>
      </c>
      <c r="G208" s="26" t="str">
        <f>IF(MINIFS('Activity map'!$N:$N, 'Activity map'!$A:$A, A208, 'Activity map'!$H:$H, "=TRUE") = 0, "n/a", MINIFS('Activity map'!$N:$N, 'Activity map'!$A:$A, A208, 'Activity map'!$H:$H, "=TRUE"))</f>
        <v>n/a</v>
      </c>
      <c r="H208" s="8" t="str">
        <f t="shared" si="2"/>
        <v/>
      </c>
      <c r="I208" s="26" t="str">
        <f>IF(MINIFS('Activity map'!$M:$M, 'Activity map'!$A:$A, A208, 'Activity map'!$H:$H, "=TRUE") = 0, "n/a", MINIFS('Activity map'!$M:$M, 'Activity map'!$A:$A, A208, 'Activity map'!$H:$H, "=TRUE"))</f>
        <v>n/a</v>
      </c>
      <c r="J208" s="8" t="str">
        <f t="shared" si="3"/>
        <v/>
      </c>
      <c r="K208" s="26">
        <f>IF(MINIFS('Activity map'!$L:$L, 'Activity map'!$A:$A, A208, 'Activity map'!$H:$H, "=TRUE") = 0, "n/a", MINIFS('Activity map'!$L:$L, 'Activity map'!$A:$A, A208, 'Activity map'!$H:$H, "=TRUE"))</f>
        <v>100</v>
      </c>
      <c r="L208" s="26">
        <f t="shared" si="4"/>
        <v>3.125</v>
      </c>
      <c r="M208" s="26">
        <f>MINIFS('Activity map'!$C:$C, 'Activity map'!$A:$A, $A208, 'Activity map'!$H:$H, "=TRUE", 'Activity map'!$K:$K, MINIFS('Activity map'!$K:$K, 'Activity map'!$A:$A, $A208, 'Activity map'!$H:$H, "=TRUE"))</f>
        <v>13258</v>
      </c>
      <c r="N208" s="26">
        <f>MINIFS('Activity map'!$C:$C, 'Activity map'!$A:$A, $A208, 'Activity map'!$H:$H, "=TRUE", 'Activity map'!$E:$E, $T208)</f>
        <v>13258</v>
      </c>
      <c r="O208" s="78">
        <f t="shared" si="5"/>
        <v>0.1302083333</v>
      </c>
      <c r="P208" s="30" t="str">
        <f>IF($M208=0, "-", VLOOKUP($M208, 'List of log slots'!$A:$C, 2, FALSE))</f>
        <v>Angler hat</v>
      </c>
      <c r="Q208" s="31">
        <f>IFERROR(__xludf.DUMMYFUNCTION("IF(ISERROR(FILTER('Activity map'!$C:$C, ('Activity map'!$A:$A=$A208)*('Activity map'!$F:$F=FALSE))), 0, COUNTA(UNIQUE(FILTER('Activity map'!$C:$C, ('Activity map'!$A:$A=$A208)*('Activity map'!$F:$F=FALSE)))))"),9.0)</f>
        <v>9</v>
      </c>
      <c r="R208" s="31">
        <f>IFERROR(__xludf.DUMMYFUNCTION("IF(ISERROR(FILTER('Activity map'!$C:$C, 'Activity map'!$A:$A=$A208)), 0, COUNTA(UNIQUE(FILTER('Activity map'!$C:$C, 'Activity map'!$A:$A=$A208))))"),9.0)</f>
        <v>9</v>
      </c>
      <c r="S208" s="60">
        <f t="shared" si="6"/>
        <v>0</v>
      </c>
      <c r="T208" s="31">
        <f>IFERROR(__xludf.DUMMYFUNCTION("IF(ISERROR(FILTER('Activity map'!$E:$E, ('Activity map'!$A:$A=$A208)*('Activity map'!$F:$F=FALSE))), ""-"", MIN(UNIQUE(FILTER('Activity map'!$E:$E, ('Activity map'!$A:$A=$A208)*('Activity map'!$F:$F=FALSE)))))"),2.0)</f>
        <v>2</v>
      </c>
      <c r="U208" s="30" t="str">
        <f>IF($N208=0, "-", VLOOKUP($N208, 'List of log slots'!$A:$C, 2, FALSE))</f>
        <v>Angler hat</v>
      </c>
    </row>
    <row r="209">
      <c r="A209" s="26">
        <v>108.0</v>
      </c>
      <c r="B209" s="23" t="str">
        <f>VLOOKUP($A209, 'Completion rates'!$A:$E, 2, FALSE)</f>
        <v>Killing goblins (champion's challenge)</v>
      </c>
      <c r="C209" s="26">
        <f>IF(Notes!$E$27, VLOOKUP($A209, 'Completion rates'!$A:$E, 4, FALSE), VLOOKUP($A209, 'Completion rates'!$A:$E, 3, FALSE))</f>
        <v>1600</v>
      </c>
      <c r="D209" s="26">
        <f>VLOOKUP($A209, 'Completion rates'!$A:$E, 5, FALSE)</f>
        <v>0</v>
      </c>
      <c r="E209" s="28">
        <f>IF(SUMIFS('Activity map'!$O:$O, 'Activity map'!$A:$A, A209, 'Activity map'!$H:$H, "=TRUE") = 0, "n/a", 1/SUMIFS('Activity map'!$O:$O, 'Activity map'!$A:$A, A209, 'Activity map'!$H:$H, "=TRUE"))</f>
        <v>5000</v>
      </c>
      <c r="F209" s="26">
        <f t="shared" si="1"/>
        <v>3.125</v>
      </c>
      <c r="G209" s="26" t="str">
        <f>IF(MINIFS('Activity map'!$N:$N, 'Activity map'!$A:$A, A209, 'Activity map'!$H:$H, "=TRUE") = 0, "n/a", MINIFS('Activity map'!$N:$N, 'Activity map'!$A:$A, A209, 'Activity map'!$H:$H, "=TRUE"))</f>
        <v>n/a</v>
      </c>
      <c r="H209" s="8" t="str">
        <f t="shared" si="2"/>
        <v/>
      </c>
      <c r="I209" s="26" t="str">
        <f>IF(MINIFS('Activity map'!$M:$M, 'Activity map'!$A:$A, A209, 'Activity map'!$H:$H, "=TRUE") = 0, "n/a", MINIFS('Activity map'!$M:$M, 'Activity map'!$A:$A, A209, 'Activity map'!$H:$H, "=TRUE"))</f>
        <v>n/a</v>
      </c>
      <c r="J209" s="8" t="str">
        <f t="shared" si="3"/>
        <v/>
      </c>
      <c r="K209" s="26" t="str">
        <f>IF(MINIFS('Activity map'!$L:$L, 'Activity map'!$A:$A, A209, 'Activity map'!$H:$H, "=TRUE") = 0, "n/a", MINIFS('Activity map'!$L:$L, 'Activity map'!$A:$A, A209, 'Activity map'!$H:$H, "=TRUE"))</f>
        <v>n/a</v>
      </c>
      <c r="L209" s="8" t="str">
        <f t="shared" si="4"/>
        <v/>
      </c>
      <c r="M209" s="26">
        <f>MINIFS('Activity map'!$C:$C, 'Activity map'!$A:$A, $A209, 'Activity map'!$H:$H, "=TRUE", 'Activity map'!$K:$K, MINIFS('Activity map'!$K:$K, 'Activity map'!$A:$A, $A209, 'Activity map'!$H:$H, "=TRUE"))</f>
        <v>6801</v>
      </c>
      <c r="N209" s="26">
        <f>MINIFS('Activity map'!$C:$C, 'Activity map'!$A:$A, $A209, 'Activity map'!$H:$H, "=TRUE", 'Activity map'!$E:$E, $T209)</f>
        <v>6801</v>
      </c>
      <c r="O209" s="78">
        <f t="shared" si="5"/>
        <v>0.1302083333</v>
      </c>
      <c r="P209" s="30" t="str">
        <f>IF($M209=0, "-", VLOOKUP($M209, 'List of log slots'!$A:$C, 2, FALSE))</f>
        <v>Goblin champion scroll</v>
      </c>
      <c r="Q209" s="31">
        <f>IFERROR(__xludf.DUMMYFUNCTION("IF(ISERROR(FILTER('Activity map'!$C:$C, ('Activity map'!$A:$A=$A209)*('Activity map'!$F:$F=FALSE))), 0, COUNTA(UNIQUE(FILTER('Activity map'!$C:$C, ('Activity map'!$A:$A=$A209)*('Activity map'!$F:$F=FALSE)))))"),1.0)</f>
        <v>1</v>
      </c>
      <c r="R209" s="31">
        <f>IFERROR(__xludf.DUMMYFUNCTION("IF(ISERROR(FILTER('Activity map'!$C:$C, 'Activity map'!$A:$A=$A209)), 0, COUNTA(UNIQUE(FILTER('Activity map'!$C:$C, 'Activity map'!$A:$A=$A209))))"),1.0)</f>
        <v>1</v>
      </c>
      <c r="S209" s="72">
        <f t="shared" si="6"/>
        <v>0</v>
      </c>
      <c r="T209" s="31">
        <f>IFERROR(__xludf.DUMMYFUNCTION("IF(ISERROR(FILTER('Activity map'!$E:$E, ('Activity map'!$A:$A=$A209)*('Activity map'!$F:$F=FALSE))), ""-"", MIN(UNIQUE(FILTER('Activity map'!$E:$E, ('Activity map'!$A:$A=$A209)*('Activity map'!$F:$F=FALSE)))))"),4.0)</f>
        <v>4</v>
      </c>
      <c r="U209" s="30" t="str">
        <f>IF($N209=0, "-", VLOOKUP($N209, 'List of log slots'!$A:$C, 2, FALSE))</f>
        <v>Goblin champion scroll</v>
      </c>
    </row>
    <row r="210">
      <c r="A210" s="26">
        <v>227.0</v>
      </c>
      <c r="B210" s="23" t="str">
        <f>VLOOKUP($A210, 'Completion rates'!$A:$E, 2, FALSE)</f>
        <v>Looting grand gold chests (pyramid plunder)</v>
      </c>
      <c r="C210" s="26">
        <f>IF(Notes!$E$27, VLOOKUP($A210, 'Completion rates'!$A:$E, 4, FALSE), VLOOKUP($A210, 'Completion rates'!$A:$E, 3, FALSE))</f>
        <v>192</v>
      </c>
      <c r="D210" s="26">
        <f>VLOOKUP($A210, 'Completion rates'!$A:$E, 5, FALSE)</f>
        <v>0</v>
      </c>
      <c r="E210" s="28">
        <f>IF(SUMIFS('Activity map'!$O:$O, 'Activity map'!$A:$A, A210, 'Activity map'!$H:$H, "=TRUE") = 0, "n/a", 1/SUMIFS('Activity map'!$O:$O, 'Activity map'!$A:$A, A210, 'Activity map'!$H:$H, "=TRUE"))</f>
        <v>650</v>
      </c>
      <c r="F210" s="26">
        <f t="shared" si="1"/>
        <v>3.385416667</v>
      </c>
      <c r="G210" s="26" t="str">
        <f>IF(MINIFS('Activity map'!$N:$N, 'Activity map'!$A:$A, A210, 'Activity map'!$H:$H, "=TRUE") = 0, "n/a", MINIFS('Activity map'!$N:$N, 'Activity map'!$A:$A, A210, 'Activity map'!$H:$H, "=TRUE"))</f>
        <v>n/a</v>
      </c>
      <c r="H210" s="8" t="str">
        <f t="shared" si="2"/>
        <v/>
      </c>
      <c r="I210" s="26" t="str">
        <f>IF(MINIFS('Activity map'!$M:$M, 'Activity map'!$A:$A, A210, 'Activity map'!$H:$H, "=TRUE") = 0, "n/a", MINIFS('Activity map'!$M:$M, 'Activity map'!$A:$A, A210, 'Activity map'!$H:$H, "=TRUE"))</f>
        <v>n/a</v>
      </c>
      <c r="J210" s="8" t="str">
        <f t="shared" si="3"/>
        <v/>
      </c>
      <c r="K210" s="26" t="str">
        <f>IF(MINIFS('Activity map'!$L:$L, 'Activity map'!$A:$A, A210, 'Activity map'!$H:$H, "=TRUE") = 0, "n/a", MINIFS('Activity map'!$L:$L, 'Activity map'!$A:$A, A210, 'Activity map'!$H:$H, "=TRUE"))</f>
        <v>n/a</v>
      </c>
      <c r="L210" s="8" t="str">
        <f t="shared" si="4"/>
        <v/>
      </c>
      <c r="M210" s="26">
        <f>MINIFS('Activity map'!$C:$C, 'Activity map'!$A:$A, $A210, 'Activity map'!$H:$H, "=TRUE", 'Activity map'!$K:$K, MINIFS('Activity map'!$K:$K, 'Activity map'!$A:$A, $A210, 'Activity map'!$H:$H, "=TRUE"))</f>
        <v>26945</v>
      </c>
      <c r="N210" s="26">
        <f>MINIFS('Activity map'!$C:$C, 'Activity map'!$A:$A, $A210, 'Activity map'!$H:$H, "=TRUE", 'Activity map'!$E:$E, $T210)</f>
        <v>26945</v>
      </c>
      <c r="O210" s="173">
        <f t="shared" si="5"/>
        <v>0.1410590278</v>
      </c>
      <c r="P210" s="30" t="str">
        <f>IF($M210=0, "-", VLOOKUP($M210, 'List of log slots'!$A:$C, 2, FALSE))</f>
        <v>Pharaoh's sceptre (uncharged)</v>
      </c>
      <c r="Q210" s="31">
        <f>IFERROR(__xludf.DUMMYFUNCTION("IF(ISERROR(FILTER('Activity map'!$C:$C, ('Activity map'!$A:$A=$A210)*('Activity map'!$F:$F=FALSE))), 0, COUNTA(UNIQUE(FILTER('Activity map'!$C:$C, ('Activity map'!$A:$A=$A210)*('Activity map'!$F:$F=FALSE)))))"),1.0)</f>
        <v>1</v>
      </c>
      <c r="R210" s="31">
        <f>IFERROR(__xludf.DUMMYFUNCTION("IF(ISERROR(FILTER('Activity map'!$C:$C, 'Activity map'!$A:$A=$A210)), 0, COUNTA(UNIQUE(FILTER('Activity map'!$C:$C, 'Activity map'!$A:$A=$A210))))"),1.0)</f>
        <v>1</v>
      </c>
      <c r="S210" s="72">
        <f t="shared" si="6"/>
        <v>0</v>
      </c>
      <c r="T210" s="31">
        <f>IFERROR(__xludf.DUMMYFUNCTION("IF(ISERROR(FILTER('Activity map'!$E:$E, ('Activity map'!$A:$A=$A210)*('Activity map'!$F:$F=FALSE))), ""-"", MIN(UNIQUE(FILTER('Activity map'!$E:$E, ('Activity map'!$A:$A=$A210)*('Activity map'!$F:$F=FALSE)))))"),5.0)</f>
        <v>5</v>
      </c>
      <c r="U210" s="30" t="str">
        <f>IF($N210=0, "-", VLOOKUP($N210, 'List of log slots'!$A:$C, 2, FALSE))</f>
        <v>Pharaoh's sceptre (uncharged)</v>
      </c>
    </row>
    <row r="211">
      <c r="A211" s="26">
        <v>179.0</v>
      </c>
      <c r="B211" s="23" t="str">
        <f>VLOOKUP($A211, 'Completion rates'!$A:$E, 2, FALSE)</f>
        <v>Killing ancient wyverns</v>
      </c>
      <c r="C211" s="26">
        <f>IF(Notes!$E$27, VLOOKUP($A211, 'Completion rates'!$A:$E, 4, FALSE), VLOOKUP($A211, 'Completion rates'!$A:$E, 3, FALSE))</f>
        <v>75</v>
      </c>
      <c r="D211" s="26">
        <f>VLOOKUP($A211, 'Completion rates'!$A:$E, 5, FALSE)</f>
        <v>0</v>
      </c>
      <c r="E211" s="28">
        <f>IF(SUMIFS('Activity map'!$O:$O, 'Activity map'!$A:$A, A211, 'Activity map'!$H:$H, "=TRUE") = 0, "n/a", 1/SUMIFS('Activity map'!$O:$O, 'Activity map'!$A:$A, A211, 'Activity map'!$H:$H, "=TRUE"))</f>
        <v>283.1701892</v>
      </c>
      <c r="F211" s="26">
        <f t="shared" si="1"/>
        <v>3.775602523</v>
      </c>
      <c r="G211" s="26" t="str">
        <f>IF(MINIFS('Activity map'!$N:$N, 'Activity map'!$A:$A, A211, 'Activity map'!$H:$H, "=TRUE") = 0, "n/a", MINIFS('Activity map'!$N:$N, 'Activity map'!$A:$A, A211, 'Activity map'!$H:$H, "=TRUE"))</f>
        <v>n/a</v>
      </c>
      <c r="H211" s="8" t="str">
        <f t="shared" si="2"/>
        <v/>
      </c>
      <c r="I211" s="26" t="str">
        <f>IF(MINIFS('Activity map'!$M:$M, 'Activity map'!$A:$A, A211, 'Activity map'!$H:$H, "=TRUE") = 0, "n/a", MINIFS('Activity map'!$M:$M, 'Activity map'!$A:$A, A211, 'Activity map'!$H:$H, "=TRUE"))</f>
        <v>n/a</v>
      </c>
      <c r="J211" s="8" t="str">
        <f t="shared" si="3"/>
        <v/>
      </c>
      <c r="K211" s="26" t="str">
        <f>IF(MINIFS('Activity map'!$L:$L, 'Activity map'!$A:$A, A211, 'Activity map'!$H:$H, "=TRUE") = 0, "n/a", MINIFS('Activity map'!$L:$L, 'Activity map'!$A:$A, A211, 'Activity map'!$H:$H, "=TRUE"))</f>
        <v>n/a</v>
      </c>
      <c r="L211" s="8" t="str">
        <f t="shared" si="4"/>
        <v/>
      </c>
      <c r="M211" s="26">
        <f>MINIFS('Activity map'!$C:$C, 'Activity map'!$A:$A, $A211, 'Activity map'!$H:$H, "=TRUE", 'Activity map'!$K:$K, MINIFS('Activity map'!$K:$K, 'Activity map'!$A:$A, $A211, 'Activity map'!$H:$H, "=TRUE"))</f>
        <v>21643</v>
      </c>
      <c r="N211" s="26">
        <f>MINIFS('Activity map'!$C:$C, 'Activity map'!$A:$A, $A211, 'Activity map'!$H:$H, "=TRUE", 'Activity map'!$E:$E, $T211)</f>
        <v>1249</v>
      </c>
      <c r="O211" s="153">
        <f t="shared" si="5"/>
        <v>0.1573167718</v>
      </c>
      <c r="P211" s="30" t="str">
        <f>IF($M211=0, "-", VLOOKUP($M211, 'List of log slots'!$A:$C, 2, FALSE))</f>
        <v>Granite boots</v>
      </c>
      <c r="Q211" s="31">
        <f>IFERROR(__xludf.DUMMYFUNCTION("IF(ISERROR(FILTER('Activity map'!$C:$C, ('Activity map'!$A:$A=$A211)*('Activity map'!$F:$F=FALSE))), 0, COUNTA(UNIQUE(FILTER('Activity map'!$C:$C, ('Activity map'!$A:$A=$A211)*('Activity map'!$F:$F=FALSE)))))"),5.0)</f>
        <v>5</v>
      </c>
      <c r="R211" s="31">
        <f>IFERROR(__xludf.DUMMYFUNCTION("IF(ISERROR(FILTER('Activity map'!$C:$C, 'Activity map'!$A:$A=$A211)), 0, COUNTA(UNIQUE(FILTER('Activity map'!$C:$C, 'Activity map'!$A:$A=$A211))))"),5.0)</f>
        <v>5</v>
      </c>
      <c r="S211" s="51">
        <f t="shared" si="6"/>
        <v>0</v>
      </c>
      <c r="T211" s="31">
        <f>IFERROR(__xludf.DUMMYFUNCTION("IF(ISERROR(FILTER('Activity map'!$E:$E, ('Activity map'!$A:$A=$A211)*('Activity map'!$F:$F=FALSE))), ""-"", MIN(UNIQUE(FILTER('Activity map'!$E:$E, ('Activity map'!$A:$A=$A211)*('Activity map'!$F:$F=FALSE)))))"),5.0)</f>
        <v>5</v>
      </c>
      <c r="U211" s="30" t="str">
        <f>IF($N211=0, "-", VLOOKUP($N211, 'List of log slots'!$A:$C, 2, FALSE))</f>
        <v>Dragon spear</v>
      </c>
    </row>
    <row r="212">
      <c r="A212" s="26">
        <v>113.0</v>
      </c>
      <c r="B212" s="23" t="str">
        <f>VLOOKUP($A212, 'Completion rates'!$A:$E, 2, FALSE)</f>
        <v>Killing skeletons (champion's challenge)</v>
      </c>
      <c r="C212" s="26">
        <f>IF(Notes!$E$27, VLOOKUP($A212, 'Completion rates'!$A:$E, 4, FALSE), VLOOKUP($A212, 'Completion rates'!$A:$E, 3, FALSE))</f>
        <v>1300</v>
      </c>
      <c r="D212" s="26">
        <f>VLOOKUP($A212, 'Completion rates'!$A:$E, 5, FALSE)</f>
        <v>0</v>
      </c>
      <c r="E212" s="28">
        <f>IF(SUMIFS('Activity map'!$O:$O, 'Activity map'!$A:$A, A212, 'Activity map'!$H:$H, "=TRUE") = 0, "n/a", 1/SUMIFS('Activity map'!$O:$O, 'Activity map'!$A:$A, A212, 'Activity map'!$H:$H, "=TRUE"))</f>
        <v>5000</v>
      </c>
      <c r="F212" s="26">
        <f t="shared" si="1"/>
        <v>3.846153846</v>
      </c>
      <c r="G212" s="26" t="str">
        <f>IF(MINIFS('Activity map'!$N:$N, 'Activity map'!$A:$A, A212, 'Activity map'!$H:$H, "=TRUE") = 0, "n/a", MINIFS('Activity map'!$N:$N, 'Activity map'!$A:$A, A212, 'Activity map'!$H:$H, "=TRUE"))</f>
        <v>n/a</v>
      </c>
      <c r="H212" s="8" t="str">
        <f t="shared" si="2"/>
        <v/>
      </c>
      <c r="I212" s="26" t="str">
        <f>IF(MINIFS('Activity map'!$M:$M, 'Activity map'!$A:$A, A212, 'Activity map'!$H:$H, "=TRUE") = 0, "n/a", MINIFS('Activity map'!$M:$M, 'Activity map'!$A:$A, A212, 'Activity map'!$H:$H, "=TRUE"))</f>
        <v>n/a</v>
      </c>
      <c r="J212" s="8" t="str">
        <f t="shared" si="3"/>
        <v/>
      </c>
      <c r="K212" s="26" t="str">
        <f>IF(MINIFS('Activity map'!$L:$L, 'Activity map'!$A:$A, A212, 'Activity map'!$H:$H, "=TRUE") = 0, "n/a", MINIFS('Activity map'!$L:$L, 'Activity map'!$A:$A, A212, 'Activity map'!$H:$H, "=TRUE"))</f>
        <v>n/a</v>
      </c>
      <c r="L212" s="8" t="str">
        <f t="shared" si="4"/>
        <v/>
      </c>
      <c r="M212" s="26">
        <f>MINIFS('Activity map'!$C:$C, 'Activity map'!$A:$A, $A212, 'Activity map'!$H:$H, "=TRUE", 'Activity map'!$K:$K, MINIFS('Activity map'!$K:$K, 'Activity map'!$A:$A, $A212, 'Activity map'!$H:$H, "=TRUE"))</f>
        <v>6806</v>
      </c>
      <c r="N212" s="26">
        <f>MINIFS('Activity map'!$C:$C, 'Activity map'!$A:$A, $A212, 'Activity map'!$H:$H, "=TRUE", 'Activity map'!$E:$E, $T212)</f>
        <v>6806</v>
      </c>
      <c r="O212" s="128">
        <f t="shared" si="5"/>
        <v>0.1602564103</v>
      </c>
      <c r="P212" s="30" t="str">
        <f>IF($M212=0, "-", VLOOKUP($M212, 'List of log slots'!$A:$C, 2, FALSE))</f>
        <v>Skeleton champion scroll</v>
      </c>
      <c r="Q212" s="31">
        <f>IFERROR(__xludf.DUMMYFUNCTION("IF(ISERROR(FILTER('Activity map'!$C:$C, ('Activity map'!$A:$A=$A212)*('Activity map'!$F:$F=FALSE))), 0, COUNTA(UNIQUE(FILTER('Activity map'!$C:$C, ('Activity map'!$A:$A=$A212)*('Activity map'!$F:$F=FALSE)))))"),1.0)</f>
        <v>1</v>
      </c>
      <c r="R212" s="31">
        <f>IFERROR(__xludf.DUMMYFUNCTION("IF(ISERROR(FILTER('Activity map'!$C:$C, 'Activity map'!$A:$A=$A212)), 0, COUNTA(UNIQUE(FILTER('Activity map'!$C:$C, 'Activity map'!$A:$A=$A212))))"),1.0)</f>
        <v>1</v>
      </c>
      <c r="S212" s="72">
        <f t="shared" si="6"/>
        <v>0</v>
      </c>
      <c r="T212" s="31">
        <f>IFERROR(__xludf.DUMMYFUNCTION("IF(ISERROR(FILTER('Activity map'!$E:$E, ('Activity map'!$A:$A=$A212)*('Activity map'!$F:$F=FALSE))), ""-"", MIN(UNIQUE(FILTER('Activity map'!$E:$E, ('Activity map'!$A:$A=$A212)*('Activity map'!$F:$F=FALSE)))))"),5.0)</f>
        <v>5</v>
      </c>
      <c r="U212" s="30" t="str">
        <f>IF($N212=0, "-", VLOOKUP($N212, 'List of log slots'!$A:$C, 2, FALSE))</f>
        <v>Skeleton champion scroll</v>
      </c>
    </row>
    <row r="213">
      <c r="A213" s="26">
        <v>242.0</v>
      </c>
      <c r="B213" s="23" t="str">
        <f>VLOOKUP($A213, 'Completion rates'!$A:$E, 2, FALSE)</f>
        <v>Looting crystal implings</v>
      </c>
      <c r="C213" s="26">
        <f>IF(Notes!$E$27, VLOOKUP($A213, 'Completion rates'!$A:$E, 4, FALSE), VLOOKUP($A213, 'Completion rates'!$A:$E, 3, FALSE))</f>
        <v>30</v>
      </c>
      <c r="D213" s="26">
        <f>VLOOKUP($A213, 'Completion rates'!$A:$E, 5, FALSE)</f>
        <v>0</v>
      </c>
      <c r="E213" s="28">
        <f>IF(SUMIFS('Activity map'!$O:$O, 'Activity map'!$A:$A, A213, 'Activity map'!$H:$H, "=TRUE") = 0, "n/a", 1/SUMIFS('Activity map'!$O:$O, 'Activity map'!$A:$A, A213, 'Activity map'!$H:$H, "=TRUE"))</f>
        <v>128</v>
      </c>
      <c r="F213" s="8">
        <f t="shared" si="1"/>
        <v>4.266666667</v>
      </c>
      <c r="G213" s="26" t="str">
        <f>IF(MINIFS('Activity map'!$N:$N, 'Activity map'!$A:$A, A213, 'Activity map'!$H:$H, "=TRUE") = 0, "n/a", MINIFS('Activity map'!$N:$N, 'Activity map'!$A:$A, A213, 'Activity map'!$H:$H, "=TRUE"))</f>
        <v>n/a</v>
      </c>
      <c r="H213" s="8" t="str">
        <f t="shared" si="2"/>
        <v/>
      </c>
      <c r="I213" s="26" t="str">
        <f>IF(MINIFS('Activity map'!$M:$M, 'Activity map'!$A:$A, A213, 'Activity map'!$H:$H, "=TRUE") = 0, "n/a", MINIFS('Activity map'!$M:$M, 'Activity map'!$A:$A, A213, 'Activity map'!$H:$H, "=TRUE"))</f>
        <v>n/a</v>
      </c>
      <c r="J213" s="8" t="str">
        <f t="shared" si="3"/>
        <v/>
      </c>
      <c r="K213" s="26" t="str">
        <f>IF(MINIFS('Activity map'!$L:$L, 'Activity map'!$A:$A, A213, 'Activity map'!$H:$H, "=TRUE") = 0, "n/a", MINIFS('Activity map'!$L:$L, 'Activity map'!$A:$A, A213, 'Activity map'!$H:$H, "=TRUE"))</f>
        <v>n/a</v>
      </c>
      <c r="L213" s="8" t="str">
        <f t="shared" si="4"/>
        <v/>
      </c>
      <c r="M213" s="26">
        <f>MINIFS('Activity map'!$C:$C, 'Activity map'!$A:$A, $A213, 'Activity map'!$H:$H, "=TRUE", 'Activity map'!$K:$K, MINIFS('Activity map'!$K:$K, 'Activity map'!$A:$A, $A213, 'Activity map'!$H:$H, "=TRUE"))</f>
        <v>23943</v>
      </c>
      <c r="N213" s="26">
        <f>MINIFS('Activity map'!$C:$C, 'Activity map'!$A:$A, $A213, 'Activity map'!$H:$H, "=TRUE", 'Activity map'!$E:$E, $T213)</f>
        <v>23943</v>
      </c>
      <c r="O213" s="35">
        <f t="shared" si="5"/>
        <v>0.1777777778</v>
      </c>
      <c r="P213" s="30" t="str">
        <f>IF($M213=0, "-", VLOOKUP($M213, 'List of log slots'!$A:$C, 2, FALSE))</f>
        <v>Elven signet</v>
      </c>
      <c r="Q213" s="31">
        <f>IFERROR(__xludf.DUMMYFUNCTION("IF(ISERROR(FILTER('Activity map'!$C:$C, ('Activity map'!$A:$A=$A213)*('Activity map'!$F:$F=FALSE))), 0, COUNTA(UNIQUE(FILTER('Activity map'!$C:$C, ('Activity map'!$A:$A=$A213)*('Activity map'!$F:$F=FALSE)))))"),1.0)</f>
        <v>1</v>
      </c>
      <c r="R213" s="31">
        <f>IFERROR(__xludf.DUMMYFUNCTION("IF(ISERROR(FILTER('Activity map'!$C:$C, 'Activity map'!$A:$A=$A213)), 0, COUNTA(UNIQUE(FILTER('Activity map'!$C:$C, 'Activity map'!$A:$A=$A213))))"),1.0)</f>
        <v>1</v>
      </c>
      <c r="S213" s="36">
        <f t="shared" si="6"/>
        <v>0</v>
      </c>
      <c r="T213" s="31">
        <f>IFERROR(__xludf.DUMMYFUNCTION("IF(ISERROR(FILTER('Activity map'!$E:$E, ('Activity map'!$A:$A=$A213)*('Activity map'!$F:$F=FALSE))), ""-"", MIN(UNIQUE(FILTER('Activity map'!$E:$E, ('Activity map'!$A:$A=$A213)*('Activity map'!$F:$F=FALSE)))))"),4.0)</f>
        <v>4</v>
      </c>
      <c r="U213" s="30" t="str">
        <f>IF($N213=0, "-", VLOOKUP($N213, 'List of log slots'!$A:$C, 2, FALSE))</f>
        <v>Elven signet</v>
      </c>
    </row>
    <row r="214">
      <c r="A214" s="26">
        <v>180.0</v>
      </c>
      <c r="B214" s="23" t="str">
        <f>VLOOKUP($A214, 'Completion rates'!$A:$E, 2, FALSE)</f>
        <v>Killing skeletal wyverns</v>
      </c>
      <c r="C214" s="26">
        <f>IF(Notes!$E$27, VLOOKUP($A214, 'Completion rates'!$A:$E, 4, FALSE), VLOOKUP($A214, 'Completion rates'!$A:$E, 3, FALSE))</f>
        <v>100</v>
      </c>
      <c r="D214" s="26">
        <f>VLOOKUP($A214, 'Completion rates'!$A:$E, 5, FALSE)</f>
        <v>0</v>
      </c>
      <c r="E214" s="28">
        <f>IF(SUMIFS('Activity map'!$O:$O, 'Activity map'!$A:$A, A214, 'Activity map'!$H:$H, "=TRUE") = 0, "n/a", 1/SUMIFS('Activity map'!$O:$O, 'Activity map'!$A:$A, A214, 'Activity map'!$H:$H, "=TRUE"))</f>
        <v>453.536824</v>
      </c>
      <c r="F214" s="26">
        <f t="shared" si="1"/>
        <v>4.53536824</v>
      </c>
      <c r="G214" s="26" t="str">
        <f>IF(MINIFS('Activity map'!$N:$N, 'Activity map'!$A:$A, A214, 'Activity map'!$H:$H, "=TRUE") = 0, "n/a", MINIFS('Activity map'!$N:$N, 'Activity map'!$A:$A, A214, 'Activity map'!$H:$H, "=TRUE"))</f>
        <v>n/a</v>
      </c>
      <c r="H214" s="8" t="str">
        <f t="shared" si="2"/>
        <v/>
      </c>
      <c r="I214" s="26" t="str">
        <f>IF(MINIFS('Activity map'!$M:$M, 'Activity map'!$A:$A, A214, 'Activity map'!$H:$H, "=TRUE") = 0, "n/a", MINIFS('Activity map'!$M:$M, 'Activity map'!$A:$A, A214, 'Activity map'!$H:$H, "=TRUE"))</f>
        <v>n/a</v>
      </c>
      <c r="J214" s="8" t="str">
        <f t="shared" si="3"/>
        <v/>
      </c>
      <c r="K214" s="26" t="str">
        <f>IF(MINIFS('Activity map'!$L:$L, 'Activity map'!$A:$A, A214, 'Activity map'!$H:$H, "=TRUE") = 0, "n/a", MINIFS('Activity map'!$L:$L, 'Activity map'!$A:$A, A214, 'Activity map'!$H:$H, "=TRUE"))</f>
        <v>n/a</v>
      </c>
      <c r="L214" s="8" t="str">
        <f t="shared" si="4"/>
        <v/>
      </c>
      <c r="M214" s="26">
        <f>MINIFS('Activity map'!$C:$C, 'Activity map'!$A:$A, $A214, 'Activity map'!$H:$H, "=TRUE", 'Activity map'!$K:$K, MINIFS('Activity map'!$K:$K, 'Activity map'!$A:$A, $A214, 'Activity map'!$H:$H, "=TRUE"))</f>
        <v>6809</v>
      </c>
      <c r="N214" s="26">
        <f>MINIFS('Activity map'!$C:$C, 'Activity map'!$A:$A, $A214, 'Activity map'!$H:$H, "=TRUE", 'Activity map'!$E:$E, $T214)</f>
        <v>1249</v>
      </c>
      <c r="O214" s="174">
        <f t="shared" si="5"/>
        <v>0.1889736767</v>
      </c>
      <c r="P214" s="30" t="str">
        <f>IF($M214=0, "-", VLOOKUP($M214, 'List of log slots'!$A:$C, 2, FALSE))</f>
        <v>Granite legs</v>
      </c>
      <c r="Q214" s="31">
        <f>IFERROR(__xludf.DUMMYFUNCTION("IF(ISERROR(FILTER('Activity map'!$C:$C, ('Activity map'!$A:$A=$A214)*('Activity map'!$F:$F=FALSE))), 0, COUNTA(UNIQUE(FILTER('Activity map'!$C:$C, ('Activity map'!$A:$A=$A214)*('Activity map'!$F:$F=FALSE)))))"),4.0)</f>
        <v>4</v>
      </c>
      <c r="R214" s="31">
        <f>IFERROR(__xludf.DUMMYFUNCTION("IF(ISERROR(FILTER('Activity map'!$C:$C, 'Activity map'!$A:$A=$A214)), 0, COUNTA(UNIQUE(FILTER('Activity map'!$C:$C, 'Activity map'!$A:$A=$A214))))"),4.0)</f>
        <v>4</v>
      </c>
      <c r="S214" s="46">
        <f t="shared" si="6"/>
        <v>0</v>
      </c>
      <c r="T214" s="31">
        <f>IFERROR(__xludf.DUMMYFUNCTION("IF(ISERROR(FILTER('Activity map'!$E:$E, ('Activity map'!$A:$A=$A214)*('Activity map'!$F:$F=FALSE))), ""-"", MIN(UNIQUE(FILTER('Activity map'!$E:$E, ('Activity map'!$A:$A=$A214)*('Activity map'!$F:$F=FALSE)))))"),5.0)</f>
        <v>5</v>
      </c>
      <c r="U214" s="30" t="str">
        <f>IF($N214=0, "-", VLOOKUP($N214, 'List of log slots'!$A:$C, 2, FALSE))</f>
        <v>Dragon spear</v>
      </c>
    </row>
    <row r="215">
      <c r="A215" s="26">
        <v>156.0</v>
      </c>
      <c r="B215" s="23" t="str">
        <f>VLOOKUP($A215, 'Completion rates'!$A:$E, 2, FALSE)</f>
        <v>Fishing (2-tick tuna and swordfish) </v>
      </c>
      <c r="C215" s="26">
        <f>IF(Notes!$E$27, VLOOKUP($A215, 'Completion rates'!$A:$E, 4, FALSE), VLOOKUP($A215, 'Completion rates'!$A:$E, 3, FALSE))</f>
        <v>1500</v>
      </c>
      <c r="D215" s="26">
        <f>VLOOKUP($A215, 'Completion rates'!$A:$E, 5, FALSE)</f>
        <v>0</v>
      </c>
      <c r="E215" s="28">
        <f>IF(SUMIFS('Activity map'!$O:$O, 'Activity map'!$A:$A, A215, 'Activity map'!$H:$H, "=TRUE") = 0, "n/a", 1/SUMIFS('Activity map'!$O:$O, 'Activity map'!$A:$A, A215, 'Activity map'!$H:$H, "=TRUE"))</f>
        <v>7079.941752</v>
      </c>
      <c r="F215" s="26">
        <f t="shared" si="1"/>
        <v>4.719961168</v>
      </c>
      <c r="G215" s="26" t="str">
        <f>IF(MINIFS('Activity map'!$N:$N, 'Activity map'!$A:$A, A215, 'Activity map'!$H:$H, "=TRUE") = 0, "n/a", MINIFS('Activity map'!$N:$N, 'Activity map'!$A:$A, A215, 'Activity map'!$H:$H, "=TRUE"))</f>
        <v>n/a</v>
      </c>
      <c r="H215" s="8" t="str">
        <f t="shared" si="2"/>
        <v/>
      </c>
      <c r="I215" s="26" t="str">
        <f>IF(MINIFS('Activity map'!$M:$M, 'Activity map'!$A:$A, A215, 'Activity map'!$H:$H, "=TRUE") = 0, "n/a", MINIFS('Activity map'!$M:$M, 'Activity map'!$A:$A, A215, 'Activity map'!$H:$H, "=TRUE"))</f>
        <v>n/a</v>
      </c>
      <c r="J215" s="8" t="str">
        <f t="shared" si="3"/>
        <v/>
      </c>
      <c r="K215" s="26" t="str">
        <f>IF(MINIFS('Activity map'!$L:$L, 'Activity map'!$A:$A, A215, 'Activity map'!$H:$H, "=TRUE") = 0, "n/a", MINIFS('Activity map'!$L:$L, 'Activity map'!$A:$A, A215, 'Activity map'!$H:$H, "=TRUE"))</f>
        <v>n/a</v>
      </c>
      <c r="L215" s="8" t="str">
        <f t="shared" si="4"/>
        <v/>
      </c>
      <c r="M215" s="26">
        <f>MINIFS('Activity map'!$C:$C, 'Activity map'!$A:$A, $A215, 'Activity map'!$H:$H, "=TRUE", 'Activity map'!$K:$K, MINIFS('Activity map'!$K:$K, 'Activity map'!$A:$A, $A215, 'Activity map'!$H:$H, "=TRUE"))</f>
        <v>7991</v>
      </c>
      <c r="N215" s="26">
        <f>MINIFS('Activity map'!$C:$C, 'Activity map'!$A:$A, $A215, 'Activity map'!$H:$H, "=TRUE", 'Activity map'!$E:$E, $T215)</f>
        <v>7991</v>
      </c>
      <c r="O215" s="56">
        <f t="shared" si="5"/>
        <v>0.1966650487</v>
      </c>
      <c r="P215" s="30" t="str">
        <f>IF($M215=0, "-", VLOOKUP($M215, 'List of log slots'!$A:$C, 2, FALSE))</f>
        <v>Big swordfish</v>
      </c>
      <c r="Q215" s="31">
        <f>IFERROR(__xludf.DUMMYFUNCTION("IF(ISERROR(FILTER('Activity map'!$C:$C, ('Activity map'!$A:$A=$A215)*('Activity map'!$F:$F=FALSE))), 0, COUNTA(UNIQUE(FILTER('Activity map'!$C:$C, ('Activity map'!$A:$A=$A215)*('Activity map'!$F:$F=FALSE)))))"),2.0)</f>
        <v>2</v>
      </c>
      <c r="R215" s="31">
        <f>IFERROR(__xludf.DUMMYFUNCTION("IF(ISERROR(FILTER('Activity map'!$C:$C, 'Activity map'!$A:$A=$A215)), 0, COUNTA(UNIQUE(FILTER('Activity map'!$C:$C, 'Activity map'!$A:$A=$A215))))"),2.0)</f>
        <v>2</v>
      </c>
      <c r="S215" s="72">
        <f t="shared" si="6"/>
        <v>0</v>
      </c>
      <c r="T215" s="31">
        <f>IFERROR(__xludf.DUMMYFUNCTION("IF(ISERROR(FILTER('Activity map'!$E:$E, ('Activity map'!$A:$A=$A215)*('Activity map'!$F:$F=FALSE))), ""-"", MIN(UNIQUE(FILTER('Activity map'!$E:$E, ('Activity map'!$A:$A=$A215)*('Activity map'!$F:$F=FALSE)))))"),5.0)</f>
        <v>5</v>
      </c>
      <c r="U215" s="30" t="str">
        <f>IF($N215=0, "-", VLOOKUP($N215, 'List of log slots'!$A:$C, 2, FALSE))</f>
        <v>Big swordfish</v>
      </c>
    </row>
    <row r="216">
      <c r="A216" s="26">
        <v>114.0</v>
      </c>
      <c r="B216" s="23" t="str">
        <f>VLOOKUP($A216, 'Completion rates'!$A:$E, 2, FALSE)</f>
        <v>Killing zombies (champion's challenge)</v>
      </c>
      <c r="C216" s="26">
        <f>IF(Notes!$E$27, VLOOKUP($A216, 'Completion rates'!$A:$E, 4, FALSE), VLOOKUP($A216, 'Completion rates'!$A:$E, 3, FALSE))</f>
        <v>1000</v>
      </c>
      <c r="D216" s="26">
        <f>VLOOKUP($A216, 'Completion rates'!$A:$E, 5, FALSE)</f>
        <v>0</v>
      </c>
      <c r="E216" s="28">
        <f>IF(SUMIFS('Activity map'!$O:$O, 'Activity map'!$A:$A, A216, 'Activity map'!$H:$H, "=TRUE") = 0, "n/a", 1/SUMIFS('Activity map'!$O:$O, 'Activity map'!$A:$A, A216, 'Activity map'!$H:$H, "=TRUE"))</f>
        <v>5000</v>
      </c>
      <c r="F216" s="26">
        <f t="shared" si="1"/>
        <v>5</v>
      </c>
      <c r="G216" s="26" t="str">
        <f>IF(MINIFS('Activity map'!$N:$N, 'Activity map'!$A:$A, A216, 'Activity map'!$H:$H, "=TRUE") = 0, "n/a", MINIFS('Activity map'!$N:$N, 'Activity map'!$A:$A, A216, 'Activity map'!$H:$H, "=TRUE"))</f>
        <v>n/a</v>
      </c>
      <c r="H216" s="8" t="str">
        <f t="shared" si="2"/>
        <v/>
      </c>
      <c r="I216" s="26" t="str">
        <f>IF(MINIFS('Activity map'!$M:$M, 'Activity map'!$A:$A, A216, 'Activity map'!$H:$H, "=TRUE") = 0, "n/a", MINIFS('Activity map'!$M:$M, 'Activity map'!$A:$A, A216, 'Activity map'!$H:$H, "=TRUE"))</f>
        <v>n/a</v>
      </c>
      <c r="J216" s="8" t="str">
        <f t="shared" si="3"/>
        <v/>
      </c>
      <c r="K216" s="26" t="str">
        <f>IF(MINIFS('Activity map'!$L:$L, 'Activity map'!$A:$A, A216, 'Activity map'!$H:$H, "=TRUE") = 0, "n/a", MINIFS('Activity map'!$L:$L, 'Activity map'!$A:$A, A216, 'Activity map'!$H:$H, "=TRUE"))</f>
        <v>n/a</v>
      </c>
      <c r="L216" s="8" t="str">
        <f t="shared" si="4"/>
        <v/>
      </c>
      <c r="M216" s="26">
        <f>MINIFS('Activity map'!$C:$C, 'Activity map'!$A:$A, $A216, 'Activity map'!$H:$H, "=TRUE", 'Activity map'!$K:$K, MINIFS('Activity map'!$K:$K, 'Activity map'!$A:$A, $A216, 'Activity map'!$H:$H, "=TRUE"))</f>
        <v>6807</v>
      </c>
      <c r="N216" s="26">
        <f>MINIFS('Activity map'!$C:$C, 'Activity map'!$A:$A, $A216, 'Activity map'!$H:$H, "=TRUE", 'Activity map'!$E:$E, $T216)</f>
        <v>6807</v>
      </c>
      <c r="O216" s="175">
        <f t="shared" si="5"/>
        <v>0.2083333333</v>
      </c>
      <c r="P216" s="30" t="str">
        <f>IF($M216=0, "-", VLOOKUP($M216, 'List of log slots'!$A:$C, 2, FALSE))</f>
        <v>Zombie champion scroll</v>
      </c>
      <c r="Q216" s="31">
        <f>IFERROR(__xludf.DUMMYFUNCTION("IF(ISERROR(FILTER('Activity map'!$C:$C, ('Activity map'!$A:$A=$A216)*('Activity map'!$F:$F=FALSE))), 0, COUNTA(UNIQUE(FILTER('Activity map'!$C:$C, ('Activity map'!$A:$A=$A216)*('Activity map'!$F:$F=FALSE)))))"),1.0)</f>
        <v>1</v>
      </c>
      <c r="R216" s="31">
        <f>IFERROR(__xludf.DUMMYFUNCTION("IF(ISERROR(FILTER('Activity map'!$C:$C, 'Activity map'!$A:$A=$A216)), 0, COUNTA(UNIQUE(FILTER('Activity map'!$C:$C, 'Activity map'!$A:$A=$A216))))"),1.0)</f>
        <v>1</v>
      </c>
      <c r="S216" s="72">
        <f t="shared" si="6"/>
        <v>0</v>
      </c>
      <c r="T216" s="31">
        <f>IFERROR(__xludf.DUMMYFUNCTION("IF(ISERROR(FILTER('Activity map'!$E:$E, ('Activity map'!$A:$A=$A216)*('Activity map'!$F:$F=FALSE))), ""-"", MIN(UNIQUE(FILTER('Activity map'!$E:$E, ('Activity map'!$A:$A=$A216)*('Activity map'!$F:$F=FALSE)))))"),5.0)</f>
        <v>5</v>
      </c>
      <c r="U216" s="30" t="str">
        <f>IF($N216=0, "-", VLOOKUP($N216, 'List of log slots'!$A:$C, 2, FALSE))</f>
        <v>Zombie champion scroll</v>
      </c>
    </row>
    <row r="217">
      <c r="A217" s="26">
        <v>218.0</v>
      </c>
      <c r="B217" s="23" t="str">
        <f>VLOOKUP($A217, 'Completion rates'!$A:$E, 2, FALSE)</f>
        <v>Fishing shark</v>
      </c>
      <c r="C217" s="26">
        <f>IF(Notes!$E$27, VLOOKUP($A217, 'Completion rates'!$A:$E, 4, FALSE), VLOOKUP($A217, 'Completion rates'!$A:$E, 3, FALSE))</f>
        <v>960</v>
      </c>
      <c r="D217" s="26">
        <f>VLOOKUP($A217, 'Completion rates'!$A:$E, 5, FALSE)</f>
        <v>0</v>
      </c>
      <c r="E217" s="28">
        <f>IF(SUMIFS('Activity map'!$O:$O, 'Activity map'!$A:$A, A217, 'Activity map'!$H:$H, "=TRUE") = 0, "n/a", 1/SUMIFS('Activity map'!$O:$O, 'Activity map'!$A:$A, A217, 'Activity map'!$H:$H, "=TRUE"))</f>
        <v>5000</v>
      </c>
      <c r="F217" s="26">
        <f t="shared" si="1"/>
        <v>5.208333333</v>
      </c>
      <c r="G217" s="26" t="str">
        <f>IF(MINIFS('Activity map'!$N:$N, 'Activity map'!$A:$A, A217, 'Activity map'!$H:$H, "=TRUE") = 0, "n/a", MINIFS('Activity map'!$N:$N, 'Activity map'!$A:$A, A217, 'Activity map'!$H:$H, "=TRUE"))</f>
        <v>n/a</v>
      </c>
      <c r="H217" s="8" t="str">
        <f t="shared" si="2"/>
        <v/>
      </c>
      <c r="I217" s="26" t="str">
        <f>IF(MINIFS('Activity map'!$M:$M, 'Activity map'!$A:$A, A217, 'Activity map'!$H:$H, "=TRUE") = 0, "n/a", MINIFS('Activity map'!$M:$M, 'Activity map'!$A:$A, A217, 'Activity map'!$H:$H, "=TRUE"))</f>
        <v>n/a</v>
      </c>
      <c r="J217" s="8" t="str">
        <f t="shared" si="3"/>
        <v/>
      </c>
      <c r="K217" s="26" t="str">
        <f>IF(MINIFS('Activity map'!$L:$L, 'Activity map'!$A:$A, A217, 'Activity map'!$H:$H, "=TRUE") = 0, "n/a", MINIFS('Activity map'!$L:$L, 'Activity map'!$A:$A, A217, 'Activity map'!$H:$H, "=TRUE"))</f>
        <v>n/a</v>
      </c>
      <c r="L217" s="8" t="str">
        <f t="shared" si="4"/>
        <v/>
      </c>
      <c r="M217" s="26">
        <f>MINIFS('Activity map'!$C:$C, 'Activity map'!$A:$A, $A217, 'Activity map'!$H:$H, "=TRUE", 'Activity map'!$K:$K, MINIFS('Activity map'!$K:$K, 'Activity map'!$A:$A, $A217, 'Activity map'!$H:$H, "=TRUE"))</f>
        <v>7993</v>
      </c>
      <c r="N217" s="26">
        <f>MINIFS('Activity map'!$C:$C, 'Activity map'!$A:$A, $A217, 'Activity map'!$H:$H, "=TRUE", 'Activity map'!$E:$E, $T217)</f>
        <v>7993</v>
      </c>
      <c r="O217" s="176">
        <f t="shared" si="5"/>
        <v>0.2170138889</v>
      </c>
      <c r="P217" s="30" t="str">
        <f>IF($M217=0, "-", VLOOKUP($M217, 'List of log slots'!$A:$C, 2, FALSE))</f>
        <v>Big shark</v>
      </c>
      <c r="Q217" s="31">
        <f>IFERROR(__xludf.DUMMYFUNCTION("IF(ISERROR(FILTER('Activity map'!$C:$C, ('Activity map'!$A:$A=$A217)*('Activity map'!$F:$F=FALSE))), 0, COUNTA(UNIQUE(FILTER('Activity map'!$C:$C, ('Activity map'!$A:$A=$A217)*('Activity map'!$F:$F=FALSE)))))"),1.0)</f>
        <v>1</v>
      </c>
      <c r="R217" s="31">
        <f>IFERROR(__xludf.DUMMYFUNCTION("IF(ISERROR(FILTER('Activity map'!$C:$C, 'Activity map'!$A:$A=$A217)), 0, COUNTA(UNIQUE(FILTER('Activity map'!$C:$C, 'Activity map'!$A:$A=$A217))))"),1.0)</f>
        <v>1</v>
      </c>
      <c r="S217" s="72">
        <f t="shared" si="6"/>
        <v>0</v>
      </c>
      <c r="T217" s="31">
        <f>IFERROR(__xludf.DUMMYFUNCTION("IF(ISERROR(FILTER('Activity map'!$E:$E, ('Activity map'!$A:$A=$A217)*('Activity map'!$F:$F=FALSE))), ""-"", MIN(UNIQUE(FILTER('Activity map'!$E:$E, ('Activity map'!$A:$A=$A217)*('Activity map'!$F:$F=FALSE)))))"),6.0)</f>
        <v>6</v>
      </c>
      <c r="U217" s="30" t="str">
        <f>IF($N217=0, "-", VLOOKUP($N217, 'List of log slots'!$A:$C, 2, FALSE))</f>
        <v>Big shark</v>
      </c>
    </row>
    <row r="218">
      <c r="A218" s="26">
        <v>107.0</v>
      </c>
      <c r="B218" s="23" t="str">
        <f>VLOOKUP($A218, 'Completion rates'!$A:$E, 2, FALSE)</f>
        <v>Killing giants (champion's challenge)</v>
      </c>
      <c r="C218" s="26">
        <f>IF(Notes!$E$27, VLOOKUP($A218, 'Completion rates'!$A:$E, 4, FALSE), VLOOKUP($A218, 'Completion rates'!$A:$E, 3, FALSE))</f>
        <v>900</v>
      </c>
      <c r="D218" s="26">
        <f>VLOOKUP($A218, 'Completion rates'!$A:$E, 5, FALSE)</f>
        <v>0</v>
      </c>
      <c r="E218" s="28">
        <f>IF(SUMIFS('Activity map'!$O:$O, 'Activity map'!$A:$A, A218, 'Activity map'!$H:$H, "=TRUE") = 0, "n/a", 1/SUMIFS('Activity map'!$O:$O, 'Activity map'!$A:$A, A218, 'Activity map'!$H:$H, "=TRUE"))</f>
        <v>5000</v>
      </c>
      <c r="F218" s="26">
        <f t="shared" si="1"/>
        <v>5.555555556</v>
      </c>
      <c r="G218" s="26" t="str">
        <f>IF(MINIFS('Activity map'!$N:$N, 'Activity map'!$A:$A, A218, 'Activity map'!$H:$H, "=TRUE") = 0, "n/a", MINIFS('Activity map'!$N:$N, 'Activity map'!$A:$A, A218, 'Activity map'!$H:$H, "=TRUE"))</f>
        <v>n/a</v>
      </c>
      <c r="H218" s="8" t="str">
        <f t="shared" si="2"/>
        <v/>
      </c>
      <c r="I218" s="26" t="str">
        <f>IF(MINIFS('Activity map'!$M:$M, 'Activity map'!$A:$A, A218, 'Activity map'!$H:$H, "=TRUE") = 0, "n/a", MINIFS('Activity map'!$M:$M, 'Activity map'!$A:$A, A218, 'Activity map'!$H:$H, "=TRUE"))</f>
        <v>n/a</v>
      </c>
      <c r="J218" s="8" t="str">
        <f t="shared" si="3"/>
        <v/>
      </c>
      <c r="K218" s="26" t="str">
        <f>IF(MINIFS('Activity map'!$L:$L, 'Activity map'!$A:$A, A218, 'Activity map'!$H:$H, "=TRUE") = 0, "n/a", MINIFS('Activity map'!$L:$L, 'Activity map'!$A:$A, A218, 'Activity map'!$H:$H, "=TRUE"))</f>
        <v>n/a</v>
      </c>
      <c r="L218" s="8" t="str">
        <f t="shared" si="4"/>
        <v/>
      </c>
      <c r="M218" s="26">
        <f>MINIFS('Activity map'!$C:$C, 'Activity map'!$A:$A, $A218, 'Activity map'!$H:$H, "=TRUE", 'Activity map'!$K:$K, MINIFS('Activity map'!$K:$K, 'Activity map'!$A:$A, $A218, 'Activity map'!$H:$H, "=TRUE"))</f>
        <v>6800</v>
      </c>
      <c r="N218" s="26">
        <f>MINIFS('Activity map'!$C:$C, 'Activity map'!$A:$A, $A218, 'Activity map'!$H:$H, "=TRUE", 'Activity map'!$E:$E, $T218)</f>
        <v>6800</v>
      </c>
      <c r="O218" s="131">
        <f t="shared" si="5"/>
        <v>0.2314814815</v>
      </c>
      <c r="P218" s="30" t="str">
        <f>IF($M218=0, "-", VLOOKUP($M218, 'List of log slots'!$A:$C, 2, FALSE))</f>
        <v>Giant champion scroll</v>
      </c>
      <c r="Q218" s="31">
        <f>IFERROR(__xludf.DUMMYFUNCTION("IF(ISERROR(FILTER('Activity map'!$C:$C, ('Activity map'!$A:$A=$A218)*('Activity map'!$F:$F=FALSE))), 0, COUNTA(UNIQUE(FILTER('Activity map'!$C:$C, ('Activity map'!$A:$A=$A218)*('Activity map'!$F:$F=FALSE)))))"),1.0)</f>
        <v>1</v>
      </c>
      <c r="R218" s="31">
        <f>IFERROR(__xludf.DUMMYFUNCTION("IF(ISERROR(FILTER('Activity map'!$C:$C, 'Activity map'!$A:$A=$A218)), 0, COUNTA(UNIQUE(FILTER('Activity map'!$C:$C, 'Activity map'!$A:$A=$A218))))"),1.0)</f>
        <v>1</v>
      </c>
      <c r="S218" s="72">
        <f t="shared" si="6"/>
        <v>0</v>
      </c>
      <c r="T218" s="31">
        <f>IFERROR(__xludf.DUMMYFUNCTION("IF(ISERROR(FILTER('Activity map'!$E:$E, ('Activity map'!$A:$A=$A218)*('Activity map'!$F:$F=FALSE))), ""-"", MIN(UNIQUE(FILTER('Activity map'!$E:$E, ('Activity map'!$A:$A=$A218)*('Activity map'!$F:$F=FALSE)))))"),5.0)</f>
        <v>5</v>
      </c>
      <c r="U218" s="30" t="str">
        <f>IF($N218=0, "-", VLOOKUP($N218, 'List of log slots'!$A:$C, 2, FALSE))</f>
        <v>Giant champion scroll</v>
      </c>
    </row>
    <row r="219">
      <c r="A219" s="26">
        <v>20.0</v>
      </c>
      <c r="B219" s="23" t="str">
        <f>VLOOKUP($A219, 'Completion rates'!$A:$E, 2, FALSE)</f>
        <v>Opening reward chest (gauntlet)</v>
      </c>
      <c r="C219" s="26">
        <f>IF(Notes!$E$27, VLOOKUP($A219, 'Completion rates'!$A:$E, 4, FALSE), VLOOKUP($A219, 'Completion rates'!$A:$E, 3, FALSE))</f>
        <v>10</v>
      </c>
      <c r="D219" s="26">
        <f>VLOOKUP($A219, 'Completion rates'!$A:$E, 5, FALSE)</f>
        <v>0</v>
      </c>
      <c r="E219" s="28">
        <f>IF(SUMIFS('Activity map'!$O:$O, 'Activity map'!$A:$A, A219, 'Activity map'!$H:$H, "=TRUE") = 0, "n/a", 1/SUMIFS('Activity map'!$O:$O, 'Activity map'!$A:$A, A219, 'Activity map'!$H:$H, "=TRUE"))</f>
        <v>56.60377358</v>
      </c>
      <c r="F219" s="26">
        <f t="shared" si="1"/>
        <v>5.660377358</v>
      </c>
      <c r="G219" s="26" t="str">
        <f>IF(MINIFS('Activity map'!$N:$N, 'Activity map'!$A:$A, A219, 'Activity map'!$H:$H, "=TRUE") = 0, "n/a", MINIFS('Activity map'!$N:$N, 'Activity map'!$A:$A, A219, 'Activity map'!$H:$H, "=TRUE"))</f>
        <v>n/a</v>
      </c>
      <c r="H219" s="8" t="str">
        <f t="shared" si="2"/>
        <v/>
      </c>
      <c r="I219" s="26" t="str">
        <f>IF(MINIFS('Activity map'!$M:$M, 'Activity map'!$A:$A, A219, 'Activity map'!$H:$H, "=TRUE") = 0, "n/a", MINIFS('Activity map'!$M:$M, 'Activity map'!$A:$A, A219, 'Activity map'!$H:$H, "=TRUE"))</f>
        <v>n/a</v>
      </c>
      <c r="J219" s="8" t="str">
        <f t="shared" si="3"/>
        <v/>
      </c>
      <c r="K219" s="26" t="str">
        <f>IF(MINIFS('Activity map'!$L:$L, 'Activity map'!$A:$A, A219, 'Activity map'!$H:$H, "=TRUE") = 0, "n/a", MINIFS('Activity map'!$L:$L, 'Activity map'!$A:$A, A219, 'Activity map'!$H:$H, "=TRUE"))</f>
        <v>n/a</v>
      </c>
      <c r="L219" s="8" t="str">
        <f t="shared" si="4"/>
        <v/>
      </c>
      <c r="M219" s="26">
        <f>MINIFS('Activity map'!$C:$C, 'Activity map'!$A:$A, $A219, 'Activity map'!$H:$H, "=TRUE", 'Activity map'!$K:$K, MINIFS('Activity map'!$K:$K, 'Activity map'!$A:$A, $A219, 'Activity map'!$H:$H, "=TRUE"))</f>
        <v>4207</v>
      </c>
      <c r="N219" s="26">
        <f>MINIFS('Activity map'!$C:$C, 'Activity map'!$A:$A, $A219, 'Activity map'!$H:$H, "=TRUE", 'Activity map'!$E:$E, $T219)</f>
        <v>4207</v>
      </c>
      <c r="O219" s="177">
        <f t="shared" si="5"/>
        <v>0.2358490566</v>
      </c>
      <c r="P219" s="30" t="str">
        <f>IF($M219=0, "-", VLOOKUP($M219, 'List of log slots'!$A:$C, 2, FALSE))</f>
        <v>Crystal weapon seed</v>
      </c>
      <c r="Q219" s="31">
        <f>IFERROR(__xludf.DUMMYFUNCTION("IF(ISERROR(FILTER('Activity map'!$C:$C, ('Activity map'!$A:$A=$A219)*('Activity map'!$F:$F=FALSE))), 0, COUNTA(UNIQUE(FILTER('Activity map'!$C:$C, ('Activity map'!$A:$A=$A219)*('Activity map'!$F:$F=FALSE)))))"),4.0)</f>
        <v>4</v>
      </c>
      <c r="R219" s="31">
        <f>IFERROR(__xludf.DUMMYFUNCTION("IF(ISERROR(FILTER('Activity map'!$C:$C, 'Activity map'!$A:$A=$A219)), 0, COUNTA(UNIQUE(FILTER('Activity map'!$C:$C, 'Activity map'!$A:$A=$A219))))"),4.0)</f>
        <v>4</v>
      </c>
      <c r="S219" s="55">
        <f t="shared" si="6"/>
        <v>0</v>
      </c>
      <c r="T219" s="31">
        <f>IFERROR(__xludf.DUMMYFUNCTION("IF(ISERROR(FILTER('Activity map'!$E:$E, ('Activity map'!$A:$A=$A219)*('Activity map'!$F:$F=FALSE))), ""-"", MIN(UNIQUE(FILTER('Activity map'!$E:$E, ('Activity map'!$A:$A=$A219)*('Activity map'!$F:$F=FALSE)))))"),5.0)</f>
        <v>5</v>
      </c>
      <c r="U219" s="30" t="str">
        <f>IF($N219=0, "-", VLOOKUP($N219, 'List of log slots'!$A:$C, 2, FALSE))</f>
        <v>Crystal weapon seed</v>
      </c>
    </row>
    <row r="220">
      <c r="A220" s="26">
        <v>214.0</v>
      </c>
      <c r="B220" s="23" t="str">
        <f>VLOOKUP($A220, 'Completion rates'!$A:$E, 2, FALSE)</f>
        <v>Killing tzhaar-mej</v>
      </c>
      <c r="C220" s="26">
        <f>IF(Notes!$E$27, VLOOKUP($A220, 'Completion rates'!$A:$E, 4, FALSE), VLOOKUP($A220, 'Completion rates'!$A:$E, 3, FALSE))</f>
        <v>350</v>
      </c>
      <c r="D220" s="26">
        <f>VLOOKUP($A220, 'Completion rates'!$A:$E, 5, FALSE)</f>
        <v>0</v>
      </c>
      <c r="E220" s="28">
        <f>IF(SUMIFS('Activity map'!$O:$O, 'Activity map'!$A:$A, A220, 'Activity map'!$H:$H, "=TRUE") = 0, "n/a", 1/SUMIFS('Activity map'!$O:$O, 'Activity map'!$A:$A, A220, 'Activity map'!$H:$H, "=TRUE"))</f>
        <v>2048</v>
      </c>
      <c r="F220" s="26">
        <f t="shared" si="1"/>
        <v>5.851428571</v>
      </c>
      <c r="G220" s="26" t="str">
        <f>IF(MINIFS('Activity map'!$N:$N, 'Activity map'!$A:$A, A220, 'Activity map'!$H:$H, "=TRUE") = 0, "n/a", MINIFS('Activity map'!$N:$N, 'Activity map'!$A:$A, A220, 'Activity map'!$H:$H, "=TRUE"))</f>
        <v>n/a</v>
      </c>
      <c r="H220" s="8" t="str">
        <f t="shared" si="2"/>
        <v/>
      </c>
      <c r="I220" s="26" t="str">
        <f>IF(MINIFS('Activity map'!$M:$M, 'Activity map'!$A:$A, A220, 'Activity map'!$H:$H, "=TRUE") = 0, "n/a", MINIFS('Activity map'!$M:$M, 'Activity map'!$A:$A, A220, 'Activity map'!$H:$H, "=TRUE"))</f>
        <v>n/a</v>
      </c>
      <c r="J220" s="8" t="str">
        <f t="shared" si="3"/>
        <v/>
      </c>
      <c r="K220" s="26" t="str">
        <f>IF(MINIFS('Activity map'!$L:$L, 'Activity map'!$A:$A, A220, 'Activity map'!$H:$H, "=TRUE") = 0, "n/a", MINIFS('Activity map'!$L:$L, 'Activity map'!$A:$A, A220, 'Activity map'!$H:$H, "=TRUE"))</f>
        <v>n/a</v>
      </c>
      <c r="L220" s="8" t="str">
        <f t="shared" si="4"/>
        <v/>
      </c>
      <c r="M220" s="26">
        <f>MINIFS('Activity map'!$C:$C, 'Activity map'!$A:$A, $A220, 'Activity map'!$H:$H, "=TRUE", 'Activity map'!$K:$K, MINIFS('Activity map'!$K:$K, 'Activity map'!$A:$A, $A220, 'Activity map'!$H:$H, "=TRUE"))</f>
        <v>6526</v>
      </c>
      <c r="N220" s="26">
        <f>MINIFS('Activity map'!$C:$C, 'Activity map'!$A:$A, $A220, 'Activity map'!$H:$H, "=TRUE", 'Activity map'!$E:$E, $T220)</f>
        <v>6568</v>
      </c>
      <c r="O220" s="178">
        <f t="shared" si="5"/>
        <v>0.2438095238</v>
      </c>
      <c r="P220" s="30" t="str">
        <f>IF($M220=0, "-", VLOOKUP($M220, 'List of log slots'!$A:$C, 2, FALSE))</f>
        <v>Toktz-mej-tal</v>
      </c>
      <c r="Q220" s="31">
        <f>IFERROR(__xludf.DUMMYFUNCTION("IF(ISERROR(FILTER('Activity map'!$C:$C, ('Activity map'!$A:$A=$A220)*('Activity map'!$F:$F=FALSE))), 0, COUNTA(UNIQUE(FILTER('Activity map'!$C:$C, ('Activity map'!$A:$A=$A220)*('Activity map'!$F:$F=FALSE)))))"),2.0)</f>
        <v>2</v>
      </c>
      <c r="R220" s="31">
        <f>IFERROR(__xludf.DUMMYFUNCTION("IF(ISERROR(FILTER('Activity map'!$C:$C, 'Activity map'!$A:$A=$A220)), 0, COUNTA(UNIQUE(FILTER('Activity map'!$C:$C, 'Activity map'!$A:$A=$A220))))"),2.0)</f>
        <v>2</v>
      </c>
      <c r="S220" s="46">
        <f t="shared" si="6"/>
        <v>0</v>
      </c>
      <c r="T220" s="31">
        <f>IFERROR(__xludf.DUMMYFUNCTION("IF(ISERROR(FILTER('Activity map'!$E:$E, ('Activity map'!$A:$A=$A220)*('Activity map'!$F:$F=FALSE))), ""-"", MIN(UNIQUE(FILTER('Activity map'!$E:$E, ('Activity map'!$A:$A=$A220)*('Activity map'!$F:$F=FALSE)))))"),4.0)</f>
        <v>4</v>
      </c>
      <c r="U220" s="30" t="str">
        <f>IF($N220=0, "-", VLOOKUP($N220, 'List of log slots'!$A:$C, 2, FALSE))</f>
        <v>Obsidian cape</v>
      </c>
    </row>
    <row r="221">
      <c r="A221" s="26">
        <v>135.0</v>
      </c>
      <c r="B221" s="23" t="str">
        <f>VLOOKUP($A221, 'Completion rates'!$A:$E, 2, FALSE)</f>
        <v>Waiting for random events</v>
      </c>
      <c r="C221" s="26">
        <f>IF(Notes!$E$27, VLOOKUP($A221, 'Completion rates'!$A:$E, 4, FALSE), VLOOKUP($A221, 'Completion rates'!$A:$E, 3, FALSE))</f>
        <v>0.66</v>
      </c>
      <c r="D221" s="26">
        <f>VLOOKUP($A221, 'Completion rates'!$A:$E, 5, FALSE)</f>
        <v>0</v>
      </c>
      <c r="E221" s="28">
        <f>IF(SUMIFS('Activity map'!$O:$O, 'Activity map'!$A:$A, A221, 'Activity map'!$H:$H, "=TRUE") = 0, "n/a", 1/SUMIFS('Activity map'!$O:$O, 'Activity map'!$A:$A, A221, 'Activity map'!$H:$H, "=TRUE"))</f>
        <v>3.99591211</v>
      </c>
      <c r="F221" s="26">
        <f t="shared" si="1"/>
        <v>6.054412288</v>
      </c>
      <c r="G221" s="26" t="str">
        <f>IF(MINIFS('Activity map'!$N:$N, 'Activity map'!$A:$A, A221, 'Activity map'!$H:$H, "=TRUE") = 0, "n/a", MINIFS('Activity map'!$N:$N, 'Activity map'!$A:$A, A221, 'Activity map'!$H:$H, "=TRUE"))</f>
        <v>n/a</v>
      </c>
      <c r="H221" s="8" t="str">
        <f t="shared" si="2"/>
        <v/>
      </c>
      <c r="I221" s="26" t="str">
        <f>IF(MINIFS('Activity map'!$M:$M, 'Activity map'!$A:$A, A221, 'Activity map'!$H:$H, "=TRUE") = 0, "n/a", MINIFS('Activity map'!$M:$M, 'Activity map'!$A:$A, A221, 'Activity map'!$H:$H, "=TRUE"))</f>
        <v>n/a</v>
      </c>
      <c r="J221" s="8" t="str">
        <f t="shared" si="3"/>
        <v/>
      </c>
      <c r="K221" s="26" t="str">
        <f>IF(MINIFS('Activity map'!$L:$L, 'Activity map'!$A:$A, A221, 'Activity map'!$H:$H, "=TRUE") = 0, "n/a", MINIFS('Activity map'!$L:$L, 'Activity map'!$A:$A, A221, 'Activity map'!$H:$H, "=TRUE"))</f>
        <v>n/a</v>
      </c>
      <c r="L221" s="8" t="str">
        <f t="shared" si="4"/>
        <v/>
      </c>
      <c r="M221" s="26">
        <f>MINIFS('Activity map'!$C:$C, 'Activity map'!$A:$A, $A221, 'Activity map'!$H:$H, "=TRUE", 'Activity map'!$K:$K, MINIFS('Activity map'!$K:$K, 'Activity map'!$A:$A, $A221, 'Activity map'!$H:$H, "=TRUE"))</f>
        <v>3057</v>
      </c>
      <c r="N221" s="26">
        <f>MINIFS('Activity map'!$C:$C, 'Activity map'!$A:$A, $A221, 'Activity map'!$H:$H, "=TRUE", 'Activity map'!$E:$E, $T221)</f>
        <v>3057</v>
      </c>
      <c r="O221" s="66">
        <f t="shared" si="5"/>
        <v>0.2522671787</v>
      </c>
      <c r="P221" s="30" t="str">
        <f>IF($M221=0, "-", VLOOKUP($M221, 'List of log slots'!$A:$C, 2, FALSE))</f>
        <v>Mime mask</v>
      </c>
      <c r="Q221" s="31">
        <f>IFERROR(__xludf.DUMMYFUNCTION("IF(ISERROR(FILTER('Activity map'!$C:$C, ('Activity map'!$A:$A=$A221)*('Activity map'!$F:$F=FALSE))), 0, COUNTA(UNIQUE(FILTER('Activity map'!$C:$C, ('Activity map'!$A:$A=$A221)*('Activity map'!$F:$F=FALSE)))))"),23.0)</f>
        <v>23</v>
      </c>
      <c r="R221" s="31">
        <f>IFERROR(__xludf.DUMMYFUNCTION("IF(ISERROR(FILTER('Activity map'!$C:$C, 'Activity map'!$A:$A=$A221)), 0, COUNTA(UNIQUE(FILTER('Activity map'!$C:$C, 'Activity map'!$A:$A=$A221))))"),23.0)</f>
        <v>23</v>
      </c>
      <c r="S221" s="179">
        <f t="shared" si="6"/>
        <v>0</v>
      </c>
      <c r="T221" s="31">
        <f>IFERROR(__xludf.DUMMYFUNCTION("IF(ISERROR(FILTER('Activity map'!$E:$E, ('Activity map'!$A:$A=$A221)*('Activity map'!$F:$F=FALSE))), ""-"", MIN(UNIQUE(FILTER('Activity map'!$E:$E, ('Activity map'!$A:$A=$A221)*('Activity map'!$F:$F=FALSE)))))"),2.0)</f>
        <v>2</v>
      </c>
      <c r="U221" s="30" t="str">
        <f>IF($N221=0, "-", VLOOKUP($N221, 'List of log slots'!$A:$C, 2, FALSE))</f>
        <v>Mime mask</v>
      </c>
    </row>
    <row r="222">
      <c r="A222" s="26">
        <v>109.0</v>
      </c>
      <c r="B222" s="23" t="str">
        <f>VLOOKUP($A222, 'Completion rates'!$A:$E, 2, FALSE)</f>
        <v>Killing hobgoblins (champion's challenge)</v>
      </c>
      <c r="C222" s="26">
        <f>IF(Notes!$E$27, VLOOKUP($A222, 'Completion rates'!$A:$E, 4, FALSE), VLOOKUP($A222, 'Completion rates'!$A:$E, 3, FALSE))</f>
        <v>800</v>
      </c>
      <c r="D222" s="26">
        <f>VLOOKUP($A222, 'Completion rates'!$A:$E, 5, FALSE)</f>
        <v>0</v>
      </c>
      <c r="E222" s="28">
        <f>IF(SUMIFS('Activity map'!$O:$O, 'Activity map'!$A:$A, A222, 'Activity map'!$H:$H, "=TRUE") = 0, "n/a", 1/SUMIFS('Activity map'!$O:$O, 'Activity map'!$A:$A, A222, 'Activity map'!$H:$H, "=TRUE"))</f>
        <v>5000</v>
      </c>
      <c r="F222" s="26">
        <f t="shared" si="1"/>
        <v>6.25</v>
      </c>
      <c r="G222" s="26" t="str">
        <f>IF(MINIFS('Activity map'!$N:$N, 'Activity map'!$A:$A, A222, 'Activity map'!$H:$H, "=TRUE") = 0, "n/a", MINIFS('Activity map'!$N:$N, 'Activity map'!$A:$A, A222, 'Activity map'!$H:$H, "=TRUE"))</f>
        <v>n/a</v>
      </c>
      <c r="H222" s="8" t="str">
        <f t="shared" si="2"/>
        <v/>
      </c>
      <c r="I222" s="26" t="str">
        <f>IF(MINIFS('Activity map'!$M:$M, 'Activity map'!$A:$A, A222, 'Activity map'!$H:$H, "=TRUE") = 0, "n/a", MINIFS('Activity map'!$M:$M, 'Activity map'!$A:$A, A222, 'Activity map'!$H:$H, "=TRUE"))</f>
        <v>n/a</v>
      </c>
      <c r="J222" s="8" t="str">
        <f t="shared" si="3"/>
        <v/>
      </c>
      <c r="K222" s="26" t="str">
        <f>IF(MINIFS('Activity map'!$L:$L, 'Activity map'!$A:$A, A222, 'Activity map'!$H:$H, "=TRUE") = 0, "n/a", MINIFS('Activity map'!$L:$L, 'Activity map'!$A:$A, A222, 'Activity map'!$H:$H, "=TRUE"))</f>
        <v>n/a</v>
      </c>
      <c r="L222" s="8" t="str">
        <f t="shared" si="4"/>
        <v/>
      </c>
      <c r="M222" s="26">
        <f>MINIFS('Activity map'!$C:$C, 'Activity map'!$A:$A, $A222, 'Activity map'!$H:$H, "=TRUE", 'Activity map'!$K:$K, MINIFS('Activity map'!$K:$K, 'Activity map'!$A:$A, $A222, 'Activity map'!$H:$H, "=TRUE"))</f>
        <v>6802</v>
      </c>
      <c r="N222" s="26">
        <f>MINIFS('Activity map'!$C:$C, 'Activity map'!$A:$A, $A222, 'Activity map'!$H:$H, "=TRUE", 'Activity map'!$E:$E, $T222)</f>
        <v>6802</v>
      </c>
      <c r="O222" s="82">
        <f t="shared" si="5"/>
        <v>0.2604166667</v>
      </c>
      <c r="P222" s="30" t="str">
        <f>IF($M222=0, "-", VLOOKUP($M222, 'List of log slots'!$A:$C, 2, FALSE))</f>
        <v>Hobgoblin champion scroll</v>
      </c>
      <c r="Q222" s="31">
        <f>IFERROR(__xludf.DUMMYFUNCTION("IF(ISERROR(FILTER('Activity map'!$C:$C, ('Activity map'!$A:$A=$A222)*('Activity map'!$F:$F=FALSE))), 0, COUNTA(UNIQUE(FILTER('Activity map'!$C:$C, ('Activity map'!$A:$A=$A222)*('Activity map'!$F:$F=FALSE)))))"),1.0)</f>
        <v>1</v>
      </c>
      <c r="R222" s="31">
        <f>IFERROR(__xludf.DUMMYFUNCTION("IF(ISERROR(FILTER('Activity map'!$C:$C, 'Activity map'!$A:$A=$A222)), 0, COUNTA(UNIQUE(FILTER('Activity map'!$C:$C, 'Activity map'!$A:$A=$A222))))"),1.0)</f>
        <v>1</v>
      </c>
      <c r="S222" s="72">
        <f t="shared" si="6"/>
        <v>0</v>
      </c>
      <c r="T222" s="31">
        <f>IFERROR(__xludf.DUMMYFUNCTION("IF(ISERROR(FILTER('Activity map'!$E:$E, ('Activity map'!$A:$A=$A222)*('Activity map'!$F:$F=FALSE))), ""-"", MIN(UNIQUE(FILTER('Activity map'!$E:$E, ('Activity map'!$A:$A=$A222)*('Activity map'!$F:$F=FALSE)))))"),6.0)</f>
        <v>6</v>
      </c>
      <c r="U222" s="30" t="str">
        <f>IF($N222=0, "-", VLOOKUP($N222, 'List of log slots'!$A:$C, 2, FALSE))</f>
        <v>Hobgoblin champion scroll</v>
      </c>
    </row>
    <row r="223">
      <c r="A223" s="26">
        <v>106.0</v>
      </c>
      <c r="B223" s="23" t="str">
        <f>VLOOKUP($A223, 'Completion rates'!$A:$E, 2, FALSE)</f>
        <v>Killing ghouls (champion's challenge)</v>
      </c>
      <c r="C223" s="26">
        <f>IF(Notes!$E$27, VLOOKUP($A223, 'Completion rates'!$A:$E, 4, FALSE), VLOOKUP($A223, 'Completion rates'!$A:$E, 3, FALSE))</f>
        <v>750</v>
      </c>
      <c r="D223" s="26">
        <f>VLOOKUP($A223, 'Completion rates'!$A:$E, 5, FALSE)</f>
        <v>0</v>
      </c>
      <c r="E223" s="28">
        <f>IF(SUMIFS('Activity map'!$O:$O, 'Activity map'!$A:$A, A223, 'Activity map'!$H:$H, "=TRUE") = 0, "n/a", 1/SUMIFS('Activity map'!$O:$O, 'Activity map'!$A:$A, A223, 'Activity map'!$H:$H, "=TRUE"))</f>
        <v>5000</v>
      </c>
      <c r="F223" s="26">
        <f t="shared" si="1"/>
        <v>6.666666667</v>
      </c>
      <c r="G223" s="26" t="str">
        <f>IF(MINIFS('Activity map'!$N:$N, 'Activity map'!$A:$A, A223, 'Activity map'!$H:$H, "=TRUE") = 0, "n/a", MINIFS('Activity map'!$N:$N, 'Activity map'!$A:$A, A223, 'Activity map'!$H:$H, "=TRUE"))</f>
        <v>n/a</v>
      </c>
      <c r="H223" s="8" t="str">
        <f t="shared" si="2"/>
        <v/>
      </c>
      <c r="I223" s="26" t="str">
        <f>IF(MINIFS('Activity map'!$M:$M, 'Activity map'!$A:$A, A223, 'Activity map'!$H:$H, "=TRUE") = 0, "n/a", MINIFS('Activity map'!$M:$M, 'Activity map'!$A:$A, A223, 'Activity map'!$H:$H, "=TRUE"))</f>
        <v>n/a</v>
      </c>
      <c r="J223" s="8" t="str">
        <f t="shared" si="3"/>
        <v/>
      </c>
      <c r="K223" s="26" t="str">
        <f>IF(MINIFS('Activity map'!$L:$L, 'Activity map'!$A:$A, A223, 'Activity map'!$H:$H, "=TRUE") = 0, "n/a", MINIFS('Activity map'!$L:$L, 'Activity map'!$A:$A, A223, 'Activity map'!$H:$H, "=TRUE"))</f>
        <v>n/a</v>
      </c>
      <c r="L223" s="8" t="str">
        <f t="shared" si="4"/>
        <v/>
      </c>
      <c r="M223" s="26">
        <f>MINIFS('Activity map'!$C:$C, 'Activity map'!$A:$A, $A223, 'Activity map'!$H:$H, "=TRUE", 'Activity map'!$K:$K, MINIFS('Activity map'!$K:$K, 'Activity map'!$A:$A, $A223, 'Activity map'!$H:$H, "=TRUE"))</f>
        <v>6799</v>
      </c>
      <c r="N223" s="26">
        <f>MINIFS('Activity map'!$C:$C, 'Activity map'!$A:$A, $A223, 'Activity map'!$H:$H, "=TRUE", 'Activity map'!$E:$E, $T223)</f>
        <v>6799</v>
      </c>
      <c r="O223" s="180">
        <f t="shared" si="5"/>
        <v>0.2777777778</v>
      </c>
      <c r="P223" s="30" t="str">
        <f>IF($M223=0, "-", VLOOKUP($M223, 'List of log slots'!$A:$C, 2, FALSE))</f>
        <v>Ghoul champion scroll</v>
      </c>
      <c r="Q223" s="31">
        <f>IFERROR(__xludf.DUMMYFUNCTION("IF(ISERROR(FILTER('Activity map'!$C:$C, ('Activity map'!$A:$A=$A223)*('Activity map'!$F:$F=FALSE))), 0, COUNTA(UNIQUE(FILTER('Activity map'!$C:$C, ('Activity map'!$A:$A=$A223)*('Activity map'!$F:$F=FALSE)))))"),1.0)</f>
        <v>1</v>
      </c>
      <c r="R223" s="31">
        <f>IFERROR(__xludf.DUMMYFUNCTION("IF(ISERROR(FILTER('Activity map'!$C:$C, 'Activity map'!$A:$A=$A223)), 0, COUNTA(UNIQUE(FILTER('Activity map'!$C:$C, 'Activity map'!$A:$A=$A223))))"),1.0)</f>
        <v>1</v>
      </c>
      <c r="S223" s="72">
        <f t="shared" si="6"/>
        <v>0</v>
      </c>
      <c r="T223" s="31">
        <f>IFERROR(__xludf.DUMMYFUNCTION("IF(ISERROR(FILTER('Activity map'!$E:$E, ('Activity map'!$A:$A=$A223)*('Activity map'!$F:$F=FALSE))), ""-"", MIN(UNIQUE(FILTER('Activity map'!$E:$E, ('Activity map'!$A:$A=$A223)*('Activity map'!$F:$F=FALSE)))))"),6.0)</f>
        <v>6</v>
      </c>
      <c r="U223" s="30" t="str">
        <f>IF($N223=0, "-", VLOOKUP($N223, 'List of log slots'!$A:$C, 2, FALSE))</f>
        <v>Ghoul champion scroll</v>
      </c>
    </row>
    <row r="224">
      <c r="A224" s="26">
        <v>220.0</v>
      </c>
      <c r="B224" s="23" t="str">
        <f>VLOOKUP($A224, 'Completion rates'!$A:$E, 2, FALSE)</f>
        <v>Fishing giant krill (deep sea trawling)</v>
      </c>
      <c r="C224" s="26">
        <f>IF(Notes!$E$27, VLOOKUP($A224, 'Completion rates'!$A:$E, 4, FALSE), VLOOKUP($A224, 'Completion rates'!$A:$E, 3, FALSE))</f>
        <v>250</v>
      </c>
      <c r="D224" s="26">
        <f>VLOOKUP($A224, 'Completion rates'!$A:$E, 5, FALSE)</f>
        <v>0</v>
      </c>
      <c r="E224" s="28">
        <f>IF(SUMIFS('Activity map'!$O:$O, 'Activity map'!$A:$A, A224, 'Activity map'!$H:$H, "=TRUE") = 0, "n/a", 1/SUMIFS('Activity map'!$O:$O, 'Activity map'!$A:$A, A224, 'Activity map'!$H:$H, "=TRUE"))</f>
        <v>1791.044776</v>
      </c>
      <c r="F224" s="26">
        <f t="shared" si="1"/>
        <v>7.164179104</v>
      </c>
      <c r="G224" s="26" t="str">
        <f>IF(MINIFS('Activity map'!$N:$N, 'Activity map'!$A:$A, A224, 'Activity map'!$H:$H, "=TRUE") = 0, "n/a", MINIFS('Activity map'!$N:$N, 'Activity map'!$A:$A, A224, 'Activity map'!$H:$H, "=TRUE"))</f>
        <v>n/a</v>
      </c>
      <c r="H224" s="8" t="str">
        <f t="shared" si="2"/>
        <v/>
      </c>
      <c r="I224" s="26" t="str">
        <f>IF(MINIFS('Activity map'!$M:$M, 'Activity map'!$A:$A, A224, 'Activity map'!$H:$H, "=TRUE") = 0, "n/a", MINIFS('Activity map'!$M:$M, 'Activity map'!$A:$A, A224, 'Activity map'!$H:$H, "=TRUE"))</f>
        <v>n/a</v>
      </c>
      <c r="J224" s="8" t="str">
        <f t="shared" si="3"/>
        <v/>
      </c>
      <c r="K224" s="26" t="str">
        <f>IF(MINIFS('Activity map'!$L:$L, 'Activity map'!$A:$A, A224, 'Activity map'!$H:$H, "=TRUE") = 0, "n/a", MINIFS('Activity map'!$L:$L, 'Activity map'!$A:$A, A224, 'Activity map'!$H:$H, "=TRUE"))</f>
        <v>n/a</v>
      </c>
      <c r="L224" s="8" t="str">
        <f t="shared" si="4"/>
        <v/>
      </c>
      <c r="M224" s="26">
        <f>MINIFS('Activity map'!$C:$C, 'Activity map'!$A:$A, $A224, 'Activity map'!$H:$H, "=TRUE", 'Activity map'!$K:$K, MINIFS('Activity map'!$K:$K, 'Activity map'!$A:$A, $A224, 'Activity map'!$H:$H, "=TRUE"))</f>
        <v>31408</v>
      </c>
      <c r="N224" s="26">
        <f>MINIFS('Activity map'!$C:$C, 'Activity map'!$A:$A, $A224, 'Activity map'!$H:$H, "=TRUE", 'Activity map'!$E:$E, $T224)</f>
        <v>31408</v>
      </c>
      <c r="O224" s="181">
        <f t="shared" si="5"/>
        <v>0.2985074627</v>
      </c>
      <c r="P224" s="30" t="str">
        <f>IF($M224=0, "-", VLOOKUP($M224, 'List of log slots'!$A:$C, 2, FALSE))</f>
        <v>Giant blue krill</v>
      </c>
      <c r="Q224" s="31">
        <f>IFERROR(__xludf.DUMMYFUNCTION("IF(ISERROR(FILTER('Activity map'!$C:$C, ('Activity map'!$A:$A=$A224)*('Activity map'!$F:$F=FALSE))), 0, COUNTA(UNIQUE(FILTER('Activity map'!$C:$C, ('Activity map'!$A:$A=$A224)*('Activity map'!$F:$F=FALSE)))))"),3.0)</f>
        <v>3</v>
      </c>
      <c r="R224" s="31">
        <f>IFERROR(__xludf.DUMMYFUNCTION("IF(ISERROR(FILTER('Activity map'!$C:$C, 'Activity map'!$A:$A=$A224)), 0, COUNTA(UNIQUE(FILTER('Activity map'!$C:$C, 'Activity map'!$A:$A=$A224))))"),3.0)</f>
        <v>3</v>
      </c>
      <c r="S224" s="72">
        <f t="shared" si="6"/>
        <v>0</v>
      </c>
      <c r="T224" s="31">
        <f>IFERROR(__xludf.DUMMYFUNCTION("IF(ISERROR(FILTER('Activity map'!$E:$E, ('Activity map'!$A:$A=$A224)*('Activity map'!$F:$F=FALSE))), ""-"", MIN(UNIQUE(FILTER('Activity map'!$E:$E, ('Activity map'!$A:$A=$A224)*('Activity map'!$F:$F=FALSE)))))"),5.0)</f>
        <v>5</v>
      </c>
      <c r="U224" s="30" t="str">
        <f>IF($N224=0, "-", VLOOKUP($N224, 'List of log slots'!$A:$C, 2, FALSE))</f>
        <v>Giant blue krill</v>
      </c>
    </row>
    <row r="225">
      <c r="A225" s="26">
        <v>221.0</v>
      </c>
      <c r="B225" s="23" t="str">
        <f>VLOOKUP($A225, 'Completion rates'!$A:$E, 2, FALSE)</f>
        <v>Fishing haddock (deep sea trawling)</v>
      </c>
      <c r="C225" s="26">
        <f>IF(Notes!$E$27, VLOOKUP($A225, 'Completion rates'!$A:$E, 4, FALSE), VLOOKUP($A225, 'Completion rates'!$A:$E, 3, FALSE))</f>
        <v>250</v>
      </c>
      <c r="D225" s="26">
        <f>VLOOKUP($A225, 'Completion rates'!$A:$E, 5, FALSE)</f>
        <v>0</v>
      </c>
      <c r="E225" s="28">
        <f>IF(SUMIFS('Activity map'!$O:$O, 'Activity map'!$A:$A, A225, 'Activity map'!$H:$H, "=TRUE") = 0, "n/a", 1/SUMIFS('Activity map'!$O:$O, 'Activity map'!$A:$A, A225, 'Activity map'!$H:$H, "=TRUE"))</f>
        <v>1791.044776</v>
      </c>
      <c r="F225" s="26">
        <f t="shared" si="1"/>
        <v>7.164179104</v>
      </c>
      <c r="G225" s="26" t="str">
        <f>IF(MINIFS('Activity map'!$N:$N, 'Activity map'!$A:$A, A225, 'Activity map'!$H:$H, "=TRUE") = 0, "n/a", MINIFS('Activity map'!$N:$N, 'Activity map'!$A:$A, A225, 'Activity map'!$H:$H, "=TRUE"))</f>
        <v>n/a</v>
      </c>
      <c r="H225" s="8" t="str">
        <f t="shared" si="2"/>
        <v/>
      </c>
      <c r="I225" s="26" t="str">
        <f>IF(MINIFS('Activity map'!$M:$M, 'Activity map'!$A:$A, A225, 'Activity map'!$H:$H, "=TRUE") = 0, "n/a", MINIFS('Activity map'!$M:$M, 'Activity map'!$A:$A, A225, 'Activity map'!$H:$H, "=TRUE"))</f>
        <v>n/a</v>
      </c>
      <c r="J225" s="8" t="str">
        <f t="shared" si="3"/>
        <v/>
      </c>
      <c r="K225" s="26" t="str">
        <f>IF(MINIFS('Activity map'!$L:$L, 'Activity map'!$A:$A, A225, 'Activity map'!$H:$H, "=TRUE") = 0, "n/a", MINIFS('Activity map'!$L:$L, 'Activity map'!$A:$A, A225, 'Activity map'!$H:$H, "=TRUE"))</f>
        <v>n/a</v>
      </c>
      <c r="L225" s="8" t="str">
        <f t="shared" si="4"/>
        <v/>
      </c>
      <c r="M225" s="26">
        <f>MINIFS('Activity map'!$C:$C, 'Activity map'!$A:$A, $A225, 'Activity map'!$H:$H, "=TRUE", 'Activity map'!$K:$K, MINIFS('Activity map'!$K:$K, 'Activity map'!$A:$A, $A225, 'Activity map'!$H:$H, "=TRUE"))</f>
        <v>31412</v>
      </c>
      <c r="N225" s="26">
        <f>MINIFS('Activity map'!$C:$C, 'Activity map'!$A:$A, $A225, 'Activity map'!$H:$H, "=TRUE", 'Activity map'!$E:$E, $T225)</f>
        <v>31412</v>
      </c>
      <c r="O225" s="181">
        <f t="shared" si="5"/>
        <v>0.2985074627</v>
      </c>
      <c r="P225" s="30" t="str">
        <f>IF($M225=0, "-", VLOOKUP($M225, 'List of log slots'!$A:$C, 2, FALSE))</f>
        <v>Golden haddock</v>
      </c>
      <c r="Q225" s="31">
        <f>IFERROR(__xludf.DUMMYFUNCTION("IF(ISERROR(FILTER('Activity map'!$C:$C, ('Activity map'!$A:$A=$A225)*('Activity map'!$F:$F=FALSE))), 0, COUNTA(UNIQUE(FILTER('Activity map'!$C:$C, ('Activity map'!$A:$A=$A225)*('Activity map'!$F:$F=FALSE)))))"),3.0)</f>
        <v>3</v>
      </c>
      <c r="R225" s="31">
        <f>IFERROR(__xludf.DUMMYFUNCTION("IF(ISERROR(FILTER('Activity map'!$C:$C, 'Activity map'!$A:$A=$A225)), 0, COUNTA(UNIQUE(FILTER('Activity map'!$C:$C, 'Activity map'!$A:$A=$A225))))"),3.0)</f>
        <v>3</v>
      </c>
      <c r="S225" s="72">
        <f t="shared" si="6"/>
        <v>0</v>
      </c>
      <c r="T225" s="31">
        <f>IFERROR(__xludf.DUMMYFUNCTION("IF(ISERROR(FILTER('Activity map'!$E:$E, ('Activity map'!$A:$A=$A225)*('Activity map'!$F:$F=FALSE))), ""-"", MIN(UNIQUE(FILTER('Activity map'!$E:$E, ('Activity map'!$A:$A=$A225)*('Activity map'!$F:$F=FALSE)))))"),5.0)</f>
        <v>5</v>
      </c>
      <c r="U225" s="30" t="str">
        <f>IF($N225=0, "-", VLOOKUP($N225, 'List of log slots'!$A:$C, 2, FALSE))</f>
        <v>Golden haddock</v>
      </c>
    </row>
    <row r="226">
      <c r="A226" s="26">
        <v>110.0</v>
      </c>
      <c r="B226" s="23" t="str">
        <f>VLOOKUP($A226, 'Completion rates'!$A:$E, 2, FALSE)</f>
        <v>Killing imps (champion's challenge)</v>
      </c>
      <c r="C226" s="26">
        <f>IF(Notes!$E$27, VLOOKUP($A226, 'Completion rates'!$A:$E, 4, FALSE), VLOOKUP($A226, 'Completion rates'!$A:$E, 3, FALSE))</f>
        <v>650</v>
      </c>
      <c r="D226" s="26">
        <f>VLOOKUP($A226, 'Completion rates'!$A:$E, 5, FALSE)</f>
        <v>0</v>
      </c>
      <c r="E226" s="28">
        <f>IF(SUMIFS('Activity map'!$O:$O, 'Activity map'!$A:$A, A226, 'Activity map'!$H:$H, "=TRUE") = 0, "n/a", 1/SUMIFS('Activity map'!$O:$O, 'Activity map'!$A:$A, A226, 'Activity map'!$H:$H, "=TRUE"))</f>
        <v>5000</v>
      </c>
      <c r="F226" s="8">
        <f t="shared" si="1"/>
        <v>7.692307692</v>
      </c>
      <c r="G226" s="26" t="str">
        <f>IF(MINIFS('Activity map'!$N:$N, 'Activity map'!$A:$A, A226, 'Activity map'!$H:$H, "=TRUE") = 0, "n/a", MINIFS('Activity map'!$N:$N, 'Activity map'!$A:$A, A226, 'Activity map'!$H:$H, "=TRUE"))</f>
        <v>n/a</v>
      </c>
      <c r="H226" s="8" t="str">
        <f t="shared" si="2"/>
        <v/>
      </c>
      <c r="I226" s="26" t="str">
        <f>IF(MINIFS('Activity map'!$M:$M, 'Activity map'!$A:$A, A226, 'Activity map'!$H:$H, "=TRUE") = 0, "n/a", MINIFS('Activity map'!$M:$M, 'Activity map'!$A:$A, A226, 'Activity map'!$H:$H, "=TRUE"))</f>
        <v>n/a</v>
      </c>
      <c r="J226" s="8" t="str">
        <f t="shared" si="3"/>
        <v/>
      </c>
      <c r="K226" s="26" t="str">
        <f>IF(MINIFS('Activity map'!$L:$L, 'Activity map'!$A:$A, A226, 'Activity map'!$H:$H, "=TRUE") = 0, "n/a", MINIFS('Activity map'!$L:$L, 'Activity map'!$A:$A, A226, 'Activity map'!$H:$H, "=TRUE"))</f>
        <v>n/a</v>
      </c>
      <c r="L226" s="8" t="str">
        <f t="shared" si="4"/>
        <v/>
      </c>
      <c r="M226" s="26">
        <f>MINIFS('Activity map'!$C:$C, 'Activity map'!$A:$A, $A226, 'Activity map'!$H:$H, "=TRUE", 'Activity map'!$K:$K, MINIFS('Activity map'!$K:$K, 'Activity map'!$A:$A, $A226, 'Activity map'!$H:$H, "=TRUE"))</f>
        <v>6803</v>
      </c>
      <c r="N226" s="26">
        <f>MINIFS('Activity map'!$C:$C, 'Activity map'!$A:$A, $A226, 'Activity map'!$H:$H, "=TRUE", 'Activity map'!$E:$E, $T226)</f>
        <v>6803</v>
      </c>
      <c r="O226" s="35">
        <f t="shared" si="5"/>
        <v>0.3205128205</v>
      </c>
      <c r="P226" s="30" t="str">
        <f>IF($M226=0, "-", VLOOKUP($M226, 'List of log slots'!$A:$C, 2, FALSE))</f>
        <v>Imp champion scroll</v>
      </c>
      <c r="Q226" s="31">
        <f>IFERROR(__xludf.DUMMYFUNCTION("IF(ISERROR(FILTER('Activity map'!$C:$C, ('Activity map'!$A:$A=$A226)*('Activity map'!$F:$F=FALSE))), 0, COUNTA(UNIQUE(FILTER('Activity map'!$C:$C, ('Activity map'!$A:$A=$A226)*('Activity map'!$F:$F=FALSE)))))"),1.0)</f>
        <v>1</v>
      </c>
      <c r="R226" s="31">
        <f>IFERROR(__xludf.DUMMYFUNCTION("IF(ISERROR(FILTER('Activity map'!$C:$C, 'Activity map'!$A:$A=$A226)), 0, COUNTA(UNIQUE(FILTER('Activity map'!$C:$C, 'Activity map'!$A:$A=$A226))))"),1.0)</f>
        <v>1</v>
      </c>
      <c r="S226" s="36">
        <f t="shared" si="6"/>
        <v>0</v>
      </c>
      <c r="T226" s="31">
        <f>IFERROR(__xludf.DUMMYFUNCTION("IF(ISERROR(FILTER('Activity map'!$E:$E, ('Activity map'!$A:$A=$A226)*('Activity map'!$F:$F=FALSE))), ""-"", MIN(UNIQUE(FILTER('Activity map'!$E:$E, ('Activity map'!$A:$A=$A226)*('Activity map'!$F:$F=FALSE)))))"),4.0)</f>
        <v>4</v>
      </c>
      <c r="U226" s="30" t="str">
        <f>IF($N226=0, "-", VLOOKUP($N226, 'List of log slots'!$A:$C, 2, FALSE))</f>
        <v>Imp champion scroll</v>
      </c>
    </row>
    <row r="227">
      <c r="A227" s="26">
        <v>111.0</v>
      </c>
      <c r="B227" s="23" t="str">
        <f>VLOOKUP($A227, 'Completion rates'!$A:$E, 2, FALSE)</f>
        <v>Killing jogres (champion's challenge)</v>
      </c>
      <c r="C227" s="26">
        <f>IF(Notes!$E$27, VLOOKUP($A227, 'Completion rates'!$A:$E, 4, FALSE), VLOOKUP($A227, 'Completion rates'!$A:$E, 3, FALSE))</f>
        <v>650</v>
      </c>
      <c r="D227" s="26">
        <f>VLOOKUP($A227, 'Completion rates'!$A:$E, 5, FALSE)</f>
        <v>0</v>
      </c>
      <c r="E227" s="28">
        <f>IF(SUMIFS('Activity map'!$O:$O, 'Activity map'!$A:$A, A227, 'Activity map'!$H:$H, "=TRUE") = 0, "n/a", 1/SUMIFS('Activity map'!$O:$O, 'Activity map'!$A:$A, A227, 'Activity map'!$H:$H, "=TRUE"))</f>
        <v>5000</v>
      </c>
      <c r="F227" s="26">
        <f t="shared" si="1"/>
        <v>7.692307692</v>
      </c>
      <c r="G227" s="26" t="str">
        <f>IF(MINIFS('Activity map'!$N:$N, 'Activity map'!$A:$A, A227, 'Activity map'!$H:$H, "=TRUE") = 0, "n/a", MINIFS('Activity map'!$N:$N, 'Activity map'!$A:$A, A227, 'Activity map'!$H:$H, "=TRUE"))</f>
        <v>n/a</v>
      </c>
      <c r="H227" s="8" t="str">
        <f t="shared" si="2"/>
        <v/>
      </c>
      <c r="I227" s="26" t="str">
        <f>IF(MINIFS('Activity map'!$M:$M, 'Activity map'!$A:$A, A227, 'Activity map'!$H:$H, "=TRUE") = 0, "n/a", MINIFS('Activity map'!$M:$M, 'Activity map'!$A:$A, A227, 'Activity map'!$H:$H, "=TRUE"))</f>
        <v>n/a</v>
      </c>
      <c r="J227" s="8" t="str">
        <f t="shared" si="3"/>
        <v/>
      </c>
      <c r="K227" s="26" t="str">
        <f>IF(MINIFS('Activity map'!$L:$L, 'Activity map'!$A:$A, A227, 'Activity map'!$H:$H, "=TRUE") = 0, "n/a", MINIFS('Activity map'!$L:$L, 'Activity map'!$A:$A, A227, 'Activity map'!$H:$H, "=TRUE"))</f>
        <v>n/a</v>
      </c>
      <c r="L227" s="8" t="str">
        <f t="shared" si="4"/>
        <v/>
      </c>
      <c r="M227" s="26">
        <f>MINIFS('Activity map'!$C:$C, 'Activity map'!$A:$A, $A227, 'Activity map'!$H:$H, "=TRUE", 'Activity map'!$K:$K, MINIFS('Activity map'!$K:$K, 'Activity map'!$A:$A, $A227, 'Activity map'!$H:$H, "=TRUE"))</f>
        <v>6804</v>
      </c>
      <c r="N227" s="26">
        <f>MINIFS('Activity map'!$C:$C, 'Activity map'!$A:$A, $A227, 'Activity map'!$H:$H, "=TRUE", 'Activity map'!$E:$E, $T227)</f>
        <v>6804</v>
      </c>
      <c r="O227" s="182">
        <f t="shared" si="5"/>
        <v>0.3205128205</v>
      </c>
      <c r="P227" s="30" t="str">
        <f>IF($M227=0, "-", VLOOKUP($M227, 'List of log slots'!$A:$C, 2, FALSE))</f>
        <v>Jogre champion scroll</v>
      </c>
      <c r="Q227" s="31">
        <f>IFERROR(__xludf.DUMMYFUNCTION("IF(ISERROR(FILTER('Activity map'!$C:$C, ('Activity map'!$A:$A=$A227)*('Activity map'!$F:$F=FALSE))), 0, COUNTA(UNIQUE(FILTER('Activity map'!$C:$C, ('Activity map'!$A:$A=$A227)*('Activity map'!$F:$F=FALSE)))))"),1.0)</f>
        <v>1</v>
      </c>
      <c r="R227" s="31">
        <f>IFERROR(__xludf.DUMMYFUNCTION("IF(ISERROR(FILTER('Activity map'!$C:$C, 'Activity map'!$A:$A=$A227)), 0, COUNTA(UNIQUE(FILTER('Activity map'!$C:$C, 'Activity map'!$A:$A=$A227))))"),1.0)</f>
        <v>1</v>
      </c>
      <c r="S227" s="72">
        <f t="shared" si="6"/>
        <v>0</v>
      </c>
      <c r="T227" s="31">
        <f>IFERROR(__xludf.DUMMYFUNCTION("IF(ISERROR(FILTER('Activity map'!$E:$E, ('Activity map'!$A:$A=$A227)*('Activity map'!$F:$F=FALSE))), ""-"", MIN(UNIQUE(FILTER('Activity map'!$E:$E, ('Activity map'!$A:$A=$A227)*('Activity map'!$F:$F=FALSE)))))"),6.0)</f>
        <v>6</v>
      </c>
      <c r="U227" s="30" t="str">
        <f>IF($N227=0, "-", VLOOKUP($N227, 'List of log slots'!$A:$C, 2, FALSE))</f>
        <v>Jogre champion scroll</v>
      </c>
    </row>
    <row r="228">
      <c r="A228" s="26">
        <v>230.0</v>
      </c>
      <c r="B228" s="23" t="str">
        <f>VLOOKUP($A228, 'Completion rates'!$A:$E, 2, FALSE)</f>
        <v>Killing rune dragons</v>
      </c>
      <c r="C228" s="26">
        <f>IF(Notes!$E$27, VLOOKUP($A228, 'Completion rates'!$A:$E, 4, FALSE), VLOOKUP($A228, 'Completion rates'!$A:$E, 3, FALSE))</f>
        <v>75</v>
      </c>
      <c r="D228" s="26">
        <f>VLOOKUP($A228, 'Completion rates'!$A:$E, 5, FALSE)</f>
        <v>0</v>
      </c>
      <c r="E228" s="28">
        <f>IF(SUMIFS('Activity map'!$O:$O, 'Activity map'!$A:$A, A228, 'Activity map'!$H:$H, "=TRUE") = 0, "n/a", 1/SUMIFS('Activity map'!$O:$O, 'Activity map'!$A:$A, A228, 'Activity map'!$H:$H, "=TRUE"))</f>
        <v>615.0108608</v>
      </c>
      <c r="F228" s="26">
        <f t="shared" si="1"/>
        <v>8.200144811</v>
      </c>
      <c r="G228" s="26" t="str">
        <f>IF(MINIFS('Activity map'!$N:$N, 'Activity map'!$A:$A, A228, 'Activity map'!$H:$H, "=TRUE") = 0, "n/a", MINIFS('Activity map'!$N:$N, 'Activity map'!$A:$A, A228, 'Activity map'!$H:$H, "=TRUE"))</f>
        <v>n/a</v>
      </c>
      <c r="H228" s="8" t="str">
        <f t="shared" si="2"/>
        <v/>
      </c>
      <c r="I228" s="26" t="str">
        <f>IF(MINIFS('Activity map'!$M:$M, 'Activity map'!$A:$A, A228, 'Activity map'!$H:$H, "=TRUE") = 0, "n/a", MINIFS('Activity map'!$M:$M, 'Activity map'!$A:$A, A228, 'Activity map'!$H:$H, "=TRUE"))</f>
        <v>n/a</v>
      </c>
      <c r="J228" s="8" t="str">
        <f t="shared" si="3"/>
        <v/>
      </c>
      <c r="K228" s="26" t="str">
        <f>IF(MINIFS('Activity map'!$L:$L, 'Activity map'!$A:$A, A228, 'Activity map'!$H:$H, "=TRUE") = 0, "n/a", MINIFS('Activity map'!$L:$L, 'Activity map'!$A:$A, A228, 'Activity map'!$H:$H, "=TRUE"))</f>
        <v>n/a</v>
      </c>
      <c r="L228" s="8" t="str">
        <f t="shared" si="4"/>
        <v/>
      </c>
      <c r="M228" s="26">
        <f>MINIFS('Activity map'!$C:$C, 'Activity map'!$A:$A, $A228, 'Activity map'!$H:$H, "=TRUE", 'Activity map'!$K:$K, MINIFS('Activity map'!$K:$K, 'Activity map'!$A:$A, $A228, 'Activity map'!$H:$H, "=TRUE"))</f>
        <v>21918</v>
      </c>
      <c r="N228" s="26">
        <f>MINIFS('Activity map'!$C:$C, 'Activity map'!$A:$A, $A228, 'Activity map'!$H:$H, "=TRUE", 'Activity map'!$E:$E, $T228)</f>
        <v>1249</v>
      </c>
      <c r="O228" s="81">
        <f t="shared" si="5"/>
        <v>0.3416727004</v>
      </c>
      <c r="P228" s="30" t="str">
        <f>IF($M228=0, "-", VLOOKUP($M228, 'List of log slots'!$A:$C, 2, FALSE))</f>
        <v>Dragon limbs</v>
      </c>
      <c r="Q228" s="31">
        <f>IFERROR(__xludf.DUMMYFUNCTION("IF(ISERROR(FILTER('Activity map'!$C:$C, ('Activity map'!$A:$A=$A228)*('Activity map'!$F:$F=FALSE))), 0, COUNTA(UNIQUE(FILTER('Activity map'!$C:$C, ('Activity map'!$A:$A=$A228)*('Activity map'!$F:$F=FALSE)))))"),5.0)</f>
        <v>5</v>
      </c>
      <c r="R228" s="31">
        <f>IFERROR(__xludf.DUMMYFUNCTION("IF(ISERROR(FILTER('Activity map'!$C:$C, 'Activity map'!$A:$A=$A228)), 0, COUNTA(UNIQUE(FILTER('Activity map'!$C:$C, 'Activity map'!$A:$A=$A228))))"),5.0)</f>
        <v>5</v>
      </c>
      <c r="S228" s="51">
        <f t="shared" si="6"/>
        <v>0</v>
      </c>
      <c r="T228" s="31">
        <f>IFERROR(__xludf.DUMMYFUNCTION("IF(ISERROR(FILTER('Activity map'!$E:$E, ('Activity map'!$A:$A=$A228)*('Activity map'!$F:$F=FALSE))), ""-"", MIN(UNIQUE(FILTER('Activity map'!$E:$E, ('Activity map'!$A:$A=$A228)*('Activity map'!$F:$F=FALSE)))))"),5.0)</f>
        <v>5</v>
      </c>
      <c r="U228" s="30" t="str">
        <f>IF($N228=0, "-", VLOOKUP($N228, 'List of log slots'!$A:$C, 2, FALSE))</f>
        <v>Dragon spear</v>
      </c>
    </row>
    <row r="229">
      <c r="A229" s="26">
        <v>204.0</v>
      </c>
      <c r="B229" s="23" t="str">
        <f>VLOOKUP($A229, 'Completion rates'!$A:$E, 2, FALSE)</f>
        <v>Killing vyrewatch sentinels</v>
      </c>
      <c r="C229" s="26">
        <f>IF(Notes!$E$27, VLOOKUP($A229, 'Completion rates'!$A:$E, 4, FALSE), VLOOKUP($A229, 'Completion rates'!$A:$E, 3, FALSE))</f>
        <v>160</v>
      </c>
      <c r="D229" s="26">
        <f>VLOOKUP($A229, 'Completion rates'!$A:$E, 5, FALSE)</f>
        <v>0</v>
      </c>
      <c r="E229" s="28">
        <f>IF(SUMIFS('Activity map'!$O:$O, 'Activity map'!$A:$A, A229, 'Activity map'!$H:$H, "=TRUE") = 0, "n/a", 1/SUMIFS('Activity map'!$O:$O, 'Activity map'!$A:$A, A229, 'Activity map'!$H:$H, "=TRUE"))</f>
        <v>1358.14955</v>
      </c>
      <c r="F229" s="26">
        <f t="shared" si="1"/>
        <v>8.488434685</v>
      </c>
      <c r="G229" s="26" t="str">
        <f>IF(MINIFS('Activity map'!$N:$N, 'Activity map'!$A:$A, A229, 'Activity map'!$H:$H, "=TRUE") = 0, "n/a", MINIFS('Activity map'!$N:$N, 'Activity map'!$A:$A, A229, 'Activity map'!$H:$H, "=TRUE"))</f>
        <v>n/a</v>
      </c>
      <c r="H229" s="8" t="str">
        <f t="shared" si="2"/>
        <v/>
      </c>
      <c r="I229" s="26" t="str">
        <f>IF(MINIFS('Activity map'!$M:$M, 'Activity map'!$A:$A, A229, 'Activity map'!$H:$H, "=TRUE") = 0, "n/a", MINIFS('Activity map'!$M:$M, 'Activity map'!$A:$A, A229, 'Activity map'!$H:$H, "=TRUE"))</f>
        <v>n/a</v>
      </c>
      <c r="J229" s="8" t="str">
        <f t="shared" si="3"/>
        <v/>
      </c>
      <c r="K229" s="26" t="str">
        <f>IF(MINIFS('Activity map'!$L:$L, 'Activity map'!$A:$A, A229, 'Activity map'!$H:$H, "=TRUE") = 0, "n/a", MINIFS('Activity map'!$L:$L, 'Activity map'!$A:$A, A229, 'Activity map'!$H:$H, "=TRUE"))</f>
        <v>n/a</v>
      </c>
      <c r="L229" s="8" t="str">
        <f t="shared" si="4"/>
        <v/>
      </c>
      <c r="M229" s="26">
        <f>MINIFS('Activity map'!$C:$C, 'Activity map'!$A:$A, $A229, 'Activity map'!$H:$H, "=TRUE", 'Activity map'!$K:$K, MINIFS('Activity map'!$K:$K, 'Activity map'!$A:$A, $A229, 'Activity map'!$H:$H, "=TRUE"))</f>
        <v>24777</v>
      </c>
      <c r="N229" s="26">
        <f>MINIFS('Activity map'!$C:$C, 'Activity map'!$A:$A, $A229, 'Activity map'!$H:$H, "=TRUE", 'Activity map'!$E:$E, $T229)</f>
        <v>1249</v>
      </c>
      <c r="O229" s="183">
        <f t="shared" si="5"/>
        <v>0.3536847785</v>
      </c>
      <c r="P229" s="30" t="str">
        <f>IF($M229=0, "-", VLOOKUP($M229, 'List of log slots'!$A:$C, 2, FALSE))</f>
        <v>Blood shard</v>
      </c>
      <c r="Q229" s="31">
        <f>IFERROR(__xludf.DUMMYFUNCTION("IF(ISERROR(FILTER('Activity map'!$C:$C, ('Activity map'!$A:$A=$A229)*('Activity map'!$F:$F=FALSE))), 0, COUNTA(UNIQUE(FILTER('Activity map'!$C:$C, ('Activity map'!$A:$A=$A229)*('Activity map'!$F:$F=FALSE)))))"),3.0)</f>
        <v>3</v>
      </c>
      <c r="R229" s="31">
        <f>IFERROR(__xludf.DUMMYFUNCTION("IF(ISERROR(FILTER('Activity map'!$C:$C, 'Activity map'!$A:$A=$A229)), 0, COUNTA(UNIQUE(FILTER('Activity map'!$C:$C, 'Activity map'!$A:$A=$A229))))"),3.0)</f>
        <v>3</v>
      </c>
      <c r="S229" s="97">
        <f t="shared" si="6"/>
        <v>0</v>
      </c>
      <c r="T229" s="31">
        <f>IFERROR(__xludf.DUMMYFUNCTION("IF(ISERROR(FILTER('Activity map'!$E:$E, ('Activity map'!$A:$A=$A229)*('Activity map'!$F:$F=FALSE))), ""-"", MIN(UNIQUE(FILTER('Activity map'!$E:$E, ('Activity map'!$A:$A=$A229)*('Activity map'!$F:$F=FALSE)))))"),5.0)</f>
        <v>5</v>
      </c>
      <c r="U229" s="30" t="str">
        <f>IF($N229=0, "-", VLOOKUP($N229, 'List of log slots'!$A:$C, 2, FALSE))</f>
        <v>Dragon spear</v>
      </c>
    </row>
    <row r="230">
      <c r="A230" s="26">
        <v>229.0</v>
      </c>
      <c r="B230" s="23" t="str">
        <f>VLOOKUP($A230, 'Completion rates'!$A:$E, 2, FALSE)</f>
        <v>Killing adamant dragons</v>
      </c>
      <c r="C230" s="26">
        <f>IF(Notes!$E$27, VLOOKUP($A230, 'Completion rates'!$A:$E, 4, FALSE), VLOOKUP($A230, 'Completion rates'!$A:$E, 3, FALSE))</f>
        <v>85</v>
      </c>
      <c r="D230" s="26">
        <f>VLOOKUP($A230, 'Completion rates'!$A:$E, 5, FALSE)</f>
        <v>0</v>
      </c>
      <c r="E230" s="28">
        <f>IF(SUMIFS('Activity map'!$O:$O, 'Activity map'!$A:$A, A230, 'Activity map'!$H:$H, "=TRUE") = 0, "n/a", 1/SUMIFS('Activity map'!$O:$O, 'Activity map'!$A:$A, A230, 'Activity map'!$H:$H, "=TRUE"))</f>
        <v>729.938524</v>
      </c>
      <c r="F230" s="26">
        <f t="shared" si="1"/>
        <v>8.587512047</v>
      </c>
      <c r="G230" s="26" t="str">
        <f>IF(MINIFS('Activity map'!$N:$N, 'Activity map'!$A:$A, A230, 'Activity map'!$H:$H, "=TRUE") = 0, "n/a", MINIFS('Activity map'!$N:$N, 'Activity map'!$A:$A, A230, 'Activity map'!$H:$H, "=TRUE"))</f>
        <v>n/a</v>
      </c>
      <c r="H230" s="8" t="str">
        <f t="shared" si="2"/>
        <v/>
      </c>
      <c r="I230" s="26" t="str">
        <f>IF(MINIFS('Activity map'!$M:$M, 'Activity map'!$A:$A, A230, 'Activity map'!$H:$H, "=TRUE") = 0, "n/a", MINIFS('Activity map'!$M:$M, 'Activity map'!$A:$A, A230, 'Activity map'!$H:$H, "=TRUE"))</f>
        <v>n/a</v>
      </c>
      <c r="J230" s="8" t="str">
        <f t="shared" si="3"/>
        <v/>
      </c>
      <c r="K230" s="26" t="str">
        <f>IF(MINIFS('Activity map'!$L:$L, 'Activity map'!$A:$A, A230, 'Activity map'!$H:$H, "=TRUE") = 0, "n/a", MINIFS('Activity map'!$L:$L, 'Activity map'!$A:$A, A230, 'Activity map'!$H:$H, "=TRUE"))</f>
        <v>n/a</v>
      </c>
      <c r="L230" s="8" t="str">
        <f t="shared" si="4"/>
        <v/>
      </c>
      <c r="M230" s="26">
        <f>MINIFS('Activity map'!$C:$C, 'Activity map'!$A:$A, $A230, 'Activity map'!$H:$H, "=TRUE", 'Activity map'!$K:$K, MINIFS('Activity map'!$K:$K, 'Activity map'!$A:$A, $A230, 'Activity map'!$H:$H, "=TRUE"))</f>
        <v>21918</v>
      </c>
      <c r="N230" s="26">
        <f>MINIFS('Activity map'!$C:$C, 'Activity map'!$A:$A, $A230, 'Activity map'!$H:$H, "=TRUE", 'Activity map'!$E:$E, $T230)</f>
        <v>1249</v>
      </c>
      <c r="O230" s="156">
        <f t="shared" si="5"/>
        <v>0.357813002</v>
      </c>
      <c r="P230" s="30" t="str">
        <f>IF($M230=0, "-", VLOOKUP($M230, 'List of log slots'!$A:$C, 2, FALSE))</f>
        <v>Dragon limbs</v>
      </c>
      <c r="Q230" s="31">
        <f>IFERROR(__xludf.DUMMYFUNCTION("IF(ISERROR(FILTER('Activity map'!$C:$C, ('Activity map'!$A:$A=$A230)*('Activity map'!$F:$F=FALSE))), 0, COUNTA(UNIQUE(FILTER('Activity map'!$C:$C, ('Activity map'!$A:$A=$A230)*('Activity map'!$F:$F=FALSE)))))"),5.0)</f>
        <v>5</v>
      </c>
      <c r="R230" s="31">
        <f>IFERROR(__xludf.DUMMYFUNCTION("IF(ISERROR(FILTER('Activity map'!$C:$C, 'Activity map'!$A:$A=$A230)), 0, COUNTA(UNIQUE(FILTER('Activity map'!$C:$C, 'Activity map'!$A:$A=$A230))))"),5.0)</f>
        <v>5</v>
      </c>
      <c r="S230" s="51">
        <f t="shared" si="6"/>
        <v>0</v>
      </c>
      <c r="T230" s="31">
        <f>IFERROR(__xludf.DUMMYFUNCTION("IF(ISERROR(FILTER('Activity map'!$E:$E, ('Activity map'!$A:$A=$A230)*('Activity map'!$F:$F=FALSE))), ""-"", MIN(UNIQUE(FILTER('Activity map'!$E:$E, ('Activity map'!$A:$A=$A230)*('Activity map'!$F:$F=FALSE)))))"),5.0)</f>
        <v>5</v>
      </c>
      <c r="U230" s="30" t="str">
        <f>IF($N230=0, "-", VLOOKUP($N230, 'List of log slots'!$A:$C, 2, FALSE))</f>
        <v>Dragon spear</v>
      </c>
    </row>
    <row r="231">
      <c r="A231" s="26">
        <v>203.0</v>
      </c>
      <c r="B231" s="23" t="str">
        <f>VLOOKUP($A231, 'Completion rates'!$A:$E, 2, FALSE)</f>
        <v>Pickpocketing from darkmeyer vyres</v>
      </c>
      <c r="C231" s="26">
        <f>IF(Notes!$E$27, VLOOKUP($A231, 'Completion rates'!$A:$E, 4, FALSE), VLOOKUP($A231, 'Completion rates'!$A:$E, 3, FALSE))</f>
        <v>540</v>
      </c>
      <c r="D231" s="26">
        <f>VLOOKUP($A231, 'Completion rates'!$A:$E, 5, FALSE)</f>
        <v>0</v>
      </c>
      <c r="E231" s="28">
        <f>IF(SUMIFS('Activity map'!$O:$O, 'Activity map'!$A:$A, A231, 'Activity map'!$H:$H, "=TRUE") = 0, "n/a", 1/SUMIFS('Activity map'!$O:$O, 'Activity map'!$A:$A, A231, 'Activity map'!$H:$H, "=TRUE"))</f>
        <v>5000</v>
      </c>
      <c r="F231" s="26">
        <f t="shared" si="1"/>
        <v>9.259259259</v>
      </c>
      <c r="G231" s="26" t="str">
        <f>IF(MINIFS('Activity map'!$N:$N, 'Activity map'!$A:$A, A231, 'Activity map'!$H:$H, "=TRUE") = 0, "n/a", MINIFS('Activity map'!$N:$N, 'Activity map'!$A:$A, A231, 'Activity map'!$H:$H, "=TRUE"))</f>
        <v>n/a</v>
      </c>
      <c r="H231" s="8" t="str">
        <f t="shared" si="2"/>
        <v/>
      </c>
      <c r="I231" s="26" t="str">
        <f>IF(MINIFS('Activity map'!$M:$M, 'Activity map'!$A:$A, A231, 'Activity map'!$H:$H, "=TRUE") = 0, "n/a", MINIFS('Activity map'!$M:$M, 'Activity map'!$A:$A, A231, 'Activity map'!$H:$H, "=TRUE"))</f>
        <v>n/a</v>
      </c>
      <c r="J231" s="8" t="str">
        <f t="shared" si="3"/>
        <v/>
      </c>
      <c r="K231" s="26" t="str">
        <f>IF(MINIFS('Activity map'!$L:$L, 'Activity map'!$A:$A, A231, 'Activity map'!$H:$H, "=TRUE") = 0, "n/a", MINIFS('Activity map'!$L:$L, 'Activity map'!$A:$A, A231, 'Activity map'!$H:$H, "=TRUE"))</f>
        <v>n/a</v>
      </c>
      <c r="L231" s="8" t="str">
        <f t="shared" si="4"/>
        <v/>
      </c>
      <c r="M231" s="26">
        <f>MINIFS('Activity map'!$C:$C, 'Activity map'!$A:$A, $A231, 'Activity map'!$H:$H, "=TRUE", 'Activity map'!$K:$K, MINIFS('Activity map'!$K:$K, 'Activity map'!$A:$A, $A231, 'Activity map'!$H:$H, "=TRUE"))</f>
        <v>24777</v>
      </c>
      <c r="N231" s="26">
        <f>MINIFS('Activity map'!$C:$C, 'Activity map'!$A:$A, $A231, 'Activity map'!$H:$H, "=TRUE", 'Activity map'!$E:$E, $T231)</f>
        <v>24777</v>
      </c>
      <c r="O231" s="184">
        <f t="shared" si="5"/>
        <v>0.3858024691</v>
      </c>
      <c r="P231" s="30" t="str">
        <f>IF($M231=0, "-", VLOOKUP($M231, 'List of log slots'!$A:$C, 2, FALSE))</f>
        <v>Blood shard</v>
      </c>
      <c r="Q231" s="31">
        <f>IFERROR(__xludf.DUMMYFUNCTION("IF(ISERROR(FILTER('Activity map'!$C:$C, ('Activity map'!$A:$A=$A231)*('Activity map'!$F:$F=FALSE))), 0, COUNTA(UNIQUE(FILTER('Activity map'!$C:$C, ('Activity map'!$A:$A=$A231)*('Activity map'!$F:$F=FALSE)))))"),1.0)</f>
        <v>1</v>
      </c>
      <c r="R231" s="31">
        <f>IFERROR(__xludf.DUMMYFUNCTION("IF(ISERROR(FILTER('Activity map'!$C:$C, 'Activity map'!$A:$A=$A231)), 0, COUNTA(UNIQUE(FILTER('Activity map'!$C:$C, 'Activity map'!$A:$A=$A231))))"),1.0)</f>
        <v>1</v>
      </c>
      <c r="S231" s="72">
        <f t="shared" si="6"/>
        <v>0</v>
      </c>
      <c r="T231" s="31">
        <f>IFERROR(__xludf.DUMMYFUNCTION("IF(ISERROR(FILTER('Activity map'!$E:$E, ('Activity map'!$A:$A=$A231)*('Activity map'!$F:$F=FALSE))), ""-"", MIN(UNIQUE(FILTER('Activity map'!$E:$E, ('Activity map'!$A:$A=$A231)*('Activity map'!$F:$F=FALSE)))))"),6.0)</f>
        <v>6</v>
      </c>
      <c r="U231" s="30" t="str">
        <f>IF($N231=0, "-", VLOOKUP($N231, 'List of log slots'!$A:$C, 2, FALSE))</f>
        <v>Blood shard</v>
      </c>
    </row>
    <row r="232">
      <c r="A232" s="26">
        <v>58.0</v>
      </c>
      <c r="B232" s="23" t="str">
        <f>VLOOKUP($A232, 'Completion rates'!$A:$E, 2, FALSE)</f>
        <v>Killing zalcano (1-down teams)</v>
      </c>
      <c r="C232" s="26">
        <f>IF(Notes!$E$27, VLOOKUP($A232, 'Completion rates'!$A:$E, 4, FALSE), VLOOKUP($A232, 'Completion rates'!$A:$E, 3, FALSE))</f>
        <v>40</v>
      </c>
      <c r="D232" s="26">
        <f>VLOOKUP($A232, 'Completion rates'!$A:$E, 5, FALSE)</f>
        <v>0</v>
      </c>
      <c r="E232" s="28">
        <f>IF(SUMIFS('Activity map'!$O:$O, 'Activity map'!$A:$A, A232, 'Activity map'!$H:$H, "=TRUE") = 0, "n/a", 1/SUMIFS('Activity map'!$O:$O, 'Activity map'!$A:$A, A232, 'Activity map'!$H:$H, "=TRUE"))</f>
        <v>381.7603393</v>
      </c>
      <c r="F232" s="26">
        <f t="shared" si="1"/>
        <v>9.544008484</v>
      </c>
      <c r="G232" s="26" t="str">
        <f>IF(MINIFS('Activity map'!$N:$N, 'Activity map'!$A:$A, A232, 'Activity map'!$H:$H, "=TRUE") = 0, "n/a", MINIFS('Activity map'!$N:$N, 'Activity map'!$A:$A, A232, 'Activity map'!$H:$H, "=TRUE"))</f>
        <v>n/a</v>
      </c>
      <c r="H232" s="8" t="str">
        <f t="shared" si="2"/>
        <v/>
      </c>
      <c r="I232" s="26" t="str">
        <f>IF(MINIFS('Activity map'!$M:$M, 'Activity map'!$A:$A, A232, 'Activity map'!$H:$H, "=TRUE") = 0, "n/a", MINIFS('Activity map'!$M:$M, 'Activity map'!$A:$A, A232, 'Activity map'!$H:$H, "=TRUE"))</f>
        <v>n/a</v>
      </c>
      <c r="J232" s="8" t="str">
        <f t="shared" si="3"/>
        <v/>
      </c>
      <c r="K232" s="26" t="str">
        <f>IF(MINIFS('Activity map'!$L:$L, 'Activity map'!$A:$A, A232, 'Activity map'!$H:$H, "=TRUE") = 0, "n/a", MINIFS('Activity map'!$L:$L, 'Activity map'!$A:$A, A232, 'Activity map'!$H:$H, "=TRUE"))</f>
        <v>n/a</v>
      </c>
      <c r="L232" s="8" t="str">
        <f t="shared" si="4"/>
        <v/>
      </c>
      <c r="M232" s="26">
        <f>MINIFS('Activity map'!$C:$C, 'Activity map'!$A:$A, $A232, 'Activity map'!$H:$H, "=TRUE", 'Activity map'!$K:$K, MINIFS('Activity map'!$K:$K, 'Activity map'!$A:$A, $A232, 'Activity map'!$H:$H, "=TRUE"))</f>
        <v>23953</v>
      </c>
      <c r="N232" s="26">
        <f>MINIFS('Activity map'!$C:$C, 'Activity map'!$A:$A, $A232, 'Activity map'!$H:$H, "=TRUE", 'Activity map'!$E:$E, $T232)</f>
        <v>6571</v>
      </c>
      <c r="O232" s="185">
        <f t="shared" si="5"/>
        <v>0.3976670201</v>
      </c>
      <c r="P232" s="30" t="str">
        <f>IF($M232=0, "-", VLOOKUP($M232, 'List of log slots'!$A:$C, 2, FALSE))</f>
        <v>Crystal tool seed</v>
      </c>
      <c r="Q232" s="31">
        <f>IFERROR(__xludf.DUMMYFUNCTION("IF(ISERROR(FILTER('Activity map'!$C:$C, ('Activity map'!$A:$A=$A232)*('Activity map'!$F:$F=FALSE))), 0, COUNTA(UNIQUE(FILTER('Activity map'!$C:$C, ('Activity map'!$A:$A=$A232)*('Activity map'!$F:$F=FALSE)))))"),4.0)</f>
        <v>4</v>
      </c>
      <c r="R232" s="31">
        <f>IFERROR(__xludf.DUMMYFUNCTION("IF(ISERROR(FILTER('Activity map'!$C:$C, 'Activity map'!$A:$A=$A232)), 0, COUNTA(UNIQUE(FILTER('Activity map'!$C:$C, 'Activity map'!$A:$A=$A232))))"),4.0)</f>
        <v>4</v>
      </c>
      <c r="S232" s="46">
        <f t="shared" si="6"/>
        <v>0</v>
      </c>
      <c r="T232" s="31">
        <f>IFERROR(__xludf.DUMMYFUNCTION("IF(ISERROR(FILTER('Activity map'!$E:$E, ('Activity map'!$A:$A=$A232)*('Activity map'!$F:$F=FALSE))), ""-"", MIN(UNIQUE(FILTER('Activity map'!$E:$E, ('Activity map'!$A:$A=$A232)*('Activity map'!$F:$F=FALSE)))))"),6.0)</f>
        <v>6</v>
      </c>
      <c r="U232" s="30" t="str">
        <f>IF($N232=0, "-", VLOOKUP($N232, 'List of log slots'!$A:$C, 2, FALSE))</f>
        <v>Uncut onyx</v>
      </c>
    </row>
    <row r="233">
      <c r="A233" s="26">
        <v>112.0</v>
      </c>
      <c r="B233" s="23" t="str">
        <f>VLOOKUP($A233, 'Completion rates'!$A:$E, 2, FALSE)</f>
        <v>Killing lesser demons (champion's challenge)</v>
      </c>
      <c r="C233" s="26">
        <f>IF(Notes!$E$27, VLOOKUP($A233, 'Completion rates'!$A:$E, 4, FALSE), VLOOKUP($A233, 'Completion rates'!$A:$E, 3, FALSE))</f>
        <v>500</v>
      </c>
      <c r="D233" s="26">
        <f>VLOOKUP($A233, 'Completion rates'!$A:$E, 5, FALSE)</f>
        <v>0</v>
      </c>
      <c r="E233" s="28">
        <f>IF(SUMIFS('Activity map'!$O:$O, 'Activity map'!$A:$A, A233, 'Activity map'!$H:$H, "=TRUE") = 0, "n/a", 1/SUMIFS('Activity map'!$O:$O, 'Activity map'!$A:$A, A233, 'Activity map'!$H:$H, "=TRUE"))</f>
        <v>5000</v>
      </c>
      <c r="F233" s="26">
        <f t="shared" si="1"/>
        <v>10</v>
      </c>
      <c r="G233" s="26" t="str">
        <f>IF(MINIFS('Activity map'!$N:$N, 'Activity map'!$A:$A, A233, 'Activity map'!$H:$H, "=TRUE") = 0, "n/a", MINIFS('Activity map'!$N:$N, 'Activity map'!$A:$A, A233, 'Activity map'!$H:$H, "=TRUE"))</f>
        <v>n/a</v>
      </c>
      <c r="H233" s="8" t="str">
        <f t="shared" si="2"/>
        <v/>
      </c>
      <c r="I233" s="26" t="str">
        <f>IF(MINIFS('Activity map'!$M:$M, 'Activity map'!$A:$A, A233, 'Activity map'!$H:$H, "=TRUE") = 0, "n/a", MINIFS('Activity map'!$M:$M, 'Activity map'!$A:$A, A233, 'Activity map'!$H:$H, "=TRUE"))</f>
        <v>n/a</v>
      </c>
      <c r="J233" s="8" t="str">
        <f t="shared" si="3"/>
        <v/>
      </c>
      <c r="K233" s="26" t="str">
        <f>IF(MINIFS('Activity map'!$L:$L, 'Activity map'!$A:$A, A233, 'Activity map'!$H:$H, "=TRUE") = 0, "n/a", MINIFS('Activity map'!$L:$L, 'Activity map'!$A:$A, A233, 'Activity map'!$H:$H, "=TRUE"))</f>
        <v>n/a</v>
      </c>
      <c r="L233" s="8" t="str">
        <f t="shared" si="4"/>
        <v/>
      </c>
      <c r="M233" s="26">
        <f>MINIFS('Activity map'!$C:$C, 'Activity map'!$A:$A, $A233, 'Activity map'!$H:$H, "=TRUE", 'Activity map'!$K:$K, MINIFS('Activity map'!$K:$K, 'Activity map'!$A:$A, $A233, 'Activity map'!$H:$H, "=TRUE"))</f>
        <v>6805</v>
      </c>
      <c r="N233" s="26">
        <f>MINIFS('Activity map'!$C:$C, 'Activity map'!$A:$A, $A233, 'Activity map'!$H:$H, "=TRUE", 'Activity map'!$E:$E, $T233)</f>
        <v>6805</v>
      </c>
      <c r="O233" s="186">
        <f t="shared" si="5"/>
        <v>0.4166666667</v>
      </c>
      <c r="P233" s="30" t="str">
        <f>IF($M233=0, "-", VLOOKUP($M233, 'List of log slots'!$A:$C, 2, FALSE))</f>
        <v>Lesser demon champion scroll</v>
      </c>
      <c r="Q233" s="31">
        <f>IFERROR(__xludf.DUMMYFUNCTION("IF(ISERROR(FILTER('Activity map'!$C:$C, ('Activity map'!$A:$A=$A233)*('Activity map'!$F:$F=FALSE))), 0, COUNTA(UNIQUE(FILTER('Activity map'!$C:$C, ('Activity map'!$A:$A=$A233)*('Activity map'!$F:$F=FALSE)))))"),1.0)</f>
        <v>1</v>
      </c>
      <c r="R233" s="31">
        <f>IFERROR(__xludf.DUMMYFUNCTION("IF(ISERROR(FILTER('Activity map'!$C:$C, 'Activity map'!$A:$A=$A233)), 0, COUNTA(UNIQUE(FILTER('Activity map'!$C:$C, 'Activity map'!$A:$A=$A233))))"),1.0)</f>
        <v>1</v>
      </c>
      <c r="S233" s="72">
        <f t="shared" si="6"/>
        <v>0</v>
      </c>
      <c r="T233" s="31">
        <f>IFERROR(__xludf.DUMMYFUNCTION("IF(ISERROR(FILTER('Activity map'!$E:$E, ('Activity map'!$A:$A=$A233)*('Activity map'!$F:$F=FALSE))), ""-"", MIN(UNIQUE(FILTER('Activity map'!$E:$E, ('Activity map'!$A:$A=$A233)*('Activity map'!$F:$F=FALSE)))))"),6.0)</f>
        <v>6</v>
      </c>
      <c r="U233" s="30" t="str">
        <f>IF($N233=0, "-", VLOOKUP($N233, 'List of log slots'!$A:$C, 2, FALSE))</f>
        <v>Lesser demon champion scroll</v>
      </c>
    </row>
    <row r="234">
      <c r="A234" s="26">
        <v>222.0</v>
      </c>
      <c r="B234" s="23" t="str">
        <f>VLOOKUP($A234, 'Completion rates'!$A:$E, 2, FALSE)</f>
        <v>Fishing yellowfin (deep sea trawling)</v>
      </c>
      <c r="C234" s="26">
        <f>IF(Notes!$E$27, VLOOKUP($A234, 'Completion rates'!$A:$E, 4, FALSE), VLOOKUP($A234, 'Completion rates'!$A:$E, 3, FALSE))</f>
        <v>250</v>
      </c>
      <c r="D234" s="26">
        <f>VLOOKUP($A234, 'Completion rates'!$A:$E, 5, FALSE)</f>
        <v>0</v>
      </c>
      <c r="E234" s="28">
        <f>IF(SUMIFS('Activity map'!$O:$O, 'Activity map'!$A:$A, A234, 'Activity map'!$H:$H, "=TRUE") = 0, "n/a", 1/SUMIFS('Activity map'!$O:$O, 'Activity map'!$A:$A, A234, 'Activity map'!$H:$H, "=TRUE"))</f>
        <v>3243.243243</v>
      </c>
      <c r="F234" s="26">
        <f t="shared" si="1"/>
        <v>12.97297297</v>
      </c>
      <c r="G234" s="26" t="str">
        <f>IF(MINIFS('Activity map'!$N:$N, 'Activity map'!$A:$A, A234, 'Activity map'!$H:$H, "=TRUE") = 0, "n/a", MINIFS('Activity map'!$N:$N, 'Activity map'!$A:$A, A234, 'Activity map'!$H:$H, "=TRUE"))</f>
        <v>n/a</v>
      </c>
      <c r="H234" s="8" t="str">
        <f t="shared" si="2"/>
        <v/>
      </c>
      <c r="I234" s="26" t="str">
        <f>IF(MINIFS('Activity map'!$M:$M, 'Activity map'!$A:$A, A234, 'Activity map'!$H:$H, "=TRUE") = 0, "n/a", MINIFS('Activity map'!$M:$M, 'Activity map'!$A:$A, A234, 'Activity map'!$H:$H, "=TRUE"))</f>
        <v>n/a</v>
      </c>
      <c r="J234" s="8" t="str">
        <f t="shared" si="3"/>
        <v/>
      </c>
      <c r="K234" s="26" t="str">
        <f>IF(MINIFS('Activity map'!$L:$L, 'Activity map'!$A:$A, A234, 'Activity map'!$H:$H, "=TRUE") = 0, "n/a", MINIFS('Activity map'!$L:$L, 'Activity map'!$A:$A, A234, 'Activity map'!$H:$H, "=TRUE"))</f>
        <v>n/a</v>
      </c>
      <c r="L234" s="8" t="str">
        <f t="shared" si="4"/>
        <v/>
      </c>
      <c r="M234" s="26">
        <f>MINIFS('Activity map'!$C:$C, 'Activity map'!$A:$A, $A234, 'Activity map'!$H:$H, "=TRUE", 'Activity map'!$K:$K, MINIFS('Activity map'!$K:$K, 'Activity map'!$A:$A, $A234, 'Activity map'!$H:$H, "=TRUE"))</f>
        <v>31416</v>
      </c>
      <c r="N234" s="26">
        <f>MINIFS('Activity map'!$C:$C, 'Activity map'!$A:$A, $A234, 'Activity map'!$H:$H, "=TRUE", 'Activity map'!$E:$E, $T234)</f>
        <v>31416</v>
      </c>
      <c r="O234" s="57">
        <f t="shared" si="5"/>
        <v>0.5405405405</v>
      </c>
      <c r="P234" s="30" t="str">
        <f>IF($M234=0, "-", VLOOKUP($M234, 'List of log slots'!$A:$C, 2, FALSE))</f>
        <v>Orangefin</v>
      </c>
      <c r="Q234" s="31">
        <f>IFERROR(__xludf.DUMMYFUNCTION("IF(ISERROR(FILTER('Activity map'!$C:$C, ('Activity map'!$A:$A=$A234)*('Activity map'!$F:$F=FALSE))), 0, COUNTA(UNIQUE(FILTER('Activity map'!$C:$C, ('Activity map'!$A:$A=$A234)*('Activity map'!$F:$F=FALSE)))))"),3.0)</f>
        <v>3</v>
      </c>
      <c r="R234" s="31">
        <f>IFERROR(__xludf.DUMMYFUNCTION("IF(ISERROR(FILTER('Activity map'!$C:$C, 'Activity map'!$A:$A=$A234)), 0, COUNTA(UNIQUE(FILTER('Activity map'!$C:$C, 'Activity map'!$A:$A=$A234))))"),3.0)</f>
        <v>3</v>
      </c>
      <c r="S234" s="72">
        <f t="shared" si="6"/>
        <v>0</v>
      </c>
      <c r="T234" s="31">
        <f>IFERROR(__xludf.DUMMYFUNCTION("IF(ISERROR(FILTER('Activity map'!$E:$E, ('Activity map'!$A:$A=$A234)*('Activity map'!$F:$F=FALSE))), ""-"", MIN(UNIQUE(FILTER('Activity map'!$E:$E, ('Activity map'!$A:$A=$A234)*('Activity map'!$F:$F=FALSE)))))"),6.0)</f>
        <v>6</v>
      </c>
      <c r="U234" s="30" t="str">
        <f>IF($N234=0, "-", VLOOKUP($N234, 'List of log slots'!$A:$C, 2, FALSE))</f>
        <v>Orangefin</v>
      </c>
    </row>
    <row r="235">
      <c r="A235" s="26">
        <v>223.0</v>
      </c>
      <c r="B235" s="23" t="str">
        <f>VLOOKUP($A235, 'Completion rates'!$A:$E, 2, FALSE)</f>
        <v>Fishing halibut (deep sea trawling)</v>
      </c>
      <c r="C235" s="26">
        <f>IF(Notes!$E$27, VLOOKUP($A235, 'Completion rates'!$A:$E, 4, FALSE), VLOOKUP($A235, 'Completion rates'!$A:$E, 3, FALSE))</f>
        <v>250</v>
      </c>
      <c r="D235" s="26">
        <f>VLOOKUP($A235, 'Completion rates'!$A:$E, 5, FALSE)</f>
        <v>0</v>
      </c>
      <c r="E235" s="28">
        <f>IF(SUMIFS('Activity map'!$O:$O, 'Activity map'!$A:$A, A235, 'Activity map'!$H:$H, "=TRUE") = 0, "n/a", 1/SUMIFS('Activity map'!$O:$O, 'Activity map'!$A:$A, A235, 'Activity map'!$H:$H, "=TRUE"))</f>
        <v>3243.243243</v>
      </c>
      <c r="F235" s="26">
        <f t="shared" si="1"/>
        <v>12.97297297</v>
      </c>
      <c r="G235" s="26" t="str">
        <f>IF(MINIFS('Activity map'!$N:$N, 'Activity map'!$A:$A, A235, 'Activity map'!$H:$H, "=TRUE") = 0, "n/a", MINIFS('Activity map'!$N:$N, 'Activity map'!$A:$A, A235, 'Activity map'!$H:$H, "=TRUE"))</f>
        <v>n/a</v>
      </c>
      <c r="H235" s="8" t="str">
        <f t="shared" si="2"/>
        <v/>
      </c>
      <c r="I235" s="26" t="str">
        <f>IF(MINIFS('Activity map'!$M:$M, 'Activity map'!$A:$A, A235, 'Activity map'!$H:$H, "=TRUE") = 0, "n/a", MINIFS('Activity map'!$M:$M, 'Activity map'!$A:$A, A235, 'Activity map'!$H:$H, "=TRUE"))</f>
        <v>n/a</v>
      </c>
      <c r="J235" s="8" t="str">
        <f t="shared" si="3"/>
        <v/>
      </c>
      <c r="K235" s="26" t="str">
        <f>IF(MINIFS('Activity map'!$L:$L, 'Activity map'!$A:$A, A235, 'Activity map'!$H:$H, "=TRUE") = 0, "n/a", MINIFS('Activity map'!$L:$L, 'Activity map'!$A:$A, A235, 'Activity map'!$H:$H, "=TRUE"))</f>
        <v>n/a</v>
      </c>
      <c r="L235" s="8" t="str">
        <f t="shared" si="4"/>
        <v/>
      </c>
      <c r="M235" s="26">
        <f>MINIFS('Activity map'!$C:$C, 'Activity map'!$A:$A, $A235, 'Activity map'!$H:$H, "=TRUE", 'Activity map'!$K:$K, MINIFS('Activity map'!$K:$K, 'Activity map'!$A:$A, $A235, 'Activity map'!$H:$H, "=TRUE"))</f>
        <v>31420</v>
      </c>
      <c r="N235" s="26">
        <f>MINIFS('Activity map'!$C:$C, 'Activity map'!$A:$A, $A235, 'Activity map'!$H:$H, "=TRUE", 'Activity map'!$E:$E, $T235)</f>
        <v>31420</v>
      </c>
      <c r="O235" s="57">
        <f t="shared" si="5"/>
        <v>0.5405405405</v>
      </c>
      <c r="P235" s="30" t="str">
        <f>IF($M235=0, "-", VLOOKUP($M235, 'List of log slots'!$A:$C, 2, FALSE))</f>
        <v>Huge halibut</v>
      </c>
      <c r="Q235" s="31">
        <f>IFERROR(__xludf.DUMMYFUNCTION("IF(ISERROR(FILTER('Activity map'!$C:$C, ('Activity map'!$A:$A=$A235)*('Activity map'!$F:$F=FALSE))), 0, COUNTA(UNIQUE(FILTER('Activity map'!$C:$C, ('Activity map'!$A:$A=$A235)*('Activity map'!$F:$F=FALSE)))))"),3.0)</f>
        <v>3</v>
      </c>
      <c r="R235" s="31">
        <f>IFERROR(__xludf.DUMMYFUNCTION("IF(ISERROR(FILTER('Activity map'!$C:$C, 'Activity map'!$A:$A=$A235)), 0, COUNTA(UNIQUE(FILTER('Activity map'!$C:$C, 'Activity map'!$A:$A=$A235))))"),3.0)</f>
        <v>3</v>
      </c>
      <c r="S235" s="72">
        <f t="shared" si="6"/>
        <v>0</v>
      </c>
      <c r="T235" s="31">
        <f>IFERROR(__xludf.DUMMYFUNCTION("IF(ISERROR(FILTER('Activity map'!$E:$E, ('Activity map'!$A:$A=$A235)*('Activity map'!$F:$F=FALSE))), ""-"", MIN(UNIQUE(FILTER('Activity map'!$E:$E, ('Activity map'!$A:$A=$A235)*('Activity map'!$F:$F=FALSE)))))"),6.0)</f>
        <v>6</v>
      </c>
      <c r="U235" s="30" t="str">
        <f>IF($N235=0, "-", VLOOKUP($N235, 'List of log slots'!$A:$C, 2, FALSE))</f>
        <v>Huge halibut</v>
      </c>
    </row>
    <row r="236">
      <c r="A236" s="26">
        <v>105.0</v>
      </c>
      <c r="B236" s="23" t="str">
        <f>VLOOKUP($A236, 'Completion rates'!$A:$E, 2, FALSE)</f>
        <v>Killing earth warriors (champion's challenge)</v>
      </c>
      <c r="C236" s="26">
        <f>IF(Notes!$E$27, VLOOKUP($A236, 'Completion rates'!$A:$E, 4, FALSE), VLOOKUP($A236, 'Completion rates'!$A:$E, 3, FALSE))</f>
        <v>350</v>
      </c>
      <c r="D236" s="26">
        <f>VLOOKUP($A236, 'Completion rates'!$A:$E, 5, FALSE)</f>
        <v>0</v>
      </c>
      <c r="E236" s="28">
        <f>IF(SUMIFS('Activity map'!$O:$O, 'Activity map'!$A:$A, A236, 'Activity map'!$H:$H, "=TRUE") = 0, "n/a", 1/SUMIFS('Activity map'!$O:$O, 'Activity map'!$A:$A, A236, 'Activity map'!$H:$H, "=TRUE"))</f>
        <v>5000</v>
      </c>
      <c r="F236" s="26">
        <f t="shared" si="1"/>
        <v>14.28571429</v>
      </c>
      <c r="G236" s="26" t="str">
        <f>IF(MINIFS('Activity map'!$N:$N, 'Activity map'!$A:$A, A236, 'Activity map'!$H:$H, "=TRUE") = 0, "n/a", MINIFS('Activity map'!$N:$N, 'Activity map'!$A:$A, A236, 'Activity map'!$H:$H, "=TRUE"))</f>
        <v>n/a</v>
      </c>
      <c r="H236" s="8" t="str">
        <f t="shared" si="2"/>
        <v/>
      </c>
      <c r="I236" s="26" t="str">
        <f>IF(MINIFS('Activity map'!$M:$M, 'Activity map'!$A:$A, A236, 'Activity map'!$H:$H, "=TRUE") = 0, "n/a", MINIFS('Activity map'!$M:$M, 'Activity map'!$A:$A, A236, 'Activity map'!$H:$H, "=TRUE"))</f>
        <v>n/a</v>
      </c>
      <c r="J236" s="8" t="str">
        <f t="shared" si="3"/>
        <v/>
      </c>
      <c r="K236" s="26" t="str">
        <f>IF(MINIFS('Activity map'!$L:$L, 'Activity map'!$A:$A, A236, 'Activity map'!$H:$H, "=TRUE") = 0, "n/a", MINIFS('Activity map'!$L:$L, 'Activity map'!$A:$A, A236, 'Activity map'!$H:$H, "=TRUE"))</f>
        <v>n/a</v>
      </c>
      <c r="L236" s="8" t="str">
        <f t="shared" si="4"/>
        <v/>
      </c>
      <c r="M236" s="26">
        <f>MINIFS('Activity map'!$C:$C, 'Activity map'!$A:$A, $A236, 'Activity map'!$H:$H, "=TRUE", 'Activity map'!$K:$K, MINIFS('Activity map'!$K:$K, 'Activity map'!$A:$A, $A236, 'Activity map'!$H:$H, "=TRUE"))</f>
        <v>6798</v>
      </c>
      <c r="N236" s="26">
        <f>MINIFS('Activity map'!$C:$C, 'Activity map'!$A:$A, $A236, 'Activity map'!$H:$H, "=TRUE", 'Activity map'!$E:$E, $T236)</f>
        <v>6798</v>
      </c>
      <c r="O236" s="187">
        <f t="shared" si="5"/>
        <v>0.5952380952</v>
      </c>
      <c r="P236" s="30" t="str">
        <f>IF($M236=0, "-", VLOOKUP($M236, 'List of log slots'!$A:$C, 2, FALSE))</f>
        <v>Earth warrior champion scroll</v>
      </c>
      <c r="Q236" s="31">
        <f>IFERROR(__xludf.DUMMYFUNCTION("IF(ISERROR(FILTER('Activity map'!$C:$C, ('Activity map'!$A:$A=$A236)*('Activity map'!$F:$F=FALSE))), 0, COUNTA(UNIQUE(FILTER('Activity map'!$C:$C, ('Activity map'!$A:$A=$A236)*('Activity map'!$F:$F=FALSE)))))"),1.0)</f>
        <v>1</v>
      </c>
      <c r="R236" s="31">
        <f>IFERROR(__xludf.DUMMYFUNCTION("IF(ISERROR(FILTER('Activity map'!$C:$C, 'Activity map'!$A:$A=$A236)), 0, COUNTA(UNIQUE(FILTER('Activity map'!$C:$C, 'Activity map'!$A:$A=$A236))))"),1.0)</f>
        <v>1</v>
      </c>
      <c r="S236" s="72">
        <f t="shared" si="6"/>
        <v>0</v>
      </c>
      <c r="T236" s="31">
        <f>IFERROR(__xludf.DUMMYFUNCTION("IF(ISERROR(FILTER('Activity map'!$E:$E, ('Activity map'!$A:$A=$A236)*('Activity map'!$F:$F=FALSE))), ""-"", MIN(UNIQUE(FILTER('Activity map'!$E:$E, ('Activity map'!$A:$A=$A236)*('Activity map'!$F:$F=FALSE)))))"),6.0)</f>
        <v>6</v>
      </c>
      <c r="U236" s="30" t="str">
        <f>IF($N236=0, "-", VLOOKUP($N236, 'List of log slots'!$A:$C, 2, FALSE))</f>
        <v>Earth warrior champion scroll</v>
      </c>
    </row>
    <row r="237">
      <c r="A237" s="26">
        <v>231.0</v>
      </c>
      <c r="B237" s="23" t="str">
        <f>VLOOKUP($A237, 'Completion rates'!$A:$E, 2, FALSE)</f>
        <v>Charging glories at the fountain of rune</v>
      </c>
      <c r="C237" s="26">
        <f>IF(Notes!$E$27, VLOOKUP($A237, 'Completion rates'!$A:$E, 4, FALSE), VLOOKUP($A237, 'Completion rates'!$A:$E, 3, FALSE))</f>
        <v>1700</v>
      </c>
      <c r="D237" s="26">
        <f>VLOOKUP($A237, 'Completion rates'!$A:$E, 5, FALSE)</f>
        <v>0</v>
      </c>
      <c r="E237" s="28">
        <f>IF(SUMIFS('Activity map'!$O:$O, 'Activity map'!$A:$A, A237, 'Activity map'!$H:$H, "=TRUE") = 0, "n/a", 1/SUMIFS('Activity map'!$O:$O, 'Activity map'!$A:$A, A237, 'Activity map'!$H:$H, "=TRUE"))</f>
        <v>25000</v>
      </c>
      <c r="F237" s="26">
        <f t="shared" si="1"/>
        <v>14.70588235</v>
      </c>
      <c r="G237" s="26" t="str">
        <f>IF(MINIFS('Activity map'!$N:$N, 'Activity map'!$A:$A, A237, 'Activity map'!$H:$H, "=TRUE") = 0, "n/a", MINIFS('Activity map'!$N:$N, 'Activity map'!$A:$A, A237, 'Activity map'!$H:$H, "=TRUE"))</f>
        <v>n/a</v>
      </c>
      <c r="H237" s="8" t="str">
        <f t="shared" si="2"/>
        <v/>
      </c>
      <c r="I237" s="26" t="str">
        <f>IF(MINIFS('Activity map'!$M:$M, 'Activity map'!$A:$A, A237, 'Activity map'!$H:$H, "=TRUE") = 0, "n/a", MINIFS('Activity map'!$M:$M, 'Activity map'!$A:$A, A237, 'Activity map'!$H:$H, "=TRUE"))</f>
        <v>n/a</v>
      </c>
      <c r="J237" s="8" t="str">
        <f t="shared" si="3"/>
        <v/>
      </c>
      <c r="K237" s="26" t="str">
        <f>IF(MINIFS('Activity map'!$L:$L, 'Activity map'!$A:$A, A237, 'Activity map'!$H:$H, "=TRUE") = 0, "n/a", MINIFS('Activity map'!$L:$L, 'Activity map'!$A:$A, A237, 'Activity map'!$H:$H, "=TRUE"))</f>
        <v>n/a</v>
      </c>
      <c r="L237" s="8" t="str">
        <f t="shared" si="4"/>
        <v/>
      </c>
      <c r="M237" s="26">
        <f>MINIFS('Activity map'!$C:$C, 'Activity map'!$A:$A, $A237, 'Activity map'!$H:$H, "=TRUE", 'Activity map'!$K:$K, MINIFS('Activity map'!$K:$K, 'Activity map'!$A:$A, $A237, 'Activity map'!$H:$H, "=TRUE"))</f>
        <v>19707</v>
      </c>
      <c r="N237" s="26">
        <f>MINIFS('Activity map'!$C:$C, 'Activity map'!$A:$A, $A237, 'Activity map'!$H:$H, "=TRUE", 'Activity map'!$E:$E, $T237)</f>
        <v>19707</v>
      </c>
      <c r="O237" s="188">
        <f t="shared" si="5"/>
        <v>0.612745098</v>
      </c>
      <c r="P237" s="30" t="str">
        <f>IF($M237=0, "-", VLOOKUP($M237, 'List of log slots'!$A:$C, 2, FALSE))</f>
        <v>Amulet of eternal glory</v>
      </c>
      <c r="Q237" s="31">
        <f>IFERROR(__xludf.DUMMYFUNCTION("IF(ISERROR(FILTER('Activity map'!$C:$C, ('Activity map'!$A:$A=$A237)*('Activity map'!$F:$F=FALSE))), 0, COUNTA(UNIQUE(FILTER('Activity map'!$C:$C, ('Activity map'!$A:$A=$A237)*('Activity map'!$F:$F=FALSE)))))"),1.0)</f>
        <v>1</v>
      </c>
      <c r="R237" s="31">
        <f>IFERROR(__xludf.DUMMYFUNCTION("IF(ISERROR(FILTER('Activity map'!$C:$C, 'Activity map'!$A:$A=$A237)), 0, COUNTA(UNIQUE(FILTER('Activity map'!$C:$C, 'Activity map'!$A:$A=$A237))))"),1.0)</f>
        <v>1</v>
      </c>
      <c r="S237" s="72">
        <f t="shared" si="6"/>
        <v>0</v>
      </c>
      <c r="T237" s="31">
        <f>IFERROR(__xludf.DUMMYFUNCTION("IF(ISERROR(FILTER('Activity map'!$E:$E, ('Activity map'!$A:$A=$A237)*('Activity map'!$F:$F=FALSE))), ""-"", MIN(UNIQUE(FILTER('Activity map'!$E:$E, ('Activity map'!$A:$A=$A237)*('Activity map'!$F:$F=FALSE)))))"),8.0)</f>
        <v>8</v>
      </c>
      <c r="U237" s="30" t="str">
        <f>IF($N237=0, "-", VLOOKUP($N237, 'List of log slots'!$A:$C, 2, FALSE))</f>
        <v>Amulet of eternal glory</v>
      </c>
    </row>
    <row r="238">
      <c r="A238" s="26">
        <v>162.0</v>
      </c>
      <c r="B238" s="23" t="str">
        <f>VLOOKUP($A238, 'Completion rates'!$A:$E, 2, FALSE)</f>
        <v>Thieving (seed stalls)</v>
      </c>
      <c r="C238" s="26">
        <f>IF(Notes!$E$27, VLOOKUP($A238, 'Completion rates'!$A:$E, 4, FALSE), VLOOKUP($A238, 'Completion rates'!$A:$E, 3, FALSE))</f>
        <v>1915</v>
      </c>
      <c r="D238" s="26">
        <f>VLOOKUP($A238, 'Completion rates'!$A:$E, 5, FALSE)</f>
        <v>0</v>
      </c>
      <c r="E238" s="28">
        <f>IF(SUMIFS('Activity map'!$O:$O, 'Activity map'!$A:$A, A238, 'Activity map'!$H:$H, "=TRUE") = 0, "n/a", 1/SUMIFS('Activity map'!$O:$O, 'Activity map'!$A:$A, A238, 'Activity map'!$H:$H, "=TRUE"))</f>
        <v>34015</v>
      </c>
      <c r="F238" s="8">
        <f t="shared" si="1"/>
        <v>17.76240209</v>
      </c>
      <c r="G238" s="26" t="str">
        <f>IF(MINIFS('Activity map'!$N:$N, 'Activity map'!$A:$A, A238, 'Activity map'!$H:$H, "=TRUE") = 0, "n/a", MINIFS('Activity map'!$N:$N, 'Activity map'!$A:$A, A238, 'Activity map'!$H:$H, "=TRUE"))</f>
        <v>n/a</v>
      </c>
      <c r="H238" s="8" t="str">
        <f t="shared" si="2"/>
        <v/>
      </c>
      <c r="I238" s="26" t="str">
        <f>IF(MINIFS('Activity map'!$M:$M, 'Activity map'!$A:$A, A238, 'Activity map'!$H:$H, "=TRUE") = 0, "n/a", MINIFS('Activity map'!$M:$M, 'Activity map'!$A:$A, A238, 'Activity map'!$H:$H, "=TRUE"))</f>
        <v>n/a</v>
      </c>
      <c r="J238" s="8" t="str">
        <f t="shared" si="3"/>
        <v/>
      </c>
      <c r="K238" s="26" t="str">
        <f>IF(MINIFS('Activity map'!$L:$L, 'Activity map'!$A:$A, A238, 'Activity map'!$H:$H, "=TRUE") = 0, "n/a", MINIFS('Activity map'!$L:$L, 'Activity map'!$A:$A, A238, 'Activity map'!$H:$H, "=TRUE"))</f>
        <v>n/a</v>
      </c>
      <c r="L238" s="8" t="str">
        <f t="shared" si="4"/>
        <v/>
      </c>
      <c r="M238" s="26">
        <f>MINIFS('Activity map'!$C:$C, 'Activity map'!$A:$A, $A238, 'Activity map'!$H:$H, "=TRUE", 'Activity map'!$K:$K, MINIFS('Activity map'!$K:$K, 'Activity map'!$A:$A, $A238, 'Activity map'!$H:$H, "=TRUE"))</f>
        <v>20663</v>
      </c>
      <c r="N238" s="26">
        <f>MINIFS('Activity map'!$C:$C, 'Activity map'!$A:$A, $A238, 'Activity map'!$H:$H, "=TRUE", 'Activity map'!$E:$E, $T238)</f>
        <v>20663</v>
      </c>
      <c r="O238" s="35">
        <f t="shared" si="5"/>
        <v>0.740100087</v>
      </c>
      <c r="P238" s="30" t="str">
        <f>IF($M238=0, "-", VLOOKUP($M238, 'List of log slots'!$A:$C, 2, FALSE))</f>
        <v>Rocky</v>
      </c>
      <c r="Q238" s="31">
        <f>IFERROR(__xludf.DUMMYFUNCTION("IF(ISERROR(FILTER('Activity map'!$C:$C, ('Activity map'!$A:$A=$A238)*('Activity map'!$F:$F=FALSE))), 0, COUNTA(UNIQUE(FILTER('Activity map'!$C:$C, ('Activity map'!$A:$A=$A238)*('Activity map'!$F:$F=FALSE)))))"),1.0)</f>
        <v>1</v>
      </c>
      <c r="R238" s="31">
        <f>IFERROR(__xludf.DUMMYFUNCTION("IF(ISERROR(FILTER('Activity map'!$C:$C, 'Activity map'!$A:$A=$A238)), 0, COUNTA(UNIQUE(FILTER('Activity map'!$C:$C, 'Activity map'!$A:$A=$A238))))"),1.0)</f>
        <v>1</v>
      </c>
      <c r="S238" s="36">
        <f t="shared" si="6"/>
        <v>0</v>
      </c>
      <c r="T238" s="31">
        <f>IFERROR(__xludf.DUMMYFUNCTION("IF(ISERROR(FILTER('Activity map'!$E:$E, ('Activity map'!$A:$A=$A238)*('Activity map'!$F:$F=FALSE))), ""-"", MIN(UNIQUE(FILTER('Activity map'!$E:$E, ('Activity map'!$A:$A=$A238)*('Activity map'!$F:$F=FALSE)))))"),6.0)</f>
        <v>6</v>
      </c>
      <c r="U238" s="30" t="str">
        <f>IF($N238=0, "-", VLOOKUP($N238, 'List of log slots'!$A:$C, 2, FALSE))</f>
        <v>Rocky</v>
      </c>
    </row>
    <row r="239">
      <c r="A239" s="26">
        <v>224.0</v>
      </c>
      <c r="B239" s="23" t="str">
        <f>VLOOKUP($A239, 'Completion rates'!$A:$E, 2, FALSE)</f>
        <v>Fishing bluefin (deep sea trawling)</v>
      </c>
      <c r="C239" s="26">
        <f>IF(Notes!$E$27, VLOOKUP($A239, 'Completion rates'!$A:$E, 4, FALSE), VLOOKUP($A239, 'Completion rates'!$A:$E, 3, FALSE))</f>
        <v>250</v>
      </c>
      <c r="D239" s="26">
        <f>VLOOKUP($A239, 'Completion rates'!$A:$E, 5, FALSE)</f>
        <v>0</v>
      </c>
      <c r="E239" s="28">
        <f>IF(SUMIFS('Activity map'!$O:$O, 'Activity map'!$A:$A, A239, 'Activity map'!$H:$H, "=TRUE") = 0, "n/a", 1/SUMIFS('Activity map'!$O:$O, 'Activity map'!$A:$A, A239, 'Activity map'!$H:$H, "=TRUE"))</f>
        <v>4444.444444</v>
      </c>
      <c r="F239" s="26">
        <f t="shared" si="1"/>
        <v>17.77777778</v>
      </c>
      <c r="G239" s="26" t="str">
        <f>IF(MINIFS('Activity map'!$N:$N, 'Activity map'!$A:$A, A239, 'Activity map'!$H:$H, "=TRUE") = 0, "n/a", MINIFS('Activity map'!$N:$N, 'Activity map'!$A:$A, A239, 'Activity map'!$H:$H, "=TRUE"))</f>
        <v>n/a</v>
      </c>
      <c r="H239" s="8" t="str">
        <f t="shared" si="2"/>
        <v/>
      </c>
      <c r="I239" s="26" t="str">
        <f>IF(MINIFS('Activity map'!$M:$M, 'Activity map'!$A:$A, A239, 'Activity map'!$H:$H, "=TRUE") = 0, "n/a", MINIFS('Activity map'!$M:$M, 'Activity map'!$A:$A, A239, 'Activity map'!$H:$H, "=TRUE"))</f>
        <v>n/a</v>
      </c>
      <c r="J239" s="8" t="str">
        <f t="shared" si="3"/>
        <v/>
      </c>
      <c r="K239" s="26" t="str">
        <f>IF(MINIFS('Activity map'!$L:$L, 'Activity map'!$A:$A, A239, 'Activity map'!$H:$H, "=TRUE") = 0, "n/a", MINIFS('Activity map'!$L:$L, 'Activity map'!$A:$A, A239, 'Activity map'!$H:$H, "=TRUE"))</f>
        <v>n/a</v>
      </c>
      <c r="L239" s="8" t="str">
        <f t="shared" si="4"/>
        <v/>
      </c>
      <c r="M239" s="26">
        <f>MINIFS('Activity map'!$C:$C, 'Activity map'!$A:$A, $A239, 'Activity map'!$H:$H, "=TRUE", 'Activity map'!$K:$K, MINIFS('Activity map'!$K:$K, 'Activity map'!$A:$A, $A239, 'Activity map'!$H:$H, "=TRUE"))</f>
        <v>31424</v>
      </c>
      <c r="N239" s="26">
        <f>MINIFS('Activity map'!$C:$C, 'Activity map'!$A:$A, $A239, 'Activity map'!$H:$H, "=TRUE", 'Activity map'!$E:$E, $T239)</f>
        <v>31424</v>
      </c>
      <c r="O239" s="189">
        <f t="shared" si="5"/>
        <v>0.7407407407</v>
      </c>
      <c r="P239" s="30" t="str">
        <f>IF($M239=0, "-", VLOOKUP($M239, 'List of log slots'!$A:$C, 2, FALSE))</f>
        <v>Purplefin</v>
      </c>
      <c r="Q239" s="31">
        <f>IFERROR(__xludf.DUMMYFUNCTION("IF(ISERROR(FILTER('Activity map'!$C:$C, ('Activity map'!$A:$A=$A239)*('Activity map'!$F:$F=FALSE))), 0, COUNTA(UNIQUE(FILTER('Activity map'!$C:$C, ('Activity map'!$A:$A=$A239)*('Activity map'!$F:$F=FALSE)))))"),3.0)</f>
        <v>3</v>
      </c>
      <c r="R239" s="31">
        <f>IFERROR(__xludf.DUMMYFUNCTION("IF(ISERROR(FILTER('Activity map'!$C:$C, 'Activity map'!$A:$A=$A239)), 0, COUNTA(UNIQUE(FILTER('Activity map'!$C:$C, 'Activity map'!$A:$A=$A239))))"),3.0)</f>
        <v>3</v>
      </c>
      <c r="S239" s="72">
        <f t="shared" si="6"/>
        <v>0</v>
      </c>
      <c r="T239" s="31">
        <f>IFERROR(__xludf.DUMMYFUNCTION("IF(ISERROR(FILTER('Activity map'!$E:$E, ('Activity map'!$A:$A=$A239)*('Activity map'!$F:$F=FALSE))), ""-"", MIN(UNIQUE(FILTER('Activity map'!$E:$E, ('Activity map'!$A:$A=$A239)*('Activity map'!$F:$F=FALSE)))))"),6.0)</f>
        <v>6</v>
      </c>
      <c r="U239" s="30" t="str">
        <f>IF($N239=0, "-", VLOOKUP($N239, 'List of log slots'!$A:$C, 2, FALSE))</f>
        <v>Purplefin</v>
      </c>
    </row>
    <row r="240">
      <c r="A240" s="26">
        <v>225.0</v>
      </c>
      <c r="B240" s="23" t="str">
        <f>VLOOKUP($A240, 'Completion rates'!$A:$E, 2, FALSE)</f>
        <v>Fishing marlin (deep sea trawling)</v>
      </c>
      <c r="C240" s="26">
        <f>IF(Notes!$E$27, VLOOKUP($A240, 'Completion rates'!$A:$E, 4, FALSE), VLOOKUP($A240, 'Completion rates'!$A:$E, 3, FALSE))</f>
        <v>250</v>
      </c>
      <c r="D240" s="26">
        <f>VLOOKUP($A240, 'Completion rates'!$A:$E, 5, FALSE)</f>
        <v>0</v>
      </c>
      <c r="E240" s="28">
        <f>IF(SUMIFS('Activity map'!$O:$O, 'Activity map'!$A:$A, A240, 'Activity map'!$H:$H, "=TRUE") = 0, "n/a", 1/SUMIFS('Activity map'!$O:$O, 'Activity map'!$A:$A, A240, 'Activity map'!$H:$H, "=TRUE"))</f>
        <v>4444.444444</v>
      </c>
      <c r="F240" s="26">
        <f t="shared" si="1"/>
        <v>17.77777778</v>
      </c>
      <c r="G240" s="26" t="str">
        <f>IF(MINIFS('Activity map'!$N:$N, 'Activity map'!$A:$A, A240, 'Activity map'!$H:$H, "=TRUE") = 0, "n/a", MINIFS('Activity map'!$N:$N, 'Activity map'!$A:$A, A240, 'Activity map'!$H:$H, "=TRUE"))</f>
        <v>n/a</v>
      </c>
      <c r="H240" s="8" t="str">
        <f t="shared" si="2"/>
        <v/>
      </c>
      <c r="I240" s="26" t="str">
        <f>IF(MINIFS('Activity map'!$M:$M, 'Activity map'!$A:$A, A240, 'Activity map'!$H:$H, "=TRUE") = 0, "n/a", MINIFS('Activity map'!$M:$M, 'Activity map'!$A:$A, A240, 'Activity map'!$H:$H, "=TRUE"))</f>
        <v>n/a</v>
      </c>
      <c r="J240" s="8" t="str">
        <f t="shared" si="3"/>
        <v/>
      </c>
      <c r="K240" s="26" t="str">
        <f>IF(MINIFS('Activity map'!$L:$L, 'Activity map'!$A:$A, A240, 'Activity map'!$H:$H, "=TRUE") = 0, "n/a", MINIFS('Activity map'!$L:$L, 'Activity map'!$A:$A, A240, 'Activity map'!$H:$H, "=TRUE"))</f>
        <v>n/a</v>
      </c>
      <c r="L240" s="8" t="str">
        <f t="shared" si="4"/>
        <v/>
      </c>
      <c r="M240" s="26">
        <f>MINIFS('Activity map'!$C:$C, 'Activity map'!$A:$A, $A240, 'Activity map'!$H:$H, "=TRUE", 'Activity map'!$K:$K, MINIFS('Activity map'!$K:$K, 'Activity map'!$A:$A, $A240, 'Activity map'!$H:$H, "=TRUE"))</f>
        <v>31428</v>
      </c>
      <c r="N240" s="26">
        <f>MINIFS('Activity map'!$C:$C, 'Activity map'!$A:$A, $A240, 'Activity map'!$H:$H, "=TRUE", 'Activity map'!$E:$E, $T240)</f>
        <v>31428</v>
      </c>
      <c r="O240" s="189">
        <f t="shared" si="5"/>
        <v>0.7407407407</v>
      </c>
      <c r="P240" s="30" t="str">
        <f>IF($M240=0, "-", VLOOKUP($M240, 'List of log slots'!$A:$C, 2, FALSE))</f>
        <v>Swift marlin</v>
      </c>
      <c r="Q240" s="31">
        <f>IFERROR(__xludf.DUMMYFUNCTION("IF(ISERROR(FILTER('Activity map'!$C:$C, ('Activity map'!$A:$A=$A240)*('Activity map'!$F:$F=FALSE))), 0, COUNTA(UNIQUE(FILTER('Activity map'!$C:$C, ('Activity map'!$A:$A=$A240)*('Activity map'!$F:$F=FALSE)))))"),3.0)</f>
        <v>3</v>
      </c>
      <c r="R240" s="31">
        <f>IFERROR(__xludf.DUMMYFUNCTION("IF(ISERROR(FILTER('Activity map'!$C:$C, 'Activity map'!$A:$A=$A240)), 0, COUNTA(UNIQUE(FILTER('Activity map'!$C:$C, 'Activity map'!$A:$A=$A240))))"),3.0)</f>
        <v>3</v>
      </c>
      <c r="S240" s="72">
        <f t="shared" si="6"/>
        <v>0</v>
      </c>
      <c r="T240" s="31">
        <f>IFERROR(__xludf.DUMMYFUNCTION("IF(ISERROR(FILTER('Activity map'!$E:$E, ('Activity map'!$A:$A=$A240)*('Activity map'!$F:$F=FALSE))), ""-"", MIN(UNIQUE(FILTER('Activity map'!$E:$E, ('Activity map'!$A:$A=$A240)*('Activity map'!$F:$F=FALSE)))))"),6.0)</f>
        <v>6</v>
      </c>
      <c r="U240" s="30" t="str">
        <f>IF($N240=0, "-", VLOOKUP($N240, 'List of log slots'!$A:$C, 2, FALSE))</f>
        <v>Swift marlin</v>
      </c>
    </row>
    <row r="241">
      <c r="A241" s="26">
        <v>172.0</v>
      </c>
      <c r="B241" s="23" t="str">
        <f>VLOOKUP($A241, 'Completion rates'!$A:$E, 2, FALSE)</f>
        <v>Killing waterfiends</v>
      </c>
      <c r="C241" s="26">
        <f>IF(Notes!$E$27, VLOOKUP($A241, 'Completion rates'!$A:$E, 4, FALSE), VLOOKUP($A241, 'Completion rates'!$A:$E, 3, FALSE))</f>
        <v>150</v>
      </c>
      <c r="D241" s="26">
        <f>VLOOKUP($A241, 'Completion rates'!$A:$E, 5, FALSE)</f>
        <v>0</v>
      </c>
      <c r="E241" s="28">
        <f>IF(SUMIFS('Activity map'!$O:$O, 'Activity map'!$A:$A, A241, 'Activity map'!$H:$H, "=TRUE") = 0, "n/a", 1/SUMIFS('Activity map'!$O:$O, 'Activity map'!$A:$A, A241, 'Activity map'!$H:$H, "=TRUE"))</f>
        <v>2912.506267</v>
      </c>
      <c r="F241" s="8">
        <f t="shared" si="1"/>
        <v>19.41670845</v>
      </c>
      <c r="G241" s="26" t="str">
        <f>IF(MINIFS('Activity map'!$N:$N, 'Activity map'!$A:$A, A241, 'Activity map'!$H:$H, "=TRUE") = 0, "n/a", MINIFS('Activity map'!$N:$N, 'Activity map'!$A:$A, A241, 'Activity map'!$H:$H, "=TRUE"))</f>
        <v>n/a</v>
      </c>
      <c r="H241" s="8" t="str">
        <f t="shared" si="2"/>
        <v/>
      </c>
      <c r="I241" s="26" t="str">
        <f>IF(MINIFS('Activity map'!$M:$M, 'Activity map'!$A:$A, A241, 'Activity map'!$H:$H, "=TRUE") = 0, "n/a", MINIFS('Activity map'!$M:$M, 'Activity map'!$A:$A, A241, 'Activity map'!$H:$H, "=TRUE"))</f>
        <v>n/a</v>
      </c>
      <c r="J241" s="8" t="str">
        <f t="shared" si="3"/>
        <v/>
      </c>
      <c r="K241" s="26" t="str">
        <f>IF(MINIFS('Activity map'!$L:$L, 'Activity map'!$A:$A, A241, 'Activity map'!$H:$H, "=TRUE") = 0, "n/a", MINIFS('Activity map'!$L:$L, 'Activity map'!$A:$A, A241, 'Activity map'!$H:$H, "=TRUE"))</f>
        <v>n/a</v>
      </c>
      <c r="L241" s="8" t="str">
        <f t="shared" si="4"/>
        <v/>
      </c>
      <c r="M241" s="26">
        <f>MINIFS('Activity map'!$C:$C, 'Activity map'!$A:$A, $A241, 'Activity map'!$H:$H, "=TRUE", 'Activity map'!$K:$K, MINIFS('Activity map'!$K:$K, 'Activity map'!$A:$A, $A241, 'Activity map'!$H:$H, "=TRUE"))</f>
        <v>20730</v>
      </c>
      <c r="N241" s="26">
        <f>MINIFS('Activity map'!$C:$C, 'Activity map'!$A:$A, $A241, 'Activity map'!$H:$H, "=TRUE", 'Activity map'!$E:$E, $T241)</f>
        <v>1249</v>
      </c>
      <c r="O241" s="35">
        <f t="shared" si="5"/>
        <v>0.8090295186</v>
      </c>
      <c r="P241" s="30" t="str">
        <f>IF($M241=0, "-", VLOOKUP($M241, 'List of log slots'!$A:$C, 2, FALSE))</f>
        <v>Mist battlestaff</v>
      </c>
      <c r="Q241" s="31">
        <f>IFERROR(__xludf.DUMMYFUNCTION("IF(ISERROR(FILTER('Activity map'!$C:$C, ('Activity map'!$A:$A=$A241)*('Activity map'!$F:$F=FALSE))), 0, COUNTA(UNIQUE(FILTER('Activity map'!$C:$C, ('Activity map'!$A:$A=$A241)*('Activity map'!$F:$F=FALSE)))))"),3.0)</f>
        <v>3</v>
      </c>
      <c r="R241" s="31">
        <f>IFERROR(__xludf.DUMMYFUNCTION("IF(ISERROR(FILTER('Activity map'!$C:$C, 'Activity map'!$A:$A=$A241)), 0, COUNTA(UNIQUE(FILTER('Activity map'!$C:$C, 'Activity map'!$A:$A=$A241))))"),3.0)</f>
        <v>3</v>
      </c>
      <c r="S241" s="36">
        <f t="shared" si="6"/>
        <v>0</v>
      </c>
      <c r="T241" s="31">
        <f>IFERROR(__xludf.DUMMYFUNCTION("IF(ISERROR(FILTER('Activity map'!$E:$E, ('Activity map'!$A:$A=$A241)*('Activity map'!$F:$F=FALSE))), ""-"", MIN(UNIQUE(FILTER('Activity map'!$E:$E, ('Activity map'!$A:$A=$A241)*('Activity map'!$F:$F=FALSE)))))"),5.0)</f>
        <v>5</v>
      </c>
      <c r="U241" s="30" t="str">
        <f>IF($N241=0, "-", VLOOKUP($N241, 'List of log slots'!$A:$C, 2, FALSE))</f>
        <v>Dragon spear</v>
      </c>
    </row>
    <row r="242">
      <c r="A242" s="26">
        <v>86.0</v>
      </c>
      <c r="B242" s="23" t="str">
        <f>VLOOKUP($A242, 'Completion rates'!$A:$E, 2, FALSE)</f>
        <v>Looting the grand hallowed coffin (hallowed sepulchre)</v>
      </c>
      <c r="C242" s="26">
        <f>IF(Notes!$E$27, VLOOKUP($A242, 'Completion rates'!$A:$E, 4, FALSE), VLOOKUP($A242, 'Completion rates'!$A:$E, 3, FALSE))</f>
        <v>8.5</v>
      </c>
      <c r="D242" s="26">
        <f>VLOOKUP($A242, 'Completion rates'!$A:$E, 5, FALSE)</f>
        <v>0</v>
      </c>
      <c r="E242" s="28">
        <f>IF(SUMIFS('Activity map'!$O:$O, 'Activity map'!$A:$A, A242, 'Activity map'!$H:$H, "=TRUE") = 0, "n/a", 1/SUMIFS('Activity map'!$O:$O, 'Activity map'!$A:$A, A242, 'Activity map'!$H:$H, "=TRUE"))</f>
        <v>200</v>
      </c>
      <c r="F242" s="26">
        <f t="shared" si="1"/>
        <v>23.52941176</v>
      </c>
      <c r="G242" s="26" t="str">
        <f>IF(MINIFS('Activity map'!$N:$N, 'Activity map'!$A:$A, A242, 'Activity map'!$H:$H, "=TRUE") = 0, "n/a", MINIFS('Activity map'!$N:$N, 'Activity map'!$A:$A, A242, 'Activity map'!$H:$H, "=TRUE"))</f>
        <v>n/a</v>
      </c>
      <c r="H242" s="8" t="str">
        <f t="shared" si="2"/>
        <v/>
      </c>
      <c r="I242" s="26" t="str">
        <f>IF(MINIFS('Activity map'!$M:$M, 'Activity map'!$A:$A, A242, 'Activity map'!$H:$H, "=TRUE") = 0, "n/a", MINIFS('Activity map'!$M:$M, 'Activity map'!$A:$A, A242, 'Activity map'!$H:$H, "=TRUE"))</f>
        <v>n/a</v>
      </c>
      <c r="J242" s="8" t="str">
        <f t="shared" si="3"/>
        <v/>
      </c>
      <c r="K242" s="26" t="str">
        <f>IF(MINIFS('Activity map'!$L:$L, 'Activity map'!$A:$A, A242, 'Activity map'!$H:$H, "=TRUE") = 0, "n/a", MINIFS('Activity map'!$L:$L, 'Activity map'!$A:$A, A242, 'Activity map'!$H:$H, "=TRUE"))</f>
        <v>n/a</v>
      </c>
      <c r="L242" s="8" t="str">
        <f t="shared" si="4"/>
        <v/>
      </c>
      <c r="M242" s="26">
        <f>MINIFS('Activity map'!$C:$C, 'Activity map'!$A:$A, $A242, 'Activity map'!$H:$H, "=TRUE", 'Activity map'!$K:$K, MINIFS('Activity map'!$K:$K, 'Activity map'!$A:$A, $A242, 'Activity map'!$H:$H, "=TRUE"))</f>
        <v>24844</v>
      </c>
      <c r="N242" s="26">
        <f>MINIFS('Activity map'!$C:$C, 'Activity map'!$A:$A, $A242, 'Activity map'!$H:$H, "=TRUE", 'Activity map'!$E:$E, $T242)</f>
        <v>24844</v>
      </c>
      <c r="O242" s="190">
        <f t="shared" si="5"/>
        <v>0.9803921569</v>
      </c>
      <c r="P242" s="30" t="str">
        <f>IF($M242=0, "-", VLOOKUP($M242, 'List of log slots'!$A:$C, 2, FALSE))</f>
        <v>Ring of endurance (uncharged)</v>
      </c>
      <c r="Q242" s="31">
        <f>IFERROR(__xludf.DUMMYFUNCTION("IF(ISERROR(FILTER('Activity map'!$C:$C, ('Activity map'!$A:$A=$A242)*('Activity map'!$F:$F=FALSE))), 0, COUNTA(UNIQUE(FILTER('Activity map'!$C:$C, ('Activity map'!$A:$A=$A242)*('Activity map'!$F:$F=FALSE)))))"),1.0)</f>
        <v>1</v>
      </c>
      <c r="R242" s="31">
        <f>IFERROR(__xludf.DUMMYFUNCTION("IF(ISERROR(FILTER('Activity map'!$C:$C, 'Activity map'!$A:$A=$A242)), 0, COUNTA(UNIQUE(FILTER('Activity map'!$C:$C, 'Activity map'!$A:$A=$A242))))"),1.0)</f>
        <v>1</v>
      </c>
      <c r="S242" s="72">
        <f t="shared" si="6"/>
        <v>0</v>
      </c>
      <c r="T242" s="31">
        <f>IFERROR(__xludf.DUMMYFUNCTION("IF(ISERROR(FILTER('Activity map'!$E:$E, ('Activity map'!$A:$A=$A242)*('Activity map'!$F:$F=FALSE))), ""-"", MIN(UNIQUE(FILTER('Activity map'!$E:$E, ('Activity map'!$A:$A=$A242)*('Activity map'!$F:$F=FALSE)))))"),7.0)</f>
        <v>7</v>
      </c>
      <c r="U242" s="30" t="str">
        <f>IF($N242=0, "-", VLOOKUP($N242, 'List of log slots'!$A:$C, 2, FALSE))</f>
        <v>Ring of endurance (uncharged)</v>
      </c>
    </row>
    <row r="243">
      <c r="A243" s="26">
        <v>38.0</v>
      </c>
      <c r="B243" s="23" t="str">
        <f>VLOOKUP($A243, 'Completion rates'!$A:$E, 2, FALSE)</f>
        <v>Killing the nightmare of ashihama (5 person team)</v>
      </c>
      <c r="C243" s="26">
        <f>IF(Notes!$E$27, VLOOKUP($A243, 'Completion rates'!$A:$E, 4, FALSE), VLOOKUP($A243, 'Completion rates'!$A:$E, 3, FALSE))</f>
        <v>11</v>
      </c>
      <c r="D243" s="26">
        <f>VLOOKUP($A243, 'Completion rates'!$A:$E, 5, FALSE)</f>
        <v>0</v>
      </c>
      <c r="E243" s="28">
        <f>IF(SUMIFS('Activity map'!$O:$O, 'Activity map'!$A:$A, A243, 'Activity map'!$H:$H, "=TRUE") = 0, "n/a", 1/SUMIFS('Activity map'!$O:$O, 'Activity map'!$A:$A, A243, 'Activity map'!$H:$H, "=TRUE"))</f>
        <v>267.6011469</v>
      </c>
      <c r="F243" s="26">
        <f t="shared" si="1"/>
        <v>24.32737699</v>
      </c>
      <c r="G243" s="26" t="str">
        <f>IF(MINIFS('Activity map'!$N:$N, 'Activity map'!$A:$A, A243, 'Activity map'!$H:$H, "=TRUE") = 0, "n/a", MINIFS('Activity map'!$N:$N, 'Activity map'!$A:$A, A243, 'Activity map'!$H:$H, "=TRUE"))</f>
        <v>n/a</v>
      </c>
      <c r="H243" s="8" t="str">
        <f t="shared" si="2"/>
        <v/>
      </c>
      <c r="I243" s="26" t="str">
        <f>IF(MINIFS('Activity map'!$M:$M, 'Activity map'!$A:$A, A243, 'Activity map'!$H:$H, "=TRUE") = 0, "n/a", MINIFS('Activity map'!$M:$M, 'Activity map'!$A:$A, A243, 'Activity map'!$H:$H, "=TRUE"))</f>
        <v>n/a</v>
      </c>
      <c r="J243" s="8" t="str">
        <f t="shared" si="3"/>
        <v/>
      </c>
      <c r="K243" s="26" t="str">
        <f>IF(MINIFS('Activity map'!$L:$L, 'Activity map'!$A:$A, A243, 'Activity map'!$H:$H, "=TRUE") = 0, "n/a", MINIFS('Activity map'!$L:$L, 'Activity map'!$A:$A, A243, 'Activity map'!$H:$H, "=TRUE"))</f>
        <v>n/a</v>
      </c>
      <c r="L243" s="8" t="str">
        <f t="shared" si="4"/>
        <v/>
      </c>
      <c r="M243" s="26">
        <f>MINIFS('Activity map'!$C:$C, 'Activity map'!$A:$A, $A243, 'Activity map'!$H:$H, "=TRUE", 'Activity map'!$K:$K, MINIFS('Activity map'!$K:$K, 'Activity map'!$A:$A, $A243, 'Activity map'!$H:$H, "=TRUE"))</f>
        <v>24422</v>
      </c>
      <c r="N243" s="26">
        <f>MINIFS('Activity map'!$C:$C, 'Activity map'!$A:$A, $A243, 'Activity map'!$H:$H, "=TRUE", 'Activity map'!$E:$E, $T243)</f>
        <v>24419</v>
      </c>
      <c r="O243" s="191">
        <f t="shared" si="5"/>
        <v>1.013640708</v>
      </c>
      <c r="P243" s="30" t="str">
        <f>IF($M243=0, "-", VLOOKUP($M243, 'List of log slots'!$A:$C, 2, FALSE))</f>
        <v>Nightmare staff</v>
      </c>
      <c r="Q243" s="31">
        <f>IFERROR(__xludf.DUMMYFUNCTION("IF(ISERROR(FILTER('Activity map'!$C:$C, ('Activity map'!$A:$A=$A243)*('Activity map'!$F:$F=FALSE))), 0, COUNTA(UNIQUE(FILTER('Activity map'!$C:$C, ('Activity map'!$A:$A=$A243)*('Activity map'!$F:$F=FALSE)))))"),10.0)</f>
        <v>10</v>
      </c>
      <c r="R243" s="31">
        <f>IFERROR(__xludf.DUMMYFUNCTION("IF(ISERROR(FILTER('Activity map'!$C:$C, 'Activity map'!$A:$A=$A243)), 0, COUNTA(UNIQUE(FILTER('Activity map'!$C:$C, 'Activity map'!$A:$A=$A243))))"),10.0)</f>
        <v>10</v>
      </c>
      <c r="S243" s="72">
        <f t="shared" si="6"/>
        <v>0</v>
      </c>
      <c r="T243" s="31">
        <f>IFERROR(__xludf.DUMMYFUNCTION("IF(ISERROR(FILTER('Activity map'!$E:$E, ('Activity map'!$A:$A=$A243)*('Activity map'!$F:$F=FALSE))), ""-"", MIN(UNIQUE(FILTER('Activity map'!$E:$E, ('Activity map'!$A:$A=$A243)*('Activity map'!$F:$F=FALSE)))))"),7.0)</f>
        <v>7</v>
      </c>
      <c r="U243" s="30" t="str">
        <f>IF($N243=0, "-", VLOOKUP($N243, 'List of log slots'!$A:$C, 2, FALSE))</f>
        <v>Inquisitor's great helm</v>
      </c>
    </row>
    <row r="244">
      <c r="A244" s="26">
        <v>195.0</v>
      </c>
      <c r="B244" s="23" t="str">
        <f>VLOOKUP($A244, 'Completion rates'!$A:$E, 2, FALSE)</f>
        <v>Opening the brimstone chest</v>
      </c>
      <c r="C244" s="26">
        <f>IF(Notes!$E$27, VLOOKUP($A244, 'Completion rates'!$A:$E, 4, FALSE), VLOOKUP($A244, 'Completion rates'!$A:$E, 3, FALSE))</f>
        <v>4</v>
      </c>
      <c r="D244" s="26">
        <f>VLOOKUP($A244, 'Completion rates'!$A:$E, 5, FALSE)</f>
        <v>0</v>
      </c>
      <c r="E244" s="28">
        <f>IF(SUMIFS('Activity map'!$O:$O, 'Activity map'!$A:$A, A244, 'Activity map'!$H:$H, "=TRUE") = 0, "n/a", 1/SUMIFS('Activity map'!$O:$O, 'Activity map'!$A:$A, A244, 'Activity map'!$H:$H, "=TRUE"))</f>
        <v>100</v>
      </c>
      <c r="F244" s="26">
        <f t="shared" si="1"/>
        <v>25</v>
      </c>
      <c r="G244" s="26" t="str">
        <f>IF(MINIFS('Activity map'!$N:$N, 'Activity map'!$A:$A, A244, 'Activity map'!$H:$H, "=TRUE") = 0, "n/a", MINIFS('Activity map'!$N:$N, 'Activity map'!$A:$A, A244, 'Activity map'!$H:$H, "=TRUE"))</f>
        <v>n/a</v>
      </c>
      <c r="H244" s="8" t="str">
        <f t="shared" si="2"/>
        <v/>
      </c>
      <c r="I244" s="26" t="str">
        <f>IF(MINIFS('Activity map'!$M:$M, 'Activity map'!$A:$A, A244, 'Activity map'!$H:$H, "=TRUE") = 0, "n/a", MINIFS('Activity map'!$M:$M, 'Activity map'!$A:$A, A244, 'Activity map'!$H:$H, "=TRUE"))</f>
        <v>n/a</v>
      </c>
      <c r="J244" s="8" t="str">
        <f t="shared" si="3"/>
        <v/>
      </c>
      <c r="K244" s="26" t="str">
        <f>IF(MINIFS('Activity map'!$L:$L, 'Activity map'!$A:$A, A244, 'Activity map'!$H:$H, "=TRUE") = 0, "n/a", MINIFS('Activity map'!$L:$L, 'Activity map'!$A:$A, A244, 'Activity map'!$H:$H, "=TRUE"))</f>
        <v>n/a</v>
      </c>
      <c r="L244" s="8" t="str">
        <f t="shared" si="4"/>
        <v/>
      </c>
      <c r="M244" s="26">
        <f>MINIFS('Activity map'!$C:$C, 'Activity map'!$A:$A, $A244, 'Activity map'!$H:$H, "=TRUE", 'Activity map'!$K:$K, MINIFS('Activity map'!$K:$K, 'Activity map'!$A:$A, $A244, 'Activity map'!$H:$H, "=TRUE"))</f>
        <v>22963</v>
      </c>
      <c r="N244" s="26">
        <f>MINIFS('Activity map'!$C:$C, 'Activity map'!$A:$A, $A244, 'Activity map'!$H:$H, "=TRUE", 'Activity map'!$E:$E, $T244)</f>
        <v>22963</v>
      </c>
      <c r="O244" s="94">
        <f t="shared" si="5"/>
        <v>1.041666667</v>
      </c>
      <c r="P244" s="30" t="str">
        <f>IF($M244=0, "-", VLOOKUP($M244, 'List of log slots'!$A:$C, 2, FALSE))</f>
        <v>Broken dragon hasta</v>
      </c>
      <c r="Q244" s="31">
        <f>IFERROR(__xludf.DUMMYFUNCTION("IF(ISERROR(FILTER('Activity map'!$C:$C, ('Activity map'!$A:$A=$A244)*('Activity map'!$F:$F=FALSE))), 0, COUNTA(UNIQUE(FILTER('Activity map'!$C:$C, ('Activity map'!$A:$A=$A244)*('Activity map'!$F:$F=FALSE)))))"),6.0)</f>
        <v>6</v>
      </c>
      <c r="R244" s="31">
        <f>IFERROR(__xludf.DUMMYFUNCTION("IF(ISERROR(FILTER('Activity map'!$C:$C, 'Activity map'!$A:$A=$A244)), 0, COUNTA(UNIQUE(FILTER('Activity map'!$C:$C, 'Activity map'!$A:$A=$A244))))"),6.0)</f>
        <v>6</v>
      </c>
      <c r="S244" s="72">
        <f t="shared" si="6"/>
        <v>0</v>
      </c>
      <c r="T244" s="31">
        <f>IFERROR(__xludf.DUMMYFUNCTION("IF(ISERROR(FILTER('Activity map'!$E:$E, ('Activity map'!$A:$A=$A244)*('Activity map'!$F:$F=FALSE))), ""-"", MIN(UNIQUE(FILTER('Activity map'!$E:$E, ('Activity map'!$A:$A=$A244)*('Activity map'!$F:$F=FALSE)))))"),5.0)</f>
        <v>5</v>
      </c>
      <c r="U244" s="30" t="str">
        <f>IF($N244=0, "-", VLOOKUP($N244, 'List of log slots'!$A:$C, 2, FALSE))</f>
        <v>Broken dragon hasta</v>
      </c>
    </row>
    <row r="245">
      <c r="A245" s="26">
        <v>126.0</v>
      </c>
      <c r="B245" s="23" t="str">
        <f>VLOOKUP($A245, 'Completion rates'!$A:$E, 2, FALSE)</f>
        <v>Doing entling events for god eggs</v>
      </c>
      <c r="C245" s="26">
        <f>IF(Notes!$E$27, VLOOKUP($A245, 'Completion rates'!$A:$E, 4, FALSE), VLOOKUP($A245, 'Completion rates'!$A:$E, 3, FALSE))</f>
        <v>7</v>
      </c>
      <c r="D245" s="26">
        <f>VLOOKUP($A245, 'Completion rates'!$A:$E, 5, FALSE)</f>
        <v>0</v>
      </c>
      <c r="E245" s="28">
        <f>IF(SUMIFS('Activity map'!$O:$O, 'Activity map'!$A:$A, A245, 'Activity map'!$H:$H, "=TRUE") = 0, "n/a", 1/SUMIFS('Activity map'!$O:$O, 'Activity map'!$A:$A, A245, 'Activity map'!$H:$H, "=TRUE"))</f>
        <v>300</v>
      </c>
      <c r="F245" s="26">
        <f t="shared" si="1"/>
        <v>42.85714286</v>
      </c>
      <c r="G245" s="26" t="str">
        <f>IF(MINIFS('Activity map'!$N:$N, 'Activity map'!$A:$A, A245, 'Activity map'!$H:$H, "=TRUE") = 0, "n/a", MINIFS('Activity map'!$N:$N, 'Activity map'!$A:$A, A245, 'Activity map'!$H:$H, "=TRUE"))</f>
        <v>n/a</v>
      </c>
      <c r="H245" s="8" t="str">
        <f t="shared" si="2"/>
        <v/>
      </c>
      <c r="I245" s="26" t="str">
        <f>IF(MINIFS('Activity map'!$M:$M, 'Activity map'!$A:$A, A245, 'Activity map'!$H:$H, "=TRUE") = 0, "n/a", MINIFS('Activity map'!$M:$M, 'Activity map'!$A:$A, A245, 'Activity map'!$H:$H, "=TRUE"))</f>
        <v>n/a</v>
      </c>
      <c r="J245" s="8" t="str">
        <f t="shared" si="3"/>
        <v/>
      </c>
      <c r="K245" s="26" t="str">
        <f>IF(MINIFS('Activity map'!$L:$L, 'Activity map'!$A:$A, A245, 'Activity map'!$H:$H, "=TRUE") = 0, "n/a", MINIFS('Activity map'!$L:$L, 'Activity map'!$A:$A, A245, 'Activity map'!$H:$H, "=TRUE"))</f>
        <v>n/a</v>
      </c>
      <c r="L245" s="8" t="str">
        <f t="shared" si="4"/>
        <v/>
      </c>
      <c r="M245" s="26">
        <f>MINIFS('Activity map'!$C:$C, 'Activity map'!$A:$A, $A245, 'Activity map'!$H:$H, "=TRUE", 'Activity map'!$K:$K, MINIFS('Activity map'!$K:$K, 'Activity map'!$A:$A, $A245, 'Activity map'!$H:$H, "=TRUE"))</f>
        <v>20433</v>
      </c>
      <c r="N245" s="26">
        <f>MINIFS('Activity map'!$C:$C, 'Activity map'!$A:$A, $A245, 'Activity map'!$H:$H, "=TRUE", 'Activity map'!$E:$E, $T245)</f>
        <v>20433</v>
      </c>
      <c r="O245" s="192">
        <f t="shared" si="5"/>
        <v>1.785714286</v>
      </c>
      <c r="P245" s="30" t="str">
        <f>IF($M245=0, "-", VLOOKUP($M245, 'List of log slots'!$A:$C, 2, FALSE))</f>
        <v>Evil chicken feet</v>
      </c>
      <c r="Q245" s="31">
        <f>IFERROR(__xludf.DUMMYFUNCTION("IF(ISERROR(FILTER('Activity map'!$C:$C, ('Activity map'!$A:$A=$A245)*('Activity map'!$F:$F=FALSE))), 0, COUNTA(UNIQUE(FILTER('Activity map'!$C:$C, ('Activity map'!$A:$A=$A245)*('Activity map'!$F:$F=FALSE)))))"),4.0)</f>
        <v>4</v>
      </c>
      <c r="R245" s="31">
        <f>IFERROR(__xludf.DUMMYFUNCTION("IF(ISERROR(FILTER('Activity map'!$C:$C, 'Activity map'!$A:$A=$A245)), 0, COUNTA(UNIQUE(FILTER('Activity map'!$C:$C, 'Activity map'!$A:$A=$A245))))"),4.0)</f>
        <v>4</v>
      </c>
      <c r="S245" s="72">
        <f t="shared" si="6"/>
        <v>0</v>
      </c>
      <c r="T245" s="31">
        <f>IFERROR(__xludf.DUMMYFUNCTION("IF(ISERROR(FILTER('Activity map'!$E:$E, ('Activity map'!$A:$A=$A245)*('Activity map'!$F:$F=FALSE))), ""-"", MIN(UNIQUE(FILTER('Activity map'!$E:$E, ('Activity map'!$A:$A=$A245)*('Activity map'!$F:$F=FALSE)))))"),7.0)</f>
        <v>7</v>
      </c>
      <c r="U245" s="30" t="str">
        <f>IF($N245=0, "-", VLOOKUP($N245, 'List of log slots'!$A:$C, 2, FALSE))</f>
        <v>Evil chicken feet</v>
      </c>
    </row>
    <row r="246">
      <c r="A246" s="26">
        <v>163.0</v>
      </c>
      <c r="B246" s="23" t="str">
        <f>VLOOKUP($A246, 'Completion rates'!$A:$E, 2, FALSE)</f>
        <v>Runecrafting (fire runes)</v>
      </c>
      <c r="C246" s="26">
        <f>IF(Notes!$E$27, VLOOKUP($A246, 'Completion rates'!$A:$E, 4, FALSE), VLOOKUP($A246, 'Completion rates'!$A:$E, 3, FALSE))</f>
        <v>26400</v>
      </c>
      <c r="D246" s="26">
        <f>VLOOKUP($A246, 'Completion rates'!$A:$E, 5, FALSE)</f>
        <v>0</v>
      </c>
      <c r="E246" s="28">
        <f>IF(SUMIFS('Activity map'!$O:$O, 'Activity map'!$A:$A, A246, 'Activity map'!$H:$H, "=TRUE") = 0, "n/a", 1/SUMIFS('Activity map'!$O:$O, 'Activity map'!$A:$A, A246, 'Activity map'!$H:$H, "=TRUE"))</f>
        <v>1793283</v>
      </c>
      <c r="F246" s="26">
        <f t="shared" si="1"/>
        <v>67.92738636</v>
      </c>
      <c r="G246" s="26" t="str">
        <f>IF(MINIFS('Activity map'!$N:$N, 'Activity map'!$A:$A, A246, 'Activity map'!$H:$H, "=TRUE") = 0, "n/a", MINIFS('Activity map'!$N:$N, 'Activity map'!$A:$A, A246, 'Activity map'!$H:$H, "=TRUE"))</f>
        <v>n/a</v>
      </c>
      <c r="H246" s="8" t="str">
        <f t="shared" si="2"/>
        <v/>
      </c>
      <c r="I246" s="26" t="str">
        <f>IF(MINIFS('Activity map'!$M:$M, 'Activity map'!$A:$A, A246, 'Activity map'!$H:$H, "=TRUE") = 0, "n/a", MINIFS('Activity map'!$M:$M, 'Activity map'!$A:$A, A246, 'Activity map'!$H:$H, "=TRUE"))</f>
        <v>n/a</v>
      </c>
      <c r="J246" s="8" t="str">
        <f t="shared" si="3"/>
        <v/>
      </c>
      <c r="K246" s="26" t="str">
        <f>IF(MINIFS('Activity map'!$L:$L, 'Activity map'!$A:$A, A246, 'Activity map'!$H:$H, "=TRUE") = 0, "n/a", MINIFS('Activity map'!$L:$L, 'Activity map'!$A:$A, A246, 'Activity map'!$H:$H, "=TRUE"))</f>
        <v>n/a</v>
      </c>
      <c r="L246" s="8" t="str">
        <f t="shared" si="4"/>
        <v/>
      </c>
      <c r="M246" s="26">
        <f>MINIFS('Activity map'!$C:$C, 'Activity map'!$A:$A, $A246, 'Activity map'!$H:$H, "=TRUE", 'Activity map'!$K:$K, MINIFS('Activity map'!$K:$K, 'Activity map'!$A:$A, $A246, 'Activity map'!$H:$H, "=TRUE"))</f>
        <v>20665</v>
      </c>
      <c r="N246" s="26">
        <f>MINIFS('Activity map'!$C:$C, 'Activity map'!$A:$A, $A246, 'Activity map'!$H:$H, "=TRUE", 'Activity map'!$E:$E, $T246)</f>
        <v>20665</v>
      </c>
      <c r="O246" s="66">
        <f t="shared" si="5"/>
        <v>2.830307765</v>
      </c>
      <c r="P246" s="30" t="str">
        <f>IF($M246=0, "-", VLOOKUP($M246, 'List of log slots'!$A:$C, 2, FALSE))</f>
        <v>Rift guardian</v>
      </c>
      <c r="Q246" s="31">
        <f>IFERROR(__xludf.DUMMYFUNCTION("IF(ISERROR(FILTER('Activity map'!$C:$C, ('Activity map'!$A:$A=$A246)*('Activity map'!$F:$F=FALSE))), 0, COUNTA(UNIQUE(FILTER('Activity map'!$C:$C, ('Activity map'!$A:$A=$A246)*('Activity map'!$F:$F=FALSE)))))"),1.0)</f>
        <v>1</v>
      </c>
      <c r="R246" s="31">
        <f>IFERROR(__xludf.DUMMYFUNCTION("IF(ISERROR(FILTER('Activity map'!$C:$C, 'Activity map'!$A:$A=$A246)), 0, COUNTA(UNIQUE(FILTER('Activity map'!$C:$C, 'Activity map'!$A:$A=$A246))))"),1.0)</f>
        <v>1</v>
      </c>
      <c r="S246" s="72">
        <f t="shared" si="6"/>
        <v>0</v>
      </c>
      <c r="T246" s="31">
        <f>IFERROR(__xludf.DUMMYFUNCTION("IF(ISERROR(FILTER('Activity map'!$E:$E, ('Activity map'!$A:$A=$A246)*('Activity map'!$F:$F=FALSE))), ""-"", MIN(UNIQUE(FILTER('Activity map'!$E:$E, ('Activity map'!$A:$A=$A246)*('Activity map'!$F:$F=FALSE)))))"),8.0)</f>
        <v>8</v>
      </c>
      <c r="U246" s="30" t="str">
        <f>IF($N246=0, "-", VLOOKUP($N246, 'List of log slots'!$A:$C, 2, FALSE))</f>
        <v>Rift guardian</v>
      </c>
    </row>
    <row r="247">
      <c r="A247" s="26">
        <v>159.0</v>
      </c>
      <c r="B247" s="23" t="str">
        <f>VLOOKUP($A247, 'Completion rates'!$A:$E, 2, FALSE)</f>
        <v>Hunting chinchompas (black chinchompas)</v>
      </c>
      <c r="C247" s="26">
        <f>IF(Notes!$E$27, VLOOKUP($A247, 'Completion rates'!$A:$E, 4, FALSE), VLOOKUP($A247, 'Completion rates'!$A:$E, 3, FALSE))</f>
        <v>850</v>
      </c>
      <c r="D247" s="26">
        <f>VLOOKUP($A247, 'Completion rates'!$A:$E, 5, FALSE)</f>
        <v>0</v>
      </c>
      <c r="E247" s="28">
        <f>IF(SUMIFS('Activity map'!$O:$O, 'Activity map'!$A:$A, A247, 'Activity map'!$H:$H, "=TRUE") = 0, "n/a", 1/SUMIFS('Activity map'!$O:$O, 'Activity map'!$A:$A, A247, 'Activity map'!$H:$H, "=TRUE"))</f>
        <v>80283</v>
      </c>
      <c r="F247" s="8">
        <f t="shared" si="1"/>
        <v>94.45058824</v>
      </c>
      <c r="G247" s="26" t="str">
        <f>IF(MINIFS('Activity map'!$N:$N, 'Activity map'!$A:$A, A247, 'Activity map'!$H:$H, "=TRUE") = 0, "n/a", MINIFS('Activity map'!$N:$N, 'Activity map'!$A:$A, A247, 'Activity map'!$H:$H, "=TRUE"))</f>
        <v>n/a</v>
      </c>
      <c r="H247" s="8" t="str">
        <f t="shared" si="2"/>
        <v/>
      </c>
      <c r="I247" s="26" t="str">
        <f>IF(MINIFS('Activity map'!$M:$M, 'Activity map'!$A:$A, A247, 'Activity map'!$H:$H, "=TRUE") = 0, "n/a", MINIFS('Activity map'!$M:$M, 'Activity map'!$A:$A, A247, 'Activity map'!$H:$H, "=TRUE"))</f>
        <v>n/a</v>
      </c>
      <c r="J247" s="8" t="str">
        <f t="shared" si="3"/>
        <v/>
      </c>
      <c r="K247" s="26" t="str">
        <f>IF(MINIFS('Activity map'!$L:$L, 'Activity map'!$A:$A, A247, 'Activity map'!$H:$H, "=TRUE") = 0, "n/a", MINIFS('Activity map'!$L:$L, 'Activity map'!$A:$A, A247, 'Activity map'!$H:$H, "=TRUE"))</f>
        <v>n/a</v>
      </c>
      <c r="L247" s="8" t="str">
        <f t="shared" si="4"/>
        <v/>
      </c>
      <c r="M247" s="26">
        <f>MINIFS('Activity map'!$C:$C, 'Activity map'!$A:$A, $A247, 'Activity map'!$H:$H, "=TRUE", 'Activity map'!$K:$K, MINIFS('Activity map'!$K:$K, 'Activity map'!$A:$A, $A247, 'Activity map'!$H:$H, "=TRUE"))</f>
        <v>13324</v>
      </c>
      <c r="N247" s="26">
        <f>MINIFS('Activity map'!$C:$C, 'Activity map'!$A:$A, $A247, 'Activity map'!$H:$H, "=TRUE", 'Activity map'!$E:$E, $T247)</f>
        <v>13324</v>
      </c>
      <c r="O247" s="35">
        <f t="shared" si="5"/>
        <v>3.935441176</v>
      </c>
      <c r="P247" s="30" t="str">
        <f>IF($M247=0, "-", VLOOKUP($M247, 'List of log slots'!$A:$C, 2, FALSE))</f>
        <v>Baby chinchompa</v>
      </c>
      <c r="Q247" s="31">
        <f>IFERROR(__xludf.DUMMYFUNCTION("IF(ISERROR(FILTER('Activity map'!$C:$C, ('Activity map'!$A:$A=$A247)*('Activity map'!$F:$F=FALSE))), 0, COUNTA(UNIQUE(FILTER('Activity map'!$C:$C, ('Activity map'!$A:$A=$A247)*('Activity map'!$F:$F=FALSE)))))"),1.0)</f>
        <v>1</v>
      </c>
      <c r="R247" s="31">
        <f>IFERROR(__xludf.DUMMYFUNCTION("IF(ISERROR(FILTER('Activity map'!$C:$C, 'Activity map'!$A:$A=$A247)), 0, COUNTA(UNIQUE(FILTER('Activity map'!$C:$C, 'Activity map'!$A:$A=$A247))))"),1.0)</f>
        <v>1</v>
      </c>
      <c r="S247" s="36">
        <f t="shared" si="6"/>
        <v>0</v>
      </c>
      <c r="T247" s="31">
        <f>IFERROR(__xludf.DUMMYFUNCTION("IF(ISERROR(FILTER('Activity map'!$E:$E, ('Activity map'!$A:$A=$A247)*('Activity map'!$F:$F=FALSE))), ""-"", MIN(UNIQUE(FILTER('Activity map'!$E:$E, ('Activity map'!$A:$A=$A247)*('Activity map'!$F:$F=FALSE)))))"),7.0)</f>
        <v>7</v>
      </c>
      <c r="U247" s="30" t="str">
        <f>IF($N247=0, "-", VLOOKUP($N247, 'List of log slots'!$A:$C, 2, FALSE))</f>
        <v>Baby chinchompa</v>
      </c>
    </row>
    <row r="248">
      <c r="A248" s="26">
        <v>215.0</v>
      </c>
      <c r="B248" s="23" t="str">
        <f>VLOOKUP($A248, 'Completion rates'!$A:$E, 2, FALSE)</f>
        <v>Plucking herbiboar</v>
      </c>
      <c r="C248" s="26">
        <f>IF(Notes!$E$27, VLOOKUP($A248, 'Completion rates'!$A:$E, 4, FALSE), VLOOKUP($A248, 'Completion rates'!$A:$E, 3, FALSE))</f>
        <v>60</v>
      </c>
      <c r="D248" s="26">
        <f>VLOOKUP($A248, 'Completion rates'!$A:$E, 5, FALSE)</f>
        <v>0</v>
      </c>
      <c r="E248" s="28">
        <f>IF(SUMIFS('Activity map'!$O:$O, 'Activity map'!$A:$A, A248, 'Activity map'!$H:$H, "=TRUE") = 0, "n/a", 1/SUMIFS('Activity map'!$O:$O, 'Activity map'!$A:$A, A248, 'Activity map'!$H:$H, "=TRUE"))</f>
        <v>6500</v>
      </c>
      <c r="F248" s="26">
        <f t="shared" si="1"/>
        <v>108.3333333</v>
      </c>
      <c r="G248" s="26" t="str">
        <f>IF(MINIFS('Activity map'!$N:$N, 'Activity map'!$A:$A, A248, 'Activity map'!$H:$H, "=TRUE") = 0, "n/a", MINIFS('Activity map'!$N:$N, 'Activity map'!$A:$A, A248, 'Activity map'!$H:$H, "=TRUE"))</f>
        <v>n/a</v>
      </c>
      <c r="H248" s="8" t="str">
        <f t="shared" si="2"/>
        <v/>
      </c>
      <c r="I248" s="26" t="str">
        <f>IF(MINIFS('Activity map'!$M:$M, 'Activity map'!$A:$A, A248, 'Activity map'!$H:$H, "=TRUE") = 0, "n/a", MINIFS('Activity map'!$M:$M, 'Activity map'!$A:$A, A248, 'Activity map'!$H:$H, "=TRUE"))</f>
        <v>n/a</v>
      </c>
      <c r="J248" s="8" t="str">
        <f t="shared" si="3"/>
        <v/>
      </c>
      <c r="K248" s="26" t="str">
        <f>IF(MINIFS('Activity map'!$L:$L, 'Activity map'!$A:$A, A248, 'Activity map'!$H:$H, "=TRUE") = 0, "n/a", MINIFS('Activity map'!$L:$L, 'Activity map'!$A:$A, A248, 'Activity map'!$H:$H, "=TRUE"))</f>
        <v>n/a</v>
      </c>
      <c r="L248" s="8" t="str">
        <f t="shared" si="4"/>
        <v/>
      </c>
      <c r="M248" s="26">
        <f>MINIFS('Activity map'!$C:$C, 'Activity map'!$A:$A, $A248, 'Activity map'!$H:$H, "=TRUE", 'Activity map'!$K:$K, MINIFS('Activity map'!$K:$K, 'Activity map'!$A:$A, $A248, 'Activity map'!$H:$H, "=TRUE"))</f>
        <v>21509</v>
      </c>
      <c r="N248" s="26">
        <f>MINIFS('Activity map'!$C:$C, 'Activity map'!$A:$A, $A248, 'Activity map'!$H:$H, "=TRUE", 'Activity map'!$E:$E, $T248)</f>
        <v>21509</v>
      </c>
      <c r="O248" s="66">
        <f t="shared" si="5"/>
        <v>4.513888889</v>
      </c>
      <c r="P248" s="30" t="str">
        <f>IF($M248=0, "-", VLOOKUP($M248, 'List of log slots'!$A:$C, 2, FALSE))</f>
        <v>Herbi</v>
      </c>
      <c r="Q248" s="31">
        <f>IFERROR(__xludf.DUMMYFUNCTION("IF(ISERROR(FILTER('Activity map'!$C:$C, ('Activity map'!$A:$A=$A248)*('Activity map'!$F:$F=FALSE))), 0, COUNTA(UNIQUE(FILTER('Activity map'!$C:$C, ('Activity map'!$A:$A=$A248)*('Activity map'!$F:$F=FALSE)))))"),1.0)</f>
        <v>1</v>
      </c>
      <c r="R248" s="31">
        <f>IFERROR(__xludf.DUMMYFUNCTION("IF(ISERROR(FILTER('Activity map'!$C:$C, 'Activity map'!$A:$A=$A248)), 0, COUNTA(UNIQUE(FILTER('Activity map'!$C:$C, 'Activity map'!$A:$A=$A248))))"),1.0)</f>
        <v>1</v>
      </c>
      <c r="S248" s="72">
        <f t="shared" si="6"/>
        <v>0</v>
      </c>
      <c r="T248" s="31">
        <f>IFERROR(__xludf.DUMMYFUNCTION("IF(ISERROR(FILTER('Activity map'!$E:$E, ('Activity map'!$A:$A=$A248)*('Activity map'!$F:$F=FALSE))), ""-"", MIN(UNIQUE(FILTER('Activity map'!$E:$E, ('Activity map'!$A:$A=$A248)*('Activity map'!$F:$F=FALSE)))))"),7.0)</f>
        <v>7</v>
      </c>
      <c r="U248" s="30" t="str">
        <f>IF($N248=0, "-", VLOOKUP($N248, 'List of log slots'!$A:$C, 2, FALSE))</f>
        <v>Herbi</v>
      </c>
    </row>
    <row r="249">
      <c r="A249" s="26">
        <v>158.0</v>
      </c>
      <c r="B249" s="23" t="str">
        <f>VLOOKUP($A249, 'Completion rates'!$A:$E, 2, FALSE)</f>
        <v>Woodcutting (1.5-tick teaks)</v>
      </c>
      <c r="C249" s="26">
        <f>IF(Notes!$E$27, VLOOKUP($A249, 'Completion rates'!$A:$E, 4, FALSE), VLOOKUP($A249, 'Completion rates'!$A:$E, 3, FALSE))</f>
        <v>2350</v>
      </c>
      <c r="D249" s="26">
        <f>VLOOKUP($A249, 'Completion rates'!$A:$E, 5, FALSE)</f>
        <v>0</v>
      </c>
      <c r="E249" s="28">
        <f>IF(SUMIFS('Activity map'!$O:$O, 'Activity map'!$A:$A, A249, 'Activity map'!$H:$H, "=TRUE") = 0, "n/a", 1/SUMIFS('Activity map'!$O:$O, 'Activity map'!$A:$A, A249, 'Activity map'!$H:$H, "=TRUE"))</f>
        <v>261861</v>
      </c>
      <c r="F249" s="26">
        <f t="shared" si="1"/>
        <v>111.4302128</v>
      </c>
      <c r="G249" s="26" t="str">
        <f>IF(MINIFS('Activity map'!$N:$N, 'Activity map'!$A:$A, A249, 'Activity map'!$H:$H, "=TRUE") = 0, "n/a", MINIFS('Activity map'!$N:$N, 'Activity map'!$A:$A, A249, 'Activity map'!$H:$H, "=TRUE"))</f>
        <v>n/a</v>
      </c>
      <c r="H249" s="8" t="str">
        <f t="shared" si="2"/>
        <v/>
      </c>
      <c r="I249" s="26" t="str">
        <f>IF(MINIFS('Activity map'!$M:$M, 'Activity map'!$A:$A, A249, 'Activity map'!$H:$H, "=TRUE") = 0, "n/a", MINIFS('Activity map'!$M:$M, 'Activity map'!$A:$A, A249, 'Activity map'!$H:$H, "=TRUE"))</f>
        <v>n/a</v>
      </c>
      <c r="J249" s="8" t="str">
        <f t="shared" si="3"/>
        <v/>
      </c>
      <c r="K249" s="26" t="str">
        <f>IF(MINIFS('Activity map'!$L:$L, 'Activity map'!$A:$A, A249, 'Activity map'!$H:$H, "=TRUE") = 0, "n/a", MINIFS('Activity map'!$L:$L, 'Activity map'!$A:$A, A249, 'Activity map'!$H:$H, "=TRUE"))</f>
        <v>n/a</v>
      </c>
      <c r="L249" s="8" t="str">
        <f t="shared" si="4"/>
        <v/>
      </c>
      <c r="M249" s="26">
        <f>MINIFS('Activity map'!$C:$C, 'Activity map'!$A:$A, $A249, 'Activity map'!$H:$H, "=TRUE", 'Activity map'!$K:$K, MINIFS('Activity map'!$K:$K, 'Activity map'!$A:$A, $A249, 'Activity map'!$H:$H, "=TRUE"))</f>
        <v>13322</v>
      </c>
      <c r="N249" s="26">
        <f>MINIFS('Activity map'!$C:$C, 'Activity map'!$A:$A, $A249, 'Activity map'!$H:$H, "=TRUE", 'Activity map'!$E:$E, $T249)</f>
        <v>13322</v>
      </c>
      <c r="O249" s="66">
        <f t="shared" si="5"/>
        <v>4.642925532</v>
      </c>
      <c r="P249" s="30" t="str">
        <f>IF($M249=0, "-", VLOOKUP($M249, 'List of log slots'!$A:$C, 2, FALSE))</f>
        <v>Beaver</v>
      </c>
      <c r="Q249" s="31">
        <f>IFERROR(__xludf.DUMMYFUNCTION("IF(ISERROR(FILTER('Activity map'!$C:$C, ('Activity map'!$A:$A=$A249)*('Activity map'!$F:$F=FALSE))), 0, COUNTA(UNIQUE(FILTER('Activity map'!$C:$C, ('Activity map'!$A:$A=$A249)*('Activity map'!$F:$F=FALSE)))))"),1.0)</f>
        <v>1</v>
      </c>
      <c r="R249" s="31">
        <f>IFERROR(__xludf.DUMMYFUNCTION("IF(ISERROR(FILTER('Activity map'!$C:$C, 'Activity map'!$A:$A=$A249)), 0, COUNTA(UNIQUE(FILTER('Activity map'!$C:$C, 'Activity map'!$A:$A=$A249))))"),1.0)</f>
        <v>1</v>
      </c>
      <c r="S249" s="72">
        <f t="shared" si="6"/>
        <v>0</v>
      </c>
      <c r="T249" s="31">
        <f>IFERROR(__xludf.DUMMYFUNCTION("IF(ISERROR(FILTER('Activity map'!$E:$E, ('Activity map'!$A:$A=$A249)*('Activity map'!$F:$F=FALSE))), ""-"", MIN(UNIQUE(FILTER('Activity map'!$E:$E, ('Activity map'!$A:$A=$A249)*('Activity map'!$F:$F=FALSE)))))"),7.0)</f>
        <v>7</v>
      </c>
      <c r="U249" s="30" t="str">
        <f>IF($N249=0, "-", VLOOKUP($N249, 'List of log slots'!$A:$C, 2, FALSE))</f>
        <v>Beaver</v>
      </c>
    </row>
    <row r="250">
      <c r="A250" s="26">
        <v>157.0</v>
      </c>
      <c r="B250" s="23" t="str">
        <f>VLOOKUP($A250, 'Completion rates'!$A:$E, 2, FALSE)</f>
        <v>Mining (gemstone rocks)</v>
      </c>
      <c r="C250" s="26">
        <f>IF(Notes!$E$27, VLOOKUP($A250, 'Completion rates'!$A:$E, 4, FALSE), VLOOKUP($A250, 'Completion rates'!$A:$E, 3, FALSE))</f>
        <v>1770</v>
      </c>
      <c r="D250" s="26">
        <f>VLOOKUP($A250, 'Completion rates'!$A:$E, 5, FALSE)</f>
        <v>0</v>
      </c>
      <c r="E250" s="28">
        <f>IF(SUMIFS('Activity map'!$O:$O, 'Activity map'!$A:$A, A250, 'Activity map'!$H:$H, "=TRUE") = 0, "n/a", 1/SUMIFS('Activity map'!$O:$O, 'Activity map'!$A:$A, A250, 'Activity map'!$H:$H, "=TRUE"))</f>
        <v>209411</v>
      </c>
      <c r="F250" s="8">
        <f t="shared" si="1"/>
        <v>118.3112994</v>
      </c>
      <c r="G250" s="26" t="str">
        <f>IF(MINIFS('Activity map'!$N:$N, 'Activity map'!$A:$A, A250, 'Activity map'!$H:$H, "=TRUE") = 0, "n/a", MINIFS('Activity map'!$N:$N, 'Activity map'!$A:$A, A250, 'Activity map'!$H:$H, "=TRUE"))</f>
        <v>n/a</v>
      </c>
      <c r="H250" s="8" t="str">
        <f t="shared" si="2"/>
        <v/>
      </c>
      <c r="I250" s="26" t="str">
        <f>IF(MINIFS('Activity map'!$M:$M, 'Activity map'!$A:$A, A250, 'Activity map'!$H:$H, "=TRUE") = 0, "n/a", MINIFS('Activity map'!$M:$M, 'Activity map'!$A:$A, A250, 'Activity map'!$H:$H, "=TRUE"))</f>
        <v>n/a</v>
      </c>
      <c r="J250" s="8" t="str">
        <f t="shared" si="3"/>
        <v/>
      </c>
      <c r="K250" s="26" t="str">
        <f>IF(MINIFS('Activity map'!$L:$L, 'Activity map'!$A:$A, A250, 'Activity map'!$H:$H, "=TRUE") = 0, "n/a", MINIFS('Activity map'!$L:$L, 'Activity map'!$A:$A, A250, 'Activity map'!$H:$H, "=TRUE"))</f>
        <v>n/a</v>
      </c>
      <c r="L250" s="8" t="str">
        <f t="shared" si="4"/>
        <v/>
      </c>
      <c r="M250" s="26">
        <f>MINIFS('Activity map'!$C:$C, 'Activity map'!$A:$A, $A250, 'Activity map'!$H:$H, "=TRUE", 'Activity map'!$K:$K, MINIFS('Activity map'!$K:$K, 'Activity map'!$A:$A, $A250, 'Activity map'!$H:$H, "=TRUE"))</f>
        <v>13321</v>
      </c>
      <c r="N250" s="26">
        <f>MINIFS('Activity map'!$C:$C, 'Activity map'!$A:$A, $A250, 'Activity map'!$H:$H, "=TRUE", 'Activity map'!$E:$E, $T250)</f>
        <v>13321</v>
      </c>
      <c r="O250" s="35">
        <f t="shared" si="5"/>
        <v>4.929637476</v>
      </c>
      <c r="P250" s="30" t="str">
        <f>IF($M250=0, "-", VLOOKUP($M250, 'List of log slots'!$A:$C, 2, FALSE))</f>
        <v>Rock golem</v>
      </c>
      <c r="Q250" s="31">
        <f>IFERROR(__xludf.DUMMYFUNCTION("IF(ISERROR(FILTER('Activity map'!$C:$C, ('Activity map'!$A:$A=$A250)*('Activity map'!$F:$F=FALSE))), 0, COUNTA(UNIQUE(FILTER('Activity map'!$C:$C, ('Activity map'!$A:$A=$A250)*('Activity map'!$F:$F=FALSE)))))"),1.0)</f>
        <v>1</v>
      </c>
      <c r="R250" s="31">
        <f>IFERROR(__xludf.DUMMYFUNCTION("IF(ISERROR(FILTER('Activity map'!$C:$C, 'Activity map'!$A:$A=$A250)), 0, COUNTA(UNIQUE(FILTER('Activity map'!$C:$C, 'Activity map'!$A:$A=$A250))))"),1.0)</f>
        <v>1</v>
      </c>
      <c r="S250" s="36">
        <f t="shared" si="6"/>
        <v>0</v>
      </c>
      <c r="T250" s="31">
        <f>IFERROR(__xludf.DUMMYFUNCTION("IF(ISERROR(FILTER('Activity map'!$E:$E, ('Activity map'!$A:$A=$A250)*('Activity map'!$F:$F=FALSE))), ""-"", MIN(UNIQUE(FILTER('Activity map'!$E:$E, ('Activity map'!$A:$A=$A250)*('Activity map'!$F:$F=FALSE)))))"),8.0)</f>
        <v>8</v>
      </c>
      <c r="U250" s="30" t="str">
        <f>IF($N250=0, "-", VLOOKUP($N250, 'List of log slots'!$A:$C, 2, FALSE))</f>
        <v>Rock golem</v>
      </c>
    </row>
    <row r="251">
      <c r="A251" s="26">
        <v>160.0</v>
      </c>
      <c r="B251" s="23" t="str">
        <f>VLOOKUP($A251, 'Completion rates'!$A:$E, 2, FALSE)</f>
        <v>Agility (penguin course)</v>
      </c>
      <c r="C251" s="26">
        <f>IF(Notes!$E$27, VLOOKUP($A251, 'Completion rates'!$A:$E, 4, FALSE), VLOOKUP($A251, 'Completion rates'!$A:$E, 3, FALSE))</f>
        <v>55</v>
      </c>
      <c r="D251" s="26">
        <f>VLOOKUP($A251, 'Completion rates'!$A:$E, 5, FALSE)</f>
        <v>0</v>
      </c>
      <c r="E251" s="28">
        <f>IF(SUMIFS('Activity map'!$O:$O, 'Activity map'!$A:$A, A251, 'Activity map'!$H:$H, "=TRUE") = 0, "n/a", 1/SUMIFS('Activity map'!$O:$O, 'Activity map'!$A:$A, A251, 'Activity map'!$H:$H, "=TRUE"))</f>
        <v>7304</v>
      </c>
      <c r="F251" s="26">
        <f t="shared" si="1"/>
        <v>132.8</v>
      </c>
      <c r="G251" s="26" t="str">
        <f>IF(MINIFS('Activity map'!$N:$N, 'Activity map'!$A:$A, A251, 'Activity map'!$H:$H, "=TRUE") = 0, "n/a", MINIFS('Activity map'!$N:$N, 'Activity map'!$A:$A, A251, 'Activity map'!$H:$H, "=TRUE"))</f>
        <v>n/a</v>
      </c>
      <c r="H251" s="8" t="str">
        <f t="shared" si="2"/>
        <v/>
      </c>
      <c r="I251" s="26" t="str">
        <f>IF(MINIFS('Activity map'!$M:$M, 'Activity map'!$A:$A, A251, 'Activity map'!$H:$H, "=TRUE") = 0, "n/a", MINIFS('Activity map'!$M:$M, 'Activity map'!$A:$A, A251, 'Activity map'!$H:$H, "=TRUE"))</f>
        <v>n/a</v>
      </c>
      <c r="J251" s="8" t="str">
        <f t="shared" si="3"/>
        <v/>
      </c>
      <c r="K251" s="26" t="str">
        <f>IF(MINIFS('Activity map'!$L:$L, 'Activity map'!$A:$A, A251, 'Activity map'!$H:$H, "=TRUE") = 0, "n/a", MINIFS('Activity map'!$L:$L, 'Activity map'!$A:$A, A251, 'Activity map'!$H:$H, "=TRUE"))</f>
        <v>n/a</v>
      </c>
      <c r="L251" s="8" t="str">
        <f t="shared" si="4"/>
        <v/>
      </c>
      <c r="M251" s="26">
        <f>MINIFS('Activity map'!$C:$C, 'Activity map'!$A:$A, $A251, 'Activity map'!$H:$H, "=TRUE", 'Activity map'!$K:$K, MINIFS('Activity map'!$K:$K, 'Activity map'!$A:$A, $A251, 'Activity map'!$H:$H, "=TRUE"))</f>
        <v>20659</v>
      </c>
      <c r="N251" s="26">
        <f>MINIFS('Activity map'!$C:$C, 'Activity map'!$A:$A, $A251, 'Activity map'!$H:$H, "=TRUE", 'Activity map'!$E:$E, $T251)</f>
        <v>20659</v>
      </c>
      <c r="O251" s="66">
        <f t="shared" si="5"/>
        <v>5.533333333</v>
      </c>
      <c r="P251" s="30" t="str">
        <f>IF($M251=0, "-", VLOOKUP($M251, 'List of log slots'!$A:$C, 2, FALSE))</f>
        <v>Giant squirrel</v>
      </c>
      <c r="Q251" s="31">
        <f>IFERROR(__xludf.DUMMYFUNCTION("IF(ISERROR(FILTER('Activity map'!$C:$C, ('Activity map'!$A:$A=$A251)*('Activity map'!$F:$F=FALSE))), 0, COUNTA(UNIQUE(FILTER('Activity map'!$C:$C, ('Activity map'!$A:$A=$A251)*('Activity map'!$F:$F=FALSE)))))"),1.0)</f>
        <v>1</v>
      </c>
      <c r="R251" s="31">
        <f>IFERROR(__xludf.DUMMYFUNCTION("IF(ISERROR(FILTER('Activity map'!$C:$C, 'Activity map'!$A:$A=$A251)), 0, COUNTA(UNIQUE(FILTER('Activity map'!$C:$C, 'Activity map'!$A:$A=$A251))))"),1.0)</f>
        <v>1</v>
      </c>
      <c r="S251" s="72">
        <f t="shared" si="6"/>
        <v>0</v>
      </c>
      <c r="T251" s="31">
        <f>IFERROR(__xludf.DUMMYFUNCTION("IF(ISERROR(FILTER('Activity map'!$E:$E, ('Activity map'!$A:$A=$A251)*('Activity map'!$F:$F=FALSE))), ""-"", MIN(UNIQUE(FILTER('Activity map'!$E:$E, ('Activity map'!$A:$A=$A251)*('Activity map'!$F:$F=FALSE)))))"),8.0)</f>
        <v>8</v>
      </c>
      <c r="U251" s="30" t="str">
        <f>IF($N251=0, "-", VLOOKUP($N251, 'List of log slots'!$A:$C, 2, FALSE))</f>
        <v>Giant squirrel</v>
      </c>
    </row>
  </sheetData>
  <autoFilter ref="$A$1:$U$251"/>
  <conditionalFormatting sqref="O2:O251">
    <cfRule type="colorScale" priority="1">
      <colorScale>
        <cfvo type="formula" val="0"/>
        <cfvo type="formula" val="0.25"/>
        <cfvo type="formula" val="2"/>
        <color rgb="FF57BB8A"/>
        <color rgb="FFFFD666"/>
        <color rgb="FFE67C73"/>
      </colorScale>
    </cfRule>
  </conditionalFormatting>
  <conditionalFormatting sqref="O2:O251">
    <cfRule type="cellIs" dxfId="0" priority="2" operator="equal">
      <formula>"Done!"</formula>
    </cfRule>
  </conditionalFormatting>
  <conditionalFormatting sqref="S2:S251">
    <cfRule type="colorScale" priority="3">
      <colorScale>
        <cfvo type="formula" val="0"/>
        <cfvo type="formula" val="0.8"/>
        <cfvo type="formula" val="1"/>
        <color rgb="FFE06666"/>
        <color rgb="FFFFD966"/>
        <color rgb="FF93C47D"/>
      </colorScale>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75.13"/>
    <col customWidth="1" min="3" max="3" width="28.63"/>
    <col customWidth="1" min="4" max="4" width="28.0"/>
    <col customWidth="1" min="5" max="5" width="44.13"/>
    <col customWidth="1" min="6" max="6" width="61.75"/>
    <col customWidth="1" min="7" max="7" width="33.75"/>
  </cols>
  <sheetData>
    <row r="1">
      <c r="A1" s="193" t="s">
        <v>54</v>
      </c>
      <c r="B1" s="193" t="s">
        <v>55</v>
      </c>
      <c r="C1" s="193" t="s">
        <v>75</v>
      </c>
      <c r="D1" s="193" t="s">
        <v>76</v>
      </c>
      <c r="E1" s="193" t="s">
        <v>57</v>
      </c>
      <c r="F1" s="193" t="s">
        <v>77</v>
      </c>
      <c r="G1" s="193" t="s">
        <v>78</v>
      </c>
    </row>
    <row r="2">
      <c r="A2" s="26">
        <v>1.0</v>
      </c>
      <c r="B2" s="194" t="s">
        <v>79</v>
      </c>
      <c r="C2" s="195">
        <v>50.0</v>
      </c>
      <c r="D2" s="195">
        <v>45.0</v>
      </c>
      <c r="E2" s="196">
        <v>0.0</v>
      </c>
      <c r="F2" s="6"/>
      <c r="G2" s="194" t="s">
        <v>80</v>
      </c>
    </row>
    <row r="3">
      <c r="A3" s="25">
        <v>2.0</v>
      </c>
      <c r="B3" s="194" t="s">
        <v>81</v>
      </c>
      <c r="C3" s="196">
        <v>30.0</v>
      </c>
      <c r="D3" s="196">
        <v>29.0</v>
      </c>
      <c r="E3" s="196">
        <v>0.0</v>
      </c>
      <c r="F3" s="6"/>
      <c r="G3" s="194" t="s">
        <v>80</v>
      </c>
    </row>
    <row r="4">
      <c r="A4" s="25">
        <v>3.0</v>
      </c>
      <c r="B4" s="23" t="s">
        <v>82</v>
      </c>
      <c r="C4" s="195">
        <v>85.0</v>
      </c>
      <c r="D4" s="195">
        <v>75.0</v>
      </c>
      <c r="E4" s="195">
        <v>0.0</v>
      </c>
      <c r="F4" s="6"/>
      <c r="G4" s="194" t="s">
        <v>80</v>
      </c>
    </row>
    <row r="5">
      <c r="A5" s="25">
        <v>4.0</v>
      </c>
      <c r="B5" s="23" t="s">
        <v>83</v>
      </c>
      <c r="C5" s="195">
        <v>45.0</v>
      </c>
      <c r="D5" s="195">
        <v>40.0</v>
      </c>
      <c r="E5" s="195">
        <v>0.0</v>
      </c>
      <c r="F5" s="6"/>
      <c r="G5" s="194" t="s">
        <v>80</v>
      </c>
    </row>
    <row r="6">
      <c r="A6" s="25">
        <v>5.0</v>
      </c>
      <c r="B6" s="194" t="s">
        <v>84</v>
      </c>
      <c r="C6" s="196">
        <v>22.0</v>
      </c>
      <c r="D6" s="196">
        <v>22.0</v>
      </c>
      <c r="E6" s="196">
        <v>0.0</v>
      </c>
      <c r="F6" s="6"/>
      <c r="G6" s="194" t="s">
        <v>80</v>
      </c>
    </row>
    <row r="7">
      <c r="A7" s="25">
        <v>6.0</v>
      </c>
      <c r="B7" s="23" t="s">
        <v>85</v>
      </c>
      <c r="C7" s="195">
        <v>100.0</v>
      </c>
      <c r="D7" s="195">
        <v>100.0</v>
      </c>
      <c r="E7" s="196">
        <v>0.0</v>
      </c>
      <c r="F7" s="8"/>
      <c r="G7" s="23" t="s">
        <v>86</v>
      </c>
    </row>
    <row r="8">
      <c r="A8" s="25">
        <v>7.0</v>
      </c>
      <c r="B8" s="23" t="s">
        <v>87</v>
      </c>
      <c r="C8" s="195">
        <v>60.0</v>
      </c>
      <c r="D8" s="196">
        <v>50.0</v>
      </c>
      <c r="E8" s="195">
        <v>0.0</v>
      </c>
      <c r="F8" s="8"/>
      <c r="G8" s="23" t="s">
        <v>80</v>
      </c>
    </row>
    <row r="9">
      <c r="A9" s="25">
        <v>8.0</v>
      </c>
      <c r="B9" s="194" t="s">
        <v>88</v>
      </c>
      <c r="C9" s="196">
        <v>65.0</v>
      </c>
      <c r="D9" s="196">
        <v>54.0</v>
      </c>
      <c r="E9" s="196">
        <v>0.0</v>
      </c>
      <c r="F9" s="6"/>
      <c r="G9" s="194" t="s">
        <v>80</v>
      </c>
    </row>
    <row r="10">
      <c r="A10" s="25">
        <v>9.0</v>
      </c>
      <c r="B10" s="194" t="s">
        <v>89</v>
      </c>
      <c r="C10" s="196">
        <v>120.0</v>
      </c>
      <c r="D10" s="196">
        <v>48.0</v>
      </c>
      <c r="E10" s="196">
        <v>0.0</v>
      </c>
      <c r="F10" s="6"/>
      <c r="G10" s="194" t="s">
        <v>80</v>
      </c>
    </row>
    <row r="11">
      <c r="A11" s="25">
        <v>10.0</v>
      </c>
      <c r="B11" s="194" t="s">
        <v>90</v>
      </c>
      <c r="C11" s="196">
        <v>100.0</v>
      </c>
      <c r="D11" s="196">
        <v>80.0</v>
      </c>
      <c r="E11" s="196">
        <v>0.0</v>
      </c>
      <c r="F11" s="6"/>
      <c r="G11" s="194" t="s">
        <v>80</v>
      </c>
    </row>
    <row r="12">
      <c r="A12" s="25">
        <v>11.0</v>
      </c>
      <c r="B12" s="194" t="s">
        <v>91</v>
      </c>
      <c r="C12" s="196">
        <v>58.0</v>
      </c>
      <c r="D12" s="196">
        <v>30.0</v>
      </c>
      <c r="E12" s="196">
        <v>0.0</v>
      </c>
      <c r="F12" s="6"/>
      <c r="G12" s="194" t="s">
        <v>80</v>
      </c>
    </row>
    <row r="13">
      <c r="A13" s="25">
        <v>12.0</v>
      </c>
      <c r="B13" s="194" t="s">
        <v>92</v>
      </c>
      <c r="C13" s="196">
        <v>60.0</v>
      </c>
      <c r="D13" s="196">
        <v>8.5</v>
      </c>
      <c r="E13" s="196">
        <v>0.0</v>
      </c>
      <c r="F13" s="194" t="s">
        <v>93</v>
      </c>
      <c r="G13" s="194" t="s">
        <v>80</v>
      </c>
    </row>
    <row r="14">
      <c r="A14" s="25">
        <v>13.0</v>
      </c>
      <c r="B14" s="194" t="s">
        <v>94</v>
      </c>
      <c r="C14" s="196">
        <v>75.0</v>
      </c>
      <c r="D14" s="196">
        <v>75.0</v>
      </c>
      <c r="E14" s="196">
        <v>0.0</v>
      </c>
      <c r="F14" s="6"/>
      <c r="G14" s="194" t="s">
        <v>80</v>
      </c>
    </row>
    <row r="15">
      <c r="A15" s="25">
        <v>14.0</v>
      </c>
      <c r="B15" s="194" t="s">
        <v>95</v>
      </c>
      <c r="C15" s="196">
        <v>105.0</v>
      </c>
      <c r="D15" s="196">
        <v>100.0</v>
      </c>
      <c r="E15" s="196">
        <v>0.0</v>
      </c>
      <c r="F15" s="6"/>
      <c r="G15" s="194" t="s">
        <v>80</v>
      </c>
    </row>
    <row r="16">
      <c r="A16" s="25">
        <v>15.0</v>
      </c>
      <c r="B16" s="23" t="s">
        <v>96</v>
      </c>
      <c r="C16" s="195">
        <v>80.0</v>
      </c>
      <c r="D16" s="195">
        <v>80.0</v>
      </c>
      <c r="E16" s="196">
        <v>0.0</v>
      </c>
      <c r="F16" s="6"/>
      <c r="G16" s="23" t="s">
        <v>86</v>
      </c>
    </row>
    <row r="17">
      <c r="A17" s="25">
        <v>16.0</v>
      </c>
      <c r="B17" s="23" t="s">
        <v>97</v>
      </c>
      <c r="C17" s="195">
        <v>3.5</v>
      </c>
      <c r="D17" s="195">
        <v>3.5</v>
      </c>
      <c r="E17" s="196">
        <v>0.0</v>
      </c>
      <c r="F17" s="23" t="s">
        <v>98</v>
      </c>
      <c r="G17" s="23" t="s">
        <v>99</v>
      </c>
    </row>
    <row r="18">
      <c r="A18" s="25">
        <v>17.0</v>
      </c>
      <c r="B18" s="23" t="s">
        <v>100</v>
      </c>
      <c r="C18" s="195">
        <v>41.0</v>
      </c>
      <c r="D18" s="195">
        <v>41.0</v>
      </c>
      <c r="E18" s="196">
        <v>0.0</v>
      </c>
      <c r="F18" s="6"/>
      <c r="G18" s="23" t="s">
        <v>101</v>
      </c>
    </row>
    <row r="19">
      <c r="A19" s="25">
        <v>18.0</v>
      </c>
      <c r="B19" s="194" t="s">
        <v>102</v>
      </c>
      <c r="C19" s="196">
        <v>2.5</v>
      </c>
      <c r="D19" s="196">
        <v>2.2</v>
      </c>
      <c r="E19" s="196">
        <v>0.0</v>
      </c>
      <c r="F19" s="6"/>
      <c r="G19" s="194" t="s">
        <v>80</v>
      </c>
    </row>
    <row r="20">
      <c r="A20" s="25">
        <v>19.0</v>
      </c>
      <c r="B20" s="194" t="s">
        <v>103</v>
      </c>
      <c r="C20" s="196">
        <v>2.5</v>
      </c>
      <c r="D20" s="196">
        <v>2.5</v>
      </c>
      <c r="E20" s="196">
        <v>0.0</v>
      </c>
      <c r="F20" s="6"/>
      <c r="G20" s="194" t="s">
        <v>80</v>
      </c>
    </row>
    <row r="21">
      <c r="A21" s="25">
        <v>20.0</v>
      </c>
      <c r="B21" s="194" t="s">
        <v>104</v>
      </c>
      <c r="C21" s="196">
        <v>10.0</v>
      </c>
      <c r="D21" s="196">
        <v>10.0</v>
      </c>
      <c r="E21" s="196">
        <v>0.0</v>
      </c>
      <c r="F21" s="194" t="s">
        <v>105</v>
      </c>
      <c r="G21" s="194" t="s">
        <v>80</v>
      </c>
    </row>
    <row r="22">
      <c r="A22" s="25">
        <v>21.0</v>
      </c>
      <c r="B22" s="194" t="s">
        <v>106</v>
      </c>
      <c r="C22" s="196">
        <v>7.0</v>
      </c>
      <c r="D22" s="196">
        <v>7.0</v>
      </c>
      <c r="E22" s="196">
        <v>0.0</v>
      </c>
      <c r="F22" s="6"/>
      <c r="G22" s="194" t="s">
        <v>80</v>
      </c>
    </row>
    <row r="23">
      <c r="A23" s="25">
        <v>22.0</v>
      </c>
      <c r="B23" s="194" t="s">
        <v>107</v>
      </c>
      <c r="C23" s="196">
        <v>58.0</v>
      </c>
      <c r="D23" s="196">
        <v>31.0</v>
      </c>
      <c r="E23" s="196">
        <v>0.0</v>
      </c>
      <c r="F23" s="6"/>
      <c r="G23" s="194" t="s">
        <v>80</v>
      </c>
    </row>
    <row r="24">
      <c r="A24" s="25">
        <v>23.0</v>
      </c>
      <c r="B24" s="194" t="s">
        <v>108</v>
      </c>
      <c r="C24" s="196">
        <v>125.0</v>
      </c>
      <c r="D24" s="196">
        <v>97.0</v>
      </c>
      <c r="E24" s="196">
        <v>0.0</v>
      </c>
      <c r="F24" s="6"/>
      <c r="G24" s="194" t="s">
        <v>80</v>
      </c>
    </row>
    <row r="25">
      <c r="A25" s="25">
        <v>24.0</v>
      </c>
      <c r="B25" s="23" t="s">
        <v>109</v>
      </c>
      <c r="C25" s="196">
        <v>37.0</v>
      </c>
      <c r="D25" s="195">
        <v>34.0</v>
      </c>
      <c r="E25" s="195">
        <v>0.0</v>
      </c>
      <c r="F25" s="8"/>
      <c r="G25" s="23" t="s">
        <v>80</v>
      </c>
    </row>
    <row r="26">
      <c r="A26" s="25">
        <v>25.0</v>
      </c>
      <c r="B26" s="194" t="s">
        <v>110</v>
      </c>
      <c r="C26" s="196">
        <v>95.0</v>
      </c>
      <c r="D26" s="196">
        <v>50.0</v>
      </c>
      <c r="E26" s="196">
        <v>0.0</v>
      </c>
      <c r="F26" s="6"/>
      <c r="G26" s="194" t="s">
        <v>80</v>
      </c>
    </row>
    <row r="27">
      <c r="A27" s="25">
        <v>26.0</v>
      </c>
      <c r="B27" s="23" t="s">
        <v>111</v>
      </c>
      <c r="C27" s="195">
        <v>11.0</v>
      </c>
      <c r="D27" s="195">
        <v>11.0</v>
      </c>
      <c r="E27" s="195">
        <v>0.0</v>
      </c>
      <c r="F27" s="6"/>
      <c r="G27" s="23" t="s">
        <v>86</v>
      </c>
    </row>
    <row r="28">
      <c r="A28" s="25">
        <v>27.0</v>
      </c>
      <c r="B28" s="194" t="s">
        <v>112</v>
      </c>
      <c r="C28" s="196">
        <v>1.0</v>
      </c>
      <c r="D28" s="196">
        <v>0.9</v>
      </c>
      <c r="E28" s="196">
        <v>0.0</v>
      </c>
      <c r="F28" s="6"/>
      <c r="G28" s="194" t="s">
        <v>80</v>
      </c>
    </row>
    <row r="29">
      <c r="A29" s="25">
        <v>28.0</v>
      </c>
      <c r="B29" s="194" t="s">
        <v>113</v>
      </c>
      <c r="C29" s="196">
        <v>55.0</v>
      </c>
      <c r="D29" s="196">
        <v>37.0</v>
      </c>
      <c r="E29" s="196">
        <v>0.0</v>
      </c>
      <c r="F29" s="6"/>
      <c r="G29" s="194" t="s">
        <v>80</v>
      </c>
    </row>
    <row r="30">
      <c r="A30" s="25">
        <v>29.0</v>
      </c>
      <c r="B30" s="194" t="s">
        <v>114</v>
      </c>
      <c r="C30" s="196">
        <v>130.0</v>
      </c>
      <c r="D30" s="196">
        <v>75.0</v>
      </c>
      <c r="E30" s="196">
        <v>0.0</v>
      </c>
      <c r="F30" s="6"/>
      <c r="G30" s="194" t="s">
        <v>80</v>
      </c>
    </row>
    <row r="31">
      <c r="A31" s="25">
        <v>30.0</v>
      </c>
      <c r="B31" s="194" t="s">
        <v>115</v>
      </c>
      <c r="C31" s="196">
        <v>100.0</v>
      </c>
      <c r="D31" s="196">
        <v>90.0</v>
      </c>
      <c r="E31" s="196">
        <v>0.0</v>
      </c>
      <c r="F31" s="6"/>
      <c r="G31" s="194" t="s">
        <v>80</v>
      </c>
    </row>
    <row r="32">
      <c r="A32" s="25">
        <v>31.0</v>
      </c>
      <c r="B32" s="194" t="s">
        <v>116</v>
      </c>
      <c r="C32" s="196">
        <v>40.0</v>
      </c>
      <c r="D32" s="195">
        <v>30.0</v>
      </c>
      <c r="E32" s="196">
        <v>0.0</v>
      </c>
      <c r="F32" s="6"/>
      <c r="G32" s="194" t="s">
        <v>80</v>
      </c>
    </row>
    <row r="33">
      <c r="A33" s="25">
        <v>32.0</v>
      </c>
      <c r="B33" s="194" t="s">
        <v>117</v>
      </c>
      <c r="C33" s="196">
        <v>65.0</v>
      </c>
      <c r="D33" s="195">
        <v>28.0</v>
      </c>
      <c r="E33" s="196">
        <v>0.0</v>
      </c>
      <c r="F33" s="6"/>
      <c r="G33" s="194" t="s">
        <v>80</v>
      </c>
    </row>
    <row r="34">
      <c r="A34" s="25">
        <v>33.0</v>
      </c>
      <c r="B34" s="194" t="s">
        <v>118</v>
      </c>
      <c r="C34" s="196">
        <v>30.0</v>
      </c>
      <c r="D34" s="195">
        <v>25.0</v>
      </c>
      <c r="E34" s="196">
        <v>0.0</v>
      </c>
      <c r="F34" s="6"/>
      <c r="G34" s="194" t="s">
        <v>80</v>
      </c>
    </row>
    <row r="35">
      <c r="A35" s="25">
        <v>34.0</v>
      </c>
      <c r="B35" s="23" t="s">
        <v>119</v>
      </c>
      <c r="C35" s="195">
        <v>18.0</v>
      </c>
      <c r="D35" s="195">
        <v>18.0</v>
      </c>
      <c r="E35" s="195">
        <v>0.0</v>
      </c>
      <c r="F35" s="8"/>
      <c r="G35" s="23" t="s">
        <v>80</v>
      </c>
    </row>
    <row r="36">
      <c r="A36" s="25">
        <v>35.0</v>
      </c>
      <c r="B36" s="194" t="s">
        <v>120</v>
      </c>
      <c r="C36" s="196">
        <v>18.0</v>
      </c>
      <c r="D36" s="196">
        <v>18.0</v>
      </c>
      <c r="E36" s="196">
        <v>0.0</v>
      </c>
      <c r="F36" s="6"/>
      <c r="G36" s="194" t="s">
        <v>80</v>
      </c>
    </row>
    <row r="37">
      <c r="A37" s="25">
        <v>36.0</v>
      </c>
      <c r="B37" s="194" t="s">
        <v>121</v>
      </c>
      <c r="C37" s="196">
        <v>18.0</v>
      </c>
      <c r="D37" s="196">
        <v>18.0</v>
      </c>
      <c r="E37" s="196">
        <v>0.0</v>
      </c>
      <c r="F37" s="6"/>
      <c r="G37" s="194" t="s">
        <v>80</v>
      </c>
    </row>
    <row r="38">
      <c r="A38" s="25">
        <v>37.0</v>
      </c>
      <c r="B38" s="194" t="s">
        <v>122</v>
      </c>
      <c r="C38" s="196">
        <v>15.0</v>
      </c>
      <c r="D38" s="196">
        <v>14.0</v>
      </c>
      <c r="E38" s="196">
        <v>0.0</v>
      </c>
      <c r="F38" s="6"/>
      <c r="G38" s="194" t="s">
        <v>80</v>
      </c>
    </row>
    <row r="39">
      <c r="A39" s="25">
        <v>38.0</v>
      </c>
      <c r="B39" s="194" t="s">
        <v>123</v>
      </c>
      <c r="C39" s="196">
        <v>11.0</v>
      </c>
      <c r="D39" s="196">
        <v>11.0</v>
      </c>
      <c r="E39" s="196">
        <v>0.0</v>
      </c>
      <c r="F39" s="194" t="s">
        <v>124</v>
      </c>
      <c r="G39" s="194" t="s">
        <v>80</v>
      </c>
    </row>
    <row r="40">
      <c r="A40" s="25">
        <v>39.0</v>
      </c>
      <c r="B40" s="23" t="s">
        <v>125</v>
      </c>
      <c r="C40" s="195">
        <v>8.0</v>
      </c>
      <c r="D40" s="195">
        <v>8.0</v>
      </c>
      <c r="E40" s="195">
        <v>0.0</v>
      </c>
      <c r="F40" s="8"/>
      <c r="G40" s="23" t="s">
        <v>86</v>
      </c>
    </row>
    <row r="41">
      <c r="A41" s="25">
        <v>40.0</v>
      </c>
      <c r="B41" s="23" t="s">
        <v>126</v>
      </c>
      <c r="C41" s="195">
        <v>120.0</v>
      </c>
      <c r="D41" s="195">
        <v>120.0</v>
      </c>
      <c r="E41" s="196">
        <v>0.0</v>
      </c>
      <c r="F41" s="8"/>
      <c r="G41" s="23" t="s">
        <v>86</v>
      </c>
    </row>
    <row r="42">
      <c r="A42" s="25">
        <v>41.0</v>
      </c>
      <c r="B42" s="23" t="s">
        <v>127</v>
      </c>
      <c r="C42" s="195">
        <v>26.0</v>
      </c>
      <c r="D42" s="196">
        <v>25.0</v>
      </c>
      <c r="E42" s="195">
        <v>0.0</v>
      </c>
      <c r="F42" s="8"/>
      <c r="G42" s="23" t="s">
        <v>80</v>
      </c>
    </row>
    <row r="43">
      <c r="A43" s="25">
        <v>42.0</v>
      </c>
      <c r="B43" s="23" t="s">
        <v>128</v>
      </c>
      <c r="C43" s="195">
        <v>60.0</v>
      </c>
      <c r="D43" s="196">
        <v>60.0</v>
      </c>
      <c r="E43" s="195">
        <v>0.0</v>
      </c>
      <c r="F43" s="8"/>
      <c r="G43" s="23" t="s">
        <v>80</v>
      </c>
    </row>
    <row r="44">
      <c r="A44" s="25">
        <v>43.0</v>
      </c>
      <c r="B44" s="194" t="s">
        <v>129</v>
      </c>
      <c r="C44" s="196">
        <v>60.0</v>
      </c>
      <c r="D44" s="196">
        <v>60.0</v>
      </c>
      <c r="E44" s="196">
        <v>0.0</v>
      </c>
      <c r="F44" s="6"/>
      <c r="G44" s="194" t="s">
        <v>80</v>
      </c>
    </row>
    <row r="45">
      <c r="A45" s="25">
        <v>44.0</v>
      </c>
      <c r="B45" s="194" t="s">
        <v>130</v>
      </c>
      <c r="C45" s="196">
        <v>80.0</v>
      </c>
      <c r="D45" s="196">
        <v>67.0</v>
      </c>
      <c r="E45" s="196">
        <v>0.0</v>
      </c>
      <c r="F45" s="6"/>
      <c r="G45" s="194" t="s">
        <v>80</v>
      </c>
    </row>
    <row r="46">
      <c r="A46" s="25">
        <v>45.0</v>
      </c>
      <c r="B46" s="194" t="s">
        <v>131</v>
      </c>
      <c r="C46" s="196">
        <v>130.0</v>
      </c>
      <c r="D46" s="196">
        <v>80.0</v>
      </c>
      <c r="E46" s="196">
        <v>0.0</v>
      </c>
      <c r="F46" s="6"/>
      <c r="G46" s="194" t="s">
        <v>80</v>
      </c>
    </row>
    <row r="47">
      <c r="A47" s="25">
        <v>46.0</v>
      </c>
      <c r="B47" s="194" t="s">
        <v>132</v>
      </c>
      <c r="C47" s="196">
        <v>85.0</v>
      </c>
      <c r="D47" s="196">
        <v>60.0</v>
      </c>
      <c r="E47" s="196">
        <v>0.0</v>
      </c>
      <c r="F47" s="6"/>
      <c r="G47" s="194" t="s">
        <v>80</v>
      </c>
    </row>
    <row r="48">
      <c r="A48" s="25">
        <v>47.0</v>
      </c>
      <c r="B48" s="197" t="s">
        <v>133</v>
      </c>
      <c r="C48" s="196">
        <v>100.0</v>
      </c>
      <c r="D48" s="196">
        <v>90.0</v>
      </c>
      <c r="E48" s="196">
        <v>0.0</v>
      </c>
      <c r="F48" s="6"/>
      <c r="G48" s="194" t="s">
        <v>86</v>
      </c>
    </row>
    <row r="49">
      <c r="A49" s="25">
        <v>48.0</v>
      </c>
      <c r="B49" s="194" t="s">
        <v>134</v>
      </c>
      <c r="C49" s="196">
        <v>0.45</v>
      </c>
      <c r="D49" s="196">
        <v>0.45</v>
      </c>
      <c r="E49" s="196">
        <v>0.0</v>
      </c>
      <c r="F49" s="194" t="s">
        <v>135</v>
      </c>
      <c r="G49" s="194" t="s">
        <v>86</v>
      </c>
    </row>
    <row r="50">
      <c r="A50" s="25">
        <v>49.0</v>
      </c>
      <c r="B50" s="194" t="s">
        <v>136</v>
      </c>
      <c r="C50" s="196">
        <v>80.0</v>
      </c>
      <c r="D50" s="196">
        <v>80.0</v>
      </c>
      <c r="E50" s="196">
        <v>0.0</v>
      </c>
      <c r="F50" s="6"/>
      <c r="G50" s="194" t="s">
        <v>86</v>
      </c>
    </row>
    <row r="51">
      <c r="A51" s="25">
        <v>50.0</v>
      </c>
      <c r="B51" s="194" t="s">
        <v>137</v>
      </c>
      <c r="C51" s="196">
        <v>150.0</v>
      </c>
      <c r="D51" s="196">
        <v>100.0</v>
      </c>
      <c r="E51" s="196">
        <v>0.0</v>
      </c>
      <c r="F51" s="6"/>
      <c r="G51" s="194" t="s">
        <v>80</v>
      </c>
    </row>
    <row r="52">
      <c r="A52" s="25">
        <v>51.0</v>
      </c>
      <c r="B52" s="194" t="s">
        <v>138</v>
      </c>
      <c r="C52" s="195">
        <v>37.0</v>
      </c>
      <c r="D52" s="196">
        <v>33.0</v>
      </c>
      <c r="E52" s="195">
        <v>0.0</v>
      </c>
      <c r="F52" s="8"/>
      <c r="G52" s="23" t="s">
        <v>80</v>
      </c>
    </row>
    <row r="53">
      <c r="A53" s="25">
        <v>52.0</v>
      </c>
      <c r="B53" s="194" t="s">
        <v>139</v>
      </c>
      <c r="C53" s="195">
        <v>55.0</v>
      </c>
      <c r="D53" s="196">
        <v>50.0</v>
      </c>
      <c r="E53" s="195">
        <v>0.0</v>
      </c>
      <c r="F53" s="8"/>
      <c r="G53" s="23" t="s">
        <v>80</v>
      </c>
    </row>
    <row r="54">
      <c r="A54" s="25">
        <v>53.0</v>
      </c>
      <c r="B54" s="23" t="s">
        <v>140</v>
      </c>
      <c r="C54" s="195">
        <v>55.0</v>
      </c>
      <c r="D54" s="195">
        <v>45.0</v>
      </c>
      <c r="E54" s="196">
        <v>0.0</v>
      </c>
      <c r="F54" s="8"/>
      <c r="G54" s="194" t="s">
        <v>80</v>
      </c>
    </row>
    <row r="55">
      <c r="A55" s="25">
        <v>54.0</v>
      </c>
      <c r="B55" s="194" t="s">
        <v>141</v>
      </c>
      <c r="C55" s="196">
        <v>34.0</v>
      </c>
      <c r="D55" s="195">
        <v>34.0</v>
      </c>
      <c r="E55" s="195">
        <v>0.0</v>
      </c>
      <c r="F55" s="8"/>
      <c r="G55" s="23" t="s">
        <v>80</v>
      </c>
    </row>
    <row r="56">
      <c r="A56" s="25">
        <v>55.0</v>
      </c>
      <c r="B56" s="23" t="s">
        <v>142</v>
      </c>
      <c r="C56" s="195">
        <v>21.0</v>
      </c>
      <c r="D56" s="195">
        <v>21.0</v>
      </c>
      <c r="E56" s="195">
        <v>0.0</v>
      </c>
      <c r="F56" s="8"/>
      <c r="G56" s="23" t="s">
        <v>80</v>
      </c>
    </row>
    <row r="57">
      <c r="A57" s="25">
        <v>56.0</v>
      </c>
      <c r="B57" s="197" t="s">
        <v>143</v>
      </c>
      <c r="C57" s="196">
        <v>42.0</v>
      </c>
      <c r="D57" s="196">
        <v>42.0</v>
      </c>
      <c r="E57" s="196">
        <v>0.0</v>
      </c>
      <c r="F57" s="194"/>
      <c r="G57" s="194" t="s">
        <v>86</v>
      </c>
    </row>
    <row r="58">
      <c r="A58" s="25">
        <v>57.0</v>
      </c>
      <c r="B58" s="194" t="s">
        <v>144</v>
      </c>
      <c r="C58" s="196">
        <v>20.0</v>
      </c>
      <c r="D58" s="196">
        <v>20.0</v>
      </c>
      <c r="E58" s="196">
        <v>0.0</v>
      </c>
      <c r="F58" s="194" t="s">
        <v>145</v>
      </c>
      <c r="G58" s="194" t="s">
        <v>86</v>
      </c>
    </row>
    <row r="59">
      <c r="A59" s="25">
        <v>58.0</v>
      </c>
      <c r="B59" s="194" t="s">
        <v>146</v>
      </c>
      <c r="C59" s="196">
        <v>40.0</v>
      </c>
      <c r="D59" s="196">
        <v>40.0</v>
      </c>
      <c r="E59" s="196">
        <v>0.0</v>
      </c>
      <c r="F59" s="194" t="s">
        <v>147</v>
      </c>
      <c r="G59" s="194" t="s">
        <v>86</v>
      </c>
    </row>
    <row r="60">
      <c r="A60" s="25">
        <v>59.0</v>
      </c>
      <c r="B60" s="194" t="s">
        <v>148</v>
      </c>
      <c r="C60" s="196">
        <v>44.0</v>
      </c>
      <c r="D60" s="196">
        <v>39.0</v>
      </c>
      <c r="E60" s="196">
        <v>0.0</v>
      </c>
      <c r="F60" s="6"/>
      <c r="G60" s="194" t="s">
        <v>80</v>
      </c>
    </row>
    <row r="61">
      <c r="A61" s="25">
        <v>60.0</v>
      </c>
      <c r="B61" s="194" t="s">
        <v>149</v>
      </c>
      <c r="C61" s="195">
        <v>3.5</v>
      </c>
      <c r="D61" s="196">
        <v>2.9</v>
      </c>
      <c r="E61" s="195">
        <v>0.0</v>
      </c>
      <c r="F61" s="23" t="s">
        <v>150</v>
      </c>
      <c r="G61" s="194" t="s">
        <v>80</v>
      </c>
    </row>
    <row r="62">
      <c r="A62" s="25">
        <v>61.0</v>
      </c>
      <c r="B62" s="194" t="s">
        <v>151</v>
      </c>
      <c r="C62" s="195">
        <v>3.0</v>
      </c>
      <c r="D62" s="196">
        <v>2.4</v>
      </c>
      <c r="E62" s="195">
        <v>0.0</v>
      </c>
      <c r="F62" s="8"/>
      <c r="G62" s="194" t="s">
        <v>80</v>
      </c>
    </row>
    <row r="63">
      <c r="A63" s="25">
        <v>62.0</v>
      </c>
      <c r="B63" s="194" t="s">
        <v>152</v>
      </c>
      <c r="C63" s="195">
        <v>3.2</v>
      </c>
      <c r="D63" s="195">
        <v>2.9</v>
      </c>
      <c r="E63" s="196">
        <v>0.0</v>
      </c>
      <c r="F63" s="6"/>
      <c r="G63" s="194" t="s">
        <v>80</v>
      </c>
    </row>
    <row r="64">
      <c r="A64" s="25">
        <v>63.0</v>
      </c>
      <c r="B64" s="194" t="s">
        <v>153</v>
      </c>
      <c r="C64" s="195">
        <v>2.7</v>
      </c>
      <c r="D64" s="195">
        <v>2.7</v>
      </c>
      <c r="E64" s="196">
        <v>0.0</v>
      </c>
      <c r="F64" s="6"/>
      <c r="G64" s="194" t="s">
        <v>80</v>
      </c>
    </row>
    <row r="65">
      <c r="A65" s="25">
        <v>64.0</v>
      </c>
      <c r="B65" s="194" t="s">
        <v>154</v>
      </c>
      <c r="C65" s="195">
        <v>3.7</v>
      </c>
      <c r="D65" s="195">
        <v>3.7</v>
      </c>
      <c r="E65" s="196">
        <v>0.0</v>
      </c>
      <c r="F65" s="8"/>
      <c r="G65" s="194" t="s">
        <v>80</v>
      </c>
    </row>
    <row r="66">
      <c r="A66" s="25">
        <v>65.0</v>
      </c>
      <c r="B66" s="194" t="s">
        <v>155</v>
      </c>
      <c r="C66" s="195">
        <v>3.0</v>
      </c>
      <c r="D66" s="196">
        <v>3.0</v>
      </c>
      <c r="E66" s="196">
        <v>0.0</v>
      </c>
      <c r="F66" s="8"/>
      <c r="G66" s="194" t="s">
        <v>80</v>
      </c>
    </row>
    <row r="67">
      <c r="A67" s="25">
        <v>66.0</v>
      </c>
      <c r="B67" s="194" t="s">
        <v>156</v>
      </c>
      <c r="C67" s="196">
        <v>1.7</v>
      </c>
      <c r="D67" s="196">
        <v>1.7</v>
      </c>
      <c r="E67" s="196">
        <v>0.0</v>
      </c>
      <c r="F67" s="6"/>
      <c r="G67" s="194" t="s">
        <v>86</v>
      </c>
    </row>
    <row r="68">
      <c r="A68" s="25">
        <v>67.0</v>
      </c>
      <c r="B68" s="194" t="s">
        <v>157</v>
      </c>
      <c r="C68" s="196">
        <v>1.0</v>
      </c>
      <c r="D68" s="196">
        <v>1.0</v>
      </c>
      <c r="E68" s="196">
        <v>0.0</v>
      </c>
      <c r="F68" s="6"/>
      <c r="G68" s="194" t="s">
        <v>86</v>
      </c>
    </row>
    <row r="69">
      <c r="A69" s="25">
        <v>68.0</v>
      </c>
      <c r="B69" s="194" t="s">
        <v>158</v>
      </c>
      <c r="C69" s="196">
        <v>50.0</v>
      </c>
      <c r="D69" s="196">
        <v>20.0</v>
      </c>
      <c r="E69" s="196">
        <v>0.0</v>
      </c>
      <c r="F69" s="6"/>
      <c r="G69" s="194" t="s">
        <v>86</v>
      </c>
    </row>
    <row r="70">
      <c r="A70" s="25">
        <v>69.0</v>
      </c>
      <c r="B70" s="194" t="s">
        <v>159</v>
      </c>
      <c r="C70" s="196">
        <v>45.0</v>
      </c>
      <c r="D70" s="196">
        <v>20.0</v>
      </c>
      <c r="E70" s="196">
        <v>0.0</v>
      </c>
      <c r="F70" s="6"/>
      <c r="G70" s="194" t="s">
        <v>160</v>
      </c>
    </row>
    <row r="71">
      <c r="A71" s="25">
        <v>70.0</v>
      </c>
      <c r="B71" s="194" t="s">
        <v>161</v>
      </c>
      <c r="C71" s="196">
        <v>30.0</v>
      </c>
      <c r="D71" s="196">
        <v>10.0</v>
      </c>
      <c r="E71" s="196">
        <v>0.0</v>
      </c>
      <c r="F71" s="6"/>
      <c r="G71" s="194" t="s">
        <v>160</v>
      </c>
    </row>
    <row r="72">
      <c r="A72" s="25">
        <v>71.0</v>
      </c>
      <c r="B72" s="23" t="s">
        <v>162</v>
      </c>
      <c r="C72" s="196">
        <v>20.0</v>
      </c>
      <c r="D72" s="196">
        <v>5.0</v>
      </c>
      <c r="E72" s="196">
        <v>0.0</v>
      </c>
      <c r="F72" s="6"/>
      <c r="G72" s="194" t="s">
        <v>160</v>
      </c>
    </row>
    <row r="73">
      <c r="A73" s="25">
        <v>72.0</v>
      </c>
      <c r="B73" s="194" t="s">
        <v>163</v>
      </c>
      <c r="C73" s="196">
        <v>1.66</v>
      </c>
      <c r="D73" s="196">
        <v>0.6</v>
      </c>
      <c r="E73" s="196">
        <v>0.0</v>
      </c>
      <c r="F73" s="194" t="s">
        <v>164</v>
      </c>
      <c r="G73" s="194" t="s">
        <v>160</v>
      </c>
    </row>
    <row r="74">
      <c r="A74" s="25">
        <v>73.0</v>
      </c>
      <c r="B74" s="194" t="s">
        <v>165</v>
      </c>
      <c r="C74" s="196">
        <v>1.5</v>
      </c>
      <c r="D74" s="196">
        <v>0.5</v>
      </c>
      <c r="E74" s="196">
        <v>0.0</v>
      </c>
      <c r="F74" s="194" t="s">
        <v>166</v>
      </c>
      <c r="G74" s="194" t="s">
        <v>160</v>
      </c>
    </row>
    <row r="75">
      <c r="A75" s="25">
        <v>74.0</v>
      </c>
      <c r="B75" s="194" t="s">
        <v>167</v>
      </c>
      <c r="C75" s="196">
        <v>3.1</v>
      </c>
      <c r="D75" s="196">
        <v>3.1</v>
      </c>
      <c r="E75" s="196">
        <v>0.0</v>
      </c>
      <c r="F75" s="23" t="s">
        <v>168</v>
      </c>
      <c r="G75" s="194" t="s">
        <v>86</v>
      </c>
    </row>
    <row r="76">
      <c r="A76" s="25">
        <v>75.0</v>
      </c>
      <c r="B76" s="194" t="s">
        <v>169</v>
      </c>
      <c r="C76" s="196">
        <v>17.5</v>
      </c>
      <c r="D76" s="196">
        <v>17.5</v>
      </c>
      <c r="E76" s="196">
        <v>0.0</v>
      </c>
      <c r="F76" s="194" t="s">
        <v>170</v>
      </c>
      <c r="G76" s="194" t="s">
        <v>86</v>
      </c>
    </row>
    <row r="77">
      <c r="A77" s="25">
        <v>76.0</v>
      </c>
      <c r="B77" s="194" t="s">
        <v>171</v>
      </c>
      <c r="C77" s="196">
        <v>16.0</v>
      </c>
      <c r="D77" s="196">
        <v>16.0</v>
      </c>
      <c r="E77" s="196">
        <v>0.0</v>
      </c>
      <c r="F77" s="194" t="s">
        <v>170</v>
      </c>
      <c r="G77" s="194" t="s">
        <v>86</v>
      </c>
    </row>
    <row r="78">
      <c r="A78" s="25">
        <v>77.0</v>
      </c>
      <c r="B78" s="194" t="s">
        <v>172</v>
      </c>
      <c r="C78" s="195">
        <v>12.0</v>
      </c>
      <c r="D78" s="195">
        <v>12.0</v>
      </c>
      <c r="E78" s="196">
        <v>0.0</v>
      </c>
      <c r="F78" s="194" t="s">
        <v>170</v>
      </c>
      <c r="G78" s="194" t="s">
        <v>86</v>
      </c>
    </row>
    <row r="79">
      <c r="A79" s="25">
        <v>78.0</v>
      </c>
      <c r="B79" s="194" t="s">
        <v>173</v>
      </c>
      <c r="C79" s="196">
        <v>66.0</v>
      </c>
      <c r="D79" s="196">
        <v>66.0</v>
      </c>
      <c r="E79" s="196">
        <v>0.0</v>
      </c>
      <c r="F79" s="6"/>
      <c r="G79" s="194" t="s">
        <v>86</v>
      </c>
    </row>
    <row r="80">
      <c r="A80" s="25">
        <v>79.0</v>
      </c>
      <c r="B80" s="194" t="s">
        <v>174</v>
      </c>
      <c r="C80" s="196">
        <v>12.7</v>
      </c>
      <c r="D80" s="196">
        <v>12.7</v>
      </c>
      <c r="E80" s="196">
        <v>0.0</v>
      </c>
      <c r="F80" s="194" t="s">
        <v>175</v>
      </c>
      <c r="G80" s="194" t="s">
        <v>86</v>
      </c>
    </row>
    <row r="81">
      <c r="A81" s="25">
        <v>80.0</v>
      </c>
      <c r="B81" s="194" t="s">
        <v>176</v>
      </c>
      <c r="C81" s="196">
        <v>8.0</v>
      </c>
      <c r="D81" s="196">
        <v>8.0</v>
      </c>
      <c r="E81" s="196">
        <v>0.0</v>
      </c>
      <c r="F81" s="6"/>
      <c r="G81" s="194" t="s">
        <v>86</v>
      </c>
    </row>
    <row r="82">
      <c r="A82" s="25">
        <v>81.0</v>
      </c>
      <c r="B82" s="194" t="s">
        <v>177</v>
      </c>
      <c r="C82" s="195">
        <v>2000.0</v>
      </c>
      <c r="D82" s="196">
        <v>2000.0</v>
      </c>
      <c r="E82" s="196">
        <v>0.0</v>
      </c>
      <c r="F82" s="6"/>
      <c r="G82" s="194" t="s">
        <v>86</v>
      </c>
    </row>
    <row r="83">
      <c r="A83" s="25">
        <v>82.0</v>
      </c>
      <c r="B83" s="194" t="s">
        <v>178</v>
      </c>
      <c r="C83" s="196">
        <v>20.0</v>
      </c>
      <c r="D83" s="196">
        <v>20.0</v>
      </c>
      <c r="E83" s="196">
        <v>0.0</v>
      </c>
      <c r="F83" s="6"/>
      <c r="G83" s="194" t="s">
        <v>86</v>
      </c>
    </row>
    <row r="84">
      <c r="A84" s="25">
        <v>83.0</v>
      </c>
      <c r="B84" s="194" t="s">
        <v>179</v>
      </c>
      <c r="C84" s="196">
        <v>20.0</v>
      </c>
      <c r="D84" s="196">
        <v>20.0</v>
      </c>
      <c r="E84" s="196">
        <v>0.0</v>
      </c>
      <c r="F84" s="6"/>
      <c r="G84" s="194" t="s">
        <v>86</v>
      </c>
    </row>
    <row r="85">
      <c r="A85" s="25">
        <v>84.0</v>
      </c>
      <c r="B85" s="23" t="s">
        <v>180</v>
      </c>
      <c r="C85" s="195">
        <v>33.0</v>
      </c>
      <c r="D85" s="195">
        <v>33.0</v>
      </c>
      <c r="E85" s="195">
        <v>0.0</v>
      </c>
      <c r="F85" s="6"/>
      <c r="G85" s="23" t="s">
        <v>86</v>
      </c>
    </row>
    <row r="86">
      <c r="A86" s="25">
        <v>85.0</v>
      </c>
      <c r="B86" s="194" t="s">
        <v>181</v>
      </c>
      <c r="C86" s="196">
        <v>160.0</v>
      </c>
      <c r="D86" s="196">
        <v>160.0</v>
      </c>
      <c r="E86" s="196">
        <v>0.0</v>
      </c>
      <c r="F86" s="6"/>
      <c r="G86" s="194" t="s">
        <v>86</v>
      </c>
    </row>
    <row r="87">
      <c r="A87" s="25">
        <v>86.0</v>
      </c>
      <c r="B87" s="194" t="s">
        <v>182</v>
      </c>
      <c r="C87" s="196">
        <v>8.5</v>
      </c>
      <c r="D87" s="196">
        <v>8.5</v>
      </c>
      <c r="E87" s="196">
        <v>0.0</v>
      </c>
      <c r="F87" s="6"/>
      <c r="G87" s="194" t="s">
        <v>86</v>
      </c>
    </row>
    <row r="88">
      <c r="A88" s="25">
        <v>87.0</v>
      </c>
      <c r="B88" s="194" t="s">
        <v>183</v>
      </c>
      <c r="C88" s="196">
        <v>28.0</v>
      </c>
      <c r="D88" s="196">
        <v>28.0</v>
      </c>
      <c r="E88" s="196">
        <v>0.0</v>
      </c>
      <c r="F88" s="194" t="s">
        <v>184</v>
      </c>
      <c r="G88" s="194" t="s">
        <v>86</v>
      </c>
    </row>
    <row r="89">
      <c r="A89" s="25">
        <v>88.0</v>
      </c>
      <c r="B89" s="194" t="s">
        <v>185</v>
      </c>
      <c r="C89" s="196">
        <v>4.0</v>
      </c>
      <c r="D89" s="196">
        <v>4.0</v>
      </c>
      <c r="E89" s="196">
        <v>0.0</v>
      </c>
      <c r="F89" s="194" t="s">
        <v>184</v>
      </c>
      <c r="G89" s="194" t="s">
        <v>86</v>
      </c>
    </row>
    <row r="90">
      <c r="A90" s="25">
        <v>89.0</v>
      </c>
      <c r="B90" s="194" t="s">
        <v>186</v>
      </c>
      <c r="C90" s="196">
        <v>1.0</v>
      </c>
      <c r="D90" s="196">
        <v>1.0</v>
      </c>
      <c r="E90" s="196">
        <v>0.0</v>
      </c>
      <c r="F90" s="6"/>
      <c r="G90" s="194" t="s">
        <v>86</v>
      </c>
    </row>
    <row r="91">
      <c r="A91" s="25">
        <v>90.0</v>
      </c>
      <c r="B91" s="194" t="s">
        <v>187</v>
      </c>
      <c r="C91" s="196">
        <v>285.0</v>
      </c>
      <c r="D91" s="196">
        <v>235.0</v>
      </c>
      <c r="E91" s="196">
        <v>0.0</v>
      </c>
      <c r="F91" s="6"/>
      <c r="G91" s="194" t="s">
        <v>86</v>
      </c>
    </row>
    <row r="92">
      <c r="A92" s="25">
        <v>91.0</v>
      </c>
      <c r="B92" s="194" t="s">
        <v>188</v>
      </c>
      <c r="C92" s="196">
        <v>12000.0</v>
      </c>
      <c r="D92" s="196">
        <v>12000.0</v>
      </c>
      <c r="E92" s="196">
        <v>0.0</v>
      </c>
      <c r="F92" s="6"/>
      <c r="G92" s="194" t="s">
        <v>86</v>
      </c>
    </row>
    <row r="93">
      <c r="A93" s="25">
        <v>92.0</v>
      </c>
      <c r="B93" s="194" t="s">
        <v>189</v>
      </c>
      <c r="C93" s="196">
        <v>270.0</v>
      </c>
      <c r="D93" s="196">
        <v>270.0</v>
      </c>
      <c r="E93" s="196">
        <v>0.0</v>
      </c>
      <c r="F93" s="194" t="s">
        <v>190</v>
      </c>
      <c r="G93" s="194" t="s">
        <v>86</v>
      </c>
    </row>
    <row r="94">
      <c r="A94" s="25">
        <v>93.0</v>
      </c>
      <c r="B94" s="194" t="s">
        <v>191</v>
      </c>
      <c r="C94" s="196">
        <v>15.0</v>
      </c>
      <c r="D94" s="196">
        <v>15.0</v>
      </c>
      <c r="E94" s="196">
        <v>0.0</v>
      </c>
      <c r="F94" s="6"/>
      <c r="G94" s="194" t="s">
        <v>86</v>
      </c>
    </row>
    <row r="95">
      <c r="A95" s="25">
        <v>94.0</v>
      </c>
      <c r="B95" s="23" t="s">
        <v>192</v>
      </c>
      <c r="C95" s="195">
        <v>175.0</v>
      </c>
      <c r="D95" s="195">
        <v>175.0</v>
      </c>
      <c r="E95" s="196">
        <v>0.0</v>
      </c>
      <c r="F95" s="194" t="s">
        <v>193</v>
      </c>
      <c r="G95" s="23" t="s">
        <v>86</v>
      </c>
    </row>
    <row r="96">
      <c r="A96" s="25">
        <v>95.0</v>
      </c>
      <c r="B96" s="194" t="s">
        <v>194</v>
      </c>
      <c r="C96" s="196">
        <v>375.0</v>
      </c>
      <c r="D96" s="196">
        <v>375.0</v>
      </c>
      <c r="E96" s="196">
        <v>0.0</v>
      </c>
      <c r="F96" s="194" t="s">
        <v>195</v>
      </c>
      <c r="G96" s="194" t="s">
        <v>86</v>
      </c>
    </row>
    <row r="97">
      <c r="A97" s="25">
        <v>96.0</v>
      </c>
      <c r="B97" s="194" t="s">
        <v>196</v>
      </c>
      <c r="C97" s="196">
        <v>10.0</v>
      </c>
      <c r="D97" s="196">
        <v>10.0</v>
      </c>
      <c r="E97" s="196">
        <v>0.0</v>
      </c>
      <c r="F97" s="6"/>
      <c r="G97" s="194" t="s">
        <v>86</v>
      </c>
    </row>
    <row r="98">
      <c r="A98" s="25">
        <v>97.0</v>
      </c>
      <c r="B98" s="194" t="s">
        <v>197</v>
      </c>
      <c r="C98" s="196">
        <v>95.0</v>
      </c>
      <c r="D98" s="196">
        <v>95.0</v>
      </c>
      <c r="E98" s="196">
        <v>0.0</v>
      </c>
      <c r="F98" s="6"/>
      <c r="G98" s="194" t="s">
        <v>86</v>
      </c>
    </row>
    <row r="99">
      <c r="A99" s="25">
        <v>98.0</v>
      </c>
      <c r="B99" s="194" t="s">
        <v>198</v>
      </c>
      <c r="C99" s="195">
        <v>1200.0</v>
      </c>
      <c r="D99" s="195">
        <v>1200.0</v>
      </c>
      <c r="E99" s="196">
        <v>0.0</v>
      </c>
      <c r="F99" s="23" t="s">
        <v>199</v>
      </c>
      <c r="G99" s="194" t="s">
        <v>86</v>
      </c>
    </row>
    <row r="100">
      <c r="A100" s="25">
        <v>99.0</v>
      </c>
      <c r="B100" s="194" t="s">
        <v>200</v>
      </c>
      <c r="C100" s="196">
        <v>90.0</v>
      </c>
      <c r="D100" s="196">
        <v>90.0</v>
      </c>
      <c r="E100" s="196">
        <v>0.0</v>
      </c>
      <c r="F100" s="8"/>
      <c r="G100" s="194" t="s">
        <v>86</v>
      </c>
    </row>
    <row r="101">
      <c r="A101" s="25">
        <v>100.0</v>
      </c>
      <c r="B101" s="194" t="s">
        <v>201</v>
      </c>
      <c r="C101" s="196">
        <v>10000.0</v>
      </c>
      <c r="D101" s="196">
        <v>10000.0</v>
      </c>
      <c r="E101" s="196">
        <v>0.0</v>
      </c>
      <c r="F101" s="8"/>
      <c r="G101" s="194" t="s">
        <v>86</v>
      </c>
    </row>
    <row r="102">
      <c r="A102" s="25">
        <v>101.0</v>
      </c>
      <c r="B102" s="194" t="s">
        <v>202</v>
      </c>
      <c r="C102" s="196">
        <v>32.0</v>
      </c>
      <c r="D102" s="196">
        <v>32.0</v>
      </c>
      <c r="E102" s="196">
        <v>0.0</v>
      </c>
      <c r="F102" s="8"/>
      <c r="G102" s="194" t="s">
        <v>86</v>
      </c>
    </row>
    <row r="103">
      <c r="A103" s="25">
        <v>102.0</v>
      </c>
      <c r="B103" s="194" t="s">
        <v>203</v>
      </c>
      <c r="C103" s="195">
        <v>150.0</v>
      </c>
      <c r="D103" s="195">
        <v>150.0</v>
      </c>
      <c r="E103" s="196">
        <v>0.0</v>
      </c>
      <c r="F103" s="8"/>
      <c r="G103" s="194" t="s">
        <v>86</v>
      </c>
    </row>
    <row r="104">
      <c r="A104" s="25">
        <v>103.0</v>
      </c>
      <c r="B104" s="194" t="s">
        <v>204</v>
      </c>
      <c r="C104" s="196">
        <v>800.0</v>
      </c>
      <c r="D104" s="196">
        <v>800.0</v>
      </c>
      <c r="E104" s="196">
        <v>0.0</v>
      </c>
      <c r="F104" s="8"/>
      <c r="G104" s="194" t="s">
        <v>86</v>
      </c>
    </row>
    <row r="105">
      <c r="A105" s="25">
        <v>104.0</v>
      </c>
      <c r="B105" s="194" t="s">
        <v>205</v>
      </c>
      <c r="C105" s="196">
        <v>200.0</v>
      </c>
      <c r="D105" s="196">
        <v>200.0</v>
      </c>
      <c r="E105" s="196">
        <v>0.0</v>
      </c>
      <c r="F105" s="8"/>
      <c r="G105" s="194" t="s">
        <v>86</v>
      </c>
    </row>
    <row r="106">
      <c r="A106" s="25">
        <v>105.0</v>
      </c>
      <c r="B106" s="194" t="s">
        <v>206</v>
      </c>
      <c r="C106" s="196">
        <v>350.0</v>
      </c>
      <c r="D106" s="196">
        <v>350.0</v>
      </c>
      <c r="E106" s="196">
        <v>0.0</v>
      </c>
      <c r="F106" s="23" t="s">
        <v>207</v>
      </c>
      <c r="G106" s="194" t="s">
        <v>86</v>
      </c>
    </row>
    <row r="107">
      <c r="A107" s="25">
        <v>106.0</v>
      </c>
      <c r="B107" s="194" t="s">
        <v>208</v>
      </c>
      <c r="C107" s="196">
        <v>750.0</v>
      </c>
      <c r="D107" s="196">
        <v>750.0</v>
      </c>
      <c r="E107" s="196">
        <v>0.0</v>
      </c>
      <c r="F107" s="23" t="s">
        <v>209</v>
      </c>
      <c r="G107" s="194" t="s">
        <v>86</v>
      </c>
    </row>
    <row r="108">
      <c r="A108" s="25">
        <v>107.0</v>
      </c>
      <c r="B108" s="194" t="s">
        <v>210</v>
      </c>
      <c r="C108" s="195">
        <v>900.0</v>
      </c>
      <c r="D108" s="195">
        <v>900.0</v>
      </c>
      <c r="E108" s="196">
        <v>0.0</v>
      </c>
      <c r="F108" s="23" t="s">
        <v>211</v>
      </c>
      <c r="G108" s="194" t="s">
        <v>86</v>
      </c>
    </row>
    <row r="109">
      <c r="A109" s="25">
        <v>108.0</v>
      </c>
      <c r="B109" s="194" t="s">
        <v>212</v>
      </c>
      <c r="C109" s="196">
        <v>1600.0</v>
      </c>
      <c r="D109" s="196">
        <v>1600.0</v>
      </c>
      <c r="E109" s="196">
        <v>0.0</v>
      </c>
      <c r="F109" s="194" t="s">
        <v>213</v>
      </c>
      <c r="G109" s="194" t="s">
        <v>86</v>
      </c>
    </row>
    <row r="110">
      <c r="A110" s="25">
        <v>109.0</v>
      </c>
      <c r="B110" s="23" t="s">
        <v>214</v>
      </c>
      <c r="C110" s="196">
        <v>800.0</v>
      </c>
      <c r="D110" s="196">
        <v>800.0</v>
      </c>
      <c r="E110" s="195">
        <v>0.0</v>
      </c>
      <c r="F110" s="23" t="s">
        <v>215</v>
      </c>
      <c r="G110" s="23" t="s">
        <v>86</v>
      </c>
    </row>
    <row r="111">
      <c r="A111" s="25">
        <v>110.0</v>
      </c>
      <c r="B111" s="23" t="s">
        <v>216</v>
      </c>
      <c r="C111" s="195">
        <v>650.0</v>
      </c>
      <c r="D111" s="195">
        <v>650.0</v>
      </c>
      <c r="E111" s="195">
        <v>0.0</v>
      </c>
      <c r="F111" s="194" t="s">
        <v>217</v>
      </c>
      <c r="G111" s="23" t="s">
        <v>86</v>
      </c>
    </row>
    <row r="112">
      <c r="A112" s="25">
        <v>111.0</v>
      </c>
      <c r="B112" s="194" t="s">
        <v>218</v>
      </c>
      <c r="C112" s="196">
        <v>650.0</v>
      </c>
      <c r="D112" s="196">
        <v>650.0</v>
      </c>
      <c r="E112" s="196">
        <v>0.0</v>
      </c>
      <c r="F112" s="194" t="s">
        <v>219</v>
      </c>
      <c r="G112" s="194" t="s">
        <v>86</v>
      </c>
    </row>
    <row r="113">
      <c r="A113" s="25">
        <v>112.0</v>
      </c>
      <c r="B113" s="194" t="s">
        <v>220</v>
      </c>
      <c r="C113" s="195">
        <v>500.0</v>
      </c>
      <c r="D113" s="195">
        <v>500.0</v>
      </c>
      <c r="E113" s="196">
        <v>0.0</v>
      </c>
      <c r="F113" s="194" t="s">
        <v>221</v>
      </c>
      <c r="G113" s="194" t="s">
        <v>86</v>
      </c>
    </row>
    <row r="114">
      <c r="A114" s="25">
        <v>113.0</v>
      </c>
      <c r="B114" s="194" t="s">
        <v>222</v>
      </c>
      <c r="C114" s="196">
        <v>1300.0</v>
      </c>
      <c r="D114" s="196">
        <v>1300.0</v>
      </c>
      <c r="E114" s="196">
        <v>0.0</v>
      </c>
      <c r="F114" s="194" t="s">
        <v>223</v>
      </c>
      <c r="G114" s="194" t="s">
        <v>86</v>
      </c>
    </row>
    <row r="115">
      <c r="A115" s="25">
        <v>114.0</v>
      </c>
      <c r="B115" s="194" t="s">
        <v>224</v>
      </c>
      <c r="C115" s="195">
        <v>1000.0</v>
      </c>
      <c r="D115" s="195">
        <v>1000.0</v>
      </c>
      <c r="E115" s="196">
        <v>0.0</v>
      </c>
      <c r="F115" s="194" t="s">
        <v>225</v>
      </c>
      <c r="G115" s="194" t="s">
        <v>86</v>
      </c>
    </row>
    <row r="116">
      <c r="A116" s="25">
        <v>115.0</v>
      </c>
      <c r="B116" s="194" t="s">
        <v>226</v>
      </c>
      <c r="C116" s="196">
        <v>480.0</v>
      </c>
      <c r="D116" s="196">
        <v>480.0</v>
      </c>
      <c r="E116" s="196">
        <v>0.0</v>
      </c>
      <c r="F116" s="194" t="s">
        <v>227</v>
      </c>
      <c r="G116" s="194" t="s">
        <v>86</v>
      </c>
    </row>
    <row r="117">
      <c r="A117" s="25">
        <v>116.0</v>
      </c>
      <c r="B117" s="194" t="s">
        <v>228</v>
      </c>
      <c r="C117" s="196">
        <v>400.0</v>
      </c>
      <c r="D117" s="196">
        <v>400.0</v>
      </c>
      <c r="E117" s="196">
        <v>0.0</v>
      </c>
      <c r="F117" s="6"/>
      <c r="G117" s="194" t="s">
        <v>86</v>
      </c>
    </row>
    <row r="118">
      <c r="A118" s="25">
        <v>117.0</v>
      </c>
      <c r="B118" s="194" t="s">
        <v>229</v>
      </c>
      <c r="C118" s="196">
        <v>235.0</v>
      </c>
      <c r="D118" s="196">
        <v>235.0</v>
      </c>
      <c r="E118" s="196">
        <v>0.0</v>
      </c>
      <c r="F118" s="6"/>
      <c r="G118" s="194" t="s">
        <v>86</v>
      </c>
    </row>
    <row r="119">
      <c r="A119" s="25">
        <v>118.0</v>
      </c>
      <c r="B119" s="194" t="s">
        <v>230</v>
      </c>
      <c r="C119" s="196">
        <v>150.0</v>
      </c>
      <c r="D119" s="196">
        <v>150.0</v>
      </c>
      <c r="E119" s="196">
        <v>0.0</v>
      </c>
      <c r="F119" s="6"/>
      <c r="G119" s="194" t="s">
        <v>86</v>
      </c>
    </row>
    <row r="120">
      <c r="A120" s="25">
        <v>119.0</v>
      </c>
      <c r="B120" s="23" t="s">
        <v>231</v>
      </c>
      <c r="C120" s="195">
        <v>150.0</v>
      </c>
      <c r="D120" s="195">
        <v>150.0</v>
      </c>
      <c r="E120" s="196">
        <v>0.0</v>
      </c>
      <c r="F120" s="8"/>
      <c r="G120" s="23" t="s">
        <v>86</v>
      </c>
    </row>
    <row r="121">
      <c r="A121" s="25">
        <v>120.0</v>
      </c>
      <c r="B121" s="194" t="s">
        <v>232</v>
      </c>
      <c r="C121" s="196">
        <v>150.0</v>
      </c>
      <c r="D121" s="196">
        <v>150.0</v>
      </c>
      <c r="E121" s="196">
        <v>0.0</v>
      </c>
      <c r="F121" s="6"/>
      <c r="G121" s="194" t="s">
        <v>86</v>
      </c>
    </row>
    <row r="122">
      <c r="A122" s="25">
        <v>121.0</v>
      </c>
      <c r="B122" s="194" t="s">
        <v>233</v>
      </c>
      <c r="C122" s="196">
        <v>150.0</v>
      </c>
      <c r="D122" s="196">
        <v>150.0</v>
      </c>
      <c r="E122" s="196">
        <v>0.0</v>
      </c>
      <c r="F122" s="6"/>
      <c r="G122" s="194" t="s">
        <v>86</v>
      </c>
    </row>
    <row r="123">
      <c r="A123" s="25">
        <v>122.0</v>
      </c>
      <c r="B123" s="194" t="s">
        <v>234</v>
      </c>
      <c r="C123" s="196">
        <v>150.0</v>
      </c>
      <c r="D123" s="196">
        <v>150.0</v>
      </c>
      <c r="E123" s="196">
        <v>0.0</v>
      </c>
      <c r="F123" s="6"/>
      <c r="G123" s="194" t="s">
        <v>86</v>
      </c>
    </row>
    <row r="124">
      <c r="A124" s="25">
        <v>123.0</v>
      </c>
      <c r="B124" s="194" t="s">
        <v>235</v>
      </c>
      <c r="C124" s="196">
        <v>150.0</v>
      </c>
      <c r="D124" s="196">
        <v>150.0</v>
      </c>
      <c r="E124" s="196">
        <v>0.0</v>
      </c>
      <c r="F124" s="6"/>
      <c r="G124" s="194" t="s">
        <v>86</v>
      </c>
    </row>
    <row r="125">
      <c r="A125" s="25">
        <v>124.0</v>
      </c>
      <c r="B125" s="194" t="s">
        <v>236</v>
      </c>
      <c r="C125" s="196">
        <v>200.0</v>
      </c>
      <c r="D125" s="196">
        <v>200.0</v>
      </c>
      <c r="E125" s="196">
        <v>0.0</v>
      </c>
      <c r="F125" s="6"/>
      <c r="G125" s="194" t="s">
        <v>86</v>
      </c>
    </row>
    <row r="126">
      <c r="A126" s="25">
        <v>125.0</v>
      </c>
      <c r="B126" s="194" t="s">
        <v>237</v>
      </c>
      <c r="C126" s="196">
        <v>1800.0</v>
      </c>
      <c r="D126" s="196">
        <v>1800.0</v>
      </c>
      <c r="E126" s="196">
        <v>0.0</v>
      </c>
      <c r="F126" s="6"/>
      <c r="G126" s="194" t="s">
        <v>238</v>
      </c>
    </row>
    <row r="127">
      <c r="A127" s="25">
        <v>126.0</v>
      </c>
      <c r="B127" s="194" t="s">
        <v>239</v>
      </c>
      <c r="C127" s="196">
        <v>7.0</v>
      </c>
      <c r="D127" s="196">
        <v>7.0</v>
      </c>
      <c r="E127" s="196">
        <v>0.0</v>
      </c>
      <c r="F127" s="194" t="s">
        <v>240</v>
      </c>
      <c r="G127" s="194" t="s">
        <v>241</v>
      </c>
    </row>
    <row r="128">
      <c r="A128" s="25">
        <v>127.0</v>
      </c>
      <c r="B128" s="194" t="s">
        <v>242</v>
      </c>
      <c r="C128" s="196">
        <v>1000.0</v>
      </c>
      <c r="D128" s="196">
        <v>1000.0</v>
      </c>
      <c r="E128" s="196">
        <v>0.0</v>
      </c>
      <c r="F128" s="194" t="s">
        <v>243</v>
      </c>
      <c r="G128" s="194" t="s">
        <v>86</v>
      </c>
    </row>
    <row r="129">
      <c r="A129" s="25">
        <v>128.0</v>
      </c>
      <c r="B129" s="23" t="s">
        <v>244</v>
      </c>
      <c r="C129" s="195">
        <v>60.0</v>
      </c>
      <c r="D129" s="195">
        <v>60.0</v>
      </c>
      <c r="E129" s="196">
        <v>0.0</v>
      </c>
      <c r="F129" s="8"/>
      <c r="G129" s="194" t="s">
        <v>86</v>
      </c>
    </row>
    <row r="130">
      <c r="A130" s="25">
        <v>129.0</v>
      </c>
      <c r="B130" s="194" t="s">
        <v>245</v>
      </c>
      <c r="C130" s="196">
        <v>30.0</v>
      </c>
      <c r="D130" s="196">
        <v>30.0</v>
      </c>
      <c r="E130" s="196">
        <v>0.0</v>
      </c>
      <c r="F130" s="194" t="s">
        <v>246</v>
      </c>
      <c r="G130" s="194" t="s">
        <v>86</v>
      </c>
    </row>
    <row r="131">
      <c r="A131" s="25">
        <v>130.0</v>
      </c>
      <c r="B131" s="194" t="s">
        <v>247</v>
      </c>
      <c r="C131" s="196">
        <v>12.0</v>
      </c>
      <c r="D131" s="196">
        <v>12.0</v>
      </c>
      <c r="E131" s="196">
        <v>0.0</v>
      </c>
      <c r="F131" s="6"/>
      <c r="G131" s="194" t="s">
        <v>86</v>
      </c>
    </row>
    <row r="132">
      <c r="A132" s="25">
        <v>131.0</v>
      </c>
      <c r="B132" s="194" t="s">
        <v>248</v>
      </c>
      <c r="C132" s="196">
        <v>95.0</v>
      </c>
      <c r="D132" s="196">
        <v>95.0</v>
      </c>
      <c r="E132" s="196">
        <v>0.0</v>
      </c>
      <c r="F132" s="6"/>
      <c r="G132" s="194" t="s">
        <v>86</v>
      </c>
    </row>
    <row r="133">
      <c r="A133" s="25">
        <v>132.0</v>
      </c>
      <c r="B133" s="194" t="s">
        <v>249</v>
      </c>
      <c r="C133" s="196">
        <v>10.0</v>
      </c>
      <c r="D133" s="196">
        <v>10.0</v>
      </c>
      <c r="E133" s="196">
        <v>0.0</v>
      </c>
      <c r="F133" s="6"/>
      <c r="G133" s="194" t="s">
        <v>86</v>
      </c>
    </row>
    <row r="134">
      <c r="A134" s="25">
        <v>133.0</v>
      </c>
      <c r="B134" s="194" t="s">
        <v>250</v>
      </c>
      <c r="C134" s="196">
        <v>360.0</v>
      </c>
      <c r="D134" s="196">
        <v>360.0</v>
      </c>
      <c r="E134" s="196">
        <v>0.2</v>
      </c>
      <c r="F134" s="194" t="s">
        <v>251</v>
      </c>
      <c r="G134" s="194" t="s">
        <v>86</v>
      </c>
    </row>
    <row r="135">
      <c r="A135" s="25">
        <v>134.0</v>
      </c>
      <c r="B135" s="194" t="s">
        <v>252</v>
      </c>
      <c r="C135" s="196">
        <v>0.5</v>
      </c>
      <c r="D135" s="196">
        <v>0.5</v>
      </c>
      <c r="E135" s="196">
        <v>0.0</v>
      </c>
      <c r="F135" s="6"/>
      <c r="G135" s="194" t="s">
        <v>86</v>
      </c>
    </row>
    <row r="136">
      <c r="A136" s="25">
        <v>135.0</v>
      </c>
      <c r="B136" s="194" t="s">
        <v>253</v>
      </c>
      <c r="C136" s="196">
        <v>0.66</v>
      </c>
      <c r="D136" s="196">
        <v>0.66</v>
      </c>
      <c r="E136" s="196">
        <v>0.0</v>
      </c>
      <c r="F136" s="194" t="s">
        <v>254</v>
      </c>
      <c r="G136" s="194" t="s">
        <v>86</v>
      </c>
    </row>
    <row r="137">
      <c r="A137" s="25">
        <v>136.0</v>
      </c>
      <c r="B137" s="194" t="s">
        <v>255</v>
      </c>
      <c r="C137" s="196">
        <v>260.0</v>
      </c>
      <c r="D137" s="196">
        <v>260.0</v>
      </c>
      <c r="E137" s="196">
        <v>0.0</v>
      </c>
      <c r="F137" s="6"/>
      <c r="G137" s="194" t="s">
        <v>86</v>
      </c>
    </row>
    <row r="138">
      <c r="A138" s="25">
        <v>137.0</v>
      </c>
      <c r="B138" s="194" t="s">
        <v>256</v>
      </c>
      <c r="C138" s="196">
        <v>107.0</v>
      </c>
      <c r="D138" s="196">
        <v>107.0</v>
      </c>
      <c r="E138" s="196">
        <v>0.0</v>
      </c>
      <c r="F138" s="194" t="s">
        <v>257</v>
      </c>
      <c r="G138" s="194" t="s">
        <v>86</v>
      </c>
    </row>
    <row r="139">
      <c r="A139" s="25">
        <v>138.0</v>
      </c>
      <c r="B139" s="194" t="s">
        <v>258</v>
      </c>
      <c r="C139" s="196">
        <v>25.0</v>
      </c>
      <c r="D139" s="196">
        <v>25.0</v>
      </c>
      <c r="E139" s="196">
        <v>0.0</v>
      </c>
      <c r="F139" s="194" t="s">
        <v>259</v>
      </c>
      <c r="G139" s="194" t="s">
        <v>86</v>
      </c>
    </row>
    <row r="140">
      <c r="A140" s="25">
        <v>139.0</v>
      </c>
      <c r="B140" s="194" t="s">
        <v>260</v>
      </c>
      <c r="C140" s="196">
        <v>150.0</v>
      </c>
      <c r="D140" s="196">
        <v>150.0</v>
      </c>
      <c r="E140" s="196">
        <v>0.0</v>
      </c>
      <c r="F140" s="6"/>
      <c r="G140" s="194" t="s">
        <v>86</v>
      </c>
    </row>
    <row r="141">
      <c r="A141" s="25">
        <v>140.0</v>
      </c>
      <c r="B141" s="194" t="s">
        <v>261</v>
      </c>
      <c r="C141" s="196">
        <v>90.0</v>
      </c>
      <c r="D141" s="196">
        <v>60.0</v>
      </c>
      <c r="E141" s="196">
        <v>0.0</v>
      </c>
      <c r="F141" s="6"/>
      <c r="G141" s="194" t="s">
        <v>86</v>
      </c>
    </row>
    <row r="142">
      <c r="A142" s="25">
        <v>141.0</v>
      </c>
      <c r="B142" s="194" t="s">
        <v>262</v>
      </c>
      <c r="C142" s="196">
        <v>190.0</v>
      </c>
      <c r="D142" s="196">
        <v>140.0</v>
      </c>
      <c r="E142" s="196">
        <v>0.0</v>
      </c>
      <c r="F142" s="6"/>
      <c r="G142" s="194" t="s">
        <v>86</v>
      </c>
    </row>
    <row r="143">
      <c r="A143" s="25">
        <v>142.0</v>
      </c>
      <c r="B143" s="194" t="s">
        <v>263</v>
      </c>
      <c r="C143" s="196">
        <v>165.0</v>
      </c>
      <c r="D143" s="196">
        <v>110.0</v>
      </c>
      <c r="E143" s="196">
        <v>0.0</v>
      </c>
      <c r="F143" s="6"/>
      <c r="G143" s="194" t="s">
        <v>86</v>
      </c>
    </row>
    <row r="144">
      <c r="A144" s="25">
        <v>143.0</v>
      </c>
      <c r="B144" s="194" t="s">
        <v>264</v>
      </c>
      <c r="C144" s="196">
        <v>250.0</v>
      </c>
      <c r="D144" s="196">
        <v>200.0</v>
      </c>
      <c r="E144" s="196">
        <v>0.0</v>
      </c>
      <c r="F144" s="6"/>
      <c r="G144" s="194" t="s">
        <v>86</v>
      </c>
    </row>
    <row r="145">
      <c r="A145" s="25">
        <v>144.0</v>
      </c>
      <c r="B145" s="194" t="s">
        <v>265</v>
      </c>
      <c r="C145" s="196">
        <v>180.0</v>
      </c>
      <c r="D145" s="196">
        <v>120.0</v>
      </c>
      <c r="E145" s="196">
        <v>0.0</v>
      </c>
      <c r="F145" s="6"/>
      <c r="G145" s="194" t="s">
        <v>86</v>
      </c>
    </row>
    <row r="146">
      <c r="A146" s="25">
        <v>145.0</v>
      </c>
      <c r="B146" s="194" t="s">
        <v>266</v>
      </c>
      <c r="C146" s="196">
        <v>110.0</v>
      </c>
      <c r="D146" s="196">
        <v>54.0</v>
      </c>
      <c r="E146" s="196">
        <v>0.0</v>
      </c>
      <c r="F146" s="6"/>
      <c r="G146" s="194" t="s">
        <v>86</v>
      </c>
    </row>
    <row r="147">
      <c r="A147" s="25">
        <v>146.0</v>
      </c>
      <c r="B147" s="194" t="s">
        <v>267</v>
      </c>
      <c r="C147" s="196">
        <v>920.0</v>
      </c>
      <c r="D147" s="196">
        <v>920.0</v>
      </c>
      <c r="E147" s="196">
        <v>0.0</v>
      </c>
      <c r="F147" s="6"/>
      <c r="G147" s="194" t="s">
        <v>86</v>
      </c>
    </row>
    <row r="148">
      <c r="A148" s="25">
        <v>147.0</v>
      </c>
      <c r="B148" s="194" t="s">
        <v>268</v>
      </c>
      <c r="C148" s="196">
        <v>900.0</v>
      </c>
      <c r="D148" s="196">
        <v>900.0</v>
      </c>
      <c r="E148" s="196">
        <v>0.0</v>
      </c>
      <c r="F148" s="6"/>
      <c r="G148" s="194" t="s">
        <v>86</v>
      </c>
    </row>
    <row r="149">
      <c r="A149" s="25">
        <v>148.0</v>
      </c>
      <c r="B149" s="194" t="s">
        <v>269</v>
      </c>
      <c r="C149" s="196">
        <v>840.0</v>
      </c>
      <c r="D149" s="196">
        <v>840.0</v>
      </c>
      <c r="E149" s="196">
        <v>0.0</v>
      </c>
      <c r="F149" s="6"/>
      <c r="G149" s="194" t="s">
        <v>86</v>
      </c>
    </row>
    <row r="150">
      <c r="A150" s="25">
        <v>149.0</v>
      </c>
      <c r="B150" s="194" t="s">
        <v>270</v>
      </c>
      <c r="C150" s="196">
        <v>780.0</v>
      </c>
      <c r="D150" s="196">
        <v>780.0</v>
      </c>
      <c r="E150" s="196">
        <v>0.0</v>
      </c>
      <c r="F150" s="6"/>
      <c r="G150" s="194" t="s">
        <v>86</v>
      </c>
    </row>
    <row r="151">
      <c r="A151" s="25">
        <v>150.0</v>
      </c>
      <c r="B151" s="194" t="s">
        <v>271</v>
      </c>
      <c r="C151" s="196">
        <v>820.0</v>
      </c>
      <c r="D151" s="196">
        <v>820.0</v>
      </c>
      <c r="E151" s="196">
        <v>0.0</v>
      </c>
      <c r="F151" s="6"/>
      <c r="G151" s="194" t="s">
        <v>86</v>
      </c>
    </row>
    <row r="152">
      <c r="A152" s="25">
        <v>151.0</v>
      </c>
      <c r="B152" s="194" t="s">
        <v>272</v>
      </c>
      <c r="C152" s="196">
        <v>700.0</v>
      </c>
      <c r="D152" s="196">
        <v>700.0</v>
      </c>
      <c r="E152" s="196">
        <v>0.0</v>
      </c>
      <c r="F152" s="6"/>
      <c r="G152" s="194" t="s">
        <v>86</v>
      </c>
    </row>
    <row r="153">
      <c r="A153" s="25">
        <v>152.0</v>
      </c>
      <c r="B153" s="194" t="s">
        <v>273</v>
      </c>
      <c r="C153" s="196">
        <v>750.0</v>
      </c>
      <c r="D153" s="196">
        <v>750.0</v>
      </c>
      <c r="E153" s="196">
        <v>0.0</v>
      </c>
      <c r="F153" s="6"/>
      <c r="G153" s="194" t="s">
        <v>86</v>
      </c>
    </row>
    <row r="154">
      <c r="A154" s="25">
        <v>153.0</v>
      </c>
      <c r="B154" s="194" t="s">
        <v>274</v>
      </c>
      <c r="C154" s="196">
        <v>550.0</v>
      </c>
      <c r="D154" s="196">
        <v>550.0</v>
      </c>
      <c r="E154" s="196">
        <v>0.0</v>
      </c>
      <c r="F154" s="6"/>
      <c r="G154" s="194" t="s">
        <v>86</v>
      </c>
    </row>
    <row r="155">
      <c r="A155" s="25">
        <v>154.0</v>
      </c>
      <c r="B155" s="194" t="s">
        <v>275</v>
      </c>
      <c r="C155" s="196">
        <v>100.0</v>
      </c>
      <c r="D155" s="196">
        <v>100.0</v>
      </c>
      <c r="E155" s="196">
        <v>0.0</v>
      </c>
      <c r="F155" s="6"/>
      <c r="G155" s="194" t="s">
        <v>86</v>
      </c>
    </row>
    <row r="156">
      <c r="A156" s="25">
        <v>155.0</v>
      </c>
      <c r="B156" s="23" t="s">
        <v>276</v>
      </c>
      <c r="C156" s="196">
        <v>800.0</v>
      </c>
      <c r="D156" s="196">
        <v>800.0</v>
      </c>
      <c r="E156" s="196">
        <v>0.0</v>
      </c>
      <c r="F156" s="6"/>
      <c r="G156" s="194" t="s">
        <v>86</v>
      </c>
    </row>
    <row r="157">
      <c r="A157" s="25">
        <v>156.0</v>
      </c>
      <c r="B157" s="194" t="s">
        <v>277</v>
      </c>
      <c r="C157" s="196">
        <v>1500.0</v>
      </c>
      <c r="D157" s="196">
        <v>1500.0</v>
      </c>
      <c r="E157" s="196">
        <v>0.0</v>
      </c>
      <c r="F157" s="194" t="s">
        <v>278</v>
      </c>
      <c r="G157" s="194" t="s">
        <v>86</v>
      </c>
    </row>
    <row r="158">
      <c r="A158" s="25">
        <v>157.0</v>
      </c>
      <c r="B158" s="194" t="s">
        <v>279</v>
      </c>
      <c r="C158" s="196">
        <v>1770.0</v>
      </c>
      <c r="D158" s="196">
        <v>1770.0</v>
      </c>
      <c r="E158" s="196">
        <v>0.0</v>
      </c>
      <c r="F158" s="194" t="s">
        <v>278</v>
      </c>
      <c r="G158" s="194" t="s">
        <v>86</v>
      </c>
    </row>
    <row r="159">
      <c r="A159" s="25">
        <v>158.0</v>
      </c>
      <c r="B159" s="194" t="s">
        <v>280</v>
      </c>
      <c r="C159" s="196">
        <v>2350.0</v>
      </c>
      <c r="D159" s="196">
        <v>2350.0</v>
      </c>
      <c r="E159" s="196">
        <v>0.0</v>
      </c>
      <c r="F159" s="194" t="s">
        <v>278</v>
      </c>
      <c r="G159" s="194" t="s">
        <v>86</v>
      </c>
    </row>
    <row r="160">
      <c r="A160" s="25">
        <v>159.0</v>
      </c>
      <c r="B160" s="194" t="s">
        <v>281</v>
      </c>
      <c r="C160" s="196">
        <v>850.0</v>
      </c>
      <c r="D160" s="196">
        <v>850.0</v>
      </c>
      <c r="E160" s="196">
        <v>0.0</v>
      </c>
      <c r="F160" s="194" t="s">
        <v>278</v>
      </c>
      <c r="G160" s="194" t="s">
        <v>86</v>
      </c>
    </row>
    <row r="161">
      <c r="A161" s="25">
        <v>160.0</v>
      </c>
      <c r="B161" s="194" t="s">
        <v>282</v>
      </c>
      <c r="C161" s="196">
        <v>55.0</v>
      </c>
      <c r="D161" s="196">
        <v>55.0</v>
      </c>
      <c r="E161" s="196">
        <v>0.0</v>
      </c>
      <c r="F161" s="194" t="s">
        <v>278</v>
      </c>
      <c r="G161" s="194" t="s">
        <v>86</v>
      </c>
    </row>
    <row r="162">
      <c r="A162" s="25">
        <v>161.0</v>
      </c>
      <c r="B162" s="23" t="s">
        <v>283</v>
      </c>
      <c r="C162" s="195">
        <v>60.0</v>
      </c>
      <c r="D162" s="195">
        <v>60.0</v>
      </c>
      <c r="E162" s="195">
        <v>0.0</v>
      </c>
      <c r="F162" s="194" t="s">
        <v>278</v>
      </c>
      <c r="G162" s="23" t="s">
        <v>86</v>
      </c>
    </row>
    <row r="163">
      <c r="A163" s="25">
        <v>162.0</v>
      </c>
      <c r="B163" s="194" t="s">
        <v>284</v>
      </c>
      <c r="C163" s="196">
        <v>1915.0</v>
      </c>
      <c r="D163" s="196">
        <v>1915.0</v>
      </c>
      <c r="E163" s="196">
        <v>0.0</v>
      </c>
      <c r="F163" s="194" t="s">
        <v>278</v>
      </c>
      <c r="G163" s="194" t="s">
        <v>86</v>
      </c>
    </row>
    <row r="164">
      <c r="A164" s="25">
        <v>163.0</v>
      </c>
      <c r="B164" s="194" t="s">
        <v>285</v>
      </c>
      <c r="C164" s="196">
        <v>26400.0</v>
      </c>
      <c r="D164" s="196">
        <v>26400.0</v>
      </c>
      <c r="E164" s="196">
        <v>0.0</v>
      </c>
      <c r="F164" s="194" t="s">
        <v>278</v>
      </c>
      <c r="G164" s="194" t="s">
        <v>86</v>
      </c>
    </row>
    <row r="165">
      <c r="A165" s="25">
        <v>164.0</v>
      </c>
      <c r="B165" s="194" t="s">
        <v>286</v>
      </c>
      <c r="C165" s="196">
        <v>60.0</v>
      </c>
      <c r="D165" s="196">
        <v>60.0</v>
      </c>
      <c r="E165" s="196">
        <v>0.0</v>
      </c>
      <c r="F165" s="6"/>
      <c r="G165" s="194" t="s">
        <v>86</v>
      </c>
    </row>
    <row r="166">
      <c r="A166" s="25">
        <v>165.0</v>
      </c>
      <c r="B166" s="194" t="s">
        <v>287</v>
      </c>
      <c r="C166" s="196">
        <v>800.0</v>
      </c>
      <c r="D166" s="196">
        <v>800.0</v>
      </c>
      <c r="E166" s="196">
        <v>0.0</v>
      </c>
      <c r="F166" s="194" t="s">
        <v>288</v>
      </c>
      <c r="G166" s="194" t="s">
        <v>86</v>
      </c>
    </row>
    <row r="167">
      <c r="A167" s="25">
        <v>166.0</v>
      </c>
      <c r="B167" s="194" t="s">
        <v>289</v>
      </c>
      <c r="C167" s="196">
        <v>800.0</v>
      </c>
      <c r="D167" s="196">
        <v>800.0</v>
      </c>
      <c r="E167" s="196">
        <v>0.0</v>
      </c>
      <c r="F167" s="6"/>
      <c r="G167" s="194" t="s">
        <v>86</v>
      </c>
    </row>
    <row r="168">
      <c r="A168" s="25">
        <v>167.0</v>
      </c>
      <c r="B168" s="194" t="s">
        <v>290</v>
      </c>
      <c r="C168" s="196">
        <v>350.0</v>
      </c>
      <c r="D168" s="196">
        <v>350.0</v>
      </c>
      <c r="E168" s="196">
        <v>0.0</v>
      </c>
      <c r="F168" s="6"/>
      <c r="G168" s="194" t="s">
        <v>86</v>
      </c>
    </row>
    <row r="169">
      <c r="A169" s="25">
        <v>168.0</v>
      </c>
      <c r="B169" s="194" t="s">
        <v>291</v>
      </c>
      <c r="C169" s="196">
        <v>90.0</v>
      </c>
      <c r="D169" s="196">
        <v>90.0</v>
      </c>
      <c r="E169" s="196">
        <v>0.0</v>
      </c>
      <c r="F169" s="6"/>
      <c r="G169" s="194" t="s">
        <v>86</v>
      </c>
    </row>
    <row r="170">
      <c r="A170" s="25">
        <v>169.0</v>
      </c>
      <c r="B170" s="194" t="s">
        <v>292</v>
      </c>
      <c r="C170" s="196">
        <v>250.0</v>
      </c>
      <c r="D170" s="196">
        <v>250.0</v>
      </c>
      <c r="E170" s="196">
        <v>0.0</v>
      </c>
      <c r="F170" s="6"/>
      <c r="G170" s="194" t="s">
        <v>86</v>
      </c>
    </row>
    <row r="171">
      <c r="A171" s="25">
        <v>170.0</v>
      </c>
      <c r="B171" s="23" t="s">
        <v>293</v>
      </c>
      <c r="C171" s="195">
        <v>350.0</v>
      </c>
      <c r="D171" s="195">
        <v>350.0</v>
      </c>
      <c r="E171" s="195">
        <v>0.0</v>
      </c>
      <c r="F171" s="194" t="s">
        <v>294</v>
      </c>
      <c r="G171" s="194" t="s">
        <v>86</v>
      </c>
    </row>
    <row r="172">
      <c r="A172" s="25">
        <v>171.0</v>
      </c>
      <c r="B172" s="23" t="s">
        <v>295</v>
      </c>
      <c r="C172" s="195">
        <v>650.0</v>
      </c>
      <c r="D172" s="195">
        <v>650.0</v>
      </c>
      <c r="E172" s="195">
        <v>0.0</v>
      </c>
      <c r="F172" s="194" t="s">
        <v>294</v>
      </c>
      <c r="G172" s="23" t="s">
        <v>86</v>
      </c>
    </row>
    <row r="173">
      <c r="A173" s="25">
        <v>172.0</v>
      </c>
      <c r="B173" s="194" t="s">
        <v>296</v>
      </c>
      <c r="C173" s="196">
        <v>150.0</v>
      </c>
      <c r="D173" s="196">
        <v>150.0</v>
      </c>
      <c r="E173" s="196">
        <v>0.0</v>
      </c>
      <c r="F173" s="194" t="s">
        <v>297</v>
      </c>
      <c r="G173" s="194" t="s">
        <v>86</v>
      </c>
    </row>
    <row r="174">
      <c r="A174" s="25">
        <v>173.0</v>
      </c>
      <c r="B174" s="23" t="s">
        <v>298</v>
      </c>
      <c r="C174" s="195">
        <v>250.0</v>
      </c>
      <c r="D174" s="195">
        <v>250.0</v>
      </c>
      <c r="E174" s="196">
        <v>0.0</v>
      </c>
      <c r="F174" s="194" t="s">
        <v>299</v>
      </c>
      <c r="G174" s="194" t="s">
        <v>86</v>
      </c>
    </row>
    <row r="175">
      <c r="A175" s="25">
        <v>174.0</v>
      </c>
      <c r="B175" s="23" t="s">
        <v>300</v>
      </c>
      <c r="C175" s="195">
        <v>90.0</v>
      </c>
      <c r="D175" s="195">
        <v>90.0</v>
      </c>
      <c r="E175" s="196">
        <v>0.0</v>
      </c>
      <c r="F175" s="8"/>
      <c r="G175" s="194" t="s">
        <v>86</v>
      </c>
    </row>
    <row r="176">
      <c r="A176" s="25">
        <v>175.0</v>
      </c>
      <c r="B176" s="194" t="s">
        <v>301</v>
      </c>
      <c r="C176" s="196">
        <v>675.0</v>
      </c>
      <c r="D176" s="196">
        <v>675.0</v>
      </c>
      <c r="E176" s="196">
        <v>0.0</v>
      </c>
      <c r="F176" s="6"/>
      <c r="G176" s="194" t="s">
        <v>86</v>
      </c>
    </row>
    <row r="177">
      <c r="A177" s="25">
        <v>176.0</v>
      </c>
      <c r="B177" s="194" t="s">
        <v>302</v>
      </c>
      <c r="C177" s="196">
        <v>300.0</v>
      </c>
      <c r="D177" s="196">
        <v>300.0</v>
      </c>
      <c r="E177" s="196">
        <v>0.0</v>
      </c>
      <c r="F177" s="194" t="s">
        <v>303</v>
      </c>
      <c r="G177" s="194" t="s">
        <v>86</v>
      </c>
    </row>
    <row r="178">
      <c r="A178" s="25">
        <v>177.0</v>
      </c>
      <c r="B178" s="194" t="s">
        <v>304</v>
      </c>
      <c r="C178" s="196">
        <v>500.0</v>
      </c>
      <c r="D178" s="196">
        <v>500.0</v>
      </c>
      <c r="E178" s="196">
        <v>0.0</v>
      </c>
      <c r="F178" s="6"/>
      <c r="G178" s="194" t="s">
        <v>86</v>
      </c>
    </row>
    <row r="179">
      <c r="A179" s="25">
        <v>178.0</v>
      </c>
      <c r="B179" s="194" t="s">
        <v>305</v>
      </c>
      <c r="C179" s="196">
        <v>145.0</v>
      </c>
      <c r="D179" s="196">
        <v>145.0</v>
      </c>
      <c r="E179" s="196">
        <v>0.0</v>
      </c>
      <c r="F179" s="6"/>
      <c r="G179" s="194" t="s">
        <v>86</v>
      </c>
    </row>
    <row r="180">
      <c r="A180" s="25">
        <v>179.0</v>
      </c>
      <c r="B180" s="194" t="s">
        <v>306</v>
      </c>
      <c r="C180" s="196">
        <v>75.0</v>
      </c>
      <c r="D180" s="196">
        <v>75.0</v>
      </c>
      <c r="E180" s="196">
        <v>0.0</v>
      </c>
      <c r="F180" s="194" t="s">
        <v>307</v>
      </c>
      <c r="G180" s="194" t="s">
        <v>86</v>
      </c>
    </row>
    <row r="181">
      <c r="A181" s="25">
        <v>180.0</v>
      </c>
      <c r="B181" s="194" t="s">
        <v>308</v>
      </c>
      <c r="C181" s="196">
        <v>100.0</v>
      </c>
      <c r="D181" s="196">
        <v>100.0</v>
      </c>
      <c r="E181" s="196">
        <v>0.0</v>
      </c>
      <c r="F181" s="6"/>
      <c r="G181" s="194" t="s">
        <v>86</v>
      </c>
    </row>
    <row r="182">
      <c r="A182" s="25">
        <v>181.0</v>
      </c>
      <c r="B182" s="194" t="s">
        <v>309</v>
      </c>
      <c r="C182" s="196">
        <v>200.0</v>
      </c>
      <c r="D182" s="196">
        <v>200.0</v>
      </c>
      <c r="E182" s="196">
        <v>0.0</v>
      </c>
      <c r="F182" s="194" t="s">
        <v>310</v>
      </c>
      <c r="G182" s="194" t="s">
        <v>86</v>
      </c>
    </row>
    <row r="183">
      <c r="A183" s="25">
        <v>182.0</v>
      </c>
      <c r="B183" s="194" t="s">
        <v>311</v>
      </c>
      <c r="C183" s="196">
        <v>800.0</v>
      </c>
      <c r="D183" s="196">
        <v>800.0</v>
      </c>
      <c r="E183" s="196">
        <v>0.0</v>
      </c>
      <c r="F183" s="6"/>
      <c r="G183" s="194" t="s">
        <v>86</v>
      </c>
    </row>
    <row r="184">
      <c r="A184" s="25">
        <v>183.0</v>
      </c>
      <c r="B184" s="194" t="s">
        <v>312</v>
      </c>
      <c r="C184" s="196">
        <v>600.0</v>
      </c>
      <c r="D184" s="196">
        <v>600.0</v>
      </c>
      <c r="E184" s="196">
        <v>0.0</v>
      </c>
      <c r="F184" s="194" t="s">
        <v>313</v>
      </c>
      <c r="G184" s="194" t="s">
        <v>86</v>
      </c>
    </row>
    <row r="185">
      <c r="A185" s="25">
        <v>184.0</v>
      </c>
      <c r="B185" s="194" t="s">
        <v>314</v>
      </c>
      <c r="C185" s="196">
        <v>400.0</v>
      </c>
      <c r="D185" s="196">
        <v>400.0</v>
      </c>
      <c r="E185" s="196">
        <v>0.0</v>
      </c>
      <c r="F185" s="6"/>
      <c r="G185" s="194" t="s">
        <v>86</v>
      </c>
    </row>
    <row r="186">
      <c r="A186" s="25">
        <v>185.0</v>
      </c>
      <c r="B186" s="194" t="s">
        <v>315</v>
      </c>
      <c r="C186" s="196">
        <v>400.0</v>
      </c>
      <c r="D186" s="196">
        <v>400.0</v>
      </c>
      <c r="E186" s="196">
        <v>0.0</v>
      </c>
      <c r="F186" s="6"/>
      <c r="G186" s="194" t="s">
        <v>86</v>
      </c>
    </row>
    <row r="187">
      <c r="A187" s="25">
        <v>186.0</v>
      </c>
      <c r="B187" s="194" t="s">
        <v>316</v>
      </c>
      <c r="C187" s="196">
        <v>300.0</v>
      </c>
      <c r="D187" s="196">
        <v>300.0</v>
      </c>
      <c r="E187" s="196">
        <v>0.0</v>
      </c>
      <c r="F187" s="6"/>
      <c r="G187" s="194" t="s">
        <v>86</v>
      </c>
    </row>
    <row r="188">
      <c r="A188" s="25">
        <v>187.0</v>
      </c>
      <c r="B188" s="194" t="s">
        <v>317</v>
      </c>
      <c r="C188" s="196">
        <v>650.0</v>
      </c>
      <c r="D188" s="196">
        <v>650.0</v>
      </c>
      <c r="E188" s="196">
        <v>0.0</v>
      </c>
      <c r="F188" s="194" t="s">
        <v>294</v>
      </c>
      <c r="G188" s="194" t="s">
        <v>86</v>
      </c>
    </row>
    <row r="189">
      <c r="A189" s="25">
        <v>188.0</v>
      </c>
      <c r="B189" s="194" t="s">
        <v>318</v>
      </c>
      <c r="C189" s="196">
        <v>400.0</v>
      </c>
      <c r="D189" s="196">
        <v>400.0</v>
      </c>
      <c r="E189" s="196">
        <v>0.0</v>
      </c>
      <c r="F189" s="194" t="s">
        <v>294</v>
      </c>
      <c r="G189" s="194" t="s">
        <v>86</v>
      </c>
    </row>
    <row r="190">
      <c r="A190" s="25">
        <v>189.0</v>
      </c>
      <c r="B190" s="194" t="s">
        <v>319</v>
      </c>
      <c r="C190" s="195">
        <v>180.0</v>
      </c>
      <c r="D190" s="195">
        <v>180.0</v>
      </c>
      <c r="E190" s="196">
        <v>0.0</v>
      </c>
      <c r="F190" s="23" t="s">
        <v>320</v>
      </c>
      <c r="G190" s="194" t="s">
        <v>86</v>
      </c>
    </row>
    <row r="191">
      <c r="A191" s="25">
        <v>190.0</v>
      </c>
      <c r="B191" s="194" t="s">
        <v>321</v>
      </c>
      <c r="C191" s="196">
        <v>150.0</v>
      </c>
      <c r="D191" s="196">
        <v>150.0</v>
      </c>
      <c r="E191" s="196">
        <v>0.0</v>
      </c>
      <c r="F191" s="6"/>
      <c r="G191" s="194" t="s">
        <v>86</v>
      </c>
    </row>
    <row r="192">
      <c r="A192" s="25">
        <v>191.0</v>
      </c>
      <c r="B192" s="194" t="s">
        <v>322</v>
      </c>
      <c r="C192" s="196">
        <v>240.0</v>
      </c>
      <c r="D192" s="196">
        <v>240.0</v>
      </c>
      <c r="E192" s="196">
        <v>0.0</v>
      </c>
      <c r="F192" s="6"/>
      <c r="G192" s="194" t="s">
        <v>86</v>
      </c>
    </row>
    <row r="193">
      <c r="A193" s="25">
        <v>192.0</v>
      </c>
      <c r="B193" s="194" t="s">
        <v>323</v>
      </c>
      <c r="C193" s="196">
        <v>190.0</v>
      </c>
      <c r="D193" s="196">
        <v>190.0</v>
      </c>
      <c r="E193" s="196">
        <v>0.0</v>
      </c>
      <c r="F193" s="6"/>
      <c r="G193" s="194" t="s">
        <v>86</v>
      </c>
    </row>
    <row r="194">
      <c r="A194" s="25">
        <v>193.0</v>
      </c>
      <c r="B194" s="194" t="s">
        <v>324</v>
      </c>
      <c r="C194" s="196">
        <v>700.0</v>
      </c>
      <c r="D194" s="196">
        <v>700.0</v>
      </c>
      <c r="E194" s="196">
        <v>0.0</v>
      </c>
      <c r="F194" s="194" t="s">
        <v>325</v>
      </c>
      <c r="G194" s="194" t="s">
        <v>86</v>
      </c>
    </row>
    <row r="195">
      <c r="A195" s="25">
        <v>194.0</v>
      </c>
      <c r="B195" s="194" t="s">
        <v>326</v>
      </c>
      <c r="C195" s="196">
        <v>250.0</v>
      </c>
      <c r="D195" s="196">
        <v>250.0</v>
      </c>
      <c r="E195" s="196">
        <v>0.0</v>
      </c>
      <c r="F195" s="6"/>
      <c r="G195" s="194" t="s">
        <v>86</v>
      </c>
    </row>
    <row r="196">
      <c r="A196" s="25">
        <v>195.0</v>
      </c>
      <c r="B196" s="194" t="s">
        <v>327</v>
      </c>
      <c r="C196" s="196">
        <v>4.0</v>
      </c>
      <c r="D196" s="196">
        <v>4.0</v>
      </c>
      <c r="E196" s="196">
        <v>0.0</v>
      </c>
      <c r="F196" s="6"/>
      <c r="G196" s="194" t="s">
        <v>86</v>
      </c>
    </row>
    <row r="197">
      <c r="A197" s="25">
        <v>196.0</v>
      </c>
      <c r="B197" s="194" t="s">
        <v>328</v>
      </c>
      <c r="C197" s="196">
        <v>155.0</v>
      </c>
      <c r="D197" s="196">
        <v>155.0</v>
      </c>
      <c r="E197" s="196">
        <v>0.0</v>
      </c>
      <c r="F197" s="6"/>
      <c r="G197" s="194" t="s">
        <v>86</v>
      </c>
    </row>
    <row r="198">
      <c r="A198" s="25">
        <v>197.0</v>
      </c>
      <c r="B198" s="194" t="s">
        <v>329</v>
      </c>
      <c r="C198" s="196">
        <v>800.0</v>
      </c>
      <c r="D198" s="196">
        <v>800.0</v>
      </c>
      <c r="E198" s="196">
        <v>0.0</v>
      </c>
      <c r="F198" s="6"/>
      <c r="G198" s="194" t="s">
        <v>86</v>
      </c>
    </row>
    <row r="199">
      <c r="A199" s="25">
        <v>198.0</v>
      </c>
      <c r="B199" s="194" t="s">
        <v>330</v>
      </c>
      <c r="C199" s="196">
        <v>450.0</v>
      </c>
      <c r="D199" s="196">
        <v>450.0</v>
      </c>
      <c r="E199" s="196">
        <v>0.0</v>
      </c>
      <c r="F199" s="6"/>
      <c r="G199" s="194" t="s">
        <v>86</v>
      </c>
    </row>
    <row r="200">
      <c r="A200" s="25">
        <v>199.0</v>
      </c>
      <c r="B200" s="194" t="s">
        <v>331</v>
      </c>
      <c r="C200" s="196">
        <v>800.0</v>
      </c>
      <c r="D200" s="196">
        <v>800.0</v>
      </c>
      <c r="E200" s="196">
        <v>0.0</v>
      </c>
      <c r="F200" s="6"/>
      <c r="G200" s="194" t="s">
        <v>86</v>
      </c>
    </row>
    <row r="201">
      <c r="A201" s="25">
        <v>200.0</v>
      </c>
      <c r="B201" s="194" t="s">
        <v>332</v>
      </c>
      <c r="C201" s="196">
        <v>450.0</v>
      </c>
      <c r="D201" s="196">
        <v>450.0</v>
      </c>
      <c r="E201" s="196">
        <v>0.0</v>
      </c>
      <c r="F201" s="6"/>
      <c r="G201" s="194" t="s">
        <v>86</v>
      </c>
    </row>
    <row r="202">
      <c r="A202" s="25">
        <v>201.0</v>
      </c>
      <c r="B202" s="194" t="s">
        <v>333</v>
      </c>
      <c r="C202" s="196">
        <v>150.0</v>
      </c>
      <c r="D202" s="196">
        <v>150.0</v>
      </c>
      <c r="E202" s="196">
        <v>0.0</v>
      </c>
      <c r="F202" s="6"/>
      <c r="G202" s="194" t="s">
        <v>86</v>
      </c>
    </row>
    <row r="203">
      <c r="A203" s="25">
        <v>202.0</v>
      </c>
      <c r="B203" s="194" t="s">
        <v>334</v>
      </c>
      <c r="C203" s="196">
        <v>1500.0</v>
      </c>
      <c r="D203" s="196">
        <v>3.5</v>
      </c>
      <c r="E203" s="196">
        <v>0.0</v>
      </c>
      <c r="F203" s="194" t="s">
        <v>335</v>
      </c>
      <c r="G203" s="194" t="s">
        <v>86</v>
      </c>
    </row>
    <row r="204">
      <c r="A204" s="25">
        <v>203.0</v>
      </c>
      <c r="B204" s="23" t="s">
        <v>336</v>
      </c>
      <c r="C204" s="195">
        <v>540.0</v>
      </c>
      <c r="D204" s="195">
        <v>540.0</v>
      </c>
      <c r="E204" s="196">
        <v>0.0</v>
      </c>
      <c r="F204" s="8"/>
      <c r="G204" s="194" t="s">
        <v>86</v>
      </c>
    </row>
    <row r="205">
      <c r="A205" s="25">
        <v>204.0</v>
      </c>
      <c r="B205" s="23" t="s">
        <v>337</v>
      </c>
      <c r="C205" s="195">
        <v>160.0</v>
      </c>
      <c r="D205" s="195">
        <v>160.0</v>
      </c>
      <c r="E205" s="196">
        <v>0.0</v>
      </c>
      <c r="F205" s="6"/>
      <c r="G205" s="194" t="s">
        <v>86</v>
      </c>
    </row>
    <row r="206">
      <c r="A206" s="25">
        <v>205.0</v>
      </c>
      <c r="B206" s="23" t="s">
        <v>338</v>
      </c>
      <c r="C206" s="195">
        <v>200.0</v>
      </c>
      <c r="D206" s="195">
        <v>200.0</v>
      </c>
      <c r="E206" s="196">
        <v>0.0</v>
      </c>
      <c r="F206" s="6"/>
      <c r="G206" s="194" t="s">
        <v>86</v>
      </c>
    </row>
    <row r="207">
      <c r="A207" s="25">
        <v>206.0</v>
      </c>
      <c r="B207" s="23" t="s">
        <v>339</v>
      </c>
      <c r="C207" s="195">
        <v>300.0</v>
      </c>
      <c r="D207" s="195">
        <v>300.0</v>
      </c>
      <c r="E207" s="196">
        <v>0.0</v>
      </c>
      <c r="F207" s="6"/>
      <c r="G207" s="194" t="s">
        <v>86</v>
      </c>
    </row>
    <row r="208">
      <c r="A208" s="25">
        <v>207.0</v>
      </c>
      <c r="B208" s="23" t="s">
        <v>340</v>
      </c>
      <c r="C208" s="195">
        <v>1500.0</v>
      </c>
      <c r="D208" s="195">
        <v>30.0</v>
      </c>
      <c r="E208" s="196">
        <v>0.0</v>
      </c>
      <c r="F208" s="194" t="s">
        <v>335</v>
      </c>
      <c r="G208" s="194" t="s">
        <v>86</v>
      </c>
    </row>
    <row r="209">
      <c r="A209" s="25">
        <v>208.0</v>
      </c>
      <c r="B209" s="23" t="s">
        <v>341</v>
      </c>
      <c r="C209" s="195">
        <v>500.0</v>
      </c>
      <c r="D209" s="195">
        <v>500.0</v>
      </c>
      <c r="E209" s="196">
        <v>0.0</v>
      </c>
      <c r="F209" s="6"/>
      <c r="G209" s="194" t="s">
        <v>86</v>
      </c>
    </row>
    <row r="210">
      <c r="A210" s="25">
        <v>209.0</v>
      </c>
      <c r="B210" s="23" t="s">
        <v>342</v>
      </c>
      <c r="C210" s="195">
        <v>270.0</v>
      </c>
      <c r="D210" s="195">
        <v>270.0</v>
      </c>
      <c r="E210" s="196">
        <v>0.0</v>
      </c>
      <c r="F210" s="194" t="s">
        <v>325</v>
      </c>
      <c r="G210" s="194" t="s">
        <v>86</v>
      </c>
    </row>
    <row r="211">
      <c r="A211" s="25">
        <v>210.0</v>
      </c>
      <c r="B211" s="23" t="s">
        <v>343</v>
      </c>
      <c r="C211" s="195">
        <v>400.0</v>
      </c>
      <c r="D211" s="195">
        <v>400.0</v>
      </c>
      <c r="E211" s="196">
        <v>0.0</v>
      </c>
      <c r="F211" s="194" t="s">
        <v>325</v>
      </c>
      <c r="G211" s="194" t="s">
        <v>86</v>
      </c>
    </row>
    <row r="212">
      <c r="A212" s="25">
        <v>211.0</v>
      </c>
      <c r="B212" s="23" t="s">
        <v>344</v>
      </c>
      <c r="C212" s="195">
        <v>600.0</v>
      </c>
      <c r="D212" s="195">
        <v>600.0</v>
      </c>
      <c r="E212" s="196">
        <v>0.0</v>
      </c>
      <c r="F212" s="6"/>
      <c r="G212" s="194" t="s">
        <v>86</v>
      </c>
    </row>
    <row r="213">
      <c r="A213" s="25">
        <v>212.0</v>
      </c>
      <c r="B213" s="23" t="s">
        <v>345</v>
      </c>
      <c r="C213" s="195">
        <v>60.0</v>
      </c>
      <c r="D213" s="195">
        <v>60.0</v>
      </c>
      <c r="E213" s="196">
        <v>0.0</v>
      </c>
      <c r="F213" s="6"/>
      <c r="G213" s="194" t="s">
        <v>86</v>
      </c>
    </row>
    <row r="214">
      <c r="A214" s="25">
        <v>213.0</v>
      </c>
      <c r="B214" s="23" t="s">
        <v>346</v>
      </c>
      <c r="C214" s="195">
        <v>750.0</v>
      </c>
      <c r="D214" s="195">
        <v>750.0</v>
      </c>
      <c r="E214" s="196">
        <v>0.0</v>
      </c>
      <c r="F214" s="8"/>
      <c r="G214" s="194" t="s">
        <v>86</v>
      </c>
    </row>
    <row r="215">
      <c r="A215" s="25">
        <v>214.0</v>
      </c>
      <c r="B215" s="23" t="s">
        <v>347</v>
      </c>
      <c r="C215" s="195">
        <v>350.0</v>
      </c>
      <c r="D215" s="195">
        <v>350.0</v>
      </c>
      <c r="E215" s="196">
        <v>0.0</v>
      </c>
      <c r="F215" s="8"/>
      <c r="G215" s="194" t="s">
        <v>86</v>
      </c>
    </row>
    <row r="216">
      <c r="A216" s="25">
        <v>215.0</v>
      </c>
      <c r="B216" s="23" t="s">
        <v>348</v>
      </c>
      <c r="C216" s="195">
        <v>60.0</v>
      </c>
      <c r="D216" s="195">
        <v>60.0</v>
      </c>
      <c r="E216" s="196">
        <v>0.0</v>
      </c>
      <c r="F216" s="23" t="s">
        <v>278</v>
      </c>
      <c r="G216" s="194" t="s">
        <v>86</v>
      </c>
    </row>
    <row r="217">
      <c r="A217" s="25">
        <v>216.0</v>
      </c>
      <c r="B217" s="23" t="s">
        <v>349</v>
      </c>
      <c r="C217" s="195">
        <v>240.0</v>
      </c>
      <c r="D217" s="195">
        <v>240.0</v>
      </c>
      <c r="E217" s="196">
        <v>0.0</v>
      </c>
      <c r="F217" s="23" t="s">
        <v>350</v>
      </c>
      <c r="G217" s="194" t="s">
        <v>86</v>
      </c>
    </row>
    <row r="218">
      <c r="A218" s="25">
        <v>217.0</v>
      </c>
      <c r="B218" s="23" t="s">
        <v>351</v>
      </c>
      <c r="C218" s="195">
        <v>125.0</v>
      </c>
      <c r="D218" s="195">
        <v>125.0</v>
      </c>
      <c r="E218" s="196">
        <v>0.0</v>
      </c>
      <c r="F218" s="8"/>
      <c r="G218" s="194" t="s">
        <v>86</v>
      </c>
    </row>
    <row r="219">
      <c r="A219" s="25">
        <v>218.0</v>
      </c>
      <c r="B219" s="23" t="s">
        <v>352</v>
      </c>
      <c r="C219" s="195">
        <v>960.0</v>
      </c>
      <c r="D219" s="195">
        <v>960.0</v>
      </c>
      <c r="E219" s="196">
        <v>0.0</v>
      </c>
      <c r="F219" s="23" t="s">
        <v>353</v>
      </c>
      <c r="G219" s="194" t="s">
        <v>86</v>
      </c>
    </row>
    <row r="220">
      <c r="A220" s="25">
        <v>219.0</v>
      </c>
      <c r="B220" s="23" t="s">
        <v>354</v>
      </c>
      <c r="C220" s="195">
        <v>360.0</v>
      </c>
      <c r="D220" s="195">
        <v>360.0</v>
      </c>
      <c r="E220" s="196">
        <v>0.0</v>
      </c>
      <c r="F220" s="23" t="s">
        <v>355</v>
      </c>
      <c r="G220" s="194" t="s">
        <v>86</v>
      </c>
    </row>
    <row r="221">
      <c r="A221" s="25">
        <v>220.0</v>
      </c>
      <c r="B221" s="23" t="s">
        <v>356</v>
      </c>
      <c r="C221" s="195">
        <v>250.0</v>
      </c>
      <c r="D221" s="195">
        <v>250.0</v>
      </c>
      <c r="E221" s="196">
        <v>0.0</v>
      </c>
      <c r="F221" s="8"/>
      <c r="G221" s="194" t="s">
        <v>86</v>
      </c>
    </row>
    <row r="222">
      <c r="A222" s="25">
        <v>221.0</v>
      </c>
      <c r="B222" s="23" t="s">
        <v>357</v>
      </c>
      <c r="C222" s="195">
        <v>250.0</v>
      </c>
      <c r="D222" s="195">
        <v>250.0</v>
      </c>
      <c r="E222" s="196">
        <v>0.0</v>
      </c>
      <c r="F222" s="8"/>
      <c r="G222" s="194" t="s">
        <v>86</v>
      </c>
    </row>
    <row r="223">
      <c r="A223" s="25">
        <v>222.0</v>
      </c>
      <c r="B223" s="23" t="s">
        <v>358</v>
      </c>
      <c r="C223" s="195">
        <v>250.0</v>
      </c>
      <c r="D223" s="195">
        <v>250.0</v>
      </c>
      <c r="E223" s="196">
        <v>0.0</v>
      </c>
      <c r="F223" s="8"/>
      <c r="G223" s="194" t="s">
        <v>86</v>
      </c>
    </row>
    <row r="224">
      <c r="A224" s="25">
        <v>223.0</v>
      </c>
      <c r="B224" s="23" t="s">
        <v>359</v>
      </c>
      <c r="C224" s="195">
        <v>250.0</v>
      </c>
      <c r="D224" s="195">
        <v>250.0</v>
      </c>
      <c r="E224" s="196">
        <v>0.0</v>
      </c>
      <c r="F224" s="8"/>
      <c r="G224" s="194" t="s">
        <v>86</v>
      </c>
    </row>
    <row r="225">
      <c r="A225" s="25">
        <v>224.0</v>
      </c>
      <c r="B225" s="23" t="s">
        <v>360</v>
      </c>
      <c r="C225" s="195">
        <v>250.0</v>
      </c>
      <c r="D225" s="195">
        <v>250.0</v>
      </c>
      <c r="E225" s="196">
        <v>0.0</v>
      </c>
      <c r="F225" s="8"/>
      <c r="G225" s="194" t="s">
        <v>86</v>
      </c>
    </row>
    <row r="226">
      <c r="A226" s="25">
        <v>225.0</v>
      </c>
      <c r="B226" s="23" t="s">
        <v>361</v>
      </c>
      <c r="C226" s="195">
        <v>250.0</v>
      </c>
      <c r="D226" s="195">
        <v>250.0</v>
      </c>
      <c r="E226" s="196">
        <v>0.0</v>
      </c>
      <c r="F226" s="8"/>
      <c r="G226" s="194" t="s">
        <v>86</v>
      </c>
    </row>
    <row r="227">
      <c r="A227" s="25">
        <v>226.0</v>
      </c>
      <c r="B227" s="23" t="s">
        <v>362</v>
      </c>
      <c r="C227" s="195">
        <v>500.0</v>
      </c>
      <c r="D227" s="195">
        <v>500.0</v>
      </c>
      <c r="E227" s="196">
        <v>0.0</v>
      </c>
      <c r="F227" s="8"/>
      <c r="G227" s="194" t="s">
        <v>86</v>
      </c>
    </row>
    <row r="228">
      <c r="A228" s="25">
        <v>227.0</v>
      </c>
      <c r="B228" s="23" t="s">
        <v>363</v>
      </c>
      <c r="C228" s="195">
        <v>192.0</v>
      </c>
      <c r="D228" s="195">
        <v>192.0</v>
      </c>
      <c r="E228" s="196">
        <v>0.0</v>
      </c>
      <c r="F228" s="8"/>
      <c r="G228" s="194" t="s">
        <v>86</v>
      </c>
    </row>
    <row r="229">
      <c r="A229" s="25">
        <v>228.0</v>
      </c>
      <c r="B229" s="23" t="s">
        <v>364</v>
      </c>
      <c r="C229" s="195">
        <v>84.0</v>
      </c>
      <c r="D229" s="195">
        <v>84.0</v>
      </c>
      <c r="E229" s="196">
        <v>0.0</v>
      </c>
      <c r="F229" s="8"/>
      <c r="G229" s="194" t="s">
        <v>86</v>
      </c>
    </row>
    <row r="230">
      <c r="A230" s="25">
        <v>229.0</v>
      </c>
      <c r="B230" s="23" t="s">
        <v>365</v>
      </c>
      <c r="C230" s="195">
        <v>85.0</v>
      </c>
      <c r="D230" s="195">
        <v>85.0</v>
      </c>
      <c r="E230" s="196">
        <v>0.0</v>
      </c>
      <c r="F230" s="23" t="s">
        <v>366</v>
      </c>
      <c r="G230" s="194" t="s">
        <v>86</v>
      </c>
    </row>
    <row r="231">
      <c r="A231" s="25">
        <v>230.0</v>
      </c>
      <c r="B231" s="23" t="s">
        <v>367</v>
      </c>
      <c r="C231" s="195">
        <v>75.0</v>
      </c>
      <c r="D231" s="195">
        <v>75.0</v>
      </c>
      <c r="E231" s="196">
        <v>0.0</v>
      </c>
      <c r="F231" s="23" t="s">
        <v>366</v>
      </c>
      <c r="G231" s="194" t="s">
        <v>86</v>
      </c>
    </row>
    <row r="232">
      <c r="A232" s="25">
        <v>231.0</v>
      </c>
      <c r="B232" s="23" t="s">
        <v>368</v>
      </c>
      <c r="C232" s="195">
        <v>1700.0</v>
      </c>
      <c r="D232" s="195">
        <v>1700.0</v>
      </c>
      <c r="E232" s="196">
        <v>0.0</v>
      </c>
      <c r="F232" s="8"/>
      <c r="G232" s="194" t="s">
        <v>86</v>
      </c>
    </row>
    <row r="233">
      <c r="A233" s="25">
        <v>232.0</v>
      </c>
      <c r="B233" s="23" t="s">
        <v>369</v>
      </c>
      <c r="C233" s="195">
        <v>250.0</v>
      </c>
      <c r="D233" s="195">
        <v>250.0</v>
      </c>
      <c r="E233" s="196">
        <v>0.0</v>
      </c>
      <c r="F233" s="8"/>
      <c r="G233" s="194" t="s">
        <v>86</v>
      </c>
    </row>
    <row r="234">
      <c r="A234" s="25">
        <v>233.0</v>
      </c>
      <c r="B234" s="23" t="s">
        <v>370</v>
      </c>
      <c r="C234" s="195">
        <v>20.0</v>
      </c>
      <c r="D234" s="195">
        <v>20.0</v>
      </c>
      <c r="E234" s="196">
        <v>0.0</v>
      </c>
      <c r="F234" s="23" t="s">
        <v>371</v>
      </c>
      <c r="G234" s="194" t="s">
        <v>86</v>
      </c>
    </row>
    <row r="235">
      <c r="A235" s="25">
        <v>234.0</v>
      </c>
      <c r="B235" s="23" t="s">
        <v>372</v>
      </c>
      <c r="C235" s="195">
        <v>500.0</v>
      </c>
      <c r="D235" s="195">
        <v>500.0</v>
      </c>
      <c r="E235" s="196">
        <v>0.0</v>
      </c>
      <c r="F235" s="8"/>
      <c r="G235" s="194" t="s">
        <v>86</v>
      </c>
    </row>
    <row r="236">
      <c r="A236" s="25">
        <v>235.0</v>
      </c>
      <c r="B236" s="23" t="s">
        <v>373</v>
      </c>
      <c r="C236" s="195">
        <v>400.0</v>
      </c>
      <c r="D236" s="195">
        <v>400.0</v>
      </c>
      <c r="E236" s="196">
        <v>0.0</v>
      </c>
      <c r="F236" s="8"/>
      <c r="G236" s="194" t="s">
        <v>86</v>
      </c>
    </row>
    <row r="237">
      <c r="A237" s="25">
        <v>236.0</v>
      </c>
      <c r="B237" s="23" t="s">
        <v>374</v>
      </c>
      <c r="C237" s="195">
        <v>300.0</v>
      </c>
      <c r="D237" s="195">
        <v>300.0</v>
      </c>
      <c r="E237" s="196">
        <v>0.0</v>
      </c>
      <c r="F237" s="8"/>
      <c r="G237" s="194" t="s">
        <v>86</v>
      </c>
    </row>
    <row r="238">
      <c r="A238" s="25">
        <v>237.0</v>
      </c>
      <c r="B238" s="23" t="s">
        <v>375</v>
      </c>
      <c r="C238" s="195">
        <v>200.0</v>
      </c>
      <c r="D238" s="195">
        <v>200.0</v>
      </c>
      <c r="E238" s="196">
        <v>0.0</v>
      </c>
      <c r="F238" s="8"/>
      <c r="G238" s="194" t="s">
        <v>86</v>
      </c>
    </row>
    <row r="239">
      <c r="A239" s="25">
        <v>238.0</v>
      </c>
      <c r="B239" s="23" t="s">
        <v>376</v>
      </c>
      <c r="C239" s="195">
        <v>450.0</v>
      </c>
      <c r="D239" s="195">
        <v>450.0</v>
      </c>
      <c r="E239" s="196">
        <v>0.0</v>
      </c>
      <c r="F239" s="23" t="s">
        <v>377</v>
      </c>
      <c r="G239" s="194" t="s">
        <v>86</v>
      </c>
    </row>
    <row r="240">
      <c r="A240" s="25">
        <v>239.0</v>
      </c>
      <c r="B240" s="23" t="s">
        <v>378</v>
      </c>
      <c r="C240" s="195">
        <v>900.0</v>
      </c>
      <c r="D240" s="195">
        <v>900.0</v>
      </c>
      <c r="E240" s="196">
        <v>0.0</v>
      </c>
      <c r="F240" s="8"/>
      <c r="G240" s="194" t="s">
        <v>86</v>
      </c>
    </row>
    <row r="241">
      <c r="A241" s="25">
        <v>240.0</v>
      </c>
      <c r="B241" s="23" t="s">
        <v>379</v>
      </c>
      <c r="C241" s="195">
        <v>400.0</v>
      </c>
      <c r="D241" s="195">
        <v>400.0</v>
      </c>
      <c r="E241" s="196">
        <v>0.0</v>
      </c>
      <c r="F241" s="8"/>
      <c r="G241" s="194" t="s">
        <v>86</v>
      </c>
    </row>
    <row r="242">
      <c r="A242" s="25">
        <v>241.0</v>
      </c>
      <c r="B242" s="23" t="s">
        <v>380</v>
      </c>
      <c r="C242" s="195">
        <v>240.0</v>
      </c>
      <c r="D242" s="195">
        <v>240.0</v>
      </c>
      <c r="E242" s="196">
        <v>0.0</v>
      </c>
      <c r="F242" s="8"/>
      <c r="G242" s="194" t="s">
        <v>86</v>
      </c>
    </row>
    <row r="243">
      <c r="A243" s="25">
        <v>242.0</v>
      </c>
      <c r="B243" s="23" t="s">
        <v>381</v>
      </c>
      <c r="C243" s="195">
        <v>30.0</v>
      </c>
      <c r="D243" s="195">
        <v>30.0</v>
      </c>
      <c r="E243" s="196">
        <v>0.0</v>
      </c>
      <c r="F243" s="8"/>
      <c r="G243" s="194" t="s">
        <v>86</v>
      </c>
    </row>
    <row r="244">
      <c r="A244" s="25">
        <v>243.0</v>
      </c>
      <c r="B244" s="23" t="s">
        <v>382</v>
      </c>
      <c r="C244" s="195">
        <v>7.0</v>
      </c>
      <c r="D244" s="195">
        <v>7.0</v>
      </c>
      <c r="E244" s="196">
        <v>0.0</v>
      </c>
      <c r="F244" s="23" t="s">
        <v>383</v>
      </c>
      <c r="G244" s="194" t="s">
        <v>86</v>
      </c>
    </row>
    <row r="245">
      <c r="A245" s="25">
        <v>244.0</v>
      </c>
      <c r="B245" s="23" t="s">
        <v>384</v>
      </c>
      <c r="C245" s="195">
        <v>450.0</v>
      </c>
      <c r="D245" s="195">
        <v>450.0</v>
      </c>
      <c r="E245" s="196">
        <v>0.0</v>
      </c>
      <c r="F245" s="8"/>
      <c r="G245" s="194" t="s">
        <v>86</v>
      </c>
    </row>
    <row r="246">
      <c r="A246" s="25">
        <v>245.0</v>
      </c>
      <c r="B246" s="23" t="s">
        <v>385</v>
      </c>
      <c r="C246" s="195">
        <v>540.0</v>
      </c>
      <c r="D246" s="195">
        <v>540.0</v>
      </c>
      <c r="E246" s="196">
        <v>0.0</v>
      </c>
      <c r="F246" s="8"/>
      <c r="G246" s="194" t="s">
        <v>86</v>
      </c>
    </row>
    <row r="247">
      <c r="A247" s="25">
        <v>246.0</v>
      </c>
      <c r="B247" s="23" t="s">
        <v>386</v>
      </c>
      <c r="C247" s="195">
        <v>1500.0</v>
      </c>
      <c r="D247" s="195">
        <v>6.0</v>
      </c>
      <c r="E247" s="196">
        <v>0.0</v>
      </c>
      <c r="F247" s="23" t="s">
        <v>387</v>
      </c>
      <c r="G247" s="194" t="s">
        <v>86</v>
      </c>
    </row>
    <row r="248">
      <c r="A248" s="25">
        <v>247.0</v>
      </c>
      <c r="B248" s="23" t="s">
        <v>388</v>
      </c>
      <c r="C248" s="195">
        <v>230.0</v>
      </c>
      <c r="D248" s="195">
        <v>230.0</v>
      </c>
      <c r="E248" s="196">
        <v>0.0</v>
      </c>
      <c r="F248" s="8"/>
      <c r="G248" s="194" t="s">
        <v>86</v>
      </c>
    </row>
    <row r="249">
      <c r="A249" s="25">
        <v>248.0</v>
      </c>
      <c r="B249" s="23" t="s">
        <v>389</v>
      </c>
      <c r="C249" s="195">
        <v>500.0</v>
      </c>
      <c r="D249" s="195">
        <v>500.0</v>
      </c>
      <c r="E249" s="196">
        <v>0.0</v>
      </c>
      <c r="F249" s="8"/>
      <c r="G249" s="194" t="s">
        <v>86</v>
      </c>
    </row>
    <row r="250">
      <c r="A250" s="25">
        <v>249.0</v>
      </c>
      <c r="B250" s="23" t="s">
        <v>390</v>
      </c>
      <c r="C250" s="195">
        <v>0.4</v>
      </c>
      <c r="D250" s="195">
        <v>0.3</v>
      </c>
      <c r="E250" s="196">
        <v>0.0</v>
      </c>
      <c r="F250" s="23" t="s">
        <v>391</v>
      </c>
      <c r="G250" s="194" t="s">
        <v>86</v>
      </c>
    </row>
    <row r="251">
      <c r="A251" s="25">
        <v>250.0</v>
      </c>
      <c r="B251" s="23" t="s">
        <v>392</v>
      </c>
      <c r="C251" s="195">
        <v>1800.0</v>
      </c>
      <c r="D251" s="195">
        <v>235.0</v>
      </c>
      <c r="E251" s="196">
        <v>0.0</v>
      </c>
      <c r="F251" s="23" t="s">
        <v>393</v>
      </c>
      <c r="G251" s="194" t="s">
        <v>86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0.88"/>
    <col customWidth="1" min="2" max="2" width="40.13"/>
    <col customWidth="1" min="3" max="3" width="25.13"/>
    <col customWidth="1" min="4" max="4" width="12.63"/>
    <col customWidth="1" min="5" max="5" width="18.88"/>
    <col customWidth="1" hidden="1" min="6" max="6" width="18.88"/>
  </cols>
  <sheetData>
    <row r="1">
      <c r="A1" s="27" t="s">
        <v>394</v>
      </c>
      <c r="B1" s="27" t="s">
        <v>395</v>
      </c>
      <c r="C1" s="27" t="s">
        <v>396</v>
      </c>
      <c r="D1" s="198" t="s">
        <v>397</v>
      </c>
      <c r="E1" s="198" t="s">
        <v>398</v>
      </c>
      <c r="F1" s="27" t="s">
        <v>399</v>
      </c>
    </row>
    <row r="2">
      <c r="A2" s="199"/>
      <c r="B2" s="199"/>
      <c r="C2" s="27" t="str">
        <f>IFERROR(__xludf.DUMMYFUNCTION("CONCAT(CONCAT(TO_TEXT(COUNTIF($C$3:$C1694, ""=TRUE"")), CONCAT("" / "", TO_TEXT(COUNTA($C$3:$C1694)))), CONCAT("" ("", CONCAT(TO_TEXT(TRUNC(100 * COUNTIF($C$3:$C1694, ""=TRUE"") / COUNTA($C$3:$C1694), 2)), ""%)"")))"),"0 / 1692 (0%)")</f>
        <v>0 / 1692 (0%)</v>
      </c>
      <c r="D2" s="198" t="s">
        <v>400</v>
      </c>
      <c r="E2" s="198" t="s">
        <v>401</v>
      </c>
      <c r="F2" s="199"/>
    </row>
    <row r="3">
      <c r="A3" s="26">
        <v>13262.0</v>
      </c>
      <c r="B3" s="23" t="s">
        <v>402</v>
      </c>
      <c r="C3" s="200" t="b">
        <f>IF($D3, TRUE, IF(ISERROR('API import'!$A$1), FALSE, COUNTIF('API import'!$A:$A, $A3)&gt;0))</f>
        <v>0</v>
      </c>
      <c r="D3" s="195" t="b">
        <v>0</v>
      </c>
      <c r="E3" s="195">
        <v>7.0</v>
      </c>
      <c r="F3" s="201">
        <f>COUNTIF('Activity map'!$C:$C, $A3)</f>
        <v>1</v>
      </c>
    </row>
    <row r="4">
      <c r="A4" s="26">
        <v>25624.0</v>
      </c>
      <c r="B4" s="23" t="s">
        <v>403</v>
      </c>
      <c r="C4" s="202" t="b">
        <f>IF($D4, TRUE, IF(ISERROR('API import'!$A$1), FALSE, COUNTIF('API import'!$A:$A, $A4)&gt;0))</f>
        <v>0</v>
      </c>
      <c r="D4" s="195" t="b">
        <v>0</v>
      </c>
      <c r="E4" s="195">
        <v>5.0</v>
      </c>
      <c r="F4" s="201">
        <f>COUNTIF('Activity map'!$C:$C, $A4)</f>
        <v>1</v>
      </c>
    </row>
    <row r="5">
      <c r="A5" s="26">
        <v>7979.0</v>
      </c>
      <c r="B5" s="23" t="s">
        <v>404</v>
      </c>
      <c r="C5" s="202" t="b">
        <f>IF($D5, TRUE, IF(ISERROR('API import'!$A$1), FALSE, COUNTIF('API import'!$A:$A, $A5)&gt;0))</f>
        <v>0</v>
      </c>
      <c r="D5" s="195" t="b">
        <v>0</v>
      </c>
      <c r="E5" s="195">
        <v>5.0</v>
      </c>
      <c r="F5" s="203">
        <f>COUNTIF('Activity map'!$C:$C, $A5)</f>
        <v>2</v>
      </c>
    </row>
    <row r="6">
      <c r="A6" s="26">
        <v>13274.0</v>
      </c>
      <c r="B6" s="23" t="s">
        <v>405</v>
      </c>
      <c r="C6" s="200" t="b">
        <f>IF($D6, TRUE, IF(ISERROR('API import'!$A$1), FALSE, COUNTIF('API import'!$A:$A, $A6)&gt;0))</f>
        <v>0</v>
      </c>
      <c r="D6" s="195" t="b">
        <v>0</v>
      </c>
      <c r="E6" s="195">
        <v>6.0</v>
      </c>
      <c r="F6" s="201">
        <f>COUNTIF('Activity map'!$C:$C, $A6)</f>
        <v>1</v>
      </c>
    </row>
    <row r="7">
      <c r="A7" s="26">
        <v>13275.0</v>
      </c>
      <c r="B7" s="23" t="s">
        <v>406</v>
      </c>
      <c r="C7" s="200" t="b">
        <f>IF($D7, TRUE, IF(ISERROR('API import'!$A$1), FALSE, COUNTIF('API import'!$A:$A, $A7)&gt;0))</f>
        <v>0</v>
      </c>
      <c r="D7" s="195" t="b">
        <v>0</v>
      </c>
      <c r="E7" s="195">
        <v>6.0</v>
      </c>
      <c r="F7" s="201">
        <f>COUNTIF('Activity map'!$C:$C, $A7)</f>
        <v>1</v>
      </c>
    </row>
    <row r="8">
      <c r="A8" s="26">
        <v>13276.0</v>
      </c>
      <c r="B8" s="23" t="s">
        <v>407</v>
      </c>
      <c r="C8" s="200" t="b">
        <f>IF($D8, TRUE, IF(ISERROR('API import'!$A$1), FALSE, COUNTIF('API import'!$A:$A, $A8)&gt;0))</f>
        <v>0</v>
      </c>
      <c r="D8" s="195" t="b">
        <v>0</v>
      </c>
      <c r="E8" s="195">
        <v>6.0</v>
      </c>
      <c r="F8" s="201">
        <f>COUNTIF('Activity map'!$C:$C, $A8)</f>
        <v>1</v>
      </c>
    </row>
    <row r="9">
      <c r="A9" s="26">
        <v>13277.0</v>
      </c>
      <c r="B9" s="23" t="s">
        <v>408</v>
      </c>
      <c r="C9" s="200" t="b">
        <f>IF($D9, TRUE, IF(ISERROR('API import'!$A$1), FALSE, COUNTIF('API import'!$A:$A, $A9)&gt;0))</f>
        <v>0</v>
      </c>
      <c r="D9" s="195" t="b">
        <v>0</v>
      </c>
      <c r="E9" s="195">
        <v>6.0</v>
      </c>
      <c r="F9" s="201">
        <f>COUNTIF('Activity map'!$C:$C, $A9)</f>
        <v>1</v>
      </c>
    </row>
    <row r="10">
      <c r="A10" s="26">
        <v>13265.0</v>
      </c>
      <c r="B10" s="23" t="s">
        <v>409</v>
      </c>
      <c r="C10" s="200" t="b">
        <f>IF($D10, TRUE, IF(ISERROR('API import'!$A$1), FALSE, COUNTIF('API import'!$A:$A, $A10)&gt;0))</f>
        <v>0</v>
      </c>
      <c r="D10" s="195" t="b">
        <v>0</v>
      </c>
      <c r="E10" s="195">
        <v>6.0</v>
      </c>
      <c r="F10" s="203">
        <f>COUNTIF('Activity map'!$C:$C, $A10)</f>
        <v>2</v>
      </c>
    </row>
    <row r="11">
      <c r="A11" s="26">
        <v>4151.0</v>
      </c>
      <c r="B11" s="23" t="s">
        <v>410</v>
      </c>
      <c r="C11" s="200" t="b">
        <f>IF($D11, TRUE, IF(ISERROR('API import'!$A$1), FALSE, COUNTIF('API import'!$A:$A, $A11)&gt;0))</f>
        <v>0</v>
      </c>
      <c r="D11" s="195" t="b">
        <v>0</v>
      </c>
      <c r="E11" s="195">
        <v>5.0</v>
      </c>
      <c r="F11" s="203">
        <f>COUNTIF('Activity map'!$C:$C, $A11)</f>
        <v>2</v>
      </c>
    </row>
    <row r="12">
      <c r="A12" s="26">
        <v>22746.0</v>
      </c>
      <c r="B12" s="23" t="s">
        <v>411</v>
      </c>
      <c r="C12" s="200" t="b">
        <f>IF($D12, TRUE, IF(ISERROR('API import'!$A$1), FALSE, COUNTIF('API import'!$A:$A, $A12)&gt;0))</f>
        <v>0</v>
      </c>
      <c r="D12" s="195" t="b">
        <v>0</v>
      </c>
      <c r="E12" s="195">
        <v>7.0</v>
      </c>
      <c r="F12" s="201">
        <f>COUNTIF('Activity map'!$C:$C, $A12)</f>
        <v>1</v>
      </c>
    </row>
    <row r="13">
      <c r="A13" s="26">
        <v>22966.0</v>
      </c>
      <c r="B13" s="23" t="s">
        <v>412</v>
      </c>
      <c r="C13" s="200" t="b">
        <f>IF($D13, TRUE, IF(ISERROR('API import'!$A$1), FALSE, COUNTIF('API import'!$A:$A, $A13)&gt;0))</f>
        <v>0</v>
      </c>
      <c r="D13" s="195" t="b">
        <v>0</v>
      </c>
      <c r="E13" s="195">
        <v>6.0</v>
      </c>
      <c r="F13" s="201">
        <f>COUNTIF('Activity map'!$C:$C, $A13)</f>
        <v>1</v>
      </c>
    </row>
    <row r="14">
      <c r="A14" s="26">
        <v>22988.0</v>
      </c>
      <c r="B14" s="23" t="s">
        <v>413</v>
      </c>
      <c r="C14" s="200" t="b">
        <f>IF($D14, TRUE, IF(ISERROR('API import'!$A$1), FALSE, COUNTIF('API import'!$A:$A, $A14)&gt;0))</f>
        <v>0</v>
      </c>
      <c r="D14" s="195" t="b">
        <v>0</v>
      </c>
      <c r="E14" s="195">
        <v>6.0</v>
      </c>
      <c r="F14" s="201">
        <f>COUNTIF('Activity map'!$C:$C, $A14)</f>
        <v>1</v>
      </c>
    </row>
    <row r="15">
      <c r="A15" s="26">
        <v>22983.0</v>
      </c>
      <c r="B15" s="23" t="s">
        <v>414</v>
      </c>
      <c r="C15" s="200" t="b">
        <f>IF($D15, TRUE, IF(ISERROR('API import'!$A$1), FALSE, COUNTIF('API import'!$A:$A, $A15)&gt;0))</f>
        <v>0</v>
      </c>
      <c r="D15" s="195" t="b">
        <v>0</v>
      </c>
      <c r="E15" s="195">
        <v>6.0</v>
      </c>
      <c r="F15" s="201">
        <f>COUNTIF('Activity map'!$C:$C, $A15)</f>
        <v>1</v>
      </c>
    </row>
    <row r="16">
      <c r="A16" s="26">
        <v>22971.0</v>
      </c>
      <c r="B16" s="23" t="s">
        <v>415</v>
      </c>
      <c r="C16" s="200" t="b">
        <f>IF($D16, TRUE, IF(ISERROR('API import'!$A$1), FALSE, COUNTIF('API import'!$A:$A, $A16)&gt;0))</f>
        <v>0</v>
      </c>
      <c r="D16" s="195" t="b">
        <v>0</v>
      </c>
      <c r="E16" s="195">
        <v>5.0</v>
      </c>
      <c r="F16" s="201">
        <f>COUNTIF('Activity map'!$C:$C, $A16)</f>
        <v>1</v>
      </c>
    </row>
    <row r="17">
      <c r="A17" s="26">
        <v>22973.0</v>
      </c>
      <c r="B17" s="23" t="s">
        <v>416</v>
      </c>
      <c r="C17" s="200" t="b">
        <f>IF($D17, TRUE, IF(ISERROR('API import'!$A$1), FALSE, COUNTIF('API import'!$A:$A, $A17)&gt;0))</f>
        <v>0</v>
      </c>
      <c r="D17" s="195" t="b">
        <v>0</v>
      </c>
      <c r="E17" s="195">
        <v>5.0</v>
      </c>
      <c r="F17" s="201">
        <f>COUNTIF('Activity map'!$C:$C, $A17)</f>
        <v>1</v>
      </c>
    </row>
    <row r="18">
      <c r="A18" s="26">
        <v>22969.0</v>
      </c>
      <c r="B18" s="23" t="s">
        <v>417</v>
      </c>
      <c r="C18" s="200" t="b">
        <f>IF($D18, TRUE, IF(ISERROR('API import'!$A$1), FALSE, COUNTIF('API import'!$A:$A, $A18)&gt;0))</f>
        <v>0</v>
      </c>
      <c r="D18" s="195" t="b">
        <v>0</v>
      </c>
      <c r="E18" s="195">
        <v>5.0</v>
      </c>
      <c r="F18" s="201">
        <f>COUNTIF('Activity map'!$C:$C, $A18)</f>
        <v>1</v>
      </c>
    </row>
    <row r="19">
      <c r="A19" s="26">
        <v>22804.0</v>
      </c>
      <c r="B19" s="23" t="s">
        <v>418</v>
      </c>
      <c r="C19" s="202" t="b">
        <f>IF($D19, TRUE, IF(ISERROR('API import'!$A$1), FALSE, COUNTIF('API import'!$A:$A, $A19)&gt;0))</f>
        <v>0</v>
      </c>
      <c r="D19" s="195" t="b">
        <v>0</v>
      </c>
      <c r="E19" s="195">
        <v>5.0</v>
      </c>
      <c r="F19" s="203">
        <f>COUNTIF('Activity map'!$C:$C, $A19)</f>
        <v>3</v>
      </c>
    </row>
    <row r="20">
      <c r="A20" s="26">
        <v>20849.0</v>
      </c>
      <c r="B20" s="23" t="s">
        <v>419</v>
      </c>
      <c r="C20" s="200" t="b">
        <f>IF($D20, TRUE, IF(ISERROR('API import'!$A$1), FALSE, COUNTIF('API import'!$A:$A, $A20)&gt;0))</f>
        <v>0</v>
      </c>
      <c r="D20" s="195" t="b">
        <v>0</v>
      </c>
      <c r="E20" s="195">
        <v>5.0</v>
      </c>
      <c r="F20" s="203">
        <f>COUNTIF('Activity map'!$C:$C, $A20)</f>
        <v>3</v>
      </c>
    </row>
    <row r="21">
      <c r="A21" s="26">
        <v>23064.0</v>
      </c>
      <c r="B21" s="23" t="s">
        <v>420</v>
      </c>
      <c r="C21" s="200" t="b">
        <f>IF($D21, TRUE, IF(ISERROR('API import'!$A$1), FALSE, COUNTIF('API import'!$A:$A, $A21)&gt;0))</f>
        <v>0</v>
      </c>
      <c r="D21" s="195" t="b">
        <v>0</v>
      </c>
      <c r="E21" s="195">
        <v>7.0</v>
      </c>
      <c r="F21" s="201">
        <f>COUNTIF('Activity map'!$C:$C, $A21)</f>
        <v>1</v>
      </c>
    </row>
    <row r="22">
      <c r="A22" s="26">
        <v>23077.0</v>
      </c>
      <c r="B22" s="23" t="s">
        <v>421</v>
      </c>
      <c r="C22" s="202" t="b">
        <f>IF($D22, TRUE, IF(ISERROR('API import'!$A$1), FALSE, COUNTIF('API import'!$A:$A, $A22)&gt;0))</f>
        <v>0</v>
      </c>
      <c r="D22" s="195" t="b">
        <v>0</v>
      </c>
      <c r="E22" s="195">
        <v>5.0</v>
      </c>
      <c r="F22" s="201">
        <f>COUNTIF('Activity map'!$C:$C, $A22)</f>
        <v>1</v>
      </c>
    </row>
    <row r="23">
      <c r="A23" s="25">
        <v>30154.0</v>
      </c>
      <c r="B23" s="23" t="s">
        <v>422</v>
      </c>
      <c r="C23" s="200" t="b">
        <f>IF($D23, TRUE, IF(ISERROR('API import'!$A$1), FALSE, COUNTIF('API import'!$A:$A, $A23)&gt;0))</f>
        <v>0</v>
      </c>
      <c r="D23" s="195" t="b">
        <v>0</v>
      </c>
      <c r="E23" s="195">
        <v>6.0</v>
      </c>
      <c r="F23" s="201">
        <f>COUNTIF('Activity map'!$C:$C, $A23)</f>
        <v>1</v>
      </c>
    </row>
    <row r="24">
      <c r="A24" s="25">
        <v>29889.0</v>
      </c>
      <c r="B24" s="23" t="s">
        <v>423</v>
      </c>
      <c r="C24" s="202" t="b">
        <f>IF($D24, TRUE, IF(ISERROR('API import'!$A$1), FALSE, COUNTIF('API import'!$A:$A, $A24)&gt;0))</f>
        <v>0</v>
      </c>
      <c r="D24" s="195" t="b">
        <v>0</v>
      </c>
      <c r="E24" s="195">
        <v>4.0</v>
      </c>
      <c r="F24" s="201">
        <f>COUNTIF('Activity map'!$C:$C, $A24)</f>
        <v>1</v>
      </c>
    </row>
    <row r="25">
      <c r="A25" s="25">
        <v>29892.0</v>
      </c>
      <c r="B25" s="23" t="s">
        <v>424</v>
      </c>
      <c r="C25" s="202" t="b">
        <f>IF($D25, TRUE, IF(ISERROR('API import'!$A$1), FALSE, COUNTIF('API import'!$A:$A, $A25)&gt;0))</f>
        <v>0</v>
      </c>
      <c r="D25" s="195" t="b">
        <v>0</v>
      </c>
      <c r="E25" s="195">
        <v>4.0</v>
      </c>
      <c r="F25" s="201">
        <f>COUNTIF('Activity map'!$C:$C, $A25)</f>
        <v>1</v>
      </c>
    </row>
    <row r="26">
      <c r="A26" s="25">
        <v>29895.0</v>
      </c>
      <c r="B26" s="23" t="s">
        <v>425</v>
      </c>
      <c r="C26" s="202" t="b">
        <f>IF($D26, TRUE, IF(ISERROR('API import'!$A$1), FALSE, COUNTIF('API import'!$A:$A, $A26)&gt;0))</f>
        <v>0</v>
      </c>
      <c r="D26" s="195" t="b">
        <v>0</v>
      </c>
      <c r="E26" s="195">
        <v>3.0</v>
      </c>
      <c r="F26" s="201">
        <f>COUNTIF('Activity map'!$C:$C, $A26)</f>
        <v>1</v>
      </c>
    </row>
    <row r="27">
      <c r="A27" s="25">
        <v>29836.0</v>
      </c>
      <c r="B27" s="23" t="s">
        <v>426</v>
      </c>
      <c r="C27" s="200" t="b">
        <f>IF($D27, TRUE, IF(ISERROR('API import'!$A$1), FALSE, COUNTIF('API import'!$A:$A, $A27)&gt;0))</f>
        <v>0</v>
      </c>
      <c r="D27" s="195" t="b">
        <v>0</v>
      </c>
      <c r="E27" s="195">
        <v>7.0</v>
      </c>
      <c r="F27" s="203">
        <f>COUNTIF('Activity map'!$C:$C, $A27)</f>
        <v>2</v>
      </c>
    </row>
    <row r="28">
      <c r="A28" s="25">
        <v>29784.0</v>
      </c>
      <c r="B28" s="23" t="s">
        <v>427</v>
      </c>
      <c r="C28" s="202" t="b">
        <f>IF($D28, TRUE, IF(ISERROR('API import'!$A$1), FALSE, COUNTIF('API import'!$A:$A, $A28)&gt;0))</f>
        <v>0</v>
      </c>
      <c r="D28" s="195" t="b">
        <v>0</v>
      </c>
      <c r="E28" s="195">
        <v>5.0</v>
      </c>
      <c r="F28" s="203">
        <f>COUNTIF('Activity map'!$C:$C, $A28)</f>
        <v>2</v>
      </c>
    </row>
    <row r="29">
      <c r="A29" s="25">
        <v>29782.0</v>
      </c>
      <c r="B29" s="23" t="s">
        <v>428</v>
      </c>
      <c r="C29" s="202" t="b">
        <f>IF($D29, TRUE, IF(ISERROR('API import'!$A$1), FALSE, COUNTIF('API import'!$A:$A, $A29)&gt;0))</f>
        <v>0</v>
      </c>
      <c r="D29" s="195" t="b">
        <v>0</v>
      </c>
      <c r="E29" s="195">
        <v>5.0</v>
      </c>
      <c r="F29" s="201">
        <f>COUNTIF('Activity map'!$C:$C, $A29)</f>
        <v>1</v>
      </c>
    </row>
    <row r="30">
      <c r="A30" s="25">
        <v>29799.0</v>
      </c>
      <c r="B30" s="23" t="s">
        <v>429</v>
      </c>
      <c r="C30" s="202" t="b">
        <f>IF($D30, TRUE, IF(ISERROR('API import'!$A$1), FALSE, COUNTIF('API import'!$A:$A, $A30)&gt;0))</f>
        <v>0</v>
      </c>
      <c r="D30" s="195" t="b">
        <v>0</v>
      </c>
      <c r="E30" s="195">
        <v>6.0</v>
      </c>
      <c r="F30" s="201">
        <f>COUNTIF('Activity map'!$C:$C, $A30)</f>
        <v>1</v>
      </c>
    </row>
    <row r="31">
      <c r="A31" s="25">
        <v>29790.0</v>
      </c>
      <c r="B31" s="23" t="s">
        <v>430</v>
      </c>
      <c r="C31" s="202" t="b">
        <f>IF($D31, TRUE, IF(ISERROR('API import'!$A$1), FALSE, COUNTIF('API import'!$A:$A, $A31)&gt;0))</f>
        <v>0</v>
      </c>
      <c r="D31" s="195" t="b">
        <v>0</v>
      </c>
      <c r="E31" s="195">
        <v>6.0</v>
      </c>
      <c r="F31" s="201">
        <f>COUNTIF('Activity map'!$C:$C, $A31)</f>
        <v>1</v>
      </c>
    </row>
    <row r="32">
      <c r="A32" s="25">
        <v>29792.0</v>
      </c>
      <c r="B32" s="23" t="s">
        <v>431</v>
      </c>
      <c r="C32" s="202" t="b">
        <f>IF($D32, TRUE, IF(ISERROR('API import'!$A$1), FALSE, COUNTIF('API import'!$A:$A, $A32)&gt;0))</f>
        <v>0</v>
      </c>
      <c r="D32" s="195" t="b">
        <v>0</v>
      </c>
      <c r="E32" s="195">
        <v>6.0</v>
      </c>
      <c r="F32" s="201">
        <f>COUNTIF('Activity map'!$C:$C, $A32)</f>
        <v>1</v>
      </c>
    </row>
    <row r="33">
      <c r="A33" s="25">
        <v>29794.0</v>
      </c>
      <c r="B33" s="23" t="s">
        <v>432</v>
      </c>
      <c r="C33" s="202" t="b">
        <f>IF($D33, TRUE, IF(ISERROR('API import'!$A$1), FALSE, COUNTIF('API import'!$A:$A, $A33)&gt;0))</f>
        <v>0</v>
      </c>
      <c r="D33" s="195" t="b">
        <v>0</v>
      </c>
      <c r="E33" s="195">
        <v>6.0</v>
      </c>
      <c r="F33" s="201">
        <f>COUNTIF('Activity map'!$C:$C, $A33)</f>
        <v>1</v>
      </c>
    </row>
    <row r="34">
      <c r="A34" s="25">
        <v>29788.0</v>
      </c>
      <c r="B34" s="23" t="s">
        <v>433</v>
      </c>
      <c r="C34" s="202" t="b">
        <f>IF($D34, TRUE, IF(ISERROR('API import'!$A$1), FALSE, COUNTIF('API import'!$A:$A, $A34)&gt;0))</f>
        <v>0</v>
      </c>
      <c r="D34" s="195" t="b">
        <v>0</v>
      </c>
      <c r="E34" s="195">
        <v>6.0</v>
      </c>
      <c r="F34" s="203">
        <f>COUNTIF('Activity map'!$C:$C, $A34)</f>
        <v>2</v>
      </c>
    </row>
    <row r="35">
      <c r="A35" s="25">
        <v>29786.0</v>
      </c>
      <c r="B35" s="23" t="s">
        <v>434</v>
      </c>
      <c r="C35" s="200" t="b">
        <f>IF($D35, TRUE, IF(ISERROR('API import'!$A$1), FALSE, COUNTIF('API import'!$A:$A, $A35)&gt;0))</f>
        <v>0</v>
      </c>
      <c r="D35" s="195" t="b">
        <v>0</v>
      </c>
      <c r="E35" s="195">
        <v>7.0</v>
      </c>
      <c r="F35" s="201">
        <f>COUNTIF('Activity map'!$C:$C, $A35)</f>
        <v>1</v>
      </c>
    </row>
    <row r="36">
      <c r="A36" s="25">
        <v>29781.0</v>
      </c>
      <c r="B36" s="23" t="s">
        <v>435</v>
      </c>
      <c r="C36" s="200" t="b">
        <f>IF($D36, TRUE, IF(ISERROR('API import'!$A$1), FALSE, COUNTIF('API import'!$A:$A, $A36)&gt;0))</f>
        <v>0</v>
      </c>
      <c r="D36" s="195" t="b">
        <v>0</v>
      </c>
      <c r="E36" s="195">
        <v>7.0</v>
      </c>
      <c r="F36" s="201">
        <f>COUNTIF('Activity map'!$C:$C, $A36)</f>
        <v>1</v>
      </c>
    </row>
    <row r="37">
      <c r="A37" s="26">
        <v>4732.0</v>
      </c>
      <c r="B37" s="23" t="s">
        <v>436</v>
      </c>
      <c r="C37" s="200" t="b">
        <f>IF($D37, TRUE, IF(ISERROR('API import'!$A$1), FALSE, COUNTIF('API import'!$A:$A, $A37)&gt;0))</f>
        <v>0</v>
      </c>
      <c r="D37" s="195" t="b">
        <v>0</v>
      </c>
      <c r="E37" s="195">
        <v>4.0</v>
      </c>
      <c r="F37" s="201">
        <f>COUNTIF('Activity map'!$C:$C, $A37)</f>
        <v>1</v>
      </c>
    </row>
    <row r="38">
      <c r="A38" s="26">
        <v>4708.0</v>
      </c>
      <c r="B38" s="23" t="s">
        <v>437</v>
      </c>
      <c r="C38" s="200" t="b">
        <f>IF($D38, TRUE, IF(ISERROR('API import'!$A$1), FALSE, COUNTIF('API import'!$A:$A, $A38)&gt;0))</f>
        <v>0</v>
      </c>
      <c r="D38" s="195" t="b">
        <v>0</v>
      </c>
      <c r="E38" s="195">
        <v>4.0</v>
      </c>
      <c r="F38" s="201">
        <f>COUNTIF('Activity map'!$C:$C, $A38)</f>
        <v>1</v>
      </c>
    </row>
    <row r="39">
      <c r="A39" s="26">
        <v>4716.0</v>
      </c>
      <c r="B39" s="23" t="s">
        <v>438</v>
      </c>
      <c r="C39" s="200" t="b">
        <f>IF($D39, TRUE, IF(ISERROR('API import'!$A$1), FALSE, COUNTIF('API import'!$A:$A, $A39)&gt;0))</f>
        <v>0</v>
      </c>
      <c r="D39" s="195" t="b">
        <v>0</v>
      </c>
      <c r="E39" s="195">
        <v>4.0</v>
      </c>
      <c r="F39" s="201">
        <f>COUNTIF('Activity map'!$C:$C, $A39)</f>
        <v>1</v>
      </c>
    </row>
    <row r="40">
      <c r="A40" s="26">
        <v>4724.0</v>
      </c>
      <c r="B40" s="23" t="s">
        <v>439</v>
      </c>
      <c r="C40" s="200" t="b">
        <f>IF($D40, TRUE, IF(ISERROR('API import'!$A$1), FALSE, COUNTIF('API import'!$A:$A, $A40)&gt;0))</f>
        <v>0</v>
      </c>
      <c r="D40" s="195" t="b">
        <v>0</v>
      </c>
      <c r="E40" s="195">
        <v>4.0</v>
      </c>
      <c r="F40" s="201">
        <f>COUNTIF('Activity map'!$C:$C, $A40)</f>
        <v>1</v>
      </c>
    </row>
    <row r="41">
      <c r="A41" s="26">
        <v>4745.0</v>
      </c>
      <c r="B41" s="23" t="s">
        <v>440</v>
      </c>
      <c r="C41" s="202" t="b">
        <f>IF($D41, TRUE, IF(ISERROR('API import'!$A$1), FALSE, COUNTIF('API import'!$A:$A, $A41)&gt;0))</f>
        <v>0</v>
      </c>
      <c r="D41" s="195" t="b">
        <v>0</v>
      </c>
      <c r="E41" s="195">
        <v>4.0</v>
      </c>
      <c r="F41" s="201">
        <f>COUNTIF('Activity map'!$C:$C, $A41)</f>
        <v>1</v>
      </c>
    </row>
    <row r="42">
      <c r="A42" s="26">
        <v>4753.0</v>
      </c>
      <c r="B42" s="23" t="s">
        <v>441</v>
      </c>
      <c r="C42" s="202" t="b">
        <f>IF($D42, TRUE, IF(ISERROR('API import'!$A$1), FALSE, COUNTIF('API import'!$A:$A, $A42)&gt;0))</f>
        <v>0</v>
      </c>
      <c r="D42" s="195" t="b">
        <v>0</v>
      </c>
      <c r="E42" s="195">
        <v>4.0</v>
      </c>
      <c r="F42" s="201">
        <f>COUNTIF('Activity map'!$C:$C, $A42)</f>
        <v>1</v>
      </c>
    </row>
    <row r="43">
      <c r="A43" s="26">
        <v>4736.0</v>
      </c>
      <c r="B43" s="23" t="s">
        <v>442</v>
      </c>
      <c r="C43" s="202" t="b">
        <f>IF($D43, TRUE, IF(ISERROR('API import'!$A$1), FALSE, COUNTIF('API import'!$A:$A, $A43)&gt;0))</f>
        <v>0</v>
      </c>
      <c r="D43" s="195" t="b">
        <v>0</v>
      </c>
      <c r="E43" s="195">
        <v>4.0</v>
      </c>
      <c r="F43" s="201">
        <f>COUNTIF('Activity map'!$C:$C, $A43)</f>
        <v>1</v>
      </c>
    </row>
    <row r="44">
      <c r="A44" s="26">
        <v>4712.0</v>
      </c>
      <c r="B44" s="23" t="s">
        <v>443</v>
      </c>
      <c r="C44" s="200" t="b">
        <f>IF($D44, TRUE, IF(ISERROR('API import'!$A$1), FALSE, COUNTIF('API import'!$A:$A, $A44)&gt;0))</f>
        <v>0</v>
      </c>
      <c r="D44" s="195" t="b">
        <v>0</v>
      </c>
      <c r="E44" s="195">
        <v>4.0</v>
      </c>
      <c r="F44" s="201">
        <f>COUNTIF('Activity map'!$C:$C, $A44)</f>
        <v>1</v>
      </c>
    </row>
    <row r="45">
      <c r="A45" s="26">
        <v>4720.0</v>
      </c>
      <c r="B45" s="23" t="s">
        <v>444</v>
      </c>
      <c r="C45" s="200" t="b">
        <f>IF($D45, TRUE, IF(ISERROR('API import'!$A$1), FALSE, COUNTIF('API import'!$A:$A, $A45)&gt;0))</f>
        <v>0</v>
      </c>
      <c r="D45" s="195" t="b">
        <v>0</v>
      </c>
      <c r="E45" s="195">
        <v>4.0</v>
      </c>
      <c r="F45" s="201">
        <f>COUNTIF('Activity map'!$C:$C, $A45)</f>
        <v>1</v>
      </c>
    </row>
    <row r="46">
      <c r="A46" s="26">
        <v>4728.0</v>
      </c>
      <c r="B46" s="23" t="s">
        <v>445</v>
      </c>
      <c r="C46" s="200" t="b">
        <f>IF($D46, TRUE, IF(ISERROR('API import'!$A$1), FALSE, COUNTIF('API import'!$A:$A, $A46)&gt;0))</f>
        <v>0</v>
      </c>
      <c r="D46" s="195" t="b">
        <v>0</v>
      </c>
      <c r="E46" s="195">
        <v>4.0</v>
      </c>
      <c r="F46" s="201">
        <f>COUNTIF('Activity map'!$C:$C, $A46)</f>
        <v>1</v>
      </c>
    </row>
    <row r="47">
      <c r="A47" s="26">
        <v>4749.0</v>
      </c>
      <c r="B47" s="23" t="s">
        <v>446</v>
      </c>
      <c r="C47" s="200" t="b">
        <f>IF($D47, TRUE, IF(ISERROR('API import'!$A$1), FALSE, COUNTIF('API import'!$A:$A, $A47)&gt;0))</f>
        <v>0</v>
      </c>
      <c r="D47" s="195" t="b">
        <v>0</v>
      </c>
      <c r="E47" s="195">
        <v>4.0</v>
      </c>
      <c r="F47" s="201">
        <f>COUNTIF('Activity map'!$C:$C, $A47)</f>
        <v>1</v>
      </c>
    </row>
    <row r="48">
      <c r="A48" s="26">
        <v>4757.0</v>
      </c>
      <c r="B48" s="23" t="s">
        <v>447</v>
      </c>
      <c r="C48" s="200" t="b">
        <f>IF($D48, TRUE, IF(ISERROR('API import'!$A$1), FALSE, COUNTIF('API import'!$A:$A, $A48)&gt;0))</f>
        <v>0</v>
      </c>
      <c r="D48" s="195" t="b">
        <v>0</v>
      </c>
      <c r="E48" s="195">
        <v>4.0</v>
      </c>
      <c r="F48" s="201">
        <f>COUNTIF('Activity map'!$C:$C, $A48)</f>
        <v>1</v>
      </c>
    </row>
    <row r="49">
      <c r="A49" s="26">
        <v>4738.0</v>
      </c>
      <c r="B49" s="23" t="s">
        <v>448</v>
      </c>
      <c r="C49" s="200" t="b">
        <f>IF($D49, TRUE, IF(ISERROR('API import'!$A$1), FALSE, COUNTIF('API import'!$A:$A, $A49)&gt;0))</f>
        <v>0</v>
      </c>
      <c r="D49" s="195" t="b">
        <v>0</v>
      </c>
      <c r="E49" s="195">
        <v>4.0</v>
      </c>
      <c r="F49" s="201">
        <f>COUNTIF('Activity map'!$C:$C, $A49)</f>
        <v>1</v>
      </c>
    </row>
    <row r="50">
      <c r="A50" s="26">
        <v>4714.0</v>
      </c>
      <c r="B50" s="23" t="s">
        <v>449</v>
      </c>
      <c r="C50" s="200" t="b">
        <f>IF($D50, TRUE, IF(ISERROR('API import'!$A$1), FALSE, COUNTIF('API import'!$A:$A, $A50)&gt;0))</f>
        <v>0</v>
      </c>
      <c r="D50" s="195" t="b">
        <v>0</v>
      </c>
      <c r="E50" s="195">
        <v>4.0</v>
      </c>
      <c r="F50" s="201">
        <f>COUNTIF('Activity map'!$C:$C, $A50)</f>
        <v>1</v>
      </c>
    </row>
    <row r="51">
      <c r="A51" s="26">
        <v>4722.0</v>
      </c>
      <c r="B51" s="23" t="s">
        <v>450</v>
      </c>
      <c r="C51" s="200" t="b">
        <f>IF($D51, TRUE, IF(ISERROR('API import'!$A$1), FALSE, COUNTIF('API import'!$A:$A, $A51)&gt;0))</f>
        <v>0</v>
      </c>
      <c r="D51" s="195" t="b">
        <v>0</v>
      </c>
      <c r="E51" s="195">
        <v>4.0</v>
      </c>
      <c r="F51" s="201">
        <f>COUNTIF('Activity map'!$C:$C, $A51)</f>
        <v>1</v>
      </c>
    </row>
    <row r="52">
      <c r="A52" s="26">
        <v>4730.0</v>
      </c>
      <c r="B52" s="23" t="s">
        <v>451</v>
      </c>
      <c r="C52" s="200" t="b">
        <f>IF($D52, TRUE, IF(ISERROR('API import'!$A$1), FALSE, COUNTIF('API import'!$A:$A, $A52)&gt;0))</f>
        <v>0</v>
      </c>
      <c r="D52" s="195" t="b">
        <v>0</v>
      </c>
      <c r="E52" s="195">
        <v>4.0</v>
      </c>
      <c r="F52" s="201">
        <f>COUNTIF('Activity map'!$C:$C, $A52)</f>
        <v>1</v>
      </c>
    </row>
    <row r="53">
      <c r="A53" s="26">
        <v>4751.0</v>
      </c>
      <c r="B53" s="23" t="s">
        <v>452</v>
      </c>
      <c r="C53" s="200" t="b">
        <f>IF($D53, TRUE, IF(ISERROR('API import'!$A$1), FALSE, COUNTIF('API import'!$A:$A, $A53)&gt;0))</f>
        <v>0</v>
      </c>
      <c r="D53" s="195" t="b">
        <v>0</v>
      </c>
      <c r="E53" s="195">
        <v>4.0</v>
      </c>
      <c r="F53" s="201">
        <f>COUNTIF('Activity map'!$C:$C, $A53)</f>
        <v>1</v>
      </c>
    </row>
    <row r="54">
      <c r="A54" s="26">
        <v>4759.0</v>
      </c>
      <c r="B54" s="23" t="s">
        <v>453</v>
      </c>
      <c r="C54" s="200" t="b">
        <f>IF($D54, TRUE, IF(ISERROR('API import'!$A$1), FALSE, COUNTIF('API import'!$A:$A, $A54)&gt;0))</f>
        <v>0</v>
      </c>
      <c r="D54" s="195" t="b">
        <v>0</v>
      </c>
      <c r="E54" s="195">
        <v>4.0</v>
      </c>
      <c r="F54" s="201">
        <f>COUNTIF('Activity map'!$C:$C, $A54)</f>
        <v>1</v>
      </c>
    </row>
    <row r="55">
      <c r="A55" s="26">
        <v>4734.0</v>
      </c>
      <c r="B55" s="23" t="s">
        <v>454</v>
      </c>
      <c r="C55" s="200" t="b">
        <f>IF($D55, TRUE, IF(ISERROR('API import'!$A$1), FALSE, COUNTIF('API import'!$A:$A, $A55)&gt;0))</f>
        <v>0</v>
      </c>
      <c r="D55" s="195" t="b">
        <v>0</v>
      </c>
      <c r="E55" s="195">
        <v>4.0</v>
      </c>
      <c r="F55" s="201">
        <f>COUNTIF('Activity map'!$C:$C, $A55)</f>
        <v>1</v>
      </c>
    </row>
    <row r="56">
      <c r="A56" s="26">
        <v>4710.0</v>
      </c>
      <c r="B56" s="23" t="s">
        <v>455</v>
      </c>
      <c r="C56" s="200" t="b">
        <f>IF($D56, TRUE, IF(ISERROR('API import'!$A$1), FALSE, COUNTIF('API import'!$A:$A, $A56)&gt;0))</f>
        <v>0</v>
      </c>
      <c r="D56" s="195" t="b">
        <v>0</v>
      </c>
      <c r="E56" s="195">
        <v>4.0</v>
      </c>
      <c r="F56" s="201">
        <f>COUNTIF('Activity map'!$C:$C, $A56)</f>
        <v>1</v>
      </c>
    </row>
    <row r="57">
      <c r="A57" s="26">
        <v>4718.0</v>
      </c>
      <c r="B57" s="23" t="s">
        <v>456</v>
      </c>
      <c r="C57" s="200" t="b">
        <f>IF($D57, TRUE, IF(ISERROR('API import'!$A$1), FALSE, COUNTIF('API import'!$A:$A, $A57)&gt;0))</f>
        <v>0</v>
      </c>
      <c r="D57" s="195" t="b">
        <v>0</v>
      </c>
      <c r="E57" s="195">
        <v>4.0</v>
      </c>
      <c r="F57" s="201">
        <f>COUNTIF('Activity map'!$C:$C, $A57)</f>
        <v>1</v>
      </c>
    </row>
    <row r="58">
      <c r="A58" s="26">
        <v>4726.0</v>
      </c>
      <c r="B58" s="23" t="s">
        <v>457</v>
      </c>
      <c r="C58" s="200" t="b">
        <f>IF($D58, TRUE, IF(ISERROR('API import'!$A$1), FALSE, COUNTIF('API import'!$A:$A, $A58)&gt;0))</f>
        <v>0</v>
      </c>
      <c r="D58" s="195" t="b">
        <v>0</v>
      </c>
      <c r="E58" s="195">
        <v>4.0</v>
      </c>
      <c r="F58" s="201">
        <f>COUNTIF('Activity map'!$C:$C, $A58)</f>
        <v>1</v>
      </c>
    </row>
    <row r="59">
      <c r="A59" s="26">
        <v>4747.0</v>
      </c>
      <c r="B59" s="23" t="s">
        <v>458</v>
      </c>
      <c r="C59" s="200" t="b">
        <f>IF($D59, TRUE, IF(ISERROR('API import'!$A$1), FALSE, COUNTIF('API import'!$A:$A, $A59)&gt;0))</f>
        <v>0</v>
      </c>
      <c r="D59" s="195" t="b">
        <v>0</v>
      </c>
      <c r="E59" s="195">
        <v>4.0</v>
      </c>
      <c r="F59" s="201">
        <f>COUNTIF('Activity map'!$C:$C, $A59)</f>
        <v>1</v>
      </c>
    </row>
    <row r="60">
      <c r="A60" s="26">
        <v>4755.0</v>
      </c>
      <c r="B60" s="23" t="s">
        <v>459</v>
      </c>
      <c r="C60" s="200" t="b">
        <f>IF($D60, TRUE, IF(ISERROR('API import'!$A$1), FALSE, COUNTIF('API import'!$A:$A, $A60)&gt;0))</f>
        <v>0</v>
      </c>
      <c r="D60" s="195" t="b">
        <v>0</v>
      </c>
      <c r="E60" s="195">
        <v>4.0</v>
      </c>
      <c r="F60" s="201">
        <f>COUNTIF('Activity map'!$C:$C, $A60)</f>
        <v>1</v>
      </c>
    </row>
    <row r="61">
      <c r="A61" s="26">
        <v>4740.0</v>
      </c>
      <c r="B61" s="23" t="s">
        <v>460</v>
      </c>
      <c r="C61" s="202" t="b">
        <f>IF($D61, TRUE, IF(ISERROR('API import'!$A$1), FALSE, COUNTIF('API import'!$A:$A, $A61)&gt;0))</f>
        <v>0</v>
      </c>
      <c r="D61" s="195" t="b">
        <v>0</v>
      </c>
      <c r="E61" s="195">
        <v>3.0</v>
      </c>
      <c r="F61" s="201">
        <f>COUNTIF('Activity map'!$C:$C, $A61)</f>
        <v>1</v>
      </c>
    </row>
    <row r="62">
      <c r="A62" s="26">
        <v>22372.0</v>
      </c>
      <c r="B62" s="23" t="s">
        <v>461</v>
      </c>
      <c r="C62" s="200" t="b">
        <f>IF($D62, TRUE, IF(ISERROR('API import'!$A$1), FALSE, COUNTIF('API import'!$A:$A, $A62)&gt;0))</f>
        <v>0</v>
      </c>
      <c r="D62" s="195" t="b">
        <v>0</v>
      </c>
      <c r="E62" s="195">
        <v>6.0</v>
      </c>
      <c r="F62" s="203">
        <f>COUNTIF('Activity map'!$C:$C, $A62)</f>
        <v>2</v>
      </c>
    </row>
    <row r="63">
      <c r="A63" s="26">
        <v>13178.0</v>
      </c>
      <c r="B63" s="23" t="s">
        <v>462</v>
      </c>
      <c r="C63" s="200" t="b">
        <f>IF($D63, TRUE, IF(ISERROR('API import'!$A$1), FALSE, COUNTIF('API import'!$A:$A, $A63)&gt;0))</f>
        <v>0</v>
      </c>
      <c r="D63" s="195" t="b">
        <v>0</v>
      </c>
      <c r="E63" s="195">
        <v>7.0</v>
      </c>
      <c r="F63" s="201">
        <f>COUNTIF('Activity map'!$C:$C, $A63)</f>
        <v>1</v>
      </c>
    </row>
    <row r="64">
      <c r="A64" s="26">
        <v>12603.0</v>
      </c>
      <c r="B64" s="23" t="s">
        <v>463</v>
      </c>
      <c r="C64" s="200" t="b">
        <f>IF($D64, TRUE, IF(ISERROR('API import'!$A$1), FALSE, COUNTIF('API import'!$A:$A, $A64)&gt;0))</f>
        <v>0</v>
      </c>
      <c r="D64" s="195" t="b">
        <v>0</v>
      </c>
      <c r="E64" s="195">
        <v>5.0</v>
      </c>
      <c r="F64" s="201">
        <f>COUNTIF('Activity map'!$C:$C, $A64)</f>
        <v>1</v>
      </c>
    </row>
    <row r="65">
      <c r="A65" s="26">
        <v>11920.0</v>
      </c>
      <c r="B65" s="23" t="s">
        <v>464</v>
      </c>
      <c r="C65" s="202" t="b">
        <f>IF($D65, TRUE, IF(ISERROR('API import'!$A$1), FALSE, COUNTIF('API import'!$A:$A, $A65)&gt;0))</f>
        <v>0</v>
      </c>
      <c r="D65" s="195" t="b">
        <v>0</v>
      </c>
      <c r="E65" s="195">
        <v>4.0</v>
      </c>
      <c r="F65" s="203">
        <f>COUNTIF('Activity map'!$C:$C, $A65)</f>
        <v>6</v>
      </c>
    </row>
    <row r="66">
      <c r="A66" s="26">
        <v>7158.0</v>
      </c>
      <c r="B66" s="23" t="s">
        <v>465</v>
      </c>
      <c r="C66" s="200" t="b">
        <f>IF($D66, TRUE, IF(ISERROR('API import'!$A$1), FALSE, COUNTIF('API import'!$A:$A, $A66)&gt;0))</f>
        <v>0</v>
      </c>
      <c r="D66" s="195" t="b">
        <v>0</v>
      </c>
      <c r="E66" s="195">
        <v>4.0</v>
      </c>
      <c r="F66" s="203">
        <f>COUNTIF('Activity map'!$C:$C, $A66)</f>
        <v>5</v>
      </c>
    </row>
    <row r="67">
      <c r="A67" s="26">
        <v>27667.0</v>
      </c>
      <c r="B67" s="23" t="s">
        <v>466</v>
      </c>
      <c r="C67" s="200" t="b">
        <f>IF($D67, TRUE, IF(ISERROR('API import'!$A$1), FALSE, COUNTIF('API import'!$A:$A, $A67)&gt;0))</f>
        <v>0</v>
      </c>
      <c r="D67" s="195" t="b">
        <v>0</v>
      </c>
      <c r="E67" s="195">
        <v>5.0</v>
      </c>
      <c r="F67" s="201">
        <f>COUNTIF('Activity map'!$C:$C, $A67)</f>
        <v>1</v>
      </c>
    </row>
    <row r="68">
      <c r="A68" s="26">
        <v>27681.0</v>
      </c>
      <c r="B68" s="23" t="s">
        <v>467</v>
      </c>
      <c r="C68" s="200" t="b">
        <f>IF($D68, TRUE, IF(ISERROR('API import'!$A$1), FALSE, COUNTIF('API import'!$A:$A, $A68)&gt;0))</f>
        <v>0</v>
      </c>
      <c r="D68" s="195" t="b">
        <v>0</v>
      </c>
      <c r="E68" s="195">
        <v>5.0</v>
      </c>
      <c r="F68" s="201">
        <f>COUNTIF('Activity map'!$C:$C, $A68)</f>
        <v>1</v>
      </c>
    </row>
    <row r="69">
      <c r="A69" s="26">
        <v>13247.0</v>
      </c>
      <c r="B69" s="23" t="s">
        <v>468</v>
      </c>
      <c r="C69" s="200" t="b">
        <f>IF($D69, TRUE, IF(ISERROR('API import'!$A$1), FALSE, COUNTIF('API import'!$A:$A, $A69)&gt;0))</f>
        <v>0</v>
      </c>
      <c r="D69" s="195" t="b">
        <v>0</v>
      </c>
      <c r="E69" s="195">
        <v>7.0</v>
      </c>
      <c r="F69" s="201">
        <f>COUNTIF('Activity map'!$C:$C, $A69)</f>
        <v>1</v>
      </c>
    </row>
    <row r="70">
      <c r="A70" s="26">
        <v>13227.0</v>
      </c>
      <c r="B70" s="23" t="s">
        <v>469</v>
      </c>
      <c r="C70" s="202" t="b">
        <f>IF($D70, TRUE, IF(ISERROR('API import'!$A$1), FALSE, COUNTIF('API import'!$A:$A, $A70)&gt;0))</f>
        <v>0</v>
      </c>
      <c r="D70" s="195" t="b">
        <v>0</v>
      </c>
      <c r="E70" s="195">
        <v>6.0</v>
      </c>
      <c r="F70" s="201">
        <f>COUNTIF('Activity map'!$C:$C, $A70)</f>
        <v>1</v>
      </c>
    </row>
    <row r="71">
      <c r="A71" s="26">
        <v>13229.0</v>
      </c>
      <c r="B71" s="23" t="s">
        <v>470</v>
      </c>
      <c r="C71" s="202" t="b">
        <f>IF($D71, TRUE, IF(ISERROR('API import'!$A$1), FALSE, COUNTIF('API import'!$A:$A, $A71)&gt;0))</f>
        <v>0</v>
      </c>
      <c r="D71" s="195" t="b">
        <v>0</v>
      </c>
      <c r="E71" s="195">
        <v>6.0</v>
      </c>
      <c r="F71" s="201">
        <f>COUNTIF('Activity map'!$C:$C, $A71)</f>
        <v>1</v>
      </c>
    </row>
    <row r="72">
      <c r="A72" s="26">
        <v>13231.0</v>
      </c>
      <c r="B72" s="23" t="s">
        <v>471</v>
      </c>
      <c r="C72" s="200" t="b">
        <f>IF($D72, TRUE, IF(ISERROR('API import'!$A$1), FALSE, COUNTIF('API import'!$A:$A, $A72)&gt;0))</f>
        <v>0</v>
      </c>
      <c r="D72" s="195" t="b">
        <v>0</v>
      </c>
      <c r="E72" s="195">
        <v>6.0</v>
      </c>
      <c r="F72" s="201">
        <f>COUNTIF('Activity map'!$C:$C, $A72)</f>
        <v>1</v>
      </c>
    </row>
    <row r="73">
      <c r="A73" s="26">
        <v>13245.0</v>
      </c>
      <c r="B73" s="23" t="s">
        <v>472</v>
      </c>
      <c r="C73" s="200" t="b">
        <f>IF($D73, TRUE, IF(ISERROR('API import'!$A$1), FALSE, COUNTIF('API import'!$A:$A, $A73)&gt;0))</f>
        <v>0</v>
      </c>
      <c r="D73" s="195" t="b">
        <v>0</v>
      </c>
      <c r="E73" s="195">
        <v>7.0</v>
      </c>
      <c r="F73" s="201">
        <f>COUNTIF('Activity map'!$C:$C, $A73)</f>
        <v>1</v>
      </c>
    </row>
    <row r="74">
      <c r="A74" s="26">
        <v>13233.0</v>
      </c>
      <c r="B74" s="23" t="s">
        <v>473</v>
      </c>
      <c r="C74" s="202" t="b">
        <f>IF($D74, TRUE, IF(ISERROR('API import'!$A$1), FALSE, COUNTIF('API import'!$A:$A, $A74)&gt;0))</f>
        <v>0</v>
      </c>
      <c r="D74" s="195" t="b">
        <v>0</v>
      </c>
      <c r="E74" s="195">
        <v>6.0</v>
      </c>
      <c r="F74" s="201">
        <f>COUNTIF('Activity map'!$C:$C, $A74)</f>
        <v>1</v>
      </c>
    </row>
    <row r="75">
      <c r="A75" s="26">
        <v>13249.0</v>
      </c>
      <c r="B75" s="23" t="s">
        <v>474</v>
      </c>
      <c r="C75" s="202" t="b">
        <f>IF($D75, TRUE, IF(ISERROR('API import'!$A$1), FALSE, COUNTIF('API import'!$A:$A, $A75)&gt;0))</f>
        <v>0</v>
      </c>
      <c r="D75" s="195" t="b">
        <v>0</v>
      </c>
      <c r="E75" s="195">
        <v>5.0</v>
      </c>
      <c r="F75" s="201">
        <f>COUNTIF('Activity map'!$C:$C, $A75)</f>
        <v>1</v>
      </c>
    </row>
    <row r="76">
      <c r="A76" s="26">
        <v>11995.0</v>
      </c>
      <c r="B76" s="23" t="s">
        <v>475</v>
      </c>
      <c r="C76" s="200" t="b">
        <f>IF($D76, TRUE, IF(ISERROR('API import'!$A$1), FALSE, COUNTIF('API import'!$A:$A, $A76)&gt;0))</f>
        <v>0</v>
      </c>
      <c r="D76" s="195" t="b">
        <v>0</v>
      </c>
      <c r="E76" s="195">
        <v>5.0</v>
      </c>
      <c r="F76" s="203">
        <f>COUNTIF('Activity map'!$C:$C, $A76)</f>
        <v>2</v>
      </c>
    </row>
    <row r="77">
      <c r="A77" s="26">
        <v>11928.0</v>
      </c>
      <c r="B77" s="23" t="s">
        <v>476</v>
      </c>
      <c r="C77" s="200" t="b">
        <f>IF($D77, TRUE, IF(ISERROR('API import'!$A$1), FALSE, COUNTIF('API import'!$A:$A, $A77)&gt;0))</f>
        <v>0</v>
      </c>
      <c r="D77" s="195" t="b">
        <v>0</v>
      </c>
      <c r="E77" s="195">
        <v>4.0</v>
      </c>
      <c r="F77" s="201">
        <f>COUNTIF('Activity map'!$C:$C, $A77)</f>
        <v>1</v>
      </c>
    </row>
    <row r="78">
      <c r="A78" s="26">
        <v>11931.0</v>
      </c>
      <c r="B78" s="23" t="s">
        <v>477</v>
      </c>
      <c r="C78" s="200" t="b">
        <f>IF($D78, TRUE, IF(ISERROR('API import'!$A$1), FALSE, COUNTIF('API import'!$A:$A, $A78)&gt;0))</f>
        <v>0</v>
      </c>
      <c r="D78" s="195" t="b">
        <v>0</v>
      </c>
      <c r="E78" s="195">
        <v>4.0</v>
      </c>
      <c r="F78" s="201">
        <f>COUNTIF('Activity map'!$C:$C, $A78)</f>
        <v>1</v>
      </c>
    </row>
    <row r="79">
      <c r="A79" s="26">
        <v>12651.0</v>
      </c>
      <c r="B79" s="23" t="s">
        <v>478</v>
      </c>
      <c r="C79" s="200" t="b">
        <f>IF($D79, TRUE, IF(ISERROR('API import'!$A$1), FALSE, COUNTIF('API import'!$A:$A, $A79)&gt;0))</f>
        <v>0</v>
      </c>
      <c r="D79" s="195" t="b">
        <v>0</v>
      </c>
      <c r="E79" s="195">
        <v>7.0</v>
      </c>
      <c r="F79" s="201">
        <f>COUNTIF('Activity map'!$C:$C, $A79)</f>
        <v>1</v>
      </c>
    </row>
    <row r="80">
      <c r="A80" s="26">
        <v>11785.0</v>
      </c>
      <c r="B80" s="23" t="s">
        <v>479</v>
      </c>
      <c r="C80" s="200" t="b">
        <f>IF($D80, TRUE, IF(ISERROR('API import'!$A$1), FALSE, COUNTIF('API import'!$A:$A, $A80)&gt;0))</f>
        <v>0</v>
      </c>
      <c r="D80" s="195" t="b">
        <v>0</v>
      </c>
      <c r="E80" s="195">
        <v>5.0</v>
      </c>
      <c r="F80" s="201">
        <f>COUNTIF('Activity map'!$C:$C, $A80)</f>
        <v>1</v>
      </c>
    </row>
    <row r="81">
      <c r="A81" s="26">
        <v>11814.0</v>
      </c>
      <c r="B81" s="23" t="s">
        <v>480</v>
      </c>
      <c r="C81" s="200" t="b">
        <f>IF($D81, TRUE, IF(ISERROR('API import'!$A$1), FALSE, COUNTIF('API import'!$A:$A, $A81)&gt;0))</f>
        <v>0</v>
      </c>
      <c r="D81" s="195" t="b">
        <v>0</v>
      </c>
      <c r="E81" s="195">
        <v>5.0</v>
      </c>
      <c r="F81" s="201">
        <f>COUNTIF('Activity map'!$C:$C, $A81)</f>
        <v>1</v>
      </c>
    </row>
    <row r="82">
      <c r="A82" s="26">
        <v>11838.0</v>
      </c>
      <c r="B82" s="23" t="s">
        <v>481</v>
      </c>
      <c r="C82" s="202" t="b">
        <f>IF($D82, TRUE, IF(ISERROR('API import'!$A$1), FALSE, COUNTIF('API import'!$A:$A, $A82)&gt;0))</f>
        <v>0</v>
      </c>
      <c r="D82" s="195" t="b">
        <v>0</v>
      </c>
      <c r="E82" s="195">
        <v>5.0</v>
      </c>
      <c r="F82" s="201">
        <f>COUNTIF('Activity map'!$C:$C, $A82)</f>
        <v>1</v>
      </c>
    </row>
    <row r="83">
      <c r="A83" s="26">
        <v>13256.0</v>
      </c>
      <c r="B83" s="23" t="s">
        <v>482</v>
      </c>
      <c r="C83" s="200" t="b">
        <f>IF($D83, TRUE, IF(ISERROR('API import'!$A$1), FALSE, COUNTIF('API import'!$A:$A, $A83)&gt;0))</f>
        <v>0</v>
      </c>
      <c r="D83" s="195" t="b">
        <v>0</v>
      </c>
      <c r="E83" s="195">
        <v>5.0</v>
      </c>
      <c r="F83" s="201">
        <f>COUNTIF('Activity map'!$C:$C, $A83)</f>
        <v>1</v>
      </c>
    </row>
    <row r="84">
      <c r="A84" s="26">
        <v>11818.0</v>
      </c>
      <c r="B84" s="23" t="s">
        <v>483</v>
      </c>
      <c r="C84" s="200" t="b">
        <f>IF($D84, TRUE, IF(ISERROR('API import'!$A$1), FALSE, COUNTIF('API import'!$A:$A, $A84)&gt;0))</f>
        <v>0</v>
      </c>
      <c r="D84" s="195" t="b">
        <v>0</v>
      </c>
      <c r="E84" s="195">
        <v>5.0</v>
      </c>
      <c r="F84" s="203">
        <f>COUNTIF('Activity map'!$C:$C, $A84)</f>
        <v>4</v>
      </c>
    </row>
    <row r="85">
      <c r="A85" s="26">
        <v>11820.0</v>
      </c>
      <c r="B85" s="23" t="s">
        <v>484</v>
      </c>
      <c r="C85" s="200" t="b">
        <f>IF($D85, TRUE, IF(ISERROR('API import'!$A$1), FALSE, COUNTIF('API import'!$A:$A, $A85)&gt;0))</f>
        <v>0</v>
      </c>
      <c r="D85" s="195" t="b">
        <v>0</v>
      </c>
      <c r="E85" s="195">
        <v>5.0</v>
      </c>
      <c r="F85" s="203">
        <f>COUNTIF('Activity map'!$C:$C, $A85)</f>
        <v>4</v>
      </c>
    </row>
    <row r="86">
      <c r="A86" s="26">
        <v>11822.0</v>
      </c>
      <c r="B86" s="23" t="s">
        <v>485</v>
      </c>
      <c r="C86" s="200" t="b">
        <f>IF($D86, TRUE, IF(ISERROR('API import'!$A$1), FALSE, COUNTIF('API import'!$A:$A, $A86)&gt;0))</f>
        <v>0</v>
      </c>
      <c r="D86" s="195" t="b">
        <v>0</v>
      </c>
      <c r="E86" s="195">
        <v>5.0</v>
      </c>
      <c r="F86" s="203">
        <f>COUNTIF('Activity map'!$C:$C, $A86)</f>
        <v>4</v>
      </c>
    </row>
    <row r="87">
      <c r="A87" s="26">
        <v>12816.0</v>
      </c>
      <c r="B87" s="23" t="s">
        <v>486</v>
      </c>
      <c r="C87" s="200" t="b">
        <f>IF($D87, TRUE, IF(ISERROR('API import'!$A$1), FALSE, COUNTIF('API import'!$A:$A, $A87)&gt;0))</f>
        <v>0</v>
      </c>
      <c r="D87" s="195" t="b">
        <v>0</v>
      </c>
      <c r="E87" s="195">
        <v>7.0</v>
      </c>
      <c r="F87" s="201">
        <f>COUNTIF('Activity map'!$C:$C, $A87)</f>
        <v>1</v>
      </c>
    </row>
    <row r="88">
      <c r="A88" s="26">
        <v>12819.0</v>
      </c>
      <c r="B88" s="23" t="s">
        <v>487</v>
      </c>
      <c r="C88" s="200" t="b">
        <f>IF($D88, TRUE, IF(ISERROR('API import'!$A$1), FALSE, COUNTIF('API import'!$A:$A, $A88)&gt;0))</f>
        <v>0</v>
      </c>
      <c r="D88" s="195" t="b">
        <v>0</v>
      </c>
      <c r="E88" s="195">
        <v>7.0</v>
      </c>
      <c r="F88" s="201">
        <f>COUNTIF('Activity map'!$C:$C, $A88)</f>
        <v>1</v>
      </c>
    </row>
    <row r="89">
      <c r="A89" s="26">
        <v>12823.0</v>
      </c>
      <c r="B89" s="23" t="s">
        <v>488</v>
      </c>
      <c r="C89" s="200" t="b">
        <f>IF($D89, TRUE, IF(ISERROR('API import'!$A$1), FALSE, COUNTIF('API import'!$A:$A, $A89)&gt;0))</f>
        <v>0</v>
      </c>
      <c r="D89" s="195" t="b">
        <v>0</v>
      </c>
      <c r="E89" s="195">
        <v>6.0</v>
      </c>
      <c r="F89" s="201">
        <f>COUNTIF('Activity map'!$C:$C, $A89)</f>
        <v>1</v>
      </c>
    </row>
    <row r="90">
      <c r="A90" s="26">
        <v>12827.0</v>
      </c>
      <c r="B90" s="23" t="s">
        <v>489</v>
      </c>
      <c r="C90" s="200" t="b">
        <f>IF($D90, TRUE, IF(ISERROR('API import'!$A$1), FALSE, COUNTIF('API import'!$A:$A, $A90)&gt;0))</f>
        <v>0</v>
      </c>
      <c r="D90" s="195" t="b">
        <v>0</v>
      </c>
      <c r="E90" s="195">
        <v>6.0</v>
      </c>
      <c r="F90" s="201">
        <f>COUNTIF('Activity map'!$C:$C, $A90)</f>
        <v>1</v>
      </c>
    </row>
    <row r="91">
      <c r="A91" s="26">
        <v>12833.0</v>
      </c>
      <c r="B91" s="23" t="s">
        <v>490</v>
      </c>
      <c r="C91" s="202" t="b">
        <f>IF($D91, TRUE, IF(ISERROR('API import'!$A$1), FALSE, COUNTIF('API import'!$A:$A, $A91)&gt;0))</f>
        <v>0</v>
      </c>
      <c r="D91" s="195" t="b">
        <v>0</v>
      </c>
      <c r="E91" s="195">
        <v>5.0</v>
      </c>
      <c r="F91" s="201">
        <f>COUNTIF('Activity map'!$C:$C, $A91)</f>
        <v>1</v>
      </c>
    </row>
    <row r="92">
      <c r="A92" s="26">
        <v>12829.0</v>
      </c>
      <c r="B92" s="23" t="s">
        <v>491</v>
      </c>
      <c r="C92" s="200" t="b">
        <f>IF($D92, TRUE, IF(ISERROR('API import'!$A$1), FALSE, COUNTIF('API import'!$A:$A, $A92)&gt;0))</f>
        <v>0</v>
      </c>
      <c r="D92" s="195" t="b">
        <v>0</v>
      </c>
      <c r="E92" s="195">
        <v>5.0</v>
      </c>
      <c r="F92" s="201">
        <f>COUNTIF('Activity map'!$C:$C, $A92)</f>
        <v>1</v>
      </c>
    </row>
    <row r="93">
      <c r="A93" s="26">
        <v>25521.0</v>
      </c>
      <c r="B93" s="23" t="s">
        <v>492</v>
      </c>
      <c r="C93" s="200" t="b">
        <f>IF($D93, TRUE, IF(ISERROR('API import'!$A$1), FALSE, COUNTIF('API import'!$A:$A, $A93)&gt;0))</f>
        <v>0</v>
      </c>
      <c r="D93" s="195" t="b">
        <v>0</v>
      </c>
      <c r="E93" s="195">
        <v>6.0</v>
      </c>
      <c r="F93" s="201">
        <f>COUNTIF('Activity map'!$C:$C, $A93)</f>
        <v>1</v>
      </c>
    </row>
    <row r="94">
      <c r="A94" s="26">
        <v>11929.0</v>
      </c>
      <c r="B94" s="23" t="s">
        <v>493</v>
      </c>
      <c r="C94" s="200" t="b">
        <f>IF($D94, TRUE, IF(ISERROR('API import'!$A$1), FALSE, COUNTIF('API import'!$A:$A, $A94)&gt;0))</f>
        <v>0</v>
      </c>
      <c r="D94" s="195" t="b">
        <v>0</v>
      </c>
      <c r="E94" s="195">
        <v>4.0</v>
      </c>
      <c r="F94" s="201">
        <f>COUNTIF('Activity map'!$C:$C, $A94)</f>
        <v>1</v>
      </c>
    </row>
    <row r="95">
      <c r="A95" s="26">
        <v>11932.0</v>
      </c>
      <c r="B95" s="23" t="s">
        <v>494</v>
      </c>
      <c r="C95" s="202" t="b">
        <f>IF($D95, TRUE, IF(ISERROR('API import'!$A$1), FALSE, COUNTIF('API import'!$A:$A, $A95)&gt;0))</f>
        <v>0</v>
      </c>
      <c r="D95" s="195" t="b">
        <v>0</v>
      </c>
      <c r="E95" s="195">
        <v>4.0</v>
      </c>
      <c r="F95" s="201">
        <f>COUNTIF('Activity map'!$C:$C, $A95)</f>
        <v>1</v>
      </c>
    </row>
    <row r="96">
      <c r="A96" s="26">
        <v>11990.0</v>
      </c>
      <c r="B96" s="23" t="s">
        <v>495</v>
      </c>
      <c r="C96" s="202" t="b">
        <f>IF($D96, TRUE, IF(ISERROR('API import'!$A$1), FALSE, COUNTIF('API import'!$A:$A, $A96)&gt;0))</f>
        <v>0</v>
      </c>
      <c r="D96" s="195" t="b">
        <v>0</v>
      </c>
      <c r="E96" s="195">
        <v>3.0</v>
      </c>
      <c r="F96" s="201">
        <f>COUNTIF('Activity map'!$C:$C, $A96)</f>
        <v>1</v>
      </c>
    </row>
    <row r="97">
      <c r="A97" s="26">
        <v>12644.0</v>
      </c>
      <c r="B97" s="23" t="s">
        <v>496</v>
      </c>
      <c r="C97" s="200" t="b">
        <f>IF($D97, TRUE, IF(ISERROR('API import'!$A$1), FALSE, COUNTIF('API import'!$A:$A, $A97)&gt;0))</f>
        <v>0</v>
      </c>
      <c r="D97" s="195" t="b">
        <v>0</v>
      </c>
      <c r="E97" s="195">
        <v>7.0</v>
      </c>
      <c r="F97" s="201">
        <f>COUNTIF('Activity map'!$C:$C, $A97)</f>
        <v>1</v>
      </c>
    </row>
    <row r="98">
      <c r="A98" s="26">
        <v>12643.0</v>
      </c>
      <c r="B98" s="23" t="s">
        <v>497</v>
      </c>
      <c r="C98" s="200" t="b">
        <f>IF($D98, TRUE, IF(ISERROR('API import'!$A$1), FALSE, COUNTIF('API import'!$A:$A, $A98)&gt;0))</f>
        <v>0</v>
      </c>
      <c r="D98" s="195" t="b">
        <v>0</v>
      </c>
      <c r="E98" s="195">
        <v>7.0</v>
      </c>
      <c r="F98" s="201">
        <f>COUNTIF('Activity map'!$C:$C, $A98)</f>
        <v>1</v>
      </c>
    </row>
    <row r="99">
      <c r="A99" s="26">
        <v>12645.0</v>
      </c>
      <c r="B99" s="23" t="s">
        <v>498</v>
      </c>
      <c r="C99" s="200" t="b">
        <f>IF($D99, TRUE, IF(ISERROR('API import'!$A$1), FALSE, COUNTIF('API import'!$A:$A, $A99)&gt;0))</f>
        <v>0</v>
      </c>
      <c r="D99" s="195" t="b">
        <v>0</v>
      </c>
      <c r="E99" s="195">
        <v>7.0</v>
      </c>
      <c r="F99" s="201">
        <f>COUNTIF('Activity map'!$C:$C, $A99)</f>
        <v>1</v>
      </c>
    </row>
    <row r="100">
      <c r="A100" s="26">
        <v>6737.0</v>
      </c>
      <c r="B100" s="23" t="s">
        <v>499</v>
      </c>
      <c r="C100" s="200" t="b">
        <f>IF($D100, TRUE, IF(ISERROR('API import'!$A$1), FALSE, COUNTIF('API import'!$A:$A, $A100)&gt;0))</f>
        <v>0</v>
      </c>
      <c r="D100" s="195" t="b">
        <v>0</v>
      </c>
      <c r="E100" s="195">
        <v>4.0</v>
      </c>
      <c r="F100" s="201">
        <f>COUNTIF('Activity map'!$C:$C, $A100)</f>
        <v>1</v>
      </c>
    </row>
    <row r="101">
      <c r="A101" s="26">
        <v>6733.0</v>
      </c>
      <c r="B101" s="23" t="s">
        <v>500</v>
      </c>
      <c r="C101" s="202" t="b">
        <f>IF($D101, TRUE, IF(ISERROR('API import'!$A$1), FALSE, COUNTIF('API import'!$A:$A, $A101)&gt;0))</f>
        <v>0</v>
      </c>
      <c r="D101" s="195" t="b">
        <v>0</v>
      </c>
      <c r="E101" s="195">
        <v>4.0</v>
      </c>
      <c r="F101" s="201">
        <f>COUNTIF('Activity map'!$C:$C, $A101)</f>
        <v>1</v>
      </c>
    </row>
    <row r="102">
      <c r="A102" s="26">
        <v>6731.0</v>
      </c>
      <c r="B102" s="23" t="s">
        <v>501</v>
      </c>
      <c r="C102" s="200" t="b">
        <f>IF($D102, TRUE, IF(ISERROR('API import'!$A$1), FALSE, COUNTIF('API import'!$A:$A, $A102)&gt;0))</f>
        <v>0</v>
      </c>
      <c r="D102" s="195" t="b">
        <v>0</v>
      </c>
      <c r="E102" s="195">
        <v>4.0</v>
      </c>
      <c r="F102" s="201">
        <f>COUNTIF('Activity map'!$C:$C, $A102)</f>
        <v>1</v>
      </c>
    </row>
    <row r="103">
      <c r="A103" s="26">
        <v>6735.0</v>
      </c>
      <c r="B103" s="23" t="s">
        <v>502</v>
      </c>
      <c r="C103" s="200" t="b">
        <f>IF($D103, TRUE, IF(ISERROR('API import'!$A$1), FALSE, COUNTIF('API import'!$A:$A, $A103)&gt;0))</f>
        <v>0</v>
      </c>
      <c r="D103" s="195" t="b">
        <v>0</v>
      </c>
      <c r="E103" s="195">
        <v>4.0</v>
      </c>
      <c r="F103" s="201">
        <f>COUNTIF('Activity map'!$C:$C, $A103)</f>
        <v>1</v>
      </c>
    </row>
    <row r="104">
      <c r="A104" s="26">
        <v>6739.0</v>
      </c>
      <c r="B104" s="23" t="s">
        <v>503</v>
      </c>
      <c r="C104" s="202" t="b">
        <f>IF($D104, TRUE, IF(ISERROR('API import'!$A$1), FALSE, COUNTIF('API import'!$A:$A, $A104)&gt;0))</f>
        <v>0</v>
      </c>
      <c r="D104" s="195" t="b">
        <v>0</v>
      </c>
      <c r="E104" s="195">
        <v>4.0</v>
      </c>
      <c r="F104" s="203">
        <f>COUNTIF('Activity map'!$C:$C, $A104)</f>
        <v>2</v>
      </c>
    </row>
    <row r="105">
      <c r="A105" s="26">
        <v>6724.0</v>
      </c>
      <c r="B105" s="23" t="s">
        <v>504</v>
      </c>
      <c r="C105" s="202" t="b">
        <f>IF($D105, TRUE, IF(ISERROR('API import'!$A$1), FALSE, COUNTIF('API import'!$A:$A, $A105)&gt;0))</f>
        <v>0</v>
      </c>
      <c r="D105" s="195" t="b">
        <v>0</v>
      </c>
      <c r="E105" s="195">
        <v>4.0</v>
      </c>
      <c r="F105" s="201">
        <f>COUNTIF('Activity map'!$C:$C, $A105)</f>
        <v>1</v>
      </c>
    </row>
    <row r="106">
      <c r="A106" s="26">
        <v>6562.0</v>
      </c>
      <c r="B106" s="23" t="s">
        <v>505</v>
      </c>
      <c r="C106" s="200" t="b">
        <f>IF($D106, TRUE, IF(ISERROR('API import'!$A$1), FALSE, COUNTIF('API import'!$A:$A, $A106)&gt;0))</f>
        <v>0</v>
      </c>
      <c r="D106" s="195" t="b">
        <v>0</v>
      </c>
      <c r="E106" s="195">
        <v>4.0</v>
      </c>
      <c r="F106" s="201">
        <f>COUNTIF('Activity map'!$C:$C, $A106)</f>
        <v>1</v>
      </c>
    </row>
    <row r="107">
      <c r="A107" s="26">
        <v>30895.0</v>
      </c>
      <c r="B107" s="23" t="s">
        <v>506</v>
      </c>
      <c r="C107" s="200" t="b">
        <f>IF($D107, TRUE, IF(ISERROR('API import'!$A$1), FALSE, COUNTIF('API import'!$A:$A, $A107)&gt;0))</f>
        <v>0</v>
      </c>
      <c r="D107" s="195" t="b">
        <v>0</v>
      </c>
      <c r="E107" s="195">
        <v>3.0</v>
      </c>
      <c r="F107" s="201">
        <f>COUNTIF('Activity map'!$C:$C, $A107)</f>
        <v>1</v>
      </c>
    </row>
    <row r="108">
      <c r="A108" s="26">
        <v>31130.0</v>
      </c>
      <c r="B108" s="23" t="s">
        <v>507</v>
      </c>
      <c r="C108" s="200" t="b">
        <f>IF($D108, TRUE, IF(ISERROR('API import'!$A$1), FALSE, COUNTIF('API import'!$A:$A, $A108)&gt;0))</f>
        <v>0</v>
      </c>
      <c r="D108" s="195" t="b">
        <v>0</v>
      </c>
      <c r="E108" s="195">
        <v>7.0</v>
      </c>
      <c r="F108" s="201">
        <f>COUNTIF('Activity map'!$C:$C, $A108)</f>
        <v>1</v>
      </c>
    </row>
    <row r="109">
      <c r="A109" s="26">
        <v>31088.0</v>
      </c>
      <c r="B109" s="23" t="s">
        <v>508</v>
      </c>
      <c r="C109" s="200" t="b">
        <f>IF($D109, TRUE, IF(ISERROR('API import'!$A$1), FALSE, COUNTIF('API import'!$A:$A, $A109)&gt;0))</f>
        <v>0</v>
      </c>
      <c r="D109" s="195" t="b">
        <v>0</v>
      </c>
      <c r="E109" s="195">
        <v>7.0</v>
      </c>
      <c r="F109" s="201">
        <f>COUNTIF('Activity map'!$C:$C, $A109)</f>
        <v>1</v>
      </c>
    </row>
    <row r="110">
      <c r="A110" s="26">
        <v>31115.0</v>
      </c>
      <c r="B110" s="23" t="s">
        <v>509</v>
      </c>
      <c r="C110" s="200" t="b">
        <f>IF($D110, TRUE, IF(ISERROR('API import'!$A$1), FALSE, COUNTIF('API import'!$A:$A, $A110)&gt;0))</f>
        <v>0</v>
      </c>
      <c r="D110" s="195" t="b">
        <v>0</v>
      </c>
      <c r="E110" s="195">
        <v>7.0</v>
      </c>
      <c r="F110" s="201">
        <f>COUNTIF('Activity map'!$C:$C, $A110)</f>
        <v>1</v>
      </c>
    </row>
    <row r="111">
      <c r="A111" s="26">
        <v>31109.0</v>
      </c>
      <c r="B111" s="23" t="s">
        <v>510</v>
      </c>
      <c r="C111" s="200" t="b">
        <f>IF($D111, TRUE, IF(ISERROR('API import'!$A$1), FALSE, COUNTIF('API import'!$A:$A, $A111)&gt;0))</f>
        <v>0</v>
      </c>
      <c r="D111" s="195" t="b">
        <v>0</v>
      </c>
      <c r="E111" s="195">
        <v>7.0</v>
      </c>
      <c r="F111" s="201">
        <f>COUNTIF('Activity map'!$C:$C, $A111)</f>
        <v>1</v>
      </c>
    </row>
    <row r="112">
      <c r="A112" s="26">
        <v>31099.0</v>
      </c>
      <c r="B112" s="23" t="s">
        <v>511</v>
      </c>
      <c r="C112" s="200" t="b">
        <f>IF($D112, TRUE, IF(ISERROR('API import'!$A$1), FALSE, COUNTIF('API import'!$A:$A, $A112)&gt;0))</f>
        <v>0</v>
      </c>
      <c r="D112" s="195" t="b">
        <v>0</v>
      </c>
      <c r="E112" s="195">
        <v>5.0</v>
      </c>
      <c r="F112" s="201">
        <f>COUNTIF('Activity map'!$C:$C, $A112)</f>
        <v>1</v>
      </c>
    </row>
    <row r="113">
      <c r="A113" s="26">
        <v>31111.0</v>
      </c>
      <c r="B113" s="23" t="s">
        <v>512</v>
      </c>
      <c r="C113" s="200" t="b">
        <f>IF($D113, TRUE, IF(ISERROR('API import'!$A$1), FALSE, COUNTIF('API import'!$A:$A, $A113)&gt;0))</f>
        <v>0</v>
      </c>
      <c r="D113" s="195" t="b">
        <v>0</v>
      </c>
      <c r="E113" s="195">
        <v>4.0</v>
      </c>
      <c r="F113" s="201">
        <f>COUNTIF('Activity map'!$C:$C, $A113)</f>
        <v>1</v>
      </c>
    </row>
    <row r="114">
      <c r="A114" s="26">
        <v>28250.0</v>
      </c>
      <c r="B114" s="23" t="s">
        <v>513</v>
      </c>
      <c r="C114" s="200" t="b">
        <f>IF($D114, TRUE, IF(ISERROR('API import'!$A$1), FALSE, COUNTIF('API import'!$A:$A, $A114)&gt;0))</f>
        <v>0</v>
      </c>
      <c r="D114" s="195" t="b">
        <v>0</v>
      </c>
      <c r="E114" s="195">
        <v>7.0</v>
      </c>
      <c r="F114" s="201">
        <f>COUNTIF('Activity map'!$C:$C, $A114)</f>
        <v>1</v>
      </c>
    </row>
    <row r="115">
      <c r="A115" s="26">
        <v>28321.0</v>
      </c>
      <c r="B115" s="23" t="s">
        <v>514</v>
      </c>
      <c r="C115" s="200" t="b">
        <f>IF($D115, TRUE, IF(ISERROR('API import'!$A$1), FALSE, COUNTIF('API import'!$A:$A, $A115)&gt;0))</f>
        <v>0</v>
      </c>
      <c r="D115" s="195" t="b">
        <v>0</v>
      </c>
      <c r="E115" s="195">
        <v>6.0</v>
      </c>
      <c r="F115" s="201">
        <f>COUNTIF('Activity map'!$C:$C, $A115)</f>
        <v>1</v>
      </c>
    </row>
    <row r="116">
      <c r="A116" s="26">
        <v>26241.0</v>
      </c>
      <c r="B116" s="23" t="s">
        <v>515</v>
      </c>
      <c r="C116" s="200" t="b">
        <f>IF($D116, TRUE, IF(ISERROR('API import'!$A$1), FALSE, COUNTIF('API import'!$A:$A, $A116)&gt;0))</f>
        <v>0</v>
      </c>
      <c r="D116" s="195" t="b">
        <v>0</v>
      </c>
      <c r="E116" s="195">
        <v>7.0</v>
      </c>
      <c r="F116" s="203">
        <f>COUNTIF('Activity map'!$C:$C, $A116)</f>
        <v>4</v>
      </c>
    </row>
    <row r="117">
      <c r="A117" s="26">
        <v>26243.0</v>
      </c>
      <c r="B117" s="23" t="s">
        <v>516</v>
      </c>
      <c r="C117" s="200" t="b">
        <f>IF($D117, TRUE, IF(ISERROR('API import'!$A$1), FALSE, COUNTIF('API import'!$A:$A, $A117)&gt;0))</f>
        <v>0</v>
      </c>
      <c r="D117" s="195" t="b">
        <v>0</v>
      </c>
      <c r="E117" s="195">
        <v>7.0</v>
      </c>
      <c r="F117" s="203">
        <f>COUNTIF('Activity map'!$C:$C, $A117)</f>
        <v>4</v>
      </c>
    </row>
    <row r="118">
      <c r="A118" s="26">
        <v>26245.0</v>
      </c>
      <c r="B118" s="23" t="s">
        <v>517</v>
      </c>
      <c r="C118" s="200" t="b">
        <f>IF($D118, TRUE, IF(ISERROR('API import'!$A$1), FALSE, COUNTIF('API import'!$A:$A, $A118)&gt;0))</f>
        <v>0</v>
      </c>
      <c r="D118" s="195" t="b">
        <v>0</v>
      </c>
      <c r="E118" s="195">
        <v>7.0</v>
      </c>
      <c r="F118" s="203">
        <f>COUNTIF('Activity map'!$C:$C, $A118)</f>
        <v>4</v>
      </c>
    </row>
    <row r="119">
      <c r="A119" s="26">
        <v>28281.0</v>
      </c>
      <c r="B119" s="23" t="s">
        <v>518</v>
      </c>
      <c r="C119" s="200" t="b">
        <f>IF($D119, TRUE, IF(ISERROR('API import'!$A$1), FALSE, COUNTIF('API import'!$A:$A, $A119)&gt;0))</f>
        <v>0</v>
      </c>
      <c r="D119" s="195" t="b">
        <v>0</v>
      </c>
      <c r="E119" s="195">
        <v>6.0</v>
      </c>
      <c r="F119" s="201">
        <f>COUNTIF('Activity map'!$C:$C, $A119)</f>
        <v>1</v>
      </c>
    </row>
    <row r="120">
      <c r="A120" s="26">
        <v>28270.0</v>
      </c>
      <c r="B120" s="23" t="s">
        <v>519</v>
      </c>
      <c r="C120" s="200" t="b">
        <f>IF($D120, TRUE, IF(ISERROR('API import'!$A$1), FALSE, COUNTIF('API import'!$A:$A, $A120)&gt;0))</f>
        <v>0</v>
      </c>
      <c r="D120" s="195" t="b">
        <v>0</v>
      </c>
      <c r="E120" s="195">
        <v>5.0</v>
      </c>
      <c r="F120" s="201">
        <f>COUNTIF('Activity map'!$C:$C, $A120)</f>
        <v>1</v>
      </c>
    </row>
    <row r="121">
      <c r="A121" s="26">
        <v>28333.0</v>
      </c>
      <c r="B121" s="23" t="s">
        <v>520</v>
      </c>
      <c r="C121" s="200" t="b">
        <f>IF($D121, TRUE, IF(ISERROR('API import'!$A$1), FALSE, COUNTIF('API import'!$A:$A, $A121)&gt;0))</f>
        <v>0</v>
      </c>
      <c r="D121" s="195" t="b">
        <v>0</v>
      </c>
      <c r="E121" s="195">
        <v>5.0</v>
      </c>
      <c r="F121" s="201">
        <f>COUNTIF('Activity map'!$C:$C, $A121)</f>
        <v>1</v>
      </c>
    </row>
    <row r="122">
      <c r="A122" s="26">
        <v>28276.0</v>
      </c>
      <c r="B122" s="23" t="s">
        <v>521</v>
      </c>
      <c r="C122" s="202" t="b">
        <f>IF($D122, TRUE, IF(ISERROR('API import'!$A$1), FALSE, COUNTIF('API import'!$A:$A, $A122)&gt;0))</f>
        <v>0</v>
      </c>
      <c r="D122" s="195" t="b">
        <v>0</v>
      </c>
      <c r="E122" s="195">
        <v>5.0</v>
      </c>
      <c r="F122" s="203">
        <f>COUNTIF('Activity map'!$C:$C, $A122)</f>
        <v>4</v>
      </c>
    </row>
    <row r="123">
      <c r="A123" s="26">
        <v>28334.0</v>
      </c>
      <c r="B123" s="23" t="s">
        <v>522</v>
      </c>
      <c r="C123" s="202" t="b">
        <f>IF($D123, TRUE, IF(ISERROR('API import'!$A$1), FALSE, COUNTIF('API import'!$A:$A, $A123)&gt;0))</f>
        <v>0</v>
      </c>
      <c r="D123" s="195" t="b">
        <v>0</v>
      </c>
      <c r="E123" s="195">
        <v>5.0</v>
      </c>
      <c r="F123" s="203">
        <f>COUNTIF('Activity map'!$C:$C, $A123)</f>
        <v>4</v>
      </c>
    </row>
    <row r="124">
      <c r="A124" s="26">
        <v>13225.0</v>
      </c>
      <c r="B124" s="23" t="s">
        <v>523</v>
      </c>
      <c r="C124" s="200" t="b">
        <f>IF($D124, TRUE, IF(ISERROR('API import'!$A$1), FALSE, COUNTIF('API import'!$A:$A, $A124)&gt;0))</f>
        <v>0</v>
      </c>
      <c r="D124" s="195" t="b">
        <v>0</v>
      </c>
      <c r="E124" s="195">
        <v>6.0</v>
      </c>
      <c r="F124" s="201">
        <f>COUNTIF('Activity map'!$C:$C, $A124)</f>
        <v>1</v>
      </c>
    </row>
    <row r="125">
      <c r="A125" s="26">
        <v>6570.0</v>
      </c>
      <c r="B125" s="23" t="s">
        <v>524</v>
      </c>
      <c r="C125" s="202" t="b">
        <f>IF($D125, TRUE, IF(ISERROR('API import'!$A$1), FALSE, COUNTIF('API import'!$A:$A, $A125)&gt;0))</f>
        <v>0</v>
      </c>
      <c r="D125" s="195" t="b">
        <v>0</v>
      </c>
      <c r="E125" s="195">
        <v>4.0</v>
      </c>
      <c r="F125" s="201">
        <f>COUNTIF('Activity map'!$C:$C, $A125)</f>
        <v>1</v>
      </c>
    </row>
    <row r="126">
      <c r="A126" s="26">
        <v>28960.0</v>
      </c>
      <c r="B126" s="23" t="s">
        <v>525</v>
      </c>
      <c r="C126" s="200" t="b">
        <f>IF($D126, TRUE, IF(ISERROR('API import'!$A$1), FALSE, COUNTIF('API import'!$A:$A, $A126)&gt;0))</f>
        <v>0</v>
      </c>
      <c r="D126" s="195" t="b">
        <v>0</v>
      </c>
      <c r="E126" s="195">
        <v>8.0</v>
      </c>
      <c r="F126" s="201">
        <f>COUNTIF('Activity map'!$C:$C, $A126)</f>
        <v>1</v>
      </c>
    </row>
    <row r="127">
      <c r="A127" s="26">
        <v>28947.0</v>
      </c>
      <c r="B127" s="23" t="s">
        <v>526</v>
      </c>
      <c r="C127" s="200" t="b">
        <f>IF($D127, TRUE, IF(ISERROR('API import'!$A$1), FALSE, COUNTIF('API import'!$A:$A, $A127)&gt;0))</f>
        <v>0</v>
      </c>
      <c r="D127" s="195" t="b">
        <v>0</v>
      </c>
      <c r="E127" s="195">
        <v>6.0</v>
      </c>
      <c r="F127" s="201">
        <f>COUNTIF('Activity map'!$C:$C, $A127)</f>
        <v>1</v>
      </c>
    </row>
    <row r="128">
      <c r="A128" s="26">
        <v>28936.0</v>
      </c>
      <c r="B128" s="23" t="s">
        <v>527</v>
      </c>
      <c r="C128" s="200" t="b">
        <f>IF($D128, TRUE, IF(ISERROR('API import'!$A$1), FALSE, COUNTIF('API import'!$A:$A, $A128)&gt;0))</f>
        <v>0</v>
      </c>
      <c r="D128" s="195" t="b">
        <v>0</v>
      </c>
      <c r="E128" s="195">
        <v>7.0</v>
      </c>
      <c r="F128" s="201">
        <f>COUNTIF('Activity map'!$C:$C, $A128)</f>
        <v>1</v>
      </c>
    </row>
    <row r="129">
      <c r="A129" s="26">
        <v>28939.0</v>
      </c>
      <c r="B129" s="23" t="s">
        <v>528</v>
      </c>
      <c r="C129" s="200" t="b">
        <f>IF($D129, TRUE, IF(ISERROR('API import'!$A$1), FALSE, COUNTIF('API import'!$A:$A, $A129)&gt;0))</f>
        <v>0</v>
      </c>
      <c r="D129" s="195" t="b">
        <v>0</v>
      </c>
      <c r="E129" s="195">
        <v>7.0</v>
      </c>
      <c r="F129" s="201">
        <f>COUNTIF('Activity map'!$C:$C, $A129)</f>
        <v>1</v>
      </c>
    </row>
    <row r="130">
      <c r="A130" s="26">
        <v>28933.0</v>
      </c>
      <c r="B130" s="23" t="s">
        <v>529</v>
      </c>
      <c r="C130" s="200" t="b">
        <f>IF($D130, TRUE, IF(ISERROR('API import'!$A$1), FALSE, COUNTIF('API import'!$A:$A, $A130)&gt;0))</f>
        <v>0</v>
      </c>
      <c r="D130" s="195" t="b">
        <v>0</v>
      </c>
      <c r="E130" s="195">
        <v>7.0</v>
      </c>
      <c r="F130" s="201">
        <f>COUNTIF('Activity map'!$C:$C, $A130)</f>
        <v>1</v>
      </c>
    </row>
    <row r="131">
      <c r="A131" s="26">
        <v>28942.0</v>
      </c>
      <c r="B131" s="23" t="s">
        <v>530</v>
      </c>
      <c r="C131" s="200" t="b">
        <f>IF($D131, TRUE, IF(ISERROR('API import'!$A$1), FALSE, COUNTIF('API import'!$A:$A, $A131)&gt;0))</f>
        <v>0</v>
      </c>
      <c r="D131" s="195" t="b">
        <v>0</v>
      </c>
      <c r="E131" s="195">
        <v>7.0</v>
      </c>
      <c r="F131" s="201">
        <f>COUNTIF('Activity map'!$C:$C, $A131)</f>
        <v>1</v>
      </c>
    </row>
    <row r="132">
      <c r="A132" s="26">
        <v>28919.0</v>
      </c>
      <c r="B132" s="23" t="s">
        <v>531</v>
      </c>
      <c r="C132" s="200" t="b">
        <f>IF($D132, TRUE, IF(ISERROR('API import'!$A$1), FALSE, COUNTIF('API import'!$A:$A, $A132)&gt;0))</f>
        <v>0</v>
      </c>
      <c r="D132" s="195" t="b">
        <v>0</v>
      </c>
      <c r="E132" s="195">
        <v>8.0</v>
      </c>
      <c r="F132" s="201">
        <f>COUNTIF('Activity map'!$C:$C, $A132)</f>
        <v>1</v>
      </c>
    </row>
    <row r="133">
      <c r="A133" s="26">
        <v>28924.0</v>
      </c>
      <c r="B133" s="23" t="s">
        <v>532</v>
      </c>
      <c r="C133" s="202" t="b">
        <f>IF($D133, TRUE, IF(ISERROR('API import'!$A$1), FALSE, COUNTIF('API import'!$A:$A, $A133)&gt;0))</f>
        <v>0</v>
      </c>
      <c r="D133" s="195" t="b">
        <v>0</v>
      </c>
      <c r="E133" s="195">
        <v>2.0</v>
      </c>
      <c r="F133" s="203">
        <f>COUNTIF('Activity map'!$C:$C, $A133)</f>
        <v>3</v>
      </c>
    </row>
    <row r="134">
      <c r="A134" s="26">
        <v>23757.0</v>
      </c>
      <c r="B134" s="23" t="s">
        <v>533</v>
      </c>
      <c r="C134" s="200" t="b">
        <f>IF($D134, TRUE, IF(ISERROR('API import'!$A$1), FALSE, COUNTIF('API import'!$A:$A, $A134)&gt;0))</f>
        <v>0</v>
      </c>
      <c r="D134" s="195" t="b">
        <v>0</v>
      </c>
      <c r="E134" s="195">
        <v>7.0</v>
      </c>
      <c r="F134" s="203">
        <f>COUNTIF('Activity map'!$C:$C, $A134)</f>
        <v>2</v>
      </c>
    </row>
    <row r="135">
      <c r="A135" s="26">
        <v>23956.0</v>
      </c>
      <c r="B135" s="23" t="s">
        <v>534</v>
      </c>
      <c r="C135" s="200" t="b">
        <f>IF($D135, TRUE, IF(ISERROR('API import'!$A$1), FALSE, COUNTIF('API import'!$A:$A, $A135)&gt;0))</f>
        <v>0</v>
      </c>
      <c r="D135" s="195" t="b">
        <v>0</v>
      </c>
      <c r="E135" s="195">
        <v>5.0</v>
      </c>
      <c r="F135" s="203">
        <f>COUNTIF('Activity map'!$C:$C, $A135)</f>
        <v>2</v>
      </c>
    </row>
    <row r="136">
      <c r="A136" s="26">
        <v>4207.0</v>
      </c>
      <c r="B136" s="23" t="s">
        <v>535</v>
      </c>
      <c r="C136" s="202" t="b">
        <f>IF($D136, TRUE, IF(ISERROR('API import'!$A$1), FALSE, COUNTIF('API import'!$A:$A, $A136)&gt;0))</f>
        <v>0</v>
      </c>
      <c r="D136" s="195" t="b">
        <v>0</v>
      </c>
      <c r="E136" s="195">
        <v>5.0</v>
      </c>
      <c r="F136" s="203">
        <f>COUNTIF('Activity map'!$C:$C, $A136)</f>
        <v>2</v>
      </c>
    </row>
    <row r="137">
      <c r="A137" s="26">
        <v>25859.0</v>
      </c>
      <c r="B137" s="23" t="s">
        <v>536</v>
      </c>
      <c r="C137" s="200" t="b">
        <f>IF($D137, TRUE, IF(ISERROR('API import'!$A$1), FALSE, COUNTIF('API import'!$A:$A, $A137)&gt;0))</f>
        <v>0</v>
      </c>
      <c r="D137" s="195" t="b">
        <v>0</v>
      </c>
      <c r="E137" s="195">
        <v>7.0</v>
      </c>
      <c r="F137" s="203">
        <f>COUNTIF('Activity map'!$C:$C, $A137)</f>
        <v>2</v>
      </c>
    </row>
    <row r="138">
      <c r="A138" s="26">
        <v>23859.0</v>
      </c>
      <c r="B138" s="23" t="s">
        <v>537</v>
      </c>
      <c r="C138" s="202" t="b">
        <f>IF($D138, TRUE, IF(ISERROR('API import'!$A$1), FALSE, COUNTIF('API import'!$A:$A, $A138)&gt;0))</f>
        <v>0</v>
      </c>
      <c r="D138" s="195" t="b">
        <v>0</v>
      </c>
      <c r="E138" s="195">
        <v>4.0</v>
      </c>
      <c r="F138" s="201">
        <f>COUNTIF('Activity map'!$C:$C, $A138)</f>
        <v>1</v>
      </c>
    </row>
    <row r="139">
      <c r="A139" s="26">
        <v>12650.0</v>
      </c>
      <c r="B139" s="23" t="s">
        <v>538</v>
      </c>
      <c r="C139" s="200" t="b">
        <f>IF($D139, TRUE, IF(ISERROR('API import'!$A$1), FALSE, COUNTIF('API import'!$A:$A, $A139)&gt;0))</f>
        <v>0</v>
      </c>
      <c r="D139" s="195" t="b">
        <v>0</v>
      </c>
      <c r="E139" s="195">
        <v>7.0</v>
      </c>
      <c r="F139" s="201">
        <f>COUNTIF('Activity map'!$C:$C, $A139)</f>
        <v>1</v>
      </c>
    </row>
    <row r="140">
      <c r="A140" s="26">
        <v>11832.0</v>
      </c>
      <c r="B140" s="23" t="s">
        <v>539</v>
      </c>
      <c r="C140" s="200" t="b">
        <f>IF($D140, TRUE, IF(ISERROR('API import'!$A$1), FALSE, COUNTIF('API import'!$A:$A, $A140)&gt;0))</f>
        <v>0</v>
      </c>
      <c r="D140" s="195" t="b">
        <v>0</v>
      </c>
      <c r="E140" s="195">
        <v>5.0</v>
      </c>
      <c r="F140" s="201">
        <f>COUNTIF('Activity map'!$C:$C, $A140)</f>
        <v>1</v>
      </c>
    </row>
    <row r="141">
      <c r="A141" s="26">
        <v>11834.0</v>
      </c>
      <c r="B141" s="23" t="s">
        <v>540</v>
      </c>
      <c r="C141" s="200" t="b">
        <f>IF($D141, TRUE, IF(ISERROR('API import'!$A$1), FALSE, COUNTIF('API import'!$A:$A, $A141)&gt;0))</f>
        <v>0</v>
      </c>
      <c r="D141" s="195" t="b">
        <v>0</v>
      </c>
      <c r="E141" s="195">
        <v>5.0</v>
      </c>
      <c r="F141" s="201">
        <f>COUNTIF('Activity map'!$C:$C, $A141)</f>
        <v>1</v>
      </c>
    </row>
    <row r="142">
      <c r="A142" s="26">
        <v>11836.0</v>
      </c>
      <c r="B142" s="23" t="s">
        <v>541</v>
      </c>
      <c r="C142" s="202" t="b">
        <f>IF($D142, TRUE, IF(ISERROR('API import'!$A$1), FALSE, COUNTIF('API import'!$A:$A, $A142)&gt;0))</f>
        <v>0</v>
      </c>
      <c r="D142" s="195" t="b">
        <v>0</v>
      </c>
      <c r="E142" s="195">
        <v>5.0</v>
      </c>
      <c r="F142" s="201">
        <f>COUNTIF('Activity map'!$C:$C, $A142)</f>
        <v>1</v>
      </c>
    </row>
    <row r="143">
      <c r="A143" s="26">
        <v>11812.0</v>
      </c>
      <c r="B143" s="23" t="s">
        <v>542</v>
      </c>
      <c r="C143" s="200" t="b">
        <f>IF($D143, TRUE, IF(ISERROR('API import'!$A$1), FALSE, COUNTIF('API import'!$A:$A, $A143)&gt;0))</f>
        <v>0</v>
      </c>
      <c r="D143" s="195" t="b">
        <v>0</v>
      </c>
      <c r="E143" s="195">
        <v>5.0</v>
      </c>
      <c r="F143" s="201">
        <f>COUNTIF('Activity map'!$C:$C, $A143)</f>
        <v>1</v>
      </c>
    </row>
    <row r="144">
      <c r="A144" s="26">
        <v>12646.0</v>
      </c>
      <c r="B144" s="23" t="s">
        <v>543</v>
      </c>
      <c r="C144" s="200" t="b">
        <f>IF($D144, TRUE, IF(ISERROR('API import'!$A$1), FALSE, COUNTIF('API import'!$A:$A, $A144)&gt;0))</f>
        <v>0</v>
      </c>
      <c r="D144" s="195" t="b">
        <v>0</v>
      </c>
      <c r="E144" s="195">
        <v>5.0</v>
      </c>
      <c r="F144" s="201">
        <f>COUNTIF('Activity map'!$C:$C, $A144)</f>
        <v>1</v>
      </c>
    </row>
    <row r="145">
      <c r="A145" s="26">
        <v>7418.0</v>
      </c>
      <c r="B145" s="23" t="s">
        <v>544</v>
      </c>
      <c r="C145" s="202" t="b">
        <f>IF($D145, TRUE, IF(ISERROR('API import'!$A$1), FALSE, COUNTIF('API import'!$A:$A, $A145)&gt;0))</f>
        <v>0</v>
      </c>
      <c r="D145" s="195" t="b">
        <v>0</v>
      </c>
      <c r="E145" s="195">
        <v>3.0</v>
      </c>
      <c r="F145" s="201">
        <f>COUNTIF('Activity map'!$C:$C, $A145)</f>
        <v>1</v>
      </c>
    </row>
    <row r="146">
      <c r="A146" s="26">
        <v>7416.0</v>
      </c>
      <c r="B146" s="23" t="s">
        <v>545</v>
      </c>
      <c r="C146" s="202" t="b">
        <f>IF($D146, TRUE, IF(ISERROR('API import'!$A$1), FALSE, COUNTIF('API import'!$A:$A, $A146)&gt;0))</f>
        <v>0</v>
      </c>
      <c r="D146" s="195" t="b">
        <v>0</v>
      </c>
      <c r="E146" s="195">
        <v>3.0</v>
      </c>
      <c r="F146" s="201">
        <f>COUNTIF('Activity map'!$C:$C, $A146)</f>
        <v>1</v>
      </c>
    </row>
    <row r="147">
      <c r="A147" s="26">
        <v>21748.0</v>
      </c>
      <c r="B147" s="23" t="s">
        <v>546</v>
      </c>
      <c r="C147" s="200" t="b">
        <f>IF($D147, TRUE, IF(ISERROR('API import'!$A$1), FALSE, COUNTIF('API import'!$A:$A, $A147)&gt;0))</f>
        <v>0</v>
      </c>
      <c r="D147" s="195" t="b">
        <v>0</v>
      </c>
      <c r="E147" s="195">
        <v>7.0</v>
      </c>
      <c r="F147" s="201">
        <f>COUNTIF('Activity map'!$C:$C, $A147)</f>
        <v>1</v>
      </c>
    </row>
    <row r="148">
      <c r="A148" s="26">
        <v>21730.0</v>
      </c>
      <c r="B148" s="23" t="s">
        <v>547</v>
      </c>
      <c r="C148" s="202" t="b">
        <f>IF($D148, TRUE, IF(ISERROR('API import'!$A$1), FALSE, COUNTIF('API import'!$A:$A, $A148)&gt;0))</f>
        <v>0</v>
      </c>
      <c r="D148" s="195" t="b">
        <v>0</v>
      </c>
      <c r="E148" s="195">
        <v>6.0</v>
      </c>
      <c r="F148" s="201">
        <f>COUNTIF('Activity map'!$C:$C, $A148)</f>
        <v>1</v>
      </c>
    </row>
    <row r="149">
      <c r="A149" s="26">
        <v>21736.0</v>
      </c>
      <c r="B149" s="23" t="s">
        <v>548</v>
      </c>
      <c r="C149" s="200" t="b">
        <f>IF($D149, TRUE, IF(ISERROR('API import'!$A$1), FALSE, COUNTIF('API import'!$A:$A, $A149)&gt;0))</f>
        <v>0</v>
      </c>
      <c r="D149" s="195" t="b">
        <v>0</v>
      </c>
      <c r="E149" s="195">
        <v>6.0</v>
      </c>
      <c r="F149" s="201">
        <f>COUNTIF('Activity map'!$C:$C, $A149)</f>
        <v>1</v>
      </c>
    </row>
    <row r="150">
      <c r="A150" s="26">
        <v>21739.0</v>
      </c>
      <c r="B150" s="23" t="s">
        <v>549</v>
      </c>
      <c r="C150" s="200" t="b">
        <f>IF($D150, TRUE, IF(ISERROR('API import'!$A$1), FALSE, COUNTIF('API import'!$A:$A, $A150)&gt;0))</f>
        <v>0</v>
      </c>
      <c r="D150" s="195" t="b">
        <v>0</v>
      </c>
      <c r="E150" s="195">
        <v>6.0</v>
      </c>
      <c r="F150" s="201">
        <f>COUNTIF('Activity map'!$C:$C, $A150)</f>
        <v>1</v>
      </c>
    </row>
    <row r="151">
      <c r="A151" s="26">
        <v>21742.0</v>
      </c>
      <c r="B151" s="23" t="s">
        <v>550</v>
      </c>
      <c r="C151" s="200" t="b">
        <f>IF($D151, TRUE, IF(ISERROR('API import'!$A$1), FALSE, COUNTIF('API import'!$A:$A, $A151)&gt;0))</f>
        <v>0</v>
      </c>
      <c r="D151" s="195" t="b">
        <v>0</v>
      </c>
      <c r="E151" s="195">
        <v>6.0</v>
      </c>
      <c r="F151" s="201">
        <f>COUNTIF('Activity map'!$C:$C, $A151)</f>
        <v>1</v>
      </c>
    </row>
    <row r="152">
      <c r="A152" s="26">
        <v>21745.0</v>
      </c>
      <c r="B152" s="23" t="s">
        <v>551</v>
      </c>
      <c r="C152" s="200" t="b">
        <f>IF($D152, TRUE, IF(ISERROR('API import'!$A$1), FALSE, COUNTIF('API import'!$A:$A, $A152)&gt;0))</f>
        <v>0</v>
      </c>
      <c r="D152" s="195" t="b">
        <v>0</v>
      </c>
      <c r="E152" s="195">
        <v>7.0</v>
      </c>
      <c r="F152" s="201">
        <f>COUNTIF('Activity map'!$C:$C, $A152)</f>
        <v>1</v>
      </c>
    </row>
    <row r="153">
      <c r="A153" s="26">
        <v>21726.0</v>
      </c>
      <c r="B153" s="23" t="s">
        <v>552</v>
      </c>
      <c r="C153" s="202" t="b">
        <f>IF($D153, TRUE, IF(ISERROR('API import'!$A$1), FALSE, COUNTIF('API import'!$A:$A, $A153)&gt;0))</f>
        <v>0</v>
      </c>
      <c r="D153" s="195" t="b">
        <v>0</v>
      </c>
      <c r="E153" s="195">
        <v>4.0</v>
      </c>
      <c r="F153" s="201">
        <f>COUNTIF('Activity map'!$C:$C, $A153)</f>
        <v>1</v>
      </c>
    </row>
    <row r="154">
      <c r="A154" s="26">
        <v>22994.0</v>
      </c>
      <c r="B154" s="23" t="s">
        <v>553</v>
      </c>
      <c r="C154" s="202" t="b">
        <f>IF($D154, TRUE, IF(ISERROR('API import'!$A$1), FALSE, COUNTIF('API import'!$A:$A, $A154)&gt;0))</f>
        <v>0</v>
      </c>
      <c r="D154" s="195" t="b">
        <v>0</v>
      </c>
      <c r="E154" s="195">
        <v>4.0</v>
      </c>
      <c r="F154" s="201">
        <f>COUNTIF('Activity map'!$C:$C, $A154)</f>
        <v>1</v>
      </c>
    </row>
    <row r="155">
      <c r="A155" s="26">
        <v>22883.0</v>
      </c>
      <c r="B155" s="23" t="s">
        <v>554</v>
      </c>
      <c r="C155" s="202" t="b">
        <f>IF($D155, TRUE, IF(ISERROR('API import'!$A$1), FALSE, COUNTIF('API import'!$A:$A, $A155)&gt;0))</f>
        <v>0</v>
      </c>
      <c r="D155" s="195" t="b">
        <v>0</v>
      </c>
      <c r="E155" s="195">
        <v>3.0</v>
      </c>
      <c r="F155" s="201">
        <f>COUNTIF('Activity map'!$C:$C, $A155)</f>
        <v>1</v>
      </c>
    </row>
    <row r="156">
      <c r="A156" s="26">
        <v>22885.0</v>
      </c>
      <c r="B156" s="23" t="s">
        <v>555</v>
      </c>
      <c r="C156" s="202" t="b">
        <f>IF($D156, TRUE, IF(ISERROR('API import'!$A$1), FALSE, COUNTIF('API import'!$A:$A, $A156)&gt;0))</f>
        <v>0</v>
      </c>
      <c r="D156" s="195" t="b">
        <v>0</v>
      </c>
      <c r="E156" s="195">
        <v>3.0</v>
      </c>
      <c r="F156" s="201">
        <f>COUNTIF('Activity map'!$C:$C, $A156)</f>
        <v>1</v>
      </c>
    </row>
    <row r="157">
      <c r="A157" s="26">
        <v>22881.0</v>
      </c>
      <c r="B157" s="23" t="s">
        <v>556</v>
      </c>
      <c r="C157" s="202" t="b">
        <f>IF($D157, TRUE, IF(ISERROR('API import'!$A$1), FALSE, COUNTIF('API import'!$A:$A, $A157)&gt;0))</f>
        <v>0</v>
      </c>
      <c r="D157" s="195" t="b">
        <v>0</v>
      </c>
      <c r="E157" s="195">
        <v>3.0</v>
      </c>
      <c r="F157" s="201">
        <f>COUNTIF('Activity map'!$C:$C, $A157)</f>
        <v>1</v>
      </c>
    </row>
    <row r="158">
      <c r="A158" s="25">
        <v>30152.0</v>
      </c>
      <c r="B158" s="23" t="s">
        <v>557</v>
      </c>
      <c r="C158" s="200" t="b">
        <f>IF($D158, TRUE, IF(ISERROR('API import'!$A$1), FALSE, COUNTIF('API import'!$A:$A, $A158)&gt;0))</f>
        <v>0</v>
      </c>
      <c r="D158" s="195" t="b">
        <v>0</v>
      </c>
      <c r="E158" s="195">
        <v>6.0</v>
      </c>
      <c r="F158" s="201">
        <f>COUNTIF('Activity map'!$C:$C, $A158)</f>
        <v>1</v>
      </c>
    </row>
    <row r="159">
      <c r="A159" s="25">
        <v>30070.0</v>
      </c>
      <c r="B159" s="23" t="s">
        <v>558</v>
      </c>
      <c r="C159" s="200" t="b">
        <f>IF($D159, TRUE, IF(ISERROR('API import'!$A$1), FALSE, COUNTIF('API import'!$A:$A, $A159)&gt;0))</f>
        <v>0</v>
      </c>
      <c r="D159" s="195" t="b">
        <v>0</v>
      </c>
      <c r="E159" s="195">
        <v>5.0</v>
      </c>
      <c r="F159" s="201">
        <f>COUNTIF('Activity map'!$C:$C, $A159)</f>
        <v>1</v>
      </c>
    </row>
    <row r="160">
      <c r="A160" s="25">
        <v>30066.0</v>
      </c>
      <c r="B160" s="23" t="s">
        <v>559</v>
      </c>
      <c r="C160" s="200" t="b">
        <f>IF($D160, TRUE, IF(ISERROR('API import'!$A$1), FALSE, COUNTIF('API import'!$A:$A, $A160)&gt;0))</f>
        <v>0</v>
      </c>
      <c r="D160" s="195" t="b">
        <v>0</v>
      </c>
      <c r="E160" s="195">
        <v>5.0</v>
      </c>
      <c r="F160" s="201">
        <f>COUNTIF('Activity map'!$C:$C, $A160)</f>
        <v>1</v>
      </c>
    </row>
    <row r="161">
      <c r="A161" s="25">
        <v>30068.0</v>
      </c>
      <c r="B161" s="23" t="s">
        <v>560</v>
      </c>
      <c r="C161" s="202" t="b">
        <f>IF($D161, TRUE, IF(ISERROR('API import'!$A$1), FALSE, COUNTIF('API import'!$A:$A, $A161)&gt;0))</f>
        <v>0</v>
      </c>
      <c r="D161" s="195" t="b">
        <v>0</v>
      </c>
      <c r="E161" s="195">
        <v>4.0</v>
      </c>
      <c r="F161" s="201">
        <f>COUNTIF('Activity map'!$C:$C, $A161)</f>
        <v>1</v>
      </c>
    </row>
    <row r="162">
      <c r="A162" s="25">
        <v>30085.0</v>
      </c>
      <c r="B162" s="23" t="s">
        <v>561</v>
      </c>
      <c r="C162" s="200" t="b">
        <f>IF($D162, TRUE, IF(ISERROR('API import'!$A$1), FALSE, COUNTIF('API import'!$A:$A, $A162)&gt;0))</f>
        <v>0</v>
      </c>
      <c r="D162" s="195" t="b">
        <v>0</v>
      </c>
      <c r="E162" s="195">
        <v>4.0</v>
      </c>
      <c r="F162" s="201">
        <f>COUNTIF('Activity map'!$C:$C, $A162)</f>
        <v>1</v>
      </c>
    </row>
    <row r="163">
      <c r="A163" s="25">
        <v>30088.0</v>
      </c>
      <c r="B163" s="23" t="s">
        <v>562</v>
      </c>
      <c r="C163" s="200" t="b">
        <f>IF($D163, TRUE, IF(ISERROR('API import'!$A$1), FALSE, COUNTIF('API import'!$A:$A, $A163)&gt;0))</f>
        <v>0</v>
      </c>
      <c r="D163" s="195" t="b">
        <v>0</v>
      </c>
      <c r="E163" s="195">
        <v>4.0</v>
      </c>
      <c r="F163" s="203">
        <f>COUNTIF('Activity map'!$C:$C, $A163)</f>
        <v>4</v>
      </c>
    </row>
    <row r="164">
      <c r="A164" s="26">
        <v>21291.0</v>
      </c>
      <c r="B164" s="23" t="s">
        <v>563</v>
      </c>
      <c r="C164" s="200" t="b">
        <f>IF($D164, TRUE, IF(ISERROR('API import'!$A$1), FALSE, COUNTIF('API import'!$A:$A, $A164)&gt;0))</f>
        <v>0</v>
      </c>
      <c r="D164" s="195" t="b">
        <v>0</v>
      </c>
      <c r="E164" s="195">
        <v>8.0</v>
      </c>
      <c r="F164" s="201">
        <f>COUNTIF('Activity map'!$C:$C, $A164)</f>
        <v>1</v>
      </c>
    </row>
    <row r="165">
      <c r="A165" s="26">
        <v>21295.0</v>
      </c>
      <c r="B165" s="23" t="s">
        <v>564</v>
      </c>
      <c r="C165" s="200" t="b">
        <f>IF($D165, TRUE, IF(ISERROR('API import'!$A$1), FALSE, COUNTIF('API import'!$A:$A, $A165)&gt;0))</f>
        <v>0</v>
      </c>
      <c r="D165" s="195" t="b">
        <v>0</v>
      </c>
      <c r="E165" s="195">
        <v>6.0</v>
      </c>
      <c r="F165" s="201">
        <f>COUNTIF('Activity map'!$C:$C, $A165)</f>
        <v>1</v>
      </c>
    </row>
    <row r="166">
      <c r="A166" s="26">
        <v>12647.0</v>
      </c>
      <c r="B166" s="23" t="s">
        <v>565</v>
      </c>
      <c r="C166" s="200" t="b">
        <f>IF($D166, TRUE, IF(ISERROR('API import'!$A$1), FALSE, COUNTIF('API import'!$A:$A, $A166)&gt;0))</f>
        <v>0</v>
      </c>
      <c r="D166" s="195" t="b">
        <v>0</v>
      </c>
      <c r="E166" s="195">
        <v>7.0</v>
      </c>
      <c r="F166" s="201">
        <f>COUNTIF('Activity map'!$C:$C, $A166)</f>
        <v>1</v>
      </c>
    </row>
    <row r="167">
      <c r="A167" s="26">
        <v>7981.0</v>
      </c>
      <c r="B167" s="23" t="s">
        <v>566</v>
      </c>
      <c r="C167" s="202" t="b">
        <f>IF($D167, TRUE, IF(ISERROR('API import'!$A$1), FALSE, COUNTIF('API import'!$A:$A, $A167)&gt;0))</f>
        <v>0</v>
      </c>
      <c r="D167" s="195" t="b">
        <v>0</v>
      </c>
      <c r="E167" s="195">
        <v>5.0</v>
      </c>
      <c r="F167" s="201">
        <f>COUNTIF('Activity map'!$C:$C, $A167)</f>
        <v>1</v>
      </c>
    </row>
    <row r="168">
      <c r="A168" s="26">
        <v>12885.0</v>
      </c>
      <c r="B168" s="23" t="s">
        <v>567</v>
      </c>
      <c r="C168" s="200" t="b">
        <f>IF($D168, TRUE, IF(ISERROR('API import'!$A$1), FALSE, COUNTIF('API import'!$A:$A, $A168)&gt;0))</f>
        <v>0</v>
      </c>
      <c r="D168" s="195" t="b">
        <v>0</v>
      </c>
      <c r="E168" s="195">
        <v>7.0</v>
      </c>
      <c r="F168" s="201">
        <f>COUNTIF('Activity map'!$C:$C, $A168)</f>
        <v>1</v>
      </c>
    </row>
    <row r="169">
      <c r="A169" s="26">
        <v>3140.0</v>
      </c>
      <c r="B169" s="23" t="s">
        <v>568</v>
      </c>
      <c r="C169" s="202" t="b">
        <f>IF($D169, TRUE, IF(ISERROR('API import'!$A$1), FALSE, COUNTIF('API import'!$A:$A, $A169)&gt;0))</f>
        <v>0</v>
      </c>
      <c r="D169" s="195" t="b">
        <v>0</v>
      </c>
      <c r="E169" s="195">
        <v>5.0</v>
      </c>
      <c r="F169" s="203">
        <f>COUNTIF('Activity map'!$C:$C, $A169)</f>
        <v>4</v>
      </c>
    </row>
    <row r="170">
      <c r="A170" s="26">
        <v>12653.0</v>
      </c>
      <c r="B170" s="23" t="s">
        <v>569</v>
      </c>
      <c r="C170" s="200" t="b">
        <f>IF($D170, TRUE, IF(ISERROR('API import'!$A$1), FALSE, COUNTIF('API import'!$A:$A, $A170)&gt;0))</f>
        <v>0</v>
      </c>
      <c r="D170" s="195" t="b">
        <v>0</v>
      </c>
      <c r="E170" s="195">
        <v>7.0</v>
      </c>
      <c r="F170" s="201">
        <f>COUNTIF('Activity map'!$C:$C, $A170)</f>
        <v>1</v>
      </c>
    </row>
    <row r="171">
      <c r="A171" s="26">
        <v>7980.0</v>
      </c>
      <c r="B171" s="23" t="s">
        <v>570</v>
      </c>
      <c r="C171" s="200" t="b">
        <f>IF($D171, TRUE, IF(ISERROR('API import'!$A$1), FALSE, COUNTIF('API import'!$A:$A, $A171)&gt;0))</f>
        <v>0</v>
      </c>
      <c r="D171" s="195" t="b">
        <v>0</v>
      </c>
      <c r="E171" s="195">
        <v>5.0</v>
      </c>
      <c r="F171" s="201">
        <f>COUNTIF('Activity map'!$C:$C, $A171)</f>
        <v>1</v>
      </c>
    </row>
    <row r="172">
      <c r="A172" s="26">
        <v>11286.0</v>
      </c>
      <c r="B172" s="23" t="s">
        <v>571</v>
      </c>
      <c r="C172" s="200" t="b">
        <f>IF($D172, TRUE, IF(ISERROR('API import'!$A$1), FALSE, COUNTIF('API import'!$A:$A, $A172)&gt;0))</f>
        <v>0</v>
      </c>
      <c r="D172" s="195" t="b">
        <v>0</v>
      </c>
      <c r="E172" s="195">
        <v>6.0</v>
      </c>
      <c r="F172" s="203">
        <f>COUNTIF('Activity map'!$C:$C, $A172)</f>
        <v>7</v>
      </c>
    </row>
    <row r="173">
      <c r="A173" s="26">
        <v>12655.0</v>
      </c>
      <c r="B173" s="23" t="s">
        <v>572</v>
      </c>
      <c r="C173" s="200" t="b">
        <f>IF($D173, TRUE, IF(ISERROR('API import'!$A$1), FALSE, COUNTIF('API import'!$A:$A, $A173)&gt;0))</f>
        <v>0</v>
      </c>
      <c r="D173" s="195" t="b">
        <v>0</v>
      </c>
      <c r="E173" s="195">
        <v>6.0</v>
      </c>
      <c r="F173" s="201">
        <f>COUNTIF('Activity map'!$C:$C, $A173)</f>
        <v>1</v>
      </c>
    </row>
    <row r="174">
      <c r="A174" s="26">
        <v>12004.0</v>
      </c>
      <c r="B174" s="23" t="s">
        <v>573</v>
      </c>
      <c r="C174" s="202" t="b">
        <f>IF($D174, TRUE, IF(ISERROR('API import'!$A$1), FALSE, COUNTIF('API import'!$A:$A, $A174)&gt;0))</f>
        <v>0</v>
      </c>
      <c r="D174" s="195" t="b">
        <v>0</v>
      </c>
      <c r="E174" s="195">
        <v>5.0</v>
      </c>
      <c r="F174" s="203">
        <f>COUNTIF('Activity map'!$C:$C, $A174)</f>
        <v>2</v>
      </c>
    </row>
    <row r="175">
      <c r="A175" s="26">
        <v>11905.0</v>
      </c>
      <c r="B175" s="23" t="s">
        <v>574</v>
      </c>
      <c r="C175" s="202" t="b">
        <f>IF($D175, TRUE, IF(ISERROR('API import'!$A$1), FALSE, COUNTIF('API import'!$A:$A, $A175)&gt;0))</f>
        <v>0</v>
      </c>
      <c r="D175" s="195" t="b">
        <v>0</v>
      </c>
      <c r="E175" s="195">
        <v>5.0</v>
      </c>
      <c r="F175" s="201">
        <f>COUNTIF('Activity map'!$C:$C, $A175)</f>
        <v>1</v>
      </c>
    </row>
    <row r="176">
      <c r="A176" s="26">
        <v>12007.0</v>
      </c>
      <c r="B176" s="23" t="s">
        <v>575</v>
      </c>
      <c r="C176" s="200" t="b">
        <f>IF($D176, TRUE, IF(ISERROR('API import'!$A$1), FALSE, COUNTIF('API import'!$A:$A, $A176)&gt;0))</f>
        <v>0</v>
      </c>
      <c r="D176" s="195" t="b">
        <v>0</v>
      </c>
      <c r="E176" s="195">
        <v>6.0</v>
      </c>
      <c r="F176" s="201">
        <f>COUNTIF('Activity map'!$C:$C, $A176)</f>
        <v>1</v>
      </c>
    </row>
    <row r="177">
      <c r="A177" s="26">
        <v>12649.0</v>
      </c>
      <c r="B177" s="23" t="s">
        <v>576</v>
      </c>
      <c r="C177" s="200" t="b">
        <f>IF($D177, TRUE, IF(ISERROR('API import'!$A$1), FALSE, COUNTIF('API import'!$A:$A, $A177)&gt;0))</f>
        <v>0</v>
      </c>
      <c r="D177" s="195" t="b">
        <v>0</v>
      </c>
      <c r="E177" s="195">
        <v>7.0</v>
      </c>
      <c r="F177" s="201">
        <f>COUNTIF('Activity map'!$C:$C, $A177)</f>
        <v>1</v>
      </c>
    </row>
    <row r="178">
      <c r="A178" s="26">
        <v>11826.0</v>
      </c>
      <c r="B178" s="23" t="s">
        <v>577</v>
      </c>
      <c r="C178" s="200" t="b">
        <f>IF($D178, TRUE, IF(ISERROR('API import'!$A$1), FALSE, COUNTIF('API import'!$A:$A, $A178)&gt;0))</f>
        <v>0</v>
      </c>
      <c r="D178" s="195" t="b">
        <v>0</v>
      </c>
      <c r="E178" s="195">
        <v>5.0</v>
      </c>
      <c r="F178" s="201">
        <f>COUNTIF('Activity map'!$C:$C, $A178)</f>
        <v>1</v>
      </c>
    </row>
    <row r="179">
      <c r="A179" s="26">
        <v>11828.0</v>
      </c>
      <c r="B179" s="23" t="s">
        <v>578</v>
      </c>
      <c r="C179" s="200" t="b">
        <f>IF($D179, TRUE, IF(ISERROR('API import'!$A$1), FALSE, COUNTIF('API import'!$A:$A, $A179)&gt;0))</f>
        <v>0</v>
      </c>
      <c r="D179" s="195" t="b">
        <v>0</v>
      </c>
      <c r="E179" s="195">
        <v>5.0</v>
      </c>
      <c r="F179" s="201">
        <f>COUNTIF('Activity map'!$C:$C, $A179)</f>
        <v>1</v>
      </c>
    </row>
    <row r="180">
      <c r="A180" s="26">
        <v>11830.0</v>
      </c>
      <c r="B180" s="23" t="s">
        <v>579</v>
      </c>
      <c r="C180" s="200" t="b">
        <f>IF($D180, TRUE, IF(ISERROR('API import'!$A$1), FALSE, COUNTIF('API import'!$A:$A, $A180)&gt;0))</f>
        <v>0</v>
      </c>
      <c r="D180" s="195" t="b">
        <v>0</v>
      </c>
      <c r="E180" s="195">
        <v>5.0</v>
      </c>
      <c r="F180" s="201">
        <f>COUNTIF('Activity map'!$C:$C, $A180)</f>
        <v>1</v>
      </c>
    </row>
    <row r="181">
      <c r="A181" s="26">
        <v>11810.0</v>
      </c>
      <c r="B181" s="23" t="s">
        <v>580</v>
      </c>
      <c r="C181" s="200" t="b">
        <f>IF($D181, TRUE, IF(ISERROR('API import'!$A$1), FALSE, COUNTIF('API import'!$A:$A, $A181)&gt;0))</f>
        <v>0</v>
      </c>
      <c r="D181" s="195" t="b">
        <v>0</v>
      </c>
      <c r="E181" s="195">
        <v>5.0</v>
      </c>
      <c r="F181" s="201">
        <f>COUNTIF('Activity map'!$C:$C, $A181)</f>
        <v>1</v>
      </c>
    </row>
    <row r="182">
      <c r="A182" s="26">
        <v>12652.0</v>
      </c>
      <c r="B182" s="23" t="s">
        <v>581</v>
      </c>
      <c r="C182" s="200" t="b">
        <f>IF($D182, TRUE, IF(ISERROR('API import'!$A$1), FALSE, COUNTIF('API import'!$A:$A, $A182)&gt;0))</f>
        <v>0</v>
      </c>
      <c r="D182" s="195" t="b">
        <v>0</v>
      </c>
      <c r="E182" s="195">
        <v>7.0</v>
      </c>
      <c r="F182" s="201">
        <f>COUNTIF('Activity map'!$C:$C, $A182)</f>
        <v>1</v>
      </c>
    </row>
    <row r="183">
      <c r="A183" s="26">
        <v>11791.0</v>
      </c>
      <c r="B183" s="23" t="s">
        <v>582</v>
      </c>
      <c r="C183" s="200" t="b">
        <f>IF($D183, TRUE, IF(ISERROR('API import'!$A$1), FALSE, COUNTIF('API import'!$A:$A, $A183)&gt;0))</f>
        <v>0</v>
      </c>
      <c r="D183" s="195" t="b">
        <v>0</v>
      </c>
      <c r="E183" s="195">
        <v>5.0</v>
      </c>
      <c r="F183" s="201">
        <f>COUNTIF('Activity map'!$C:$C, $A183)</f>
        <v>1</v>
      </c>
    </row>
    <row r="184">
      <c r="A184" s="26">
        <v>11824.0</v>
      </c>
      <c r="B184" s="23" t="s">
        <v>583</v>
      </c>
      <c r="C184" s="200" t="b">
        <f>IF($D184, TRUE, IF(ISERROR('API import'!$A$1), FALSE, COUNTIF('API import'!$A:$A, $A184)&gt;0))</f>
        <v>0</v>
      </c>
      <c r="D184" s="195" t="b">
        <v>0</v>
      </c>
      <c r="E184" s="195">
        <v>5.0</v>
      </c>
      <c r="F184" s="201">
        <f>COUNTIF('Activity map'!$C:$C, $A184)</f>
        <v>1</v>
      </c>
    </row>
    <row r="185">
      <c r="A185" s="26">
        <v>11787.0</v>
      </c>
      <c r="B185" s="23" t="s">
        <v>584</v>
      </c>
      <c r="C185" s="200" t="b">
        <f>IF($D185, TRUE, IF(ISERROR('API import'!$A$1), FALSE, COUNTIF('API import'!$A:$A, $A185)&gt;0))</f>
        <v>0</v>
      </c>
      <c r="D185" s="195" t="b">
        <v>0</v>
      </c>
      <c r="E185" s="195">
        <v>5.0</v>
      </c>
      <c r="F185" s="201">
        <f>COUNTIF('Activity map'!$C:$C, $A185)</f>
        <v>1</v>
      </c>
    </row>
    <row r="186">
      <c r="A186" s="26">
        <v>11816.0</v>
      </c>
      <c r="B186" s="23" t="s">
        <v>585</v>
      </c>
      <c r="C186" s="200" t="b">
        <f>IF($D186, TRUE, IF(ISERROR('API import'!$A$1), FALSE, COUNTIF('API import'!$A:$A, $A186)&gt;0))</f>
        <v>0</v>
      </c>
      <c r="D186" s="195" t="b">
        <v>0</v>
      </c>
      <c r="E186" s="195">
        <v>5.0</v>
      </c>
      <c r="F186" s="201">
        <f>COUNTIF('Activity map'!$C:$C, $A186)</f>
        <v>1</v>
      </c>
    </row>
    <row r="187">
      <c r="A187" s="26">
        <v>28252.0</v>
      </c>
      <c r="B187" s="23" t="s">
        <v>586</v>
      </c>
      <c r="C187" s="200" t="b">
        <f>IF($D187, TRUE, IF(ISERROR('API import'!$A$1), FALSE, COUNTIF('API import'!$A:$A, $A187)&gt;0))</f>
        <v>0</v>
      </c>
      <c r="D187" s="195" t="b">
        <v>0</v>
      </c>
      <c r="E187" s="195">
        <v>7.0</v>
      </c>
      <c r="F187" s="201">
        <f>COUNTIF('Activity map'!$C:$C, $A187)</f>
        <v>1</v>
      </c>
    </row>
    <row r="188">
      <c r="A188" s="26">
        <v>28325.0</v>
      </c>
      <c r="B188" s="23" t="s">
        <v>587</v>
      </c>
      <c r="C188" s="200" t="b">
        <f>IF($D188, TRUE, IF(ISERROR('API import'!$A$1), FALSE, COUNTIF('API import'!$A:$A, $A188)&gt;0))</f>
        <v>0</v>
      </c>
      <c r="D188" s="195" t="b">
        <v>0</v>
      </c>
      <c r="E188" s="195">
        <v>6.0</v>
      </c>
      <c r="F188" s="201">
        <f>COUNTIF('Activity map'!$C:$C, $A188)</f>
        <v>1</v>
      </c>
    </row>
    <row r="189">
      <c r="A189" s="26">
        <v>28283.0</v>
      </c>
      <c r="B189" s="23" t="s">
        <v>588</v>
      </c>
      <c r="C189" s="200" t="b">
        <f>IF($D189, TRUE, IF(ISERROR('API import'!$A$1), FALSE, COUNTIF('API import'!$A:$A, $A189)&gt;0))</f>
        <v>0</v>
      </c>
      <c r="D189" s="195" t="b">
        <v>0</v>
      </c>
      <c r="E189" s="195">
        <v>6.0</v>
      </c>
      <c r="F189" s="201">
        <f>COUNTIF('Activity map'!$C:$C, $A189)</f>
        <v>1</v>
      </c>
    </row>
    <row r="190">
      <c r="A190" s="26">
        <v>28274.0</v>
      </c>
      <c r="B190" s="23" t="s">
        <v>589</v>
      </c>
      <c r="C190" s="200" t="b">
        <f>IF($D190, TRUE, IF(ISERROR('API import'!$A$1), FALSE, COUNTIF('API import'!$A:$A, $A190)&gt;0))</f>
        <v>0</v>
      </c>
      <c r="D190" s="195" t="b">
        <v>0</v>
      </c>
      <c r="E190" s="195">
        <v>5.0</v>
      </c>
      <c r="F190" s="201">
        <f>COUNTIF('Activity map'!$C:$C, $A190)</f>
        <v>1</v>
      </c>
    </row>
    <row r="191">
      <c r="A191" s="26">
        <v>28332.0</v>
      </c>
      <c r="B191" s="23" t="s">
        <v>590</v>
      </c>
      <c r="C191" s="202" t="b">
        <f>IF($D191, TRUE, IF(ISERROR('API import'!$A$1), FALSE, COUNTIF('API import'!$A:$A, $A191)&gt;0))</f>
        <v>0</v>
      </c>
      <c r="D191" s="195" t="b">
        <v>0</v>
      </c>
      <c r="E191" s="195">
        <v>5.0</v>
      </c>
      <c r="F191" s="201">
        <f>COUNTIF('Activity map'!$C:$C, $A191)</f>
        <v>1</v>
      </c>
    </row>
    <row r="192">
      <c r="A192" s="26">
        <v>29004.0</v>
      </c>
      <c r="B192" s="23" t="s">
        <v>591</v>
      </c>
      <c r="C192" s="200" t="b">
        <f>IF($D192, TRUE, IF(ISERROR('API import'!$A$1), FALSE, COUNTIF('API import'!$A:$A, $A192)&gt;0))</f>
        <v>0</v>
      </c>
      <c r="D192" s="195" t="b">
        <v>0</v>
      </c>
      <c r="E192" s="195">
        <v>5.0</v>
      </c>
      <c r="F192" s="201">
        <f>COUNTIF('Activity map'!$C:$C, $A192)</f>
        <v>1</v>
      </c>
    </row>
    <row r="193">
      <c r="A193" s="26">
        <v>29007.0</v>
      </c>
      <c r="B193" s="23" t="s">
        <v>592</v>
      </c>
      <c r="C193" s="202" t="b">
        <f>IF($D193, TRUE, IF(ISERROR('API import'!$A$1), FALSE, COUNTIF('API import'!$A:$A, $A193)&gt;0))</f>
        <v>0</v>
      </c>
      <c r="D193" s="195" t="b">
        <v>0</v>
      </c>
      <c r="E193" s="195">
        <v>5.0</v>
      </c>
      <c r="F193" s="201">
        <f>COUNTIF('Activity map'!$C:$C, $A193)</f>
        <v>1</v>
      </c>
    </row>
    <row r="194">
      <c r="A194" s="26">
        <v>29010.0</v>
      </c>
      <c r="B194" s="23" t="s">
        <v>593</v>
      </c>
      <c r="C194" s="200" t="b">
        <f>IF($D194, TRUE, IF(ISERROR('API import'!$A$1), FALSE, COUNTIF('API import'!$A:$A, $A194)&gt;0))</f>
        <v>0</v>
      </c>
      <c r="D194" s="195" t="b">
        <v>0</v>
      </c>
      <c r="E194" s="195">
        <v>5.0</v>
      </c>
      <c r="F194" s="201">
        <f>COUNTIF('Activity map'!$C:$C, $A194)</f>
        <v>1</v>
      </c>
    </row>
    <row r="195">
      <c r="A195" s="26">
        <v>29000.0</v>
      </c>
      <c r="B195" s="23" t="s">
        <v>594</v>
      </c>
      <c r="C195" s="200" t="b">
        <f>IF($D195, TRUE, IF(ISERROR('API import'!$A$1), FALSE, COUNTIF('API import'!$A:$A, $A195)&gt;0))</f>
        <v>0</v>
      </c>
      <c r="D195" s="195" t="b">
        <v>0</v>
      </c>
      <c r="E195" s="195">
        <v>5.0</v>
      </c>
      <c r="F195" s="201">
        <f>COUNTIF('Activity map'!$C:$C, $A195)</f>
        <v>1</v>
      </c>
    </row>
    <row r="196">
      <c r="A196" s="26">
        <v>29013.0</v>
      </c>
      <c r="B196" s="23" t="s">
        <v>595</v>
      </c>
      <c r="C196" s="200" t="b">
        <f>IF($D196, TRUE, IF(ISERROR('API import'!$A$1), FALSE, COUNTIF('API import'!$A:$A, $A196)&gt;0))</f>
        <v>0</v>
      </c>
      <c r="D196" s="195" t="b">
        <v>0</v>
      </c>
      <c r="E196" s="195">
        <v>5.0</v>
      </c>
      <c r="F196" s="201">
        <f>COUNTIF('Activity map'!$C:$C, $A196)</f>
        <v>1</v>
      </c>
    </row>
    <row r="197">
      <c r="A197" s="26">
        <v>29016.0</v>
      </c>
      <c r="B197" s="23" t="s">
        <v>596</v>
      </c>
      <c r="C197" s="200" t="b">
        <f>IF($D197, TRUE, IF(ISERROR('API import'!$A$1), FALSE, COUNTIF('API import'!$A:$A, $A197)&gt;0))</f>
        <v>0</v>
      </c>
      <c r="D197" s="195" t="b">
        <v>0</v>
      </c>
      <c r="E197" s="195">
        <v>5.0</v>
      </c>
      <c r="F197" s="201">
        <f>COUNTIF('Activity map'!$C:$C, $A197)</f>
        <v>1</v>
      </c>
    </row>
    <row r="198">
      <c r="A198" s="26">
        <v>29019.0</v>
      </c>
      <c r="B198" s="23" t="s">
        <v>597</v>
      </c>
      <c r="C198" s="202" t="b">
        <f>IF($D198, TRUE, IF(ISERROR('API import'!$A$1), FALSE, COUNTIF('API import'!$A:$A, $A198)&gt;0))</f>
        <v>0</v>
      </c>
      <c r="D198" s="195" t="b">
        <v>0</v>
      </c>
      <c r="E198" s="195">
        <v>5.0</v>
      </c>
      <c r="F198" s="201">
        <f>COUNTIF('Activity map'!$C:$C, $A198)</f>
        <v>1</v>
      </c>
    </row>
    <row r="199">
      <c r="A199" s="26">
        <v>28988.0</v>
      </c>
      <c r="B199" s="23" t="s">
        <v>598</v>
      </c>
      <c r="C199" s="200" t="b">
        <f>IF($D199, TRUE, IF(ISERROR('API import'!$A$1), FALSE, COUNTIF('API import'!$A:$A, $A199)&gt;0))</f>
        <v>0</v>
      </c>
      <c r="D199" s="195" t="b">
        <v>0</v>
      </c>
      <c r="E199" s="195">
        <v>5.0</v>
      </c>
      <c r="F199" s="201">
        <f>COUNTIF('Activity map'!$C:$C, $A199)</f>
        <v>1</v>
      </c>
    </row>
    <row r="200">
      <c r="A200" s="26">
        <v>29022.0</v>
      </c>
      <c r="B200" s="23" t="s">
        <v>599</v>
      </c>
      <c r="C200" s="200" t="b">
        <f>IF($D200, TRUE, IF(ISERROR('API import'!$A$1), FALSE, COUNTIF('API import'!$A:$A, $A200)&gt;0))</f>
        <v>0</v>
      </c>
      <c r="D200" s="195" t="b">
        <v>0</v>
      </c>
      <c r="E200" s="195">
        <v>5.0</v>
      </c>
      <c r="F200" s="201">
        <f>COUNTIF('Activity map'!$C:$C, $A200)</f>
        <v>1</v>
      </c>
    </row>
    <row r="201">
      <c r="A201" s="26">
        <v>29025.0</v>
      </c>
      <c r="B201" s="23" t="s">
        <v>600</v>
      </c>
      <c r="C201" s="200" t="b">
        <f>IF($D201, TRUE, IF(ISERROR('API import'!$A$1), FALSE, COUNTIF('API import'!$A:$A, $A201)&gt;0))</f>
        <v>0</v>
      </c>
      <c r="D201" s="195" t="b">
        <v>0</v>
      </c>
      <c r="E201" s="195">
        <v>5.0</v>
      </c>
      <c r="F201" s="201">
        <f>COUNTIF('Activity map'!$C:$C, $A201)</f>
        <v>1</v>
      </c>
    </row>
    <row r="202">
      <c r="A202" s="26">
        <v>29028.0</v>
      </c>
      <c r="B202" s="23" t="s">
        <v>601</v>
      </c>
      <c r="C202" s="200" t="b">
        <f>IF($D202, TRUE, IF(ISERROR('API import'!$A$1), FALSE, COUNTIF('API import'!$A:$A, $A202)&gt;0))</f>
        <v>0</v>
      </c>
      <c r="D202" s="195" t="b">
        <v>0</v>
      </c>
      <c r="E202" s="195">
        <v>5.0</v>
      </c>
      <c r="F202" s="201">
        <f>COUNTIF('Activity map'!$C:$C, $A202)</f>
        <v>1</v>
      </c>
    </row>
    <row r="203">
      <c r="A203" s="26">
        <v>28997.0</v>
      </c>
      <c r="B203" s="23" t="s">
        <v>602</v>
      </c>
      <c r="C203" s="200" t="b">
        <f>IF($D203, TRUE, IF(ISERROR('API import'!$A$1), FALSE, COUNTIF('API import'!$A:$A, $A203)&gt;0))</f>
        <v>0</v>
      </c>
      <c r="D203" s="195" t="b">
        <v>0</v>
      </c>
      <c r="E203" s="195">
        <v>5.0</v>
      </c>
      <c r="F203" s="201">
        <f>COUNTIF('Activity map'!$C:$C, $A203)</f>
        <v>1</v>
      </c>
    </row>
    <row r="204">
      <c r="A204" s="26">
        <v>28991.0</v>
      </c>
      <c r="B204" s="23" t="s">
        <v>603</v>
      </c>
      <c r="C204" s="202" t="b">
        <f>IF($D204, TRUE, IF(ISERROR('API import'!$A$1), FALSE, COUNTIF('API import'!$A:$A, $A204)&gt;0))</f>
        <v>0</v>
      </c>
      <c r="D204" s="195" t="b">
        <v>0</v>
      </c>
      <c r="E204" s="195">
        <v>4.0</v>
      </c>
      <c r="F204" s="203">
        <f>COUNTIF('Activity map'!$C:$C, $A204)</f>
        <v>3</v>
      </c>
    </row>
    <row r="205">
      <c r="A205" s="26">
        <v>26348.0</v>
      </c>
      <c r="B205" s="23" t="s">
        <v>604</v>
      </c>
      <c r="C205" s="200" t="b">
        <f>IF($D205, TRUE, IF(ISERROR('API import'!$A$1), FALSE, COUNTIF('API import'!$A:$A, $A205)&gt;0))</f>
        <v>0</v>
      </c>
      <c r="D205" s="195" t="b">
        <v>0</v>
      </c>
      <c r="E205" s="195">
        <v>7.0</v>
      </c>
      <c r="F205" s="201">
        <f>COUNTIF('Activity map'!$C:$C, $A205)</f>
        <v>1</v>
      </c>
    </row>
    <row r="206">
      <c r="A206" s="26">
        <v>26370.0</v>
      </c>
      <c r="B206" s="23" t="s">
        <v>605</v>
      </c>
      <c r="C206" s="200" t="b">
        <f>IF($D206, TRUE, IF(ISERROR('API import'!$A$1), FALSE, COUNTIF('API import'!$A:$A, $A206)&gt;0))</f>
        <v>0</v>
      </c>
      <c r="D206" s="195" t="b">
        <v>0</v>
      </c>
      <c r="E206" s="195">
        <v>6.0</v>
      </c>
      <c r="F206" s="201">
        <f>COUNTIF('Activity map'!$C:$C, $A206)</f>
        <v>1</v>
      </c>
    </row>
    <row r="207">
      <c r="A207" s="26">
        <v>26372.0</v>
      </c>
      <c r="B207" s="23" t="s">
        <v>606</v>
      </c>
      <c r="C207" s="200" t="b">
        <f>IF($D207, TRUE, IF(ISERROR('API import'!$A$1), FALSE, COUNTIF('API import'!$A:$A, $A207)&gt;0))</f>
        <v>0</v>
      </c>
      <c r="D207" s="195" t="b">
        <v>0</v>
      </c>
      <c r="E207" s="195">
        <v>6.0</v>
      </c>
      <c r="F207" s="201">
        <f>COUNTIF('Activity map'!$C:$C, $A207)</f>
        <v>1</v>
      </c>
    </row>
    <row r="208">
      <c r="A208" s="26">
        <v>26235.0</v>
      </c>
      <c r="B208" s="23" t="s">
        <v>607</v>
      </c>
      <c r="C208" s="200" t="b">
        <f>IF($D208, TRUE, IF(ISERROR('API import'!$A$1), FALSE, COUNTIF('API import'!$A:$A, $A208)&gt;0))</f>
        <v>0</v>
      </c>
      <c r="D208" s="195" t="b">
        <v>0</v>
      </c>
      <c r="E208" s="195">
        <v>6.0</v>
      </c>
      <c r="F208" s="201">
        <f>COUNTIF('Activity map'!$C:$C, $A208)</f>
        <v>1</v>
      </c>
    </row>
    <row r="209">
      <c r="A209" s="26">
        <v>26376.0</v>
      </c>
      <c r="B209" s="23" t="s">
        <v>608</v>
      </c>
      <c r="C209" s="200" t="b">
        <f>IF($D209, TRUE, IF(ISERROR('API import'!$A$1), FALSE, COUNTIF('API import'!$A:$A, $A209)&gt;0))</f>
        <v>0</v>
      </c>
      <c r="D209" s="195" t="b">
        <v>0</v>
      </c>
      <c r="E209" s="195">
        <v>6.0</v>
      </c>
      <c r="F209" s="201">
        <f>COUNTIF('Activity map'!$C:$C, $A209)</f>
        <v>1</v>
      </c>
    </row>
    <row r="210">
      <c r="A210" s="26">
        <v>26378.0</v>
      </c>
      <c r="B210" s="23" t="s">
        <v>609</v>
      </c>
      <c r="C210" s="200" t="b">
        <f>IF($D210, TRUE, IF(ISERROR('API import'!$A$1), FALSE, COUNTIF('API import'!$A:$A, $A210)&gt;0))</f>
        <v>0</v>
      </c>
      <c r="D210" s="195" t="b">
        <v>0</v>
      </c>
      <c r="E210" s="195">
        <v>6.0</v>
      </c>
      <c r="F210" s="201">
        <f>COUNTIF('Activity map'!$C:$C, $A210)</f>
        <v>1</v>
      </c>
    </row>
    <row r="211">
      <c r="A211" s="26">
        <v>26380.0</v>
      </c>
      <c r="B211" s="23" t="s">
        <v>610</v>
      </c>
      <c r="C211" s="200" t="b">
        <f>IF($D211, TRUE, IF(ISERROR('API import'!$A$1), FALSE, COUNTIF('API import'!$A:$A, $A211)&gt;0))</f>
        <v>0</v>
      </c>
      <c r="D211" s="195" t="b">
        <v>0</v>
      </c>
      <c r="E211" s="195">
        <v>6.0</v>
      </c>
      <c r="F211" s="201">
        <f>COUNTIF('Activity map'!$C:$C, $A211)</f>
        <v>1</v>
      </c>
    </row>
    <row r="212">
      <c r="A212" s="26">
        <v>26231.0</v>
      </c>
      <c r="B212" s="23" t="s">
        <v>611</v>
      </c>
      <c r="C212" s="202" t="b">
        <f>IF($D212, TRUE, IF(ISERROR('API import'!$A$1), FALSE, COUNTIF('API import'!$A:$A, $A212)&gt;0))</f>
        <v>0</v>
      </c>
      <c r="D212" s="195" t="b">
        <v>0</v>
      </c>
      <c r="E212" s="195">
        <v>4.0</v>
      </c>
      <c r="F212" s="203">
        <f>COUNTIF('Activity map'!$C:$C, $A212)</f>
        <v>2</v>
      </c>
    </row>
    <row r="213">
      <c r="A213" s="26">
        <v>24491.0</v>
      </c>
      <c r="B213" s="23" t="s">
        <v>612</v>
      </c>
      <c r="C213" s="200" t="b">
        <f>IF($D213, TRUE, IF(ISERROR('API import'!$A$1), FALSE, COUNTIF('API import'!$A:$A, $A213)&gt;0))</f>
        <v>0</v>
      </c>
      <c r="D213" s="195" t="b">
        <v>0</v>
      </c>
      <c r="E213" s="195">
        <v>8.0</v>
      </c>
      <c r="F213" s="203">
        <f>COUNTIF('Activity map'!$C:$C, $A213)</f>
        <v>2</v>
      </c>
    </row>
    <row r="214">
      <c r="A214" s="26">
        <v>24417.0</v>
      </c>
      <c r="B214" s="23" t="s">
        <v>613</v>
      </c>
      <c r="C214" s="200" t="b">
        <f>IF($D214, TRUE, IF(ISERROR('API import'!$A$1), FALSE, COUNTIF('API import'!$A:$A, $A214)&gt;0))</f>
        <v>0</v>
      </c>
      <c r="D214" s="195" t="b">
        <v>0</v>
      </c>
      <c r="E214" s="195">
        <v>8.0</v>
      </c>
      <c r="F214" s="203">
        <f>COUNTIF('Activity map'!$C:$C, $A214)</f>
        <v>2</v>
      </c>
    </row>
    <row r="215">
      <c r="A215" s="26">
        <v>24419.0</v>
      </c>
      <c r="B215" s="23" t="s">
        <v>614</v>
      </c>
      <c r="C215" s="200" t="b">
        <f>IF($D215, TRUE, IF(ISERROR('API import'!$A$1), FALSE, COUNTIF('API import'!$A:$A, $A215)&gt;0))</f>
        <v>0</v>
      </c>
      <c r="D215" s="195" t="b">
        <v>0</v>
      </c>
      <c r="E215" s="195">
        <v>7.0</v>
      </c>
      <c r="F215" s="203">
        <f>COUNTIF('Activity map'!$C:$C, $A215)</f>
        <v>2</v>
      </c>
    </row>
    <row r="216">
      <c r="A216" s="26">
        <v>24420.0</v>
      </c>
      <c r="B216" s="23" t="s">
        <v>615</v>
      </c>
      <c r="C216" s="200" t="b">
        <f>IF($D216, TRUE, IF(ISERROR('API import'!$A$1), FALSE, COUNTIF('API import'!$A:$A, $A216)&gt;0))</f>
        <v>0</v>
      </c>
      <c r="D216" s="195" t="b">
        <v>0</v>
      </c>
      <c r="E216" s="195">
        <v>7.0</v>
      </c>
      <c r="F216" s="203">
        <f>COUNTIF('Activity map'!$C:$C, $A216)</f>
        <v>2</v>
      </c>
    </row>
    <row r="217">
      <c r="A217" s="26">
        <v>24421.0</v>
      </c>
      <c r="B217" s="23" t="s">
        <v>616</v>
      </c>
      <c r="C217" s="200" t="b">
        <f>IF($D217, TRUE, IF(ISERROR('API import'!$A$1), FALSE, COUNTIF('API import'!$A:$A, $A217)&gt;0))</f>
        <v>0</v>
      </c>
      <c r="D217" s="195" t="b">
        <v>0</v>
      </c>
      <c r="E217" s="195">
        <v>7.0</v>
      </c>
      <c r="F217" s="203">
        <f>COUNTIF('Activity map'!$C:$C, $A217)</f>
        <v>2</v>
      </c>
    </row>
    <row r="218">
      <c r="A218" s="26">
        <v>24422.0</v>
      </c>
      <c r="B218" s="23" t="s">
        <v>617</v>
      </c>
      <c r="C218" s="200" t="b">
        <f>IF($D218, TRUE, IF(ISERROR('API import'!$A$1), FALSE, COUNTIF('API import'!$A:$A, $A218)&gt;0))</f>
        <v>0</v>
      </c>
      <c r="D218" s="195" t="b">
        <v>0</v>
      </c>
      <c r="E218" s="195">
        <v>7.0</v>
      </c>
      <c r="F218" s="203">
        <f>COUNTIF('Activity map'!$C:$C, $A218)</f>
        <v>2</v>
      </c>
    </row>
    <row r="219">
      <c r="A219" s="26">
        <v>24514.0</v>
      </c>
      <c r="B219" s="23" t="s">
        <v>618</v>
      </c>
      <c r="C219" s="200" t="b">
        <f>IF($D219, TRUE, IF(ISERROR('API import'!$A$1), FALSE, COUNTIF('API import'!$A:$A, $A219)&gt;0))</f>
        <v>0</v>
      </c>
      <c r="D219" s="195" t="b">
        <v>0</v>
      </c>
      <c r="E219" s="195">
        <v>8.0</v>
      </c>
      <c r="F219" s="203">
        <f>COUNTIF('Activity map'!$C:$C, $A219)</f>
        <v>2</v>
      </c>
    </row>
    <row r="220">
      <c r="A220" s="26">
        <v>24511.0</v>
      </c>
      <c r="B220" s="23" t="s">
        <v>619</v>
      </c>
      <c r="C220" s="200" t="b">
        <f>IF($D220, TRUE, IF(ISERROR('API import'!$A$1), FALSE, COUNTIF('API import'!$A:$A, $A220)&gt;0))</f>
        <v>0</v>
      </c>
      <c r="D220" s="195" t="b">
        <v>0</v>
      </c>
      <c r="E220" s="195">
        <v>8.0</v>
      </c>
      <c r="F220" s="203">
        <f>COUNTIF('Activity map'!$C:$C, $A220)</f>
        <v>2</v>
      </c>
    </row>
    <row r="221">
      <c r="A221" s="26">
        <v>24517.0</v>
      </c>
      <c r="B221" s="23" t="s">
        <v>620</v>
      </c>
      <c r="C221" s="200" t="b">
        <f>IF($D221, TRUE, IF(ISERROR('API import'!$A$1), FALSE, COUNTIF('API import'!$A:$A, $A221)&gt;0))</f>
        <v>0</v>
      </c>
      <c r="D221" s="195" t="b">
        <v>0</v>
      </c>
      <c r="E221" s="195">
        <v>8.0</v>
      </c>
      <c r="F221" s="203">
        <f>COUNTIF('Activity map'!$C:$C, $A221)</f>
        <v>2</v>
      </c>
    </row>
    <row r="222">
      <c r="A222" s="26">
        <v>24495.0</v>
      </c>
      <c r="B222" s="23" t="s">
        <v>621</v>
      </c>
      <c r="C222" s="200" t="b">
        <f>IF($D222, TRUE, IF(ISERROR('API import'!$A$1), FALSE, COUNTIF('API import'!$A:$A, $A222)&gt;0))</f>
        <v>0</v>
      </c>
      <c r="D222" s="195" t="b">
        <v>0</v>
      </c>
      <c r="E222" s="195">
        <v>9.0</v>
      </c>
      <c r="F222" s="203">
        <f>COUNTIF('Activity map'!$C:$C, $A222)</f>
        <v>2</v>
      </c>
    </row>
    <row r="223">
      <c r="A223" s="26">
        <v>25837.0</v>
      </c>
      <c r="B223" s="23" t="s">
        <v>622</v>
      </c>
      <c r="C223" s="200" t="b">
        <f>IF($D223, TRUE, IF(ISERROR('API import'!$A$1), FALSE, COUNTIF('API import'!$A:$A, $A223)&gt;0))</f>
        <v>0</v>
      </c>
      <c r="D223" s="195" t="b">
        <v>0</v>
      </c>
      <c r="E223" s="195">
        <v>6.0</v>
      </c>
      <c r="F223" s="203">
        <f>COUNTIF('Activity map'!$C:$C, $A223)</f>
        <v>2</v>
      </c>
    </row>
    <row r="224">
      <c r="A224" s="26">
        <v>25838.0</v>
      </c>
      <c r="B224" s="23" t="s">
        <v>623</v>
      </c>
      <c r="C224" s="200" t="b">
        <f>IF($D224, TRUE, IF(ISERROR('API import'!$A$1), FALSE, COUNTIF('API import'!$A:$A, $A224)&gt;0))</f>
        <v>0</v>
      </c>
      <c r="D224" s="195" t="b">
        <v>0</v>
      </c>
      <c r="E224" s="195">
        <v>6.0</v>
      </c>
      <c r="F224" s="201">
        <f>COUNTIF('Activity map'!$C:$C, $A224)</f>
        <v>1</v>
      </c>
    </row>
    <row r="225">
      <c r="A225" s="26">
        <v>20756.0</v>
      </c>
      <c r="B225" s="23" t="s">
        <v>624</v>
      </c>
      <c r="C225" s="200" t="b">
        <f>IF($D225, TRUE, IF(ISERROR('API import'!$A$1), FALSE, COUNTIF('API import'!$A:$A, $A225)&gt;0))</f>
        <v>0</v>
      </c>
      <c r="D225" s="195" t="b">
        <v>0</v>
      </c>
      <c r="E225" s="195">
        <v>6.0</v>
      </c>
      <c r="F225" s="203">
        <f>COUNTIF('Activity map'!$C:$C, $A225)</f>
        <v>2</v>
      </c>
    </row>
    <row r="226">
      <c r="A226" s="26">
        <v>27590.0</v>
      </c>
      <c r="B226" s="23" t="s">
        <v>625</v>
      </c>
      <c r="C226" s="200" t="b">
        <f>IF($D226, TRUE, IF(ISERROR('API import'!$A$1), FALSE, COUNTIF('API import'!$A:$A, $A226)&gt;0))</f>
        <v>0</v>
      </c>
      <c r="D226" s="195" t="b">
        <v>0</v>
      </c>
      <c r="E226" s="195">
        <v>7.0</v>
      </c>
      <c r="F226" s="201">
        <f>COUNTIF('Activity map'!$C:$C, $A226)</f>
        <v>1</v>
      </c>
    </row>
    <row r="227">
      <c r="A227" s="26">
        <v>27614.0</v>
      </c>
      <c r="B227" s="23" t="s">
        <v>626</v>
      </c>
      <c r="C227" s="202" t="b">
        <f>IF($D227, TRUE, IF(ISERROR('API import'!$A$1), FALSE, COUNTIF('API import'!$A:$A, $A227)&gt;0))</f>
        <v>0</v>
      </c>
      <c r="D227" s="195" t="b">
        <v>0</v>
      </c>
      <c r="E227" s="195">
        <v>5.0</v>
      </c>
      <c r="F227" s="201">
        <f>COUNTIF('Activity map'!$C:$C, $A227)</f>
        <v>1</v>
      </c>
    </row>
    <row r="228">
      <c r="A228" s="26">
        <v>27627.0</v>
      </c>
      <c r="B228" s="23" t="s">
        <v>627</v>
      </c>
      <c r="C228" s="202" t="b">
        <f>IF($D228, TRUE, IF(ISERROR('API import'!$A$1), FALSE, COUNTIF('API import'!$A:$A, $A228)&gt;0))</f>
        <v>0</v>
      </c>
      <c r="D228" s="195" t="b">
        <v>0</v>
      </c>
      <c r="E228" s="195">
        <v>5.0</v>
      </c>
      <c r="F228" s="201">
        <f>COUNTIF('Activity map'!$C:$C, $A228)</f>
        <v>1</v>
      </c>
    </row>
    <row r="229">
      <c r="A229" s="26">
        <v>27643.0</v>
      </c>
      <c r="B229" s="23" t="s">
        <v>628</v>
      </c>
      <c r="C229" s="202" t="b">
        <f>IF($D229, TRUE, IF(ISERROR('API import'!$A$1), FALSE, COUNTIF('API import'!$A:$A, $A229)&gt;0))</f>
        <v>0</v>
      </c>
      <c r="D229" s="195" t="b">
        <v>0</v>
      </c>
      <c r="E229" s="195">
        <v>5.0</v>
      </c>
      <c r="F229" s="201">
        <f>COUNTIF('Activity map'!$C:$C, $A229)</f>
        <v>1</v>
      </c>
    </row>
    <row r="230">
      <c r="A230" s="26">
        <v>27622.0</v>
      </c>
      <c r="B230" s="23" t="s">
        <v>629</v>
      </c>
      <c r="C230" s="202" t="b">
        <f>IF($D230, TRUE, IF(ISERROR('API import'!$A$1), FALSE, COUNTIF('API import'!$A:$A, $A230)&gt;0))</f>
        <v>0</v>
      </c>
      <c r="D230" s="195" t="b">
        <v>0</v>
      </c>
      <c r="E230" s="195">
        <v>5.0</v>
      </c>
      <c r="F230" s="201">
        <f>COUNTIF('Activity map'!$C:$C, $A230)</f>
        <v>1</v>
      </c>
    </row>
    <row r="231">
      <c r="A231" s="26">
        <v>27616.0</v>
      </c>
      <c r="B231" s="23" t="s">
        <v>630</v>
      </c>
      <c r="C231" s="202" t="b">
        <f>IF($D231, TRUE, IF(ISERROR('API import'!$A$1), FALSE, COUNTIF('API import'!$A:$A, $A231)&gt;0))</f>
        <v>0</v>
      </c>
      <c r="D231" s="195" t="b">
        <v>0</v>
      </c>
      <c r="E231" s="195">
        <v>4.0</v>
      </c>
      <c r="F231" s="201">
        <f>COUNTIF('Activity map'!$C:$C, $A231)</f>
        <v>1</v>
      </c>
    </row>
    <row r="232">
      <c r="A232" s="26">
        <v>30622.0</v>
      </c>
      <c r="B232" s="23" t="s">
        <v>631</v>
      </c>
      <c r="C232" s="200" t="b">
        <f>IF($D232, TRUE, IF(ISERROR('API import'!$A$1), FALSE, COUNTIF('API import'!$A:$A, $A232)&gt;0))</f>
        <v>0</v>
      </c>
      <c r="D232" s="195" t="b">
        <v>0</v>
      </c>
      <c r="E232" s="195">
        <v>6.0</v>
      </c>
      <c r="F232" s="203">
        <f>COUNTIF('Activity map'!$C:$C, $A232)</f>
        <v>4</v>
      </c>
    </row>
    <row r="233">
      <c r="A233" s="26">
        <v>30626.0</v>
      </c>
      <c r="B233" s="23" t="s">
        <v>632</v>
      </c>
      <c r="C233" s="200" t="b">
        <f>IF($D233, TRUE, IF(ISERROR('API import'!$A$1), FALSE, COUNTIF('API import'!$A:$A, $A233)&gt;0))</f>
        <v>0</v>
      </c>
      <c r="D233" s="195" t="b">
        <v>0</v>
      </c>
      <c r="E233" s="195">
        <v>4.0</v>
      </c>
      <c r="F233" s="201">
        <f>COUNTIF('Activity map'!$C:$C, $A233)</f>
        <v>1</v>
      </c>
    </row>
    <row r="234">
      <c r="A234" s="26">
        <v>30627.0</v>
      </c>
      <c r="B234" s="23" t="s">
        <v>633</v>
      </c>
      <c r="C234" s="200" t="b">
        <f>IF($D234, TRUE, IF(ISERROR('API import'!$A$1), FALSE, COUNTIF('API import'!$A:$A, $A234)&gt;0))</f>
        <v>0</v>
      </c>
      <c r="D234" s="195" t="b">
        <v>0</v>
      </c>
      <c r="E234" s="195">
        <v>4.0</v>
      </c>
      <c r="F234" s="201">
        <f>COUNTIF('Activity map'!$C:$C, $A234)</f>
        <v>1</v>
      </c>
    </row>
    <row r="235">
      <c r="A235" s="26">
        <v>30637.0</v>
      </c>
      <c r="B235" s="23" t="s">
        <v>634</v>
      </c>
      <c r="C235" s="202" t="b">
        <f>IF($D235, TRUE, IF(ISERROR('API import'!$A$1), FALSE, COUNTIF('API import'!$A:$A, $A235)&gt;0))</f>
        <v>0</v>
      </c>
      <c r="D235" s="195" t="b">
        <v>0</v>
      </c>
      <c r="E235" s="195">
        <v>3.0</v>
      </c>
      <c r="F235" s="203">
        <f>COUNTIF('Activity map'!$C:$C, $A235)</f>
        <v>2</v>
      </c>
    </row>
    <row r="236">
      <c r="A236" s="26">
        <v>30628.0</v>
      </c>
      <c r="B236" s="23" t="s">
        <v>635</v>
      </c>
      <c r="C236" s="200" t="b">
        <f>IF($D236, TRUE, IF(ISERROR('API import'!$A$1), FALSE, COUNTIF('API import'!$A:$A, $A236)&gt;0))</f>
        <v>0</v>
      </c>
      <c r="D236" s="195" t="b">
        <v>0</v>
      </c>
      <c r="E236" s="195">
        <v>4.0</v>
      </c>
      <c r="F236" s="201">
        <f>COUNTIF('Activity map'!$C:$C, $A236)</f>
        <v>1</v>
      </c>
    </row>
    <row r="237">
      <c r="A237" s="26">
        <v>30631.0</v>
      </c>
      <c r="B237" s="23" t="s">
        <v>636</v>
      </c>
      <c r="C237" s="200" t="b">
        <f>IF($D237, TRUE, IF(ISERROR('API import'!$A$1), FALSE, COUNTIF('API import'!$A:$A, $A237)&gt;0))</f>
        <v>0</v>
      </c>
      <c r="D237" s="195" t="b">
        <v>0</v>
      </c>
      <c r="E237" s="195">
        <v>4.0</v>
      </c>
      <c r="F237" s="201">
        <f>COUNTIF('Activity map'!$C:$C, $A237)</f>
        <v>1</v>
      </c>
    </row>
    <row r="238">
      <c r="A238" s="26">
        <v>30640.0</v>
      </c>
      <c r="B238" s="23" t="s">
        <v>637</v>
      </c>
      <c r="C238" s="202" t="b">
        <f>IF($D238, TRUE, IF(ISERROR('API import'!$A$1), FALSE, COUNTIF('API import'!$A:$A, $A238)&gt;0))</f>
        <v>0</v>
      </c>
      <c r="D238" s="195" t="b">
        <v>0</v>
      </c>
      <c r="E238" s="195">
        <v>3.0</v>
      </c>
      <c r="F238" s="203">
        <f>COUNTIF('Activity map'!$C:$C, $A238)</f>
        <v>4</v>
      </c>
    </row>
    <row r="239">
      <c r="A239" s="26">
        <v>23495.0</v>
      </c>
      <c r="B239" s="23" t="s">
        <v>638</v>
      </c>
      <c r="C239" s="202" t="b">
        <f>IF($D239, TRUE, IF(ISERROR('API import'!$A$1), FALSE, COUNTIF('API import'!$A:$A, $A239)&gt;0))</f>
        <v>0</v>
      </c>
      <c r="D239" s="195" t="b">
        <v>0</v>
      </c>
      <c r="E239" s="195">
        <v>6.0</v>
      </c>
      <c r="F239" s="201">
        <f>COUNTIF('Activity map'!$C:$C, $A239)</f>
        <v>1</v>
      </c>
    </row>
    <row r="240">
      <c r="A240" s="26">
        <v>23525.0</v>
      </c>
      <c r="B240" s="23" t="s">
        <v>639</v>
      </c>
      <c r="C240" s="200" t="b">
        <f>IF($D240, TRUE, IF(ISERROR('API import'!$A$1), FALSE, COUNTIF('API import'!$A:$A, $A240)&gt;0))</f>
        <v>0</v>
      </c>
      <c r="D240" s="195" t="b">
        <v>0</v>
      </c>
      <c r="E240" s="195">
        <v>6.0</v>
      </c>
      <c r="F240" s="201">
        <f>COUNTIF('Activity map'!$C:$C, $A240)</f>
        <v>1</v>
      </c>
    </row>
    <row r="241">
      <c r="A241" s="26">
        <v>23517.0</v>
      </c>
      <c r="B241" s="23" t="s">
        <v>640</v>
      </c>
      <c r="C241" s="202" t="b">
        <f>IF($D241, TRUE, IF(ISERROR('API import'!$A$1), FALSE, COUNTIF('API import'!$A:$A, $A241)&gt;0))</f>
        <v>0</v>
      </c>
      <c r="D241" s="195" t="b">
        <v>0</v>
      </c>
      <c r="E241" s="195">
        <v>5.0</v>
      </c>
      <c r="F241" s="201">
        <f>COUNTIF('Activity map'!$C:$C, $A241)</f>
        <v>1</v>
      </c>
    </row>
    <row r="242">
      <c r="A242" s="26">
        <v>23528.0</v>
      </c>
      <c r="B242" s="23" t="s">
        <v>641</v>
      </c>
      <c r="C242" s="200" t="b">
        <f>IF($D242, TRUE, IF(ISERROR('API import'!$A$1), FALSE, COUNTIF('API import'!$A:$A, $A242)&gt;0))</f>
        <v>0</v>
      </c>
      <c r="D242" s="195" t="b">
        <v>0</v>
      </c>
      <c r="E242" s="195">
        <v>5.0</v>
      </c>
      <c r="F242" s="201">
        <f>COUNTIF('Activity map'!$C:$C, $A242)</f>
        <v>1</v>
      </c>
    </row>
    <row r="243">
      <c r="A243" s="26">
        <v>13181.0</v>
      </c>
      <c r="B243" s="23" t="s">
        <v>642</v>
      </c>
      <c r="C243" s="200" t="b">
        <f>IF($D243, TRUE, IF(ISERROR('API import'!$A$1), FALSE, COUNTIF('API import'!$A:$A, $A243)&gt;0))</f>
        <v>0</v>
      </c>
      <c r="D243" s="195" t="b">
        <v>0</v>
      </c>
      <c r="E243" s="195">
        <v>7.0</v>
      </c>
      <c r="F243" s="201">
        <f>COUNTIF('Activity map'!$C:$C, $A243)</f>
        <v>1</v>
      </c>
    </row>
    <row r="244">
      <c r="A244" s="26">
        <v>11930.0</v>
      </c>
      <c r="B244" s="23" t="s">
        <v>643</v>
      </c>
      <c r="C244" s="200" t="b">
        <f>IF($D244, TRUE, IF(ISERROR('API import'!$A$1), FALSE, COUNTIF('API import'!$A:$A, $A244)&gt;0))</f>
        <v>0</v>
      </c>
      <c r="D244" s="195" t="b">
        <v>0</v>
      </c>
      <c r="E244" s="195">
        <v>5.0</v>
      </c>
      <c r="F244" s="201">
        <f>COUNTIF('Activity map'!$C:$C, $A244)</f>
        <v>1</v>
      </c>
    </row>
    <row r="245">
      <c r="A245" s="26">
        <v>11933.0</v>
      </c>
      <c r="B245" s="23" t="s">
        <v>644</v>
      </c>
      <c r="C245" s="202" t="b">
        <f>IF($D245, TRUE, IF(ISERROR('API import'!$A$1), FALSE, COUNTIF('API import'!$A:$A, $A245)&gt;0))</f>
        <v>0</v>
      </c>
      <c r="D245" s="195" t="b">
        <v>0</v>
      </c>
      <c r="E245" s="195">
        <v>5.0</v>
      </c>
      <c r="F245" s="201">
        <f>COUNTIF('Activity map'!$C:$C, $A245)</f>
        <v>1</v>
      </c>
    </row>
    <row r="246">
      <c r="A246" s="26">
        <v>28801.0</v>
      </c>
      <c r="B246" s="23" t="s">
        <v>645</v>
      </c>
      <c r="C246" s="200" t="b">
        <f>IF($D246, TRUE, IF(ISERROR('API import'!$A$1), FALSE, COUNTIF('API import'!$A:$A, $A246)&gt;0))</f>
        <v>0</v>
      </c>
      <c r="D246" s="195" t="b">
        <v>0</v>
      </c>
      <c r="E246" s="195">
        <v>6.0</v>
      </c>
      <c r="F246" s="201">
        <f>COUNTIF('Activity map'!$C:$C, $A246)</f>
        <v>1</v>
      </c>
    </row>
    <row r="247">
      <c r="A247" s="26">
        <v>28798.0</v>
      </c>
      <c r="B247" s="23" t="s">
        <v>646</v>
      </c>
      <c r="C247" s="202" t="b">
        <f>IF($D247, TRUE, IF(ISERROR('API import'!$A$1), FALSE, COUNTIF('API import'!$A:$A, $A247)&gt;0))</f>
        <v>0</v>
      </c>
      <c r="D247" s="195" t="b">
        <v>0</v>
      </c>
      <c r="E247" s="195">
        <v>4.0</v>
      </c>
      <c r="F247" s="201">
        <f>COUNTIF('Activity map'!$C:$C, $A247)</f>
        <v>1</v>
      </c>
    </row>
    <row r="248">
      <c r="A248" s="26">
        <v>32921.0</v>
      </c>
      <c r="B248" s="23" t="s">
        <v>647</v>
      </c>
      <c r="C248" s="200" t="b">
        <f>IF($D248, TRUE, IF(ISERROR('API import'!$A$1), FALSE, COUNTIF('API import'!$A:$A, $A248)&gt;0))</f>
        <v>0</v>
      </c>
      <c r="D248" s="195" t="b">
        <v>0</v>
      </c>
      <c r="E248" s="195">
        <v>5.0</v>
      </c>
      <c r="F248" s="201">
        <f>COUNTIF('Activity map'!$C:$C, $A248)</f>
        <v>1</v>
      </c>
    </row>
    <row r="249">
      <c r="A249" s="26">
        <v>31285.0</v>
      </c>
      <c r="B249" s="23" t="s">
        <v>648</v>
      </c>
      <c r="C249" s="200" t="b">
        <f>IF($D249, TRUE, IF(ISERROR('API import'!$A$1), FALSE, COUNTIF('API import'!$A:$A, $A249)&gt;0))</f>
        <v>0</v>
      </c>
      <c r="D249" s="195" t="b">
        <v>0</v>
      </c>
      <c r="E249" s="195">
        <v>6.0</v>
      </c>
      <c r="F249" s="201">
        <f>COUNTIF('Activity map'!$C:$C, $A249)</f>
        <v>1</v>
      </c>
    </row>
    <row r="250">
      <c r="A250" s="26">
        <v>31245.0</v>
      </c>
      <c r="B250" s="23" t="s">
        <v>649</v>
      </c>
      <c r="C250" s="200" t="b">
        <f>IF($D250, TRUE, IF(ISERROR('API import'!$A$1), FALSE, COUNTIF('API import'!$A:$A, $A250)&gt;0))</f>
        <v>0</v>
      </c>
      <c r="D250" s="195" t="b">
        <v>0</v>
      </c>
      <c r="E250" s="195">
        <v>5.0</v>
      </c>
      <c r="F250" s="201">
        <f>COUNTIF('Activity map'!$C:$C, $A250)</f>
        <v>1</v>
      </c>
    </row>
    <row r="251">
      <c r="A251" s="26">
        <v>31235.0</v>
      </c>
      <c r="B251" s="23" t="s">
        <v>650</v>
      </c>
      <c r="C251" s="202" t="b">
        <f>IF($D251, TRUE, IF(ISERROR('API import'!$A$1), FALSE, COUNTIF('API import'!$A:$A, $A251)&gt;0))</f>
        <v>0</v>
      </c>
      <c r="D251" s="195" t="b">
        <v>0</v>
      </c>
      <c r="E251" s="195">
        <v>4.0</v>
      </c>
      <c r="F251" s="203">
        <f>COUNTIF('Activity map'!$C:$C, $A251)</f>
        <v>2</v>
      </c>
    </row>
    <row r="252">
      <c r="A252" s="26">
        <v>21273.0</v>
      </c>
      <c r="B252" s="23" t="s">
        <v>651</v>
      </c>
      <c r="C252" s="202" t="b">
        <f>IF($D252, TRUE, IF(ISERROR('API import'!$A$1), FALSE, COUNTIF('API import'!$A:$A, $A252)&gt;0))</f>
        <v>0</v>
      </c>
      <c r="D252" s="195" t="b">
        <v>0</v>
      </c>
      <c r="E252" s="195">
        <v>6.0</v>
      </c>
      <c r="F252" s="201">
        <f>COUNTIF('Activity map'!$C:$C, $A252)</f>
        <v>1</v>
      </c>
    </row>
    <row r="253">
      <c r="A253" s="26">
        <v>19701.0</v>
      </c>
      <c r="B253" s="23" t="s">
        <v>652</v>
      </c>
      <c r="C253" s="200" t="b">
        <f>IF($D253, TRUE, IF(ISERROR('API import'!$A$1), FALSE, COUNTIF('API import'!$A:$A, $A253)&gt;0))</f>
        <v>0</v>
      </c>
      <c r="D253" s="195" t="b">
        <v>0</v>
      </c>
      <c r="E253" s="195">
        <v>7.0</v>
      </c>
      <c r="F253" s="201">
        <f>COUNTIF('Activity map'!$C:$C, $A253)</f>
        <v>1</v>
      </c>
    </row>
    <row r="254">
      <c r="A254" s="26">
        <v>21275.0</v>
      </c>
      <c r="B254" s="23" t="s">
        <v>653</v>
      </c>
      <c r="C254" s="202" t="b">
        <f>IF($D254, TRUE, IF(ISERROR('API import'!$A$1), FALSE, COUNTIF('API import'!$A:$A, $A254)&gt;0))</f>
        <v>0</v>
      </c>
      <c r="D254" s="195" t="b">
        <v>0</v>
      </c>
      <c r="E254" s="195">
        <v>6.0</v>
      </c>
      <c r="F254" s="201">
        <f>COUNTIF('Activity map'!$C:$C, $A254)</f>
        <v>1</v>
      </c>
    </row>
    <row r="255">
      <c r="A255" s="26">
        <v>19685.0</v>
      </c>
      <c r="B255" s="23" t="s">
        <v>654</v>
      </c>
      <c r="C255" s="200" t="b">
        <f>IF($D255, TRUE, IF(ISERROR('API import'!$A$1), FALSE, COUNTIF('API import'!$A:$A, $A255)&gt;0))</f>
        <v>0</v>
      </c>
      <c r="D255" s="195" t="b">
        <v>0</v>
      </c>
      <c r="E255" s="195">
        <v>7.0</v>
      </c>
      <c r="F255" s="201">
        <f>COUNTIF('Activity map'!$C:$C, $A255)</f>
        <v>1</v>
      </c>
    </row>
    <row r="256">
      <c r="A256" s="26">
        <v>6571.0</v>
      </c>
      <c r="B256" s="23" t="s">
        <v>655</v>
      </c>
      <c r="C256" s="202" t="b">
        <f>IF($D256, TRUE, IF(ISERROR('API import'!$A$1), FALSE, COUNTIF('API import'!$A:$A, $A256)&gt;0))</f>
        <v>0</v>
      </c>
      <c r="D256" s="195" t="b">
        <v>0</v>
      </c>
      <c r="E256" s="195">
        <v>6.0</v>
      </c>
      <c r="F256" s="203">
        <f>COUNTIF('Activity map'!$C:$C, $A256)</f>
        <v>5</v>
      </c>
    </row>
    <row r="257">
      <c r="A257" s="26">
        <v>19677.0</v>
      </c>
      <c r="B257" s="23" t="s">
        <v>656</v>
      </c>
      <c r="C257" s="202" t="b">
        <f>IF($D257, TRUE, IF(ISERROR('API import'!$A$1), FALSE, COUNTIF('API import'!$A:$A, $A257)&gt;0))</f>
        <v>0</v>
      </c>
      <c r="D257" s="195" t="b">
        <v>0</v>
      </c>
      <c r="E257" s="195">
        <v>5.0</v>
      </c>
      <c r="F257" s="203">
        <f>COUNTIF('Activity map'!$C:$C, $A257)</f>
        <v>5</v>
      </c>
    </row>
    <row r="258">
      <c r="A258" s="26">
        <v>25602.0</v>
      </c>
      <c r="B258" s="23" t="s">
        <v>657</v>
      </c>
      <c r="C258" s="200" t="b">
        <f>IF($D258, TRUE, IF(ISERROR('API import'!$A$1), FALSE, COUNTIF('API import'!$A:$A, $A258)&gt;0))</f>
        <v>0</v>
      </c>
      <c r="D258" s="195" t="b">
        <v>0</v>
      </c>
      <c r="E258" s="195">
        <v>6.0</v>
      </c>
      <c r="F258" s="201">
        <f>COUNTIF('Activity map'!$C:$C, $A258)</f>
        <v>1</v>
      </c>
    </row>
    <row r="259">
      <c r="A259" s="26">
        <v>25559.0</v>
      </c>
      <c r="B259" s="23" t="s">
        <v>658</v>
      </c>
      <c r="C259" s="200" t="b">
        <f>IF($D259, TRUE, IF(ISERROR('API import'!$A$1), FALSE, COUNTIF('API import'!$A:$A, $A259)&gt;0))</f>
        <v>0</v>
      </c>
      <c r="D259" s="195" t="b">
        <v>0</v>
      </c>
      <c r="E259" s="195">
        <v>4.0</v>
      </c>
      <c r="F259" s="201">
        <f>COUNTIF('Activity map'!$C:$C, $A259)</f>
        <v>1</v>
      </c>
    </row>
    <row r="260">
      <c r="A260" s="26">
        <v>25592.0</v>
      </c>
      <c r="B260" s="23" t="s">
        <v>659</v>
      </c>
      <c r="C260" s="200" t="b">
        <f>IF($D260, TRUE, IF(ISERROR('API import'!$A$1), FALSE, COUNTIF('API import'!$A:$A, $A260)&gt;0))</f>
        <v>0</v>
      </c>
      <c r="D260" s="195" t="b">
        <v>0</v>
      </c>
      <c r="E260" s="195">
        <v>3.0</v>
      </c>
      <c r="F260" s="201">
        <f>COUNTIF('Activity map'!$C:$C, $A260)</f>
        <v>1</v>
      </c>
    </row>
    <row r="261">
      <c r="A261" s="26">
        <v>25594.0</v>
      </c>
      <c r="B261" s="23" t="s">
        <v>660</v>
      </c>
      <c r="C261" s="202" t="b">
        <f>IF($D261, TRUE, IF(ISERROR('API import'!$A$1), FALSE, COUNTIF('API import'!$A:$A, $A261)&gt;0))</f>
        <v>0</v>
      </c>
      <c r="D261" s="195" t="b">
        <v>0</v>
      </c>
      <c r="E261" s="195">
        <v>3.0</v>
      </c>
      <c r="F261" s="201">
        <f>COUNTIF('Activity map'!$C:$C, $A261)</f>
        <v>1</v>
      </c>
    </row>
    <row r="262">
      <c r="A262" s="26">
        <v>25596.0</v>
      </c>
      <c r="B262" s="23" t="s">
        <v>661</v>
      </c>
      <c r="C262" s="202" t="b">
        <f>IF($D262, TRUE, IF(ISERROR('API import'!$A$1), FALSE, COUNTIF('API import'!$A:$A, $A262)&gt;0))</f>
        <v>0</v>
      </c>
      <c r="D262" s="195" t="b">
        <v>0</v>
      </c>
      <c r="E262" s="195">
        <v>3.0</v>
      </c>
      <c r="F262" s="201">
        <f>COUNTIF('Activity map'!$C:$C, $A262)</f>
        <v>1</v>
      </c>
    </row>
    <row r="263">
      <c r="A263" s="26">
        <v>25598.0</v>
      </c>
      <c r="B263" s="23" t="s">
        <v>662</v>
      </c>
      <c r="C263" s="200" t="b">
        <f>IF($D263, TRUE, IF(ISERROR('API import'!$A$1), FALSE, COUNTIF('API import'!$A:$A, $A263)&gt;0))</f>
        <v>0</v>
      </c>
      <c r="D263" s="195" t="b">
        <v>0</v>
      </c>
      <c r="E263" s="195">
        <v>3.0</v>
      </c>
      <c r="F263" s="201">
        <f>COUNTIF('Activity map'!$C:$C, $A263)</f>
        <v>1</v>
      </c>
    </row>
    <row r="264">
      <c r="A264" s="26">
        <v>25576.0</v>
      </c>
      <c r="B264" s="23" t="s">
        <v>663</v>
      </c>
      <c r="C264" s="202" t="b">
        <f>IF($D264, TRUE, IF(ISERROR('API import'!$A$1), FALSE, COUNTIF('API import'!$A:$A, $A264)&gt;0))</f>
        <v>0</v>
      </c>
      <c r="D264" s="195" t="b">
        <v>0</v>
      </c>
      <c r="E264" s="195">
        <v>4.0</v>
      </c>
      <c r="F264" s="201">
        <f>COUNTIF('Activity map'!$C:$C, $A264)</f>
        <v>1</v>
      </c>
    </row>
    <row r="265">
      <c r="A265" s="26">
        <v>25578.0</v>
      </c>
      <c r="B265" s="23" t="s">
        <v>664</v>
      </c>
      <c r="C265" s="202" t="b">
        <f>IF($D265, TRUE, IF(ISERROR('API import'!$A$1), FALSE, COUNTIF('API import'!$A:$A, $A265)&gt;0))</f>
        <v>0</v>
      </c>
      <c r="D265" s="195" t="b">
        <v>0</v>
      </c>
      <c r="E265" s="195">
        <v>2.0</v>
      </c>
      <c r="F265" s="201">
        <f>COUNTIF('Activity map'!$C:$C, $A265)</f>
        <v>1</v>
      </c>
    </row>
    <row r="266">
      <c r="A266" s="26">
        <v>25580.0</v>
      </c>
      <c r="B266" s="23" t="s">
        <v>665</v>
      </c>
      <c r="C266" s="200" t="b">
        <f>IF($D266, TRUE, IF(ISERROR('API import'!$A$1), FALSE, COUNTIF('API import'!$A:$A, $A266)&gt;0))</f>
        <v>0</v>
      </c>
      <c r="D266" s="195" t="b">
        <v>0</v>
      </c>
      <c r="E266" s="195">
        <v>3.0</v>
      </c>
      <c r="F266" s="201">
        <f>COUNTIF('Activity map'!$C:$C, $A266)</f>
        <v>1</v>
      </c>
    </row>
    <row r="267">
      <c r="A267" s="26">
        <v>25582.0</v>
      </c>
      <c r="B267" s="23" t="s">
        <v>666</v>
      </c>
      <c r="C267" s="202" t="b">
        <f>IF($D267, TRUE, IF(ISERROR('API import'!$A$1), FALSE, COUNTIF('API import'!$A:$A, $A267)&gt;0))</f>
        <v>0</v>
      </c>
      <c r="D267" s="195" t="b">
        <v>0</v>
      </c>
      <c r="E267" s="195">
        <v>3.0</v>
      </c>
      <c r="F267" s="201">
        <f>COUNTIF('Activity map'!$C:$C, $A267)</f>
        <v>1</v>
      </c>
    </row>
    <row r="268">
      <c r="A268" s="26">
        <v>21028.0</v>
      </c>
      <c r="B268" s="23" t="s">
        <v>667</v>
      </c>
      <c r="C268" s="202" t="b">
        <f>IF($D268, TRUE, IF(ISERROR('API import'!$A$1), FALSE, COUNTIF('API import'!$A:$A, $A268)&gt;0))</f>
        <v>0</v>
      </c>
      <c r="D268" s="195" t="b">
        <v>0</v>
      </c>
      <c r="E268" s="195">
        <v>5.0</v>
      </c>
      <c r="F268" s="203">
        <f>COUNTIF('Activity map'!$C:$C, $A268)</f>
        <v>2</v>
      </c>
    </row>
    <row r="269">
      <c r="A269" s="26">
        <v>25588.0</v>
      </c>
      <c r="B269" s="23" t="s">
        <v>668</v>
      </c>
      <c r="C269" s="202" t="b">
        <f>IF($D269, TRUE, IF(ISERROR('API import'!$A$1), FALSE, COUNTIF('API import'!$A:$A, $A269)&gt;0))</f>
        <v>0</v>
      </c>
      <c r="D269" s="195" t="b">
        <v>0</v>
      </c>
      <c r="E269" s="195">
        <v>2.0</v>
      </c>
      <c r="F269" s="201">
        <f>COUNTIF('Activity map'!$C:$C, $A269)</f>
        <v>1</v>
      </c>
    </row>
    <row r="270">
      <c r="A270" s="26">
        <v>12648.0</v>
      </c>
      <c r="B270" s="23" t="s">
        <v>669</v>
      </c>
      <c r="C270" s="200" t="b">
        <f>IF($D270, TRUE, IF(ISERROR('API import'!$A$1), FALSE, COUNTIF('API import'!$A:$A, $A270)&gt;0))</f>
        <v>0</v>
      </c>
      <c r="D270" s="195" t="b">
        <v>0</v>
      </c>
      <c r="E270" s="195">
        <v>7.0</v>
      </c>
      <c r="F270" s="201">
        <f>COUNTIF('Activity map'!$C:$C, $A270)</f>
        <v>1</v>
      </c>
    </row>
    <row r="271">
      <c r="A271" s="26">
        <v>12002.0</v>
      </c>
      <c r="B271" s="23" t="s">
        <v>670</v>
      </c>
      <c r="C271" s="200" t="b">
        <f>IF($D271, TRUE, IF(ISERROR('API import'!$A$1), FALSE, COUNTIF('API import'!$A:$A, $A271)&gt;0))</f>
        <v>0</v>
      </c>
      <c r="D271" s="195" t="b">
        <v>0</v>
      </c>
      <c r="E271" s="195">
        <v>5.0</v>
      </c>
      <c r="F271" s="203">
        <f>COUNTIF('Activity map'!$C:$C, $A271)</f>
        <v>2</v>
      </c>
    </row>
    <row r="272">
      <c r="A272" s="26">
        <v>11998.0</v>
      </c>
      <c r="B272" s="23" t="s">
        <v>671</v>
      </c>
      <c r="C272" s="200" t="b">
        <f>IF($D272, TRUE, IF(ISERROR('API import'!$A$1), FALSE, COUNTIF('API import'!$A:$A, $A272)&gt;0))</f>
        <v>0</v>
      </c>
      <c r="D272" s="195" t="b">
        <v>0</v>
      </c>
      <c r="E272" s="195">
        <v>6.0</v>
      </c>
      <c r="F272" s="201">
        <f>COUNTIF('Activity map'!$C:$C, $A272)</f>
        <v>1</v>
      </c>
    </row>
    <row r="273">
      <c r="A273" s="26">
        <v>25524.0</v>
      </c>
      <c r="B273" s="23" t="s">
        <v>672</v>
      </c>
      <c r="C273" s="200" t="b">
        <f>IF($D273, TRUE, IF(ISERROR('API import'!$A$1), FALSE, COUNTIF('API import'!$A:$A, $A273)&gt;0))</f>
        <v>0</v>
      </c>
      <c r="D273" s="195" t="b">
        <v>0</v>
      </c>
      <c r="E273" s="195">
        <v>7.0</v>
      </c>
      <c r="F273" s="201">
        <f>COUNTIF('Activity map'!$C:$C, $A273)</f>
        <v>1</v>
      </c>
    </row>
    <row r="274">
      <c r="A274" s="26">
        <v>28248.0</v>
      </c>
      <c r="B274" s="23" t="s">
        <v>673</v>
      </c>
      <c r="C274" s="200" t="b">
        <f>IF($D274, TRUE, IF(ISERROR('API import'!$A$1), FALSE, COUNTIF('API import'!$A:$A, $A274)&gt;0))</f>
        <v>0</v>
      </c>
      <c r="D274" s="195" t="b">
        <v>0</v>
      </c>
      <c r="E274" s="195">
        <v>7.0</v>
      </c>
      <c r="F274" s="201">
        <f>COUNTIF('Activity map'!$C:$C, $A274)</f>
        <v>1</v>
      </c>
    </row>
    <row r="275">
      <c r="A275" s="26">
        <v>28319.0</v>
      </c>
      <c r="B275" s="23" t="s">
        <v>674</v>
      </c>
      <c r="C275" s="200" t="b">
        <f>IF($D275, TRUE, IF(ISERROR('API import'!$A$1), FALSE, COUNTIF('API import'!$A:$A, $A275)&gt;0))</f>
        <v>0</v>
      </c>
      <c r="D275" s="195" t="b">
        <v>0</v>
      </c>
      <c r="E275" s="195">
        <v>6.0</v>
      </c>
      <c r="F275" s="201">
        <f>COUNTIF('Activity map'!$C:$C, $A275)</f>
        <v>1</v>
      </c>
    </row>
    <row r="276">
      <c r="A276" s="26">
        <v>28285.0</v>
      </c>
      <c r="B276" s="23" t="s">
        <v>675</v>
      </c>
      <c r="C276" s="200" t="b">
        <f>IF($D276, TRUE, IF(ISERROR('API import'!$A$1), FALSE, COUNTIF('API import'!$A:$A, $A276)&gt;0))</f>
        <v>0</v>
      </c>
      <c r="D276" s="195" t="b">
        <v>0</v>
      </c>
      <c r="E276" s="195">
        <v>6.0</v>
      </c>
      <c r="F276" s="201">
        <f>COUNTIF('Activity map'!$C:$C, $A276)</f>
        <v>1</v>
      </c>
    </row>
    <row r="277">
      <c r="A277" s="26">
        <v>28268.0</v>
      </c>
      <c r="B277" s="23" t="s">
        <v>676</v>
      </c>
      <c r="C277" s="200" t="b">
        <f>IF($D277, TRUE, IF(ISERROR('API import'!$A$1), FALSE, COUNTIF('API import'!$A:$A, $A277)&gt;0))</f>
        <v>0</v>
      </c>
      <c r="D277" s="195" t="b">
        <v>0</v>
      </c>
      <c r="E277" s="195">
        <v>5.0</v>
      </c>
      <c r="F277" s="201">
        <f>COUNTIF('Activity map'!$C:$C, $A277)</f>
        <v>1</v>
      </c>
    </row>
    <row r="278">
      <c r="A278" s="26">
        <v>28330.0</v>
      </c>
      <c r="B278" s="23" t="s">
        <v>677</v>
      </c>
      <c r="C278" s="200" t="b">
        <f>IF($D278, TRUE, IF(ISERROR('API import'!$A$1), FALSE, COUNTIF('API import'!$A:$A, $A278)&gt;0))</f>
        <v>0</v>
      </c>
      <c r="D278" s="195" t="b">
        <v>0</v>
      </c>
      <c r="E278" s="195">
        <v>5.0</v>
      </c>
      <c r="F278" s="201">
        <f>COUNTIF('Activity map'!$C:$C, $A278)</f>
        <v>1</v>
      </c>
    </row>
    <row r="279">
      <c r="A279" s="26">
        <v>13177.0</v>
      </c>
      <c r="B279" s="23" t="s">
        <v>678</v>
      </c>
      <c r="C279" s="200" t="b">
        <f>IF($D279, TRUE, IF(ISERROR('API import'!$A$1), FALSE, COUNTIF('API import'!$A:$A, $A279)&gt;0))</f>
        <v>0</v>
      </c>
      <c r="D279" s="195" t="b">
        <v>0</v>
      </c>
      <c r="E279" s="195">
        <v>7.0</v>
      </c>
      <c r="F279" s="201">
        <f>COUNTIF('Activity map'!$C:$C, $A279)</f>
        <v>1</v>
      </c>
    </row>
    <row r="280">
      <c r="A280" s="26">
        <v>12605.0</v>
      </c>
      <c r="B280" s="23" t="s">
        <v>679</v>
      </c>
      <c r="C280" s="200" t="b">
        <f>IF($D280, TRUE, IF(ISERROR('API import'!$A$1), FALSE, COUNTIF('API import'!$A:$A, $A280)&gt;0))</f>
        <v>0</v>
      </c>
      <c r="D280" s="195" t="b">
        <v>0</v>
      </c>
      <c r="E280" s="195">
        <v>5.0</v>
      </c>
      <c r="F280" s="201">
        <f>COUNTIF('Activity map'!$C:$C, $A280)</f>
        <v>1</v>
      </c>
    </row>
    <row r="281">
      <c r="A281" s="26">
        <v>27670.0</v>
      </c>
      <c r="B281" s="23" t="s">
        <v>680</v>
      </c>
      <c r="C281" s="200" t="b">
        <f>IF($D281, TRUE, IF(ISERROR('API import'!$A$1), FALSE, COUNTIF('API import'!$A:$A, $A281)&gt;0))</f>
        <v>0</v>
      </c>
      <c r="D281" s="195" t="b">
        <v>0</v>
      </c>
      <c r="E281" s="195">
        <v>5.0</v>
      </c>
      <c r="F281" s="201">
        <f>COUNTIF('Activity map'!$C:$C, $A281)</f>
        <v>1</v>
      </c>
    </row>
    <row r="282">
      <c r="A282" s="26">
        <v>27687.0</v>
      </c>
      <c r="B282" s="23" t="s">
        <v>681</v>
      </c>
      <c r="C282" s="200" t="b">
        <f>IF($D282, TRUE, IF(ISERROR('API import'!$A$1), FALSE, COUNTIF('API import'!$A:$A, $A282)&gt;0))</f>
        <v>0</v>
      </c>
      <c r="D282" s="195" t="b">
        <v>0</v>
      </c>
      <c r="E282" s="195">
        <v>5.0</v>
      </c>
      <c r="F282" s="201">
        <f>COUNTIF('Activity map'!$C:$C, $A282)</f>
        <v>1</v>
      </c>
    </row>
    <row r="283">
      <c r="A283" s="26">
        <v>13179.0</v>
      </c>
      <c r="B283" s="23" t="s">
        <v>682</v>
      </c>
      <c r="C283" s="200" t="b">
        <f>IF($D283, TRUE, IF(ISERROR('API import'!$A$1), FALSE, COUNTIF('API import'!$A:$A, $A283)&gt;0))</f>
        <v>0</v>
      </c>
      <c r="D283" s="195" t="b">
        <v>0</v>
      </c>
      <c r="E283" s="195">
        <v>7.0</v>
      </c>
      <c r="F283" s="201">
        <f>COUNTIF('Activity map'!$C:$C, $A283)</f>
        <v>1</v>
      </c>
    </row>
    <row r="284">
      <c r="A284" s="26">
        <v>12601.0</v>
      </c>
      <c r="B284" s="23" t="s">
        <v>683</v>
      </c>
      <c r="C284" s="200" t="b">
        <f>IF($D284, TRUE, IF(ISERROR('API import'!$A$1), FALSE, COUNTIF('API import'!$A:$A, $A284)&gt;0))</f>
        <v>0</v>
      </c>
      <c r="D284" s="195" t="b">
        <v>0</v>
      </c>
      <c r="E284" s="195">
        <v>5.0</v>
      </c>
      <c r="F284" s="201">
        <f>COUNTIF('Activity map'!$C:$C, $A284)</f>
        <v>1</v>
      </c>
    </row>
    <row r="285">
      <c r="A285" s="26">
        <v>27673.0</v>
      </c>
      <c r="B285" s="23" t="s">
        <v>684</v>
      </c>
      <c r="C285" s="200" t="b">
        <f>IF($D285, TRUE, IF(ISERROR('API import'!$A$1), FALSE, COUNTIF('API import'!$A:$A, $A285)&gt;0))</f>
        <v>0</v>
      </c>
      <c r="D285" s="195" t="b">
        <v>0</v>
      </c>
      <c r="E285" s="195">
        <v>5.0</v>
      </c>
      <c r="F285" s="201">
        <f>COUNTIF('Activity map'!$C:$C, $A285)</f>
        <v>1</v>
      </c>
    </row>
    <row r="286">
      <c r="A286" s="26">
        <v>27684.0</v>
      </c>
      <c r="B286" s="23" t="s">
        <v>685</v>
      </c>
      <c r="C286" s="200" t="b">
        <f>IF($D286, TRUE, IF(ISERROR('API import'!$A$1), FALSE, COUNTIF('API import'!$A:$A, $A286)&gt;0))</f>
        <v>0</v>
      </c>
      <c r="D286" s="195" t="b">
        <v>0</v>
      </c>
      <c r="E286" s="195">
        <v>5.0</v>
      </c>
      <c r="F286" s="201">
        <f>COUNTIF('Activity map'!$C:$C, $A286)</f>
        <v>1</v>
      </c>
    </row>
    <row r="287">
      <c r="A287" s="26">
        <v>21992.0</v>
      </c>
      <c r="B287" s="23" t="s">
        <v>686</v>
      </c>
      <c r="C287" s="202" t="b">
        <f>IF($D287, TRUE, IF(ISERROR('API import'!$A$1), FALSE, COUNTIF('API import'!$A:$A, $A287)&gt;0))</f>
        <v>0</v>
      </c>
      <c r="D287" s="195" t="b">
        <v>0</v>
      </c>
      <c r="E287" s="195">
        <v>7.0</v>
      </c>
      <c r="F287" s="201">
        <f>COUNTIF('Activity map'!$C:$C, $A287)</f>
        <v>1</v>
      </c>
    </row>
    <row r="288">
      <c r="A288" s="26">
        <v>21907.0</v>
      </c>
      <c r="B288" s="23" t="s">
        <v>687</v>
      </c>
      <c r="C288" s="202" t="b">
        <f>IF($D288, TRUE, IF(ISERROR('API import'!$A$1), FALSE, COUNTIF('API import'!$A:$A, $A288)&gt;0))</f>
        <v>0</v>
      </c>
      <c r="D288" s="195" t="b">
        <v>0</v>
      </c>
      <c r="E288" s="195">
        <v>5.0</v>
      </c>
      <c r="F288" s="201">
        <f>COUNTIF('Activity map'!$C:$C, $A288)</f>
        <v>1</v>
      </c>
    </row>
    <row r="289">
      <c r="A289" s="26">
        <v>22006.0</v>
      </c>
      <c r="B289" s="23" t="s">
        <v>688</v>
      </c>
      <c r="C289" s="202" t="b">
        <f>IF($D289, TRUE, IF(ISERROR('API import'!$A$1), FALSE, COUNTIF('API import'!$A:$A, $A289)&gt;0))</f>
        <v>0</v>
      </c>
      <c r="D289" s="195" t="b">
        <v>0</v>
      </c>
      <c r="E289" s="195">
        <v>7.0</v>
      </c>
      <c r="F289" s="201">
        <f>COUNTIF('Activity map'!$C:$C, $A289)</f>
        <v>1</v>
      </c>
    </row>
    <row r="290">
      <c r="A290" s="26">
        <v>22106.0</v>
      </c>
      <c r="B290" s="23" t="s">
        <v>689</v>
      </c>
      <c r="C290" s="200" t="b">
        <f>IF($D290, TRUE, IF(ISERROR('API import'!$A$1), FALSE, COUNTIF('API import'!$A:$A, $A290)&gt;0))</f>
        <v>0</v>
      </c>
      <c r="D290" s="195" t="b">
        <v>0</v>
      </c>
      <c r="E290" s="195">
        <v>7.0</v>
      </c>
      <c r="F290" s="201">
        <f>COUNTIF('Activity map'!$C:$C, $A290)</f>
        <v>1</v>
      </c>
    </row>
    <row r="291">
      <c r="A291" s="26">
        <v>22111.0</v>
      </c>
      <c r="B291" s="23" t="s">
        <v>690</v>
      </c>
      <c r="C291" s="200" t="b">
        <f>IF($D291, TRUE, IF(ISERROR('API import'!$A$1), FALSE, COUNTIF('API import'!$A:$A, $A291)&gt;0))</f>
        <v>0</v>
      </c>
      <c r="D291" s="195" t="b">
        <v>0</v>
      </c>
      <c r="E291" s="195">
        <v>6.0</v>
      </c>
      <c r="F291" s="201">
        <f>COUNTIF('Activity map'!$C:$C, $A291)</f>
        <v>1</v>
      </c>
    </row>
    <row r="292">
      <c r="A292" s="26">
        <v>28246.0</v>
      </c>
      <c r="B292" s="23" t="s">
        <v>691</v>
      </c>
      <c r="C292" s="200" t="b">
        <f>IF($D292, TRUE, IF(ISERROR('API import'!$A$1), FALSE, COUNTIF('API import'!$A:$A, $A292)&gt;0))</f>
        <v>0</v>
      </c>
      <c r="D292" s="195" t="b">
        <v>0</v>
      </c>
      <c r="E292" s="195">
        <v>7.0</v>
      </c>
      <c r="F292" s="201">
        <f>COUNTIF('Activity map'!$C:$C, $A292)</f>
        <v>1</v>
      </c>
    </row>
    <row r="293">
      <c r="A293" s="26">
        <v>28323.0</v>
      </c>
      <c r="B293" s="23" t="s">
        <v>692</v>
      </c>
      <c r="C293" s="200" t="b">
        <f>IF($D293, TRUE, IF(ISERROR('API import'!$A$1), FALSE, COUNTIF('API import'!$A:$A, $A293)&gt;0))</f>
        <v>0</v>
      </c>
      <c r="D293" s="195" t="b">
        <v>0</v>
      </c>
      <c r="E293" s="195">
        <v>6.0</v>
      </c>
      <c r="F293" s="201">
        <f>COUNTIF('Activity map'!$C:$C, $A293)</f>
        <v>1</v>
      </c>
    </row>
    <row r="294">
      <c r="A294" s="26">
        <v>28279.0</v>
      </c>
      <c r="B294" s="23" t="s">
        <v>693</v>
      </c>
      <c r="C294" s="200" t="b">
        <f>IF($D294, TRUE, IF(ISERROR('API import'!$A$1), FALSE, COUNTIF('API import'!$A:$A, $A294)&gt;0))</f>
        <v>0</v>
      </c>
      <c r="D294" s="195" t="b">
        <v>0</v>
      </c>
      <c r="E294" s="195">
        <v>6.0</v>
      </c>
      <c r="F294" s="201">
        <f>COUNTIF('Activity map'!$C:$C, $A294)</f>
        <v>1</v>
      </c>
    </row>
    <row r="295">
      <c r="A295" s="26">
        <v>28272.0</v>
      </c>
      <c r="B295" s="23" t="s">
        <v>694</v>
      </c>
      <c r="C295" s="200" t="b">
        <f>IF($D295, TRUE, IF(ISERROR('API import'!$A$1), FALSE, COUNTIF('API import'!$A:$A, $A295)&gt;0))</f>
        <v>0</v>
      </c>
      <c r="D295" s="195" t="b">
        <v>0</v>
      </c>
      <c r="E295" s="195">
        <v>5.0</v>
      </c>
      <c r="F295" s="201">
        <f>COUNTIF('Activity map'!$C:$C, $A295)</f>
        <v>1</v>
      </c>
    </row>
    <row r="296">
      <c r="A296" s="26">
        <v>28331.0</v>
      </c>
      <c r="B296" s="23" t="s">
        <v>695</v>
      </c>
      <c r="C296" s="200" t="b">
        <f>IF($D296, TRUE, IF(ISERROR('API import'!$A$1), FALSE, COUNTIF('API import'!$A:$A, $A296)&gt;0))</f>
        <v>0</v>
      </c>
      <c r="D296" s="195" t="b">
        <v>0</v>
      </c>
      <c r="E296" s="195">
        <v>5.0</v>
      </c>
      <c r="F296" s="201">
        <f>COUNTIF('Activity map'!$C:$C, $A296)</f>
        <v>1</v>
      </c>
    </row>
    <row r="297">
      <c r="A297" s="26">
        <v>20693.0</v>
      </c>
      <c r="B297" s="23" t="s">
        <v>696</v>
      </c>
      <c r="C297" s="200" t="b">
        <f>IF($D297, TRUE, IF(ISERROR('API import'!$A$1), FALSE, COUNTIF('API import'!$A:$A, $A297)&gt;0))</f>
        <v>0</v>
      </c>
      <c r="D297" s="195" t="b">
        <v>0</v>
      </c>
      <c r="E297" s="195">
        <v>7.0</v>
      </c>
      <c r="F297" s="201">
        <f>COUNTIF('Activity map'!$C:$C, $A297)</f>
        <v>1</v>
      </c>
    </row>
    <row r="298">
      <c r="A298" s="26">
        <v>20716.0</v>
      </c>
      <c r="B298" s="23" t="s">
        <v>697</v>
      </c>
      <c r="C298" s="202" t="b">
        <f>IF($D298, TRUE, IF(ISERROR('API import'!$A$1), FALSE, COUNTIF('API import'!$A:$A, $A298)&gt;0))</f>
        <v>0</v>
      </c>
      <c r="D298" s="195" t="b">
        <v>0</v>
      </c>
      <c r="E298" s="195">
        <v>5.0</v>
      </c>
      <c r="F298" s="201">
        <f>COUNTIF('Activity map'!$C:$C, $A298)</f>
        <v>1</v>
      </c>
    </row>
    <row r="299">
      <c r="A299" s="26">
        <v>20718.0</v>
      </c>
      <c r="B299" s="23" t="s">
        <v>698</v>
      </c>
      <c r="C299" s="202" t="b">
        <f>IF($D299, TRUE, IF(ISERROR('API import'!$A$1), FALSE, COUNTIF('API import'!$A:$A, $A299)&gt;0))</f>
        <v>0</v>
      </c>
      <c r="D299" s="195" t="b">
        <v>0</v>
      </c>
      <c r="E299" s="195">
        <v>2.0</v>
      </c>
      <c r="F299" s="201">
        <f>COUNTIF('Activity map'!$C:$C, $A299)</f>
        <v>1</v>
      </c>
    </row>
    <row r="300">
      <c r="A300" s="26">
        <v>20704.0</v>
      </c>
      <c r="B300" s="23" t="s">
        <v>699</v>
      </c>
      <c r="C300" s="202" t="b">
        <f>IF($D300, TRUE, IF(ISERROR('API import'!$A$1), FALSE, COUNTIF('API import'!$A:$A, $A300)&gt;0))</f>
        <v>0</v>
      </c>
      <c r="D300" s="195" t="b">
        <v>0</v>
      </c>
      <c r="E300" s="195">
        <v>3.0</v>
      </c>
      <c r="F300" s="201">
        <f>COUNTIF('Activity map'!$C:$C, $A300)</f>
        <v>1</v>
      </c>
    </row>
    <row r="301">
      <c r="A301" s="26">
        <v>20708.0</v>
      </c>
      <c r="B301" s="23" t="s">
        <v>700</v>
      </c>
      <c r="C301" s="202" t="b">
        <f>IF($D301, TRUE, IF(ISERROR('API import'!$A$1), FALSE, COUNTIF('API import'!$A:$A, $A301)&gt;0))</f>
        <v>0</v>
      </c>
      <c r="D301" s="195" t="b">
        <v>0</v>
      </c>
      <c r="E301" s="195">
        <v>3.0</v>
      </c>
      <c r="F301" s="201">
        <f>COUNTIF('Activity map'!$C:$C, $A301)</f>
        <v>1</v>
      </c>
    </row>
    <row r="302">
      <c r="A302" s="26">
        <v>20706.0</v>
      </c>
      <c r="B302" s="23" t="s">
        <v>701</v>
      </c>
      <c r="C302" s="202" t="b">
        <f>IF($D302, TRUE, IF(ISERROR('API import'!$A$1), FALSE, COUNTIF('API import'!$A:$A, $A302)&gt;0))</f>
        <v>0</v>
      </c>
      <c r="D302" s="195" t="b">
        <v>0</v>
      </c>
      <c r="E302" s="195">
        <v>3.0</v>
      </c>
      <c r="F302" s="201">
        <f>COUNTIF('Activity map'!$C:$C, $A302)</f>
        <v>1</v>
      </c>
    </row>
    <row r="303">
      <c r="A303" s="26">
        <v>20710.0</v>
      </c>
      <c r="B303" s="23" t="s">
        <v>702</v>
      </c>
      <c r="C303" s="202" t="b">
        <f>IF($D303, TRUE, IF(ISERROR('API import'!$A$1), FALSE, COUNTIF('API import'!$A:$A, $A303)&gt;0))</f>
        <v>0</v>
      </c>
      <c r="D303" s="195" t="b">
        <v>0</v>
      </c>
      <c r="E303" s="195">
        <v>3.0</v>
      </c>
      <c r="F303" s="201">
        <f>COUNTIF('Activity map'!$C:$C, $A303)</f>
        <v>1</v>
      </c>
    </row>
    <row r="304">
      <c r="A304" s="26">
        <v>20712.0</v>
      </c>
      <c r="B304" s="23" t="s">
        <v>703</v>
      </c>
      <c r="C304" s="202" t="b">
        <f>IF($D304, TRUE, IF(ISERROR('API import'!$A$1), FALSE, COUNTIF('API import'!$A:$A, $A304)&gt;0))</f>
        <v>0</v>
      </c>
      <c r="D304" s="195" t="b">
        <v>0</v>
      </c>
      <c r="E304" s="195">
        <v>3.0</v>
      </c>
      <c r="F304" s="201">
        <f>COUNTIF('Activity map'!$C:$C, $A304)</f>
        <v>1</v>
      </c>
    </row>
    <row r="305">
      <c r="A305" s="26">
        <v>20720.0</v>
      </c>
      <c r="B305" s="23" t="s">
        <v>704</v>
      </c>
      <c r="C305" s="202" t="b">
        <f>IF($D305, TRUE, IF(ISERROR('API import'!$A$1), FALSE, COUNTIF('API import'!$A:$A, $A305)&gt;0))</f>
        <v>0</v>
      </c>
      <c r="D305" s="195" t="b">
        <v>0</v>
      </c>
      <c r="E305" s="195">
        <v>3.0</v>
      </c>
      <c r="F305" s="201">
        <f>COUNTIF('Activity map'!$C:$C, $A305)</f>
        <v>1</v>
      </c>
    </row>
    <row r="306">
      <c r="A306" s="26">
        <v>30888.0</v>
      </c>
      <c r="B306" s="23" t="s">
        <v>705</v>
      </c>
      <c r="C306" s="200" t="b">
        <f>IF($D306, TRUE, IF(ISERROR('API import'!$A$1), FALSE, COUNTIF('API import'!$A:$A, $A306)&gt;0))</f>
        <v>0</v>
      </c>
      <c r="D306" s="195" t="b">
        <v>0</v>
      </c>
      <c r="E306" s="195">
        <v>7.0</v>
      </c>
      <c r="F306" s="201">
        <f>COUNTIF('Activity map'!$C:$C, $A306)</f>
        <v>1</v>
      </c>
    </row>
    <row r="307">
      <c r="A307" s="26">
        <v>30775.0</v>
      </c>
      <c r="B307" s="23" t="s">
        <v>706</v>
      </c>
      <c r="C307" s="200" t="b">
        <f>IF($D307, TRUE, IF(ISERROR('API import'!$A$1), FALSE, COUNTIF('API import'!$A:$A, $A307)&gt;0))</f>
        <v>0</v>
      </c>
      <c r="D307" s="195" t="b">
        <v>0</v>
      </c>
      <c r="E307" s="195">
        <v>5.0</v>
      </c>
      <c r="F307" s="201">
        <f>COUNTIF('Activity map'!$C:$C, $A307)</f>
        <v>1</v>
      </c>
    </row>
    <row r="308">
      <c r="A308" s="26">
        <v>30750.0</v>
      </c>
      <c r="B308" s="23" t="s">
        <v>707</v>
      </c>
      <c r="C308" s="200" t="b">
        <f>IF($D308, TRUE, IF(ISERROR('API import'!$A$1), FALSE, COUNTIF('API import'!$A:$A, $A308)&gt;0))</f>
        <v>0</v>
      </c>
      <c r="D308" s="195" t="b">
        <v>0</v>
      </c>
      <c r="E308" s="195">
        <v>6.0</v>
      </c>
      <c r="F308" s="201">
        <f>COUNTIF('Activity map'!$C:$C, $A308)</f>
        <v>1</v>
      </c>
    </row>
    <row r="309">
      <c r="A309" s="26">
        <v>30753.0</v>
      </c>
      <c r="B309" s="23" t="s">
        <v>708</v>
      </c>
      <c r="C309" s="200" t="b">
        <f>IF($D309, TRUE, IF(ISERROR('API import'!$A$1), FALSE, COUNTIF('API import'!$A:$A, $A309)&gt;0))</f>
        <v>0</v>
      </c>
      <c r="D309" s="195" t="b">
        <v>0</v>
      </c>
      <c r="E309" s="195">
        <v>6.0</v>
      </c>
      <c r="F309" s="201">
        <f>COUNTIF('Activity map'!$C:$C, $A309)</f>
        <v>1</v>
      </c>
    </row>
    <row r="310">
      <c r="A310" s="26">
        <v>30756.0</v>
      </c>
      <c r="B310" s="23" t="s">
        <v>709</v>
      </c>
      <c r="C310" s="200" t="b">
        <f>IF($D310, TRUE, IF(ISERROR('API import'!$A$1), FALSE, COUNTIF('API import'!$A:$A, $A310)&gt;0))</f>
        <v>0</v>
      </c>
      <c r="D310" s="195" t="b">
        <v>0</v>
      </c>
      <c r="E310" s="195">
        <v>6.0</v>
      </c>
      <c r="F310" s="201">
        <f>COUNTIF('Activity map'!$C:$C, $A310)</f>
        <v>1</v>
      </c>
    </row>
    <row r="311">
      <c r="A311" s="26">
        <v>30759.0</v>
      </c>
      <c r="B311" s="23" t="s">
        <v>710</v>
      </c>
      <c r="C311" s="200" t="b">
        <f>IF($D311, TRUE, IF(ISERROR('API import'!$A$1), FALSE, COUNTIF('API import'!$A:$A, $A311)&gt;0))</f>
        <v>0</v>
      </c>
      <c r="D311" s="195" t="b">
        <v>0</v>
      </c>
      <c r="E311" s="195">
        <v>6.0</v>
      </c>
      <c r="F311" s="201">
        <f>COUNTIF('Activity map'!$C:$C, $A311)</f>
        <v>1</v>
      </c>
    </row>
    <row r="312">
      <c r="A312" s="26">
        <v>30765.0</v>
      </c>
      <c r="B312" s="23" t="s">
        <v>711</v>
      </c>
      <c r="C312" s="200" t="b">
        <f>IF($D312, TRUE, IF(ISERROR('API import'!$A$1), FALSE, COUNTIF('API import'!$A:$A, $A312)&gt;0))</f>
        <v>0</v>
      </c>
      <c r="D312" s="195" t="b">
        <v>0</v>
      </c>
      <c r="E312" s="195">
        <v>5.0</v>
      </c>
      <c r="F312" s="201">
        <f>COUNTIF('Activity map'!$C:$C, $A312)</f>
        <v>1</v>
      </c>
    </row>
    <row r="313">
      <c r="A313" s="26">
        <v>30806.0</v>
      </c>
      <c r="B313" s="23" t="s">
        <v>712</v>
      </c>
      <c r="C313" s="200" t="b">
        <f>IF($D313, TRUE, IF(ISERROR('API import'!$A$1), FALSE, COUNTIF('API import'!$A:$A, $A313)&gt;0))</f>
        <v>0</v>
      </c>
      <c r="D313" s="195" t="b">
        <v>0</v>
      </c>
      <c r="E313" s="195">
        <v>6.0</v>
      </c>
      <c r="F313" s="203">
        <f>COUNTIF('Activity map'!$C:$C, $A313)</f>
        <v>2</v>
      </c>
    </row>
    <row r="314">
      <c r="A314" s="26">
        <v>30763.0</v>
      </c>
      <c r="B314" s="23" t="s">
        <v>713</v>
      </c>
      <c r="C314" s="200" t="b">
        <f>IF($D314, TRUE, IF(ISERROR('API import'!$A$1), FALSE, COUNTIF('API import'!$A:$A, $A314)&gt;0))</f>
        <v>0</v>
      </c>
      <c r="D314" s="195" t="b">
        <v>0</v>
      </c>
      <c r="E314" s="195">
        <v>5.0</v>
      </c>
      <c r="F314" s="201">
        <f>COUNTIF('Activity map'!$C:$C, $A314)</f>
        <v>1</v>
      </c>
    </row>
    <row r="315">
      <c r="A315" s="26">
        <v>30805.0</v>
      </c>
      <c r="B315" s="23" t="s">
        <v>714</v>
      </c>
      <c r="C315" s="200" t="b">
        <f>IF($D315, TRUE, IF(ISERROR('API import'!$A$1), FALSE, COUNTIF('API import'!$A:$A, $A315)&gt;0))</f>
        <v>0</v>
      </c>
      <c r="D315" s="195" t="b">
        <v>0</v>
      </c>
      <c r="E315" s="195">
        <v>5.0</v>
      </c>
      <c r="F315" s="201">
        <f>COUNTIF('Activity map'!$C:$C, $A315)</f>
        <v>1</v>
      </c>
    </row>
    <row r="316">
      <c r="A316" s="26">
        <v>30795.0</v>
      </c>
      <c r="B316" s="23" t="s">
        <v>715</v>
      </c>
      <c r="C316" s="200" t="b">
        <f>IF($D316, TRUE, IF(ISERROR('API import'!$A$1), FALSE, COUNTIF('API import'!$A:$A, $A316)&gt;0))</f>
        <v>0</v>
      </c>
      <c r="D316" s="195" t="b">
        <v>0</v>
      </c>
      <c r="E316" s="195">
        <v>5.0</v>
      </c>
      <c r="F316" s="201">
        <f>COUNTIF('Activity map'!$C:$C, $A316)</f>
        <v>1</v>
      </c>
    </row>
    <row r="317">
      <c r="A317" s="26">
        <v>23760.0</v>
      </c>
      <c r="B317" s="23" t="s">
        <v>716</v>
      </c>
      <c r="C317" s="200" t="b">
        <f>IF($D317, TRUE, IF(ISERROR('API import'!$A$1), FALSE, COUNTIF('API import'!$A:$A, $A317)&gt;0))</f>
        <v>0</v>
      </c>
      <c r="D317" s="195" t="b">
        <v>0</v>
      </c>
      <c r="E317" s="195">
        <v>7.0</v>
      </c>
      <c r="F317" s="201">
        <f>COUNTIF('Activity map'!$C:$C, $A317)</f>
        <v>1</v>
      </c>
    </row>
    <row r="318">
      <c r="A318" s="26">
        <v>23953.0</v>
      </c>
      <c r="B318" s="23" t="s">
        <v>717</v>
      </c>
      <c r="C318" s="202" t="b">
        <f>IF($D318, TRUE, IF(ISERROR('API import'!$A$1), FALSE, COUNTIF('API import'!$A:$A, $A318)&gt;0))</f>
        <v>0</v>
      </c>
      <c r="D318" s="195" t="b">
        <v>0</v>
      </c>
      <c r="E318" s="195">
        <v>6.0</v>
      </c>
      <c r="F318" s="201">
        <f>COUNTIF('Activity map'!$C:$C, $A318)</f>
        <v>1</v>
      </c>
    </row>
    <row r="319">
      <c r="A319" s="26">
        <v>23908.0</v>
      </c>
      <c r="B319" s="23" t="s">
        <v>718</v>
      </c>
      <c r="C319" s="200" t="b">
        <f>IF($D319, TRUE, IF(ISERROR('API import'!$A$1), FALSE, COUNTIF('API import'!$A:$A, $A319)&gt;0))</f>
        <v>0</v>
      </c>
      <c r="D319" s="195" t="b">
        <v>0</v>
      </c>
      <c r="E319" s="195">
        <v>6.0</v>
      </c>
      <c r="F319" s="201">
        <f>COUNTIF('Activity map'!$C:$C, $A319)</f>
        <v>1</v>
      </c>
    </row>
    <row r="320">
      <c r="A320" s="26">
        <v>12921.0</v>
      </c>
      <c r="B320" s="23" t="s">
        <v>719</v>
      </c>
      <c r="C320" s="200" t="b">
        <f>IF($D320, TRUE, IF(ISERROR('API import'!$A$1), FALSE, COUNTIF('API import'!$A:$A, $A320)&gt;0))</f>
        <v>0</v>
      </c>
      <c r="D320" s="195" t="b">
        <v>0</v>
      </c>
      <c r="E320" s="195">
        <v>7.0</v>
      </c>
      <c r="F320" s="201">
        <f>COUNTIF('Activity map'!$C:$C, $A320)</f>
        <v>1</v>
      </c>
    </row>
    <row r="321">
      <c r="A321" s="26">
        <v>13200.0</v>
      </c>
      <c r="B321" s="23" t="s">
        <v>720</v>
      </c>
      <c r="C321" s="200" t="b">
        <f>IF($D321, TRUE, IF(ISERROR('API import'!$A$1), FALSE, COUNTIF('API import'!$A:$A, $A321)&gt;0))</f>
        <v>0</v>
      </c>
      <c r="D321" s="195" t="b">
        <v>0</v>
      </c>
      <c r="E321" s="195">
        <v>7.0</v>
      </c>
      <c r="F321" s="201">
        <f>COUNTIF('Activity map'!$C:$C, $A321)</f>
        <v>1</v>
      </c>
    </row>
    <row r="322">
      <c r="A322" s="26">
        <v>13201.0</v>
      </c>
      <c r="B322" s="23" t="s">
        <v>721</v>
      </c>
      <c r="C322" s="200" t="b">
        <f>IF($D322, TRUE, IF(ISERROR('API import'!$A$1), FALSE, COUNTIF('API import'!$A:$A, $A322)&gt;0))</f>
        <v>0</v>
      </c>
      <c r="D322" s="195" t="b">
        <v>0</v>
      </c>
      <c r="E322" s="195">
        <v>7.0</v>
      </c>
      <c r="F322" s="201">
        <f>COUNTIF('Activity map'!$C:$C, $A322)</f>
        <v>1</v>
      </c>
    </row>
    <row r="323">
      <c r="A323" s="26">
        <v>12936.0</v>
      </c>
      <c r="B323" s="23" t="s">
        <v>722</v>
      </c>
      <c r="C323" s="200" t="b">
        <f>IF($D323, TRUE, IF(ISERROR('API import'!$A$1), FALSE, COUNTIF('API import'!$A:$A, $A323)&gt;0))</f>
        <v>0</v>
      </c>
      <c r="D323" s="195" t="b">
        <v>0</v>
      </c>
      <c r="E323" s="195">
        <v>7.0</v>
      </c>
      <c r="F323" s="201">
        <f>COUNTIF('Activity map'!$C:$C, $A323)</f>
        <v>1</v>
      </c>
    </row>
    <row r="324">
      <c r="A324" s="26">
        <v>12932.0</v>
      </c>
      <c r="B324" s="23" t="s">
        <v>723</v>
      </c>
      <c r="C324" s="202" t="b">
        <f>IF($D324, TRUE, IF(ISERROR('API import'!$A$1), FALSE, COUNTIF('API import'!$A:$A, $A324)&gt;0))</f>
        <v>0</v>
      </c>
      <c r="D324" s="195" t="b">
        <v>0</v>
      </c>
      <c r="E324" s="195">
        <v>5.0</v>
      </c>
      <c r="F324" s="201">
        <f>COUNTIF('Activity map'!$C:$C, $A324)</f>
        <v>1</v>
      </c>
    </row>
    <row r="325">
      <c r="A325" s="26">
        <v>12927.0</v>
      </c>
      <c r="B325" s="23" t="s">
        <v>724</v>
      </c>
      <c r="C325" s="200" t="b">
        <f>IF($D325, TRUE, IF(ISERROR('API import'!$A$1), FALSE, COUNTIF('API import'!$A:$A, $A325)&gt;0))</f>
        <v>0</v>
      </c>
      <c r="D325" s="195" t="b">
        <v>0</v>
      </c>
      <c r="E325" s="195">
        <v>5.0</v>
      </c>
      <c r="F325" s="201">
        <f>COUNTIF('Activity map'!$C:$C, $A325)</f>
        <v>1</v>
      </c>
    </row>
    <row r="326">
      <c r="A326" s="26">
        <v>12922.0</v>
      </c>
      <c r="B326" s="23" t="s">
        <v>725</v>
      </c>
      <c r="C326" s="200" t="b">
        <f>IF($D326, TRUE, IF(ISERROR('API import'!$A$1), FALSE, COUNTIF('API import'!$A:$A, $A326)&gt;0))</f>
        <v>0</v>
      </c>
      <c r="D326" s="195" t="b">
        <v>0</v>
      </c>
      <c r="E326" s="195">
        <v>5.0</v>
      </c>
      <c r="F326" s="201">
        <f>COUNTIF('Activity map'!$C:$C, $A326)</f>
        <v>1</v>
      </c>
    </row>
    <row r="327">
      <c r="A327" s="26">
        <v>12938.0</v>
      </c>
      <c r="B327" s="23" t="s">
        <v>726</v>
      </c>
      <c r="C327" s="202" t="b">
        <f>IF($D327, TRUE, IF(ISERROR('API import'!$A$1), FALSE, COUNTIF('API import'!$A:$A, $A327)&gt;0))</f>
        <v>0</v>
      </c>
      <c r="D327" s="195" t="b">
        <v>0</v>
      </c>
      <c r="E327" s="195">
        <v>4.0</v>
      </c>
      <c r="F327" s="201">
        <f>COUNTIF('Activity map'!$C:$C, $A327)</f>
        <v>1</v>
      </c>
    </row>
    <row r="328">
      <c r="A328" s="26">
        <v>12934.0</v>
      </c>
      <c r="B328" s="23" t="s">
        <v>727</v>
      </c>
      <c r="C328" s="202" t="b">
        <f>IF($D328, TRUE, IF(ISERROR('API import'!$A$1), FALSE, COUNTIF('API import'!$A:$A, $A328)&gt;0))</f>
        <v>0</v>
      </c>
      <c r="D328" s="195" t="b">
        <v>0</v>
      </c>
      <c r="E328" s="195">
        <v>4.0</v>
      </c>
      <c r="F328" s="201">
        <f>COUNTIF('Activity map'!$C:$C, $A328)</f>
        <v>1</v>
      </c>
    </row>
    <row r="329">
      <c r="A329" s="26">
        <v>20851.0</v>
      </c>
      <c r="B329" s="23" t="s">
        <v>728</v>
      </c>
      <c r="C329" s="200" t="b">
        <f>IF($D329, TRUE, IF(ISERROR('API import'!$A$1), FALSE, COUNTIF('API import'!$A:$A, $A329)&gt;0))</f>
        <v>0</v>
      </c>
      <c r="D329" s="195" t="b">
        <v>0</v>
      </c>
      <c r="E329" s="195">
        <v>8.0</v>
      </c>
      <c r="F329" s="203">
        <f>COUNTIF('Activity map'!$C:$C, $A329)</f>
        <v>2</v>
      </c>
    </row>
    <row r="330">
      <c r="A330" s="26">
        <v>22386.0</v>
      </c>
      <c r="B330" s="23" t="s">
        <v>729</v>
      </c>
      <c r="C330" s="200" t="b">
        <f>IF($D330, TRUE, IF(ISERROR('API import'!$A$1), FALSE, COUNTIF('API import'!$A:$A, $A330)&gt;0))</f>
        <v>0</v>
      </c>
      <c r="D330" s="195" t="b">
        <v>0</v>
      </c>
      <c r="E330" s="195">
        <v>8.0</v>
      </c>
      <c r="F330" s="201">
        <f>COUNTIF('Activity map'!$C:$C, $A330)</f>
        <v>1</v>
      </c>
    </row>
    <row r="331">
      <c r="A331" s="26">
        <v>20997.0</v>
      </c>
      <c r="B331" s="23" t="s">
        <v>730</v>
      </c>
      <c r="C331" s="200" t="b">
        <f>IF($D331, TRUE, IF(ISERROR('API import'!$A$1), FALSE, COUNTIF('API import'!$A:$A, $A331)&gt;0))</f>
        <v>0</v>
      </c>
      <c r="D331" s="195" t="b">
        <v>0</v>
      </c>
      <c r="E331" s="195">
        <v>8.0</v>
      </c>
      <c r="F331" s="203">
        <f>COUNTIF('Activity map'!$C:$C, $A331)</f>
        <v>2</v>
      </c>
    </row>
    <row r="332">
      <c r="A332" s="26">
        <v>21003.0</v>
      </c>
      <c r="B332" s="23" t="s">
        <v>731</v>
      </c>
      <c r="C332" s="200" t="b">
        <f>IF($D332, TRUE, IF(ISERROR('API import'!$A$1), FALSE, COUNTIF('API import'!$A:$A, $A332)&gt;0))</f>
        <v>0</v>
      </c>
      <c r="D332" s="195" t="b">
        <v>0</v>
      </c>
      <c r="E332" s="195">
        <v>8.0</v>
      </c>
      <c r="F332" s="203">
        <f>COUNTIF('Activity map'!$C:$C, $A332)</f>
        <v>2</v>
      </c>
    </row>
    <row r="333">
      <c r="A333" s="26">
        <v>21043.0</v>
      </c>
      <c r="B333" s="23" t="s">
        <v>732</v>
      </c>
      <c r="C333" s="200" t="b">
        <f>IF($D333, TRUE, IF(ISERROR('API import'!$A$1), FALSE, COUNTIF('API import'!$A:$A, $A333)&gt;0))</f>
        <v>0</v>
      </c>
      <c r="D333" s="195" t="b">
        <v>0</v>
      </c>
      <c r="E333" s="195">
        <v>8.0</v>
      </c>
      <c r="F333" s="203">
        <f>COUNTIF('Activity map'!$C:$C, $A333)</f>
        <v>2</v>
      </c>
    </row>
    <row r="334">
      <c r="A334" s="26">
        <v>13652.0</v>
      </c>
      <c r="B334" s="23" t="s">
        <v>733</v>
      </c>
      <c r="C334" s="200" t="b">
        <f>IF($D334, TRUE, IF(ISERROR('API import'!$A$1), FALSE, COUNTIF('API import'!$A:$A, $A334)&gt;0))</f>
        <v>0</v>
      </c>
      <c r="D334" s="195" t="b">
        <v>0</v>
      </c>
      <c r="E334" s="195">
        <v>7.0</v>
      </c>
      <c r="F334" s="203">
        <f>COUNTIF('Activity map'!$C:$C, $A334)</f>
        <v>2</v>
      </c>
    </row>
    <row r="335">
      <c r="A335" s="26">
        <v>21018.0</v>
      </c>
      <c r="B335" s="23" t="s">
        <v>734</v>
      </c>
      <c r="C335" s="200" t="b">
        <f>IF($D335, TRUE, IF(ISERROR('API import'!$A$1), FALSE, COUNTIF('API import'!$A:$A, $A335)&gt;0))</f>
        <v>0</v>
      </c>
      <c r="D335" s="195" t="b">
        <v>0</v>
      </c>
      <c r="E335" s="195">
        <v>7.0</v>
      </c>
      <c r="F335" s="203">
        <f>COUNTIF('Activity map'!$C:$C, $A335)</f>
        <v>2</v>
      </c>
    </row>
    <row r="336">
      <c r="A336" s="26">
        <v>21021.0</v>
      </c>
      <c r="B336" s="23" t="s">
        <v>735</v>
      </c>
      <c r="C336" s="200" t="b">
        <f>IF($D336, TRUE, IF(ISERROR('API import'!$A$1), FALSE, COUNTIF('API import'!$A:$A, $A336)&gt;0))</f>
        <v>0</v>
      </c>
      <c r="D336" s="195" t="b">
        <v>0</v>
      </c>
      <c r="E336" s="195">
        <v>7.0</v>
      </c>
      <c r="F336" s="203">
        <f>COUNTIF('Activity map'!$C:$C, $A336)</f>
        <v>2</v>
      </c>
    </row>
    <row r="337">
      <c r="A337" s="26">
        <v>21024.0</v>
      </c>
      <c r="B337" s="23" t="s">
        <v>736</v>
      </c>
      <c r="C337" s="200" t="b">
        <f>IF($D337, TRUE, IF(ISERROR('API import'!$A$1), FALSE, COUNTIF('API import'!$A:$A, $A337)&gt;0))</f>
        <v>0</v>
      </c>
      <c r="D337" s="195" t="b">
        <v>0</v>
      </c>
      <c r="E337" s="195">
        <v>7.0</v>
      </c>
      <c r="F337" s="203">
        <f>COUNTIF('Activity map'!$C:$C, $A337)</f>
        <v>2</v>
      </c>
    </row>
    <row r="338">
      <c r="A338" s="26">
        <v>21015.0</v>
      </c>
      <c r="B338" s="23" t="s">
        <v>737</v>
      </c>
      <c r="C338" s="200" t="b">
        <f>IF($D338, TRUE, IF(ISERROR('API import'!$A$1), FALSE, COUNTIF('API import'!$A:$A, $A338)&gt;0))</f>
        <v>0</v>
      </c>
      <c r="D338" s="195" t="b">
        <v>0</v>
      </c>
      <c r="E338" s="195">
        <v>7.0</v>
      </c>
      <c r="F338" s="203">
        <f>COUNTIF('Activity map'!$C:$C, $A338)</f>
        <v>2</v>
      </c>
    </row>
    <row r="339">
      <c r="A339" s="26">
        <v>21034.0</v>
      </c>
      <c r="B339" s="23" t="s">
        <v>738</v>
      </c>
      <c r="C339" s="200" t="b">
        <f>IF($D339, TRUE, IF(ISERROR('API import'!$A$1), FALSE, COUNTIF('API import'!$A:$A, $A339)&gt;0))</f>
        <v>0</v>
      </c>
      <c r="D339" s="195" t="b">
        <v>0</v>
      </c>
      <c r="E339" s="195">
        <v>6.0</v>
      </c>
      <c r="F339" s="203">
        <f>COUNTIF('Activity map'!$C:$C, $A339)</f>
        <v>2</v>
      </c>
    </row>
    <row r="340">
      <c r="A340" s="26">
        <v>21079.0</v>
      </c>
      <c r="B340" s="23" t="s">
        <v>739</v>
      </c>
      <c r="C340" s="200" t="b">
        <f>IF($D340, TRUE, IF(ISERROR('API import'!$A$1), FALSE, COUNTIF('API import'!$A:$A, $A340)&gt;0))</f>
        <v>0</v>
      </c>
      <c r="D340" s="195" t="b">
        <v>0</v>
      </c>
      <c r="E340" s="195">
        <v>6.0</v>
      </c>
      <c r="F340" s="203">
        <f>COUNTIF('Activity map'!$C:$C, $A340)</f>
        <v>2</v>
      </c>
    </row>
    <row r="341">
      <c r="A341" s="26">
        <v>21012.0</v>
      </c>
      <c r="B341" s="23" t="s">
        <v>740</v>
      </c>
      <c r="C341" s="200" t="b">
        <f>IF($D341, TRUE, IF(ISERROR('API import'!$A$1), FALSE, COUNTIF('API import'!$A:$A, $A341)&gt;0))</f>
        <v>0</v>
      </c>
      <c r="D341" s="195" t="b">
        <v>0</v>
      </c>
      <c r="E341" s="195">
        <v>7.0</v>
      </c>
      <c r="F341" s="203">
        <f>COUNTIF('Activity map'!$C:$C, $A341)</f>
        <v>2</v>
      </c>
    </row>
    <row r="342">
      <c r="A342" s="26">
        <v>21000.0</v>
      </c>
      <c r="B342" s="23" t="s">
        <v>741</v>
      </c>
      <c r="C342" s="200" t="b">
        <f>IF($D342, TRUE, IF(ISERROR('API import'!$A$1), FALSE, COUNTIF('API import'!$A:$A, $A342)&gt;0))</f>
        <v>0</v>
      </c>
      <c r="D342" s="195" t="b">
        <v>0</v>
      </c>
      <c r="E342" s="195">
        <v>7.0</v>
      </c>
      <c r="F342" s="203">
        <f>COUNTIF('Activity map'!$C:$C, $A342)</f>
        <v>2</v>
      </c>
    </row>
    <row r="343">
      <c r="A343" s="26">
        <v>21047.0</v>
      </c>
      <c r="B343" s="23" t="s">
        <v>742</v>
      </c>
      <c r="C343" s="200" t="b">
        <f>IF($D343, TRUE, IF(ISERROR('API import'!$A$1), FALSE, COUNTIF('API import'!$A:$A, $A343)&gt;0))</f>
        <v>0</v>
      </c>
      <c r="D343" s="195" t="b">
        <v>0</v>
      </c>
      <c r="E343" s="195">
        <v>5.0</v>
      </c>
      <c r="F343" s="203">
        <f>COUNTIF('Activity map'!$C:$C, $A343)</f>
        <v>2</v>
      </c>
    </row>
    <row r="344">
      <c r="A344" s="26">
        <v>21027.0</v>
      </c>
      <c r="B344" s="23" t="s">
        <v>743</v>
      </c>
      <c r="C344" s="200" t="b">
        <f>IF($D344, TRUE, IF(ISERROR('API import'!$A$1), FALSE, COUNTIF('API import'!$A:$A, $A344)&gt;0))</f>
        <v>0</v>
      </c>
      <c r="D344" s="195" t="b">
        <v>0</v>
      </c>
      <c r="E344" s="195">
        <v>5.0</v>
      </c>
      <c r="F344" s="203">
        <f>COUNTIF('Activity map'!$C:$C, $A344)</f>
        <v>2</v>
      </c>
    </row>
    <row r="345">
      <c r="A345" s="26">
        <v>6573.0</v>
      </c>
      <c r="B345" s="23" t="s">
        <v>744</v>
      </c>
      <c r="C345" s="200" t="b">
        <f>IF($D345, TRUE, IF(ISERROR('API import'!$A$1), FALSE, COUNTIF('API import'!$A:$A, $A345)&gt;0))</f>
        <v>0</v>
      </c>
      <c r="D345" s="195" t="b">
        <v>0</v>
      </c>
      <c r="E345" s="195">
        <v>7.0</v>
      </c>
      <c r="F345" s="203">
        <f>COUNTIF('Activity map'!$C:$C, $A345)</f>
        <v>2</v>
      </c>
    </row>
    <row r="346">
      <c r="A346" s="26">
        <v>24670.0</v>
      </c>
      <c r="B346" s="23" t="s">
        <v>745</v>
      </c>
      <c r="C346" s="200" t="b">
        <f>IF($D346, TRUE, IF(ISERROR('API import'!$A$1), FALSE, COUNTIF('API import'!$A:$A, $A346)&gt;0))</f>
        <v>0</v>
      </c>
      <c r="D346" s="195" t="b">
        <v>0</v>
      </c>
      <c r="E346" s="195">
        <v>7.0</v>
      </c>
      <c r="F346" s="201">
        <f>COUNTIF('Activity map'!$C:$C, $A346)</f>
        <v>1</v>
      </c>
    </row>
    <row r="347">
      <c r="A347" s="26">
        <v>22388.0</v>
      </c>
      <c r="B347" s="23" t="s">
        <v>746</v>
      </c>
      <c r="C347" s="200" t="b">
        <f>IF($D347, TRUE, IF(ISERROR('API import'!$A$1), FALSE, COUNTIF('API import'!$A:$A, $A347)&gt;0))</f>
        <v>0</v>
      </c>
      <c r="D347" s="195" t="b">
        <v>0</v>
      </c>
      <c r="E347" s="195">
        <v>7.0</v>
      </c>
      <c r="F347" s="201">
        <f>COUNTIF('Activity map'!$C:$C, $A347)</f>
        <v>1</v>
      </c>
    </row>
    <row r="348">
      <c r="A348" s="26">
        <v>22390.0</v>
      </c>
      <c r="B348" s="23" t="s">
        <v>747</v>
      </c>
      <c r="C348" s="200" t="b">
        <f>IF($D348, TRUE, IF(ISERROR('API import'!$A$1), FALSE, COUNTIF('API import'!$A:$A, $A348)&gt;0))</f>
        <v>0</v>
      </c>
      <c r="D348" s="195" t="b">
        <v>0</v>
      </c>
      <c r="E348" s="195">
        <v>8.0</v>
      </c>
      <c r="F348" s="201">
        <f>COUNTIF('Activity map'!$C:$C, $A348)</f>
        <v>1</v>
      </c>
    </row>
    <row r="349">
      <c r="A349" s="26">
        <v>22392.0</v>
      </c>
      <c r="B349" s="23" t="s">
        <v>748</v>
      </c>
      <c r="C349" s="200" t="b">
        <f>IF($D349, TRUE, IF(ISERROR('API import'!$A$1), FALSE, COUNTIF('API import'!$A:$A, $A349)&gt;0))</f>
        <v>0</v>
      </c>
      <c r="D349" s="195" t="b">
        <v>0</v>
      </c>
      <c r="E349" s="195">
        <v>8.0</v>
      </c>
      <c r="F349" s="201">
        <f>COUNTIF('Activity map'!$C:$C, $A349)</f>
        <v>1</v>
      </c>
    </row>
    <row r="350">
      <c r="A350" s="26">
        <v>22394.0</v>
      </c>
      <c r="B350" s="23" t="s">
        <v>749</v>
      </c>
      <c r="C350" s="200" t="b">
        <f>IF($D350, TRUE, IF(ISERROR('API import'!$A$1), FALSE, COUNTIF('API import'!$A:$A, $A350)&gt;0))</f>
        <v>0</v>
      </c>
      <c r="D350" s="195" t="b">
        <v>0</v>
      </c>
      <c r="E350" s="195">
        <v>9.0</v>
      </c>
      <c r="F350" s="201">
        <f>COUNTIF('Activity map'!$C:$C, $A350)</f>
        <v>1</v>
      </c>
    </row>
    <row r="351">
      <c r="A351" s="26">
        <v>22396.0</v>
      </c>
      <c r="B351" s="23" t="s">
        <v>750</v>
      </c>
      <c r="C351" s="200" t="b">
        <f>IF($D351, TRUE, IF(ISERROR('API import'!$A$1), FALSE, COUNTIF('API import'!$A:$A, $A351)&gt;0))</f>
        <v>0</v>
      </c>
      <c r="D351" s="195" t="b">
        <v>0</v>
      </c>
      <c r="E351" s="195">
        <v>9.0</v>
      </c>
      <c r="F351" s="201">
        <f>COUNTIF('Activity map'!$C:$C, $A351)</f>
        <v>1</v>
      </c>
    </row>
    <row r="352">
      <c r="A352" s="26">
        <v>22473.0</v>
      </c>
      <c r="B352" s="23" t="s">
        <v>751</v>
      </c>
      <c r="C352" s="200" t="b">
        <f>IF($D352, TRUE, IF(ISERROR('API import'!$A$1), FALSE, COUNTIF('API import'!$A:$A, $A352)&gt;0))</f>
        <v>0</v>
      </c>
      <c r="D352" s="195" t="b">
        <v>0</v>
      </c>
      <c r="E352" s="195">
        <v>8.0</v>
      </c>
      <c r="F352" s="203">
        <f>COUNTIF('Activity map'!$C:$C, $A352)</f>
        <v>2</v>
      </c>
    </row>
    <row r="353">
      <c r="A353" s="26">
        <v>22486.0</v>
      </c>
      <c r="B353" s="23" t="s">
        <v>752</v>
      </c>
      <c r="C353" s="200" t="b">
        <f>IF($D353, TRUE, IF(ISERROR('API import'!$A$1), FALSE, COUNTIF('API import'!$A:$A, $A353)&gt;0))</f>
        <v>0</v>
      </c>
      <c r="D353" s="195" t="b">
        <v>0</v>
      </c>
      <c r="E353" s="195">
        <v>8.0</v>
      </c>
      <c r="F353" s="203">
        <f>COUNTIF('Activity map'!$C:$C, $A353)</f>
        <v>2</v>
      </c>
    </row>
    <row r="354">
      <c r="A354" s="26">
        <v>22324.0</v>
      </c>
      <c r="B354" s="23" t="s">
        <v>753</v>
      </c>
      <c r="C354" s="200" t="b">
        <f>IF($D354, TRUE, IF(ISERROR('API import'!$A$1), FALSE, COUNTIF('API import'!$A:$A, $A354)&gt;0))</f>
        <v>0</v>
      </c>
      <c r="D354" s="195" t="b">
        <v>0</v>
      </c>
      <c r="E354" s="195">
        <v>7.0</v>
      </c>
      <c r="F354" s="203">
        <f>COUNTIF('Activity map'!$C:$C, $A354)</f>
        <v>2</v>
      </c>
    </row>
    <row r="355">
      <c r="A355" s="26">
        <v>22481.0</v>
      </c>
      <c r="B355" s="23" t="s">
        <v>754</v>
      </c>
      <c r="C355" s="200" t="b">
        <f>IF($D355, TRUE, IF(ISERROR('API import'!$A$1), FALSE, COUNTIF('API import'!$A:$A, $A355)&gt;0))</f>
        <v>0</v>
      </c>
      <c r="D355" s="195" t="b">
        <v>0</v>
      </c>
      <c r="E355" s="195">
        <v>7.0</v>
      </c>
      <c r="F355" s="203">
        <f>COUNTIF('Activity map'!$C:$C, $A355)</f>
        <v>2</v>
      </c>
    </row>
    <row r="356">
      <c r="A356" s="26">
        <v>22326.0</v>
      </c>
      <c r="B356" s="23" t="s">
        <v>755</v>
      </c>
      <c r="C356" s="200" t="b">
        <f>IF($D356, TRUE, IF(ISERROR('API import'!$A$1), FALSE, COUNTIF('API import'!$A:$A, $A356)&gt;0))</f>
        <v>0</v>
      </c>
      <c r="D356" s="195" t="b">
        <v>0</v>
      </c>
      <c r="E356" s="195">
        <v>7.0</v>
      </c>
      <c r="F356" s="203">
        <f>COUNTIF('Activity map'!$C:$C, $A356)</f>
        <v>2</v>
      </c>
    </row>
    <row r="357">
      <c r="A357" s="26">
        <v>22327.0</v>
      </c>
      <c r="B357" s="23" t="s">
        <v>756</v>
      </c>
      <c r="C357" s="200" t="b">
        <f>IF($D357, TRUE, IF(ISERROR('API import'!$A$1), FALSE, COUNTIF('API import'!$A:$A, $A357)&gt;0))</f>
        <v>0</v>
      </c>
      <c r="D357" s="195" t="b">
        <v>0</v>
      </c>
      <c r="E357" s="195">
        <v>7.0</v>
      </c>
      <c r="F357" s="203">
        <f>COUNTIF('Activity map'!$C:$C, $A357)</f>
        <v>2</v>
      </c>
    </row>
    <row r="358">
      <c r="A358" s="26">
        <v>22328.0</v>
      </c>
      <c r="B358" s="23" t="s">
        <v>757</v>
      </c>
      <c r="C358" s="200" t="b">
        <f>IF($D358, TRUE, IF(ISERROR('API import'!$A$1), FALSE, COUNTIF('API import'!$A:$A, $A358)&gt;0))</f>
        <v>0</v>
      </c>
      <c r="D358" s="195" t="b">
        <v>0</v>
      </c>
      <c r="E358" s="195">
        <v>7.0</v>
      </c>
      <c r="F358" s="203">
        <f>COUNTIF('Activity map'!$C:$C, $A358)</f>
        <v>2</v>
      </c>
    </row>
    <row r="359">
      <c r="A359" s="26">
        <v>22477.0</v>
      </c>
      <c r="B359" s="23" t="s">
        <v>758</v>
      </c>
      <c r="C359" s="200" t="b">
        <f>IF($D359, TRUE, IF(ISERROR('API import'!$A$1), FALSE, COUNTIF('API import'!$A:$A, $A359)&gt;0))</f>
        <v>0</v>
      </c>
      <c r="D359" s="195" t="b">
        <v>0</v>
      </c>
      <c r="E359" s="195">
        <v>7.0</v>
      </c>
      <c r="F359" s="203">
        <f>COUNTIF('Activity map'!$C:$C, $A359)</f>
        <v>2</v>
      </c>
    </row>
    <row r="360">
      <c r="A360" s="26">
        <v>22446.0</v>
      </c>
      <c r="B360" s="23" t="s">
        <v>759</v>
      </c>
      <c r="C360" s="200" t="b">
        <f>IF($D360, TRUE, IF(ISERROR('API import'!$A$1), FALSE, COUNTIF('API import'!$A:$A, $A360)&gt;0))</f>
        <v>0</v>
      </c>
      <c r="D360" s="195" t="b">
        <v>0</v>
      </c>
      <c r="E360" s="195">
        <v>6.0</v>
      </c>
      <c r="F360" s="203">
        <f>COUNTIF('Activity map'!$C:$C, $A360)</f>
        <v>2</v>
      </c>
    </row>
    <row r="361">
      <c r="A361" s="26">
        <v>22494.0</v>
      </c>
      <c r="B361" s="23" t="s">
        <v>760</v>
      </c>
      <c r="C361" s="200" t="b">
        <f>IF($D361, TRUE, IF(ISERROR('API import'!$A$1), FALSE, COUNTIF('API import'!$A:$A, $A361)&gt;0))</f>
        <v>0</v>
      </c>
      <c r="D361" s="195" t="b">
        <v>0</v>
      </c>
      <c r="E361" s="195">
        <v>7.0</v>
      </c>
      <c r="F361" s="203">
        <f>COUNTIF('Activity map'!$C:$C, $A361)</f>
        <v>2</v>
      </c>
    </row>
    <row r="362">
      <c r="A362" s="26">
        <v>22496.0</v>
      </c>
      <c r="B362" s="23" t="s">
        <v>761</v>
      </c>
      <c r="C362" s="200" t="b">
        <f>IF($D362, TRUE, IF(ISERROR('API import'!$A$1), FALSE, COUNTIF('API import'!$A:$A, $A362)&gt;0))</f>
        <v>0</v>
      </c>
      <c r="D362" s="195" t="b">
        <v>0</v>
      </c>
      <c r="E362" s="195">
        <v>8.0</v>
      </c>
      <c r="F362" s="203">
        <f>COUNTIF('Activity map'!$C:$C, $A362)</f>
        <v>2</v>
      </c>
    </row>
    <row r="363">
      <c r="A363" s="26">
        <v>22498.0</v>
      </c>
      <c r="B363" s="23" t="s">
        <v>762</v>
      </c>
      <c r="C363" s="200" t="b">
        <f>IF($D363, TRUE, IF(ISERROR('API import'!$A$1), FALSE, COUNTIF('API import'!$A:$A, $A363)&gt;0))</f>
        <v>0</v>
      </c>
      <c r="D363" s="195" t="b">
        <v>0</v>
      </c>
      <c r="E363" s="195">
        <v>8.0</v>
      </c>
      <c r="F363" s="203">
        <f>COUNTIF('Activity map'!$C:$C, $A363)</f>
        <v>2</v>
      </c>
    </row>
    <row r="364">
      <c r="A364" s="26">
        <v>22500.0</v>
      </c>
      <c r="B364" s="23" t="s">
        <v>763</v>
      </c>
      <c r="C364" s="200" t="b">
        <f>IF($D364, TRUE, IF(ISERROR('API import'!$A$1), FALSE, COUNTIF('API import'!$A:$A, $A364)&gt;0))</f>
        <v>0</v>
      </c>
      <c r="D364" s="195" t="b">
        <v>0</v>
      </c>
      <c r="E364" s="195">
        <v>9.0</v>
      </c>
      <c r="F364" s="203">
        <f>COUNTIF('Activity map'!$C:$C, $A364)</f>
        <v>2</v>
      </c>
    </row>
    <row r="365">
      <c r="A365" s="26">
        <v>22502.0</v>
      </c>
      <c r="B365" s="23" t="s">
        <v>764</v>
      </c>
      <c r="C365" s="200" t="b">
        <f>IF($D365, TRUE, IF(ISERROR('API import'!$A$1), FALSE, COUNTIF('API import'!$A:$A, $A365)&gt;0))</f>
        <v>0</v>
      </c>
      <c r="D365" s="195" t="b">
        <v>0</v>
      </c>
      <c r="E365" s="195">
        <v>9.0</v>
      </c>
      <c r="F365" s="203">
        <f>COUNTIF('Activity map'!$C:$C, $A365)</f>
        <v>2</v>
      </c>
    </row>
    <row r="366">
      <c r="A366" s="26">
        <v>25746.0</v>
      </c>
      <c r="B366" s="23" t="s">
        <v>765</v>
      </c>
      <c r="C366" s="200" t="b">
        <f>IF($D366, TRUE, IF(ISERROR('API import'!$A$1), FALSE, COUNTIF('API import'!$A:$A, $A366)&gt;0))</f>
        <v>0</v>
      </c>
      <c r="D366" s="195" t="b">
        <v>0</v>
      </c>
      <c r="E366" s="195">
        <v>7.0</v>
      </c>
      <c r="F366" s="201">
        <f>COUNTIF('Activity map'!$C:$C, $A366)</f>
        <v>1</v>
      </c>
    </row>
    <row r="367">
      <c r="A367" s="26">
        <v>25742.0</v>
      </c>
      <c r="B367" s="23" t="s">
        <v>766</v>
      </c>
      <c r="C367" s="200" t="b">
        <f>IF($D367, TRUE, IF(ISERROR('API import'!$A$1), FALSE, COUNTIF('API import'!$A:$A, $A367)&gt;0))</f>
        <v>0</v>
      </c>
      <c r="D367" s="195" t="b">
        <v>0</v>
      </c>
      <c r="E367" s="195">
        <v>7.0</v>
      </c>
      <c r="F367" s="201">
        <f>COUNTIF('Activity map'!$C:$C, $A367)</f>
        <v>1</v>
      </c>
    </row>
    <row r="368">
      <c r="A368" s="26">
        <v>25744.0</v>
      </c>
      <c r="B368" s="23" t="s">
        <v>767</v>
      </c>
      <c r="C368" s="200" t="b">
        <f>IF($D368, TRUE, IF(ISERROR('API import'!$A$1), FALSE, COUNTIF('API import'!$A:$A, $A368)&gt;0))</f>
        <v>0</v>
      </c>
      <c r="D368" s="195" t="b">
        <v>0</v>
      </c>
      <c r="E368" s="195">
        <v>7.0</v>
      </c>
      <c r="F368" s="201">
        <f>COUNTIF('Activity map'!$C:$C, $A368)</f>
        <v>1</v>
      </c>
    </row>
    <row r="369">
      <c r="A369" s="26">
        <v>27352.0</v>
      </c>
      <c r="B369" s="23" t="s">
        <v>768</v>
      </c>
      <c r="C369" s="200" t="b">
        <f>IF($D369, TRUE, IF(ISERROR('API import'!$A$1), FALSE, COUNTIF('API import'!$A:$A, $A369)&gt;0))</f>
        <v>0</v>
      </c>
      <c r="D369" s="195" t="b">
        <v>0</v>
      </c>
      <c r="E369" s="195">
        <v>8.0</v>
      </c>
      <c r="F369" s="203">
        <f>COUNTIF('Activity map'!$C:$C, $A369)</f>
        <v>3</v>
      </c>
    </row>
    <row r="370">
      <c r="A370" s="26">
        <v>27277.0</v>
      </c>
      <c r="B370" s="23" t="s">
        <v>769</v>
      </c>
      <c r="C370" s="200" t="b">
        <f>IF($D370, TRUE, IF(ISERROR('API import'!$A$1), FALSE, COUNTIF('API import'!$A:$A, $A370)&gt;0))</f>
        <v>0</v>
      </c>
      <c r="D370" s="195" t="b">
        <v>0</v>
      </c>
      <c r="E370" s="195">
        <v>8.0</v>
      </c>
      <c r="F370" s="203">
        <f>COUNTIF('Activity map'!$C:$C, $A370)</f>
        <v>3</v>
      </c>
    </row>
    <row r="371">
      <c r="A371" s="26">
        <v>25985.0</v>
      </c>
      <c r="B371" s="23" t="s">
        <v>770</v>
      </c>
      <c r="C371" s="200" t="b">
        <f>IF($D371, TRUE, IF(ISERROR('API import'!$A$1), FALSE, COUNTIF('API import'!$A:$A, $A371)&gt;0))</f>
        <v>0</v>
      </c>
      <c r="D371" s="195" t="b">
        <v>0</v>
      </c>
      <c r="E371" s="195">
        <v>7.0</v>
      </c>
      <c r="F371" s="203">
        <f>COUNTIF('Activity map'!$C:$C, $A371)</f>
        <v>3</v>
      </c>
    </row>
    <row r="372">
      <c r="A372" s="26">
        <v>27226.0</v>
      </c>
      <c r="B372" s="23" t="s">
        <v>771</v>
      </c>
      <c r="C372" s="200" t="b">
        <f>IF($D372, TRUE, IF(ISERROR('API import'!$A$1), FALSE, COUNTIF('API import'!$A:$A, $A372)&gt;0))</f>
        <v>0</v>
      </c>
      <c r="D372" s="195" t="b">
        <v>0</v>
      </c>
      <c r="E372" s="195">
        <v>7.0</v>
      </c>
      <c r="F372" s="203">
        <f>COUNTIF('Activity map'!$C:$C, $A372)</f>
        <v>3</v>
      </c>
    </row>
    <row r="373">
      <c r="A373" s="26">
        <v>27229.0</v>
      </c>
      <c r="B373" s="23" t="s">
        <v>772</v>
      </c>
      <c r="C373" s="200" t="b">
        <f>IF($D373, TRUE, IF(ISERROR('API import'!$A$1), FALSE, COUNTIF('API import'!$A:$A, $A373)&gt;0))</f>
        <v>0</v>
      </c>
      <c r="D373" s="195" t="b">
        <v>0</v>
      </c>
      <c r="E373" s="195">
        <v>7.0</v>
      </c>
      <c r="F373" s="203">
        <f>COUNTIF('Activity map'!$C:$C, $A373)</f>
        <v>3</v>
      </c>
    </row>
    <row r="374">
      <c r="A374" s="26">
        <v>27232.0</v>
      </c>
      <c r="B374" s="23" t="s">
        <v>773</v>
      </c>
      <c r="C374" s="200" t="b">
        <f>IF($D374, TRUE, IF(ISERROR('API import'!$A$1), FALSE, COUNTIF('API import'!$A:$A, $A374)&gt;0))</f>
        <v>0</v>
      </c>
      <c r="D374" s="195" t="b">
        <v>0</v>
      </c>
      <c r="E374" s="195">
        <v>7.0</v>
      </c>
      <c r="F374" s="203">
        <f>COUNTIF('Activity map'!$C:$C, $A374)</f>
        <v>3</v>
      </c>
    </row>
    <row r="375">
      <c r="A375" s="26">
        <v>25975.0</v>
      </c>
      <c r="B375" s="23" t="s">
        <v>774</v>
      </c>
      <c r="C375" s="200" t="b">
        <f>IF($D375, TRUE, IF(ISERROR('API import'!$A$1), FALSE, COUNTIF('API import'!$A:$A, $A375)&gt;0))</f>
        <v>0</v>
      </c>
      <c r="D375" s="195" t="b">
        <v>0</v>
      </c>
      <c r="E375" s="195">
        <v>6.0</v>
      </c>
      <c r="F375" s="203">
        <f>COUNTIF('Activity map'!$C:$C, $A375)</f>
        <v>3</v>
      </c>
    </row>
    <row r="376">
      <c r="A376" s="26">
        <v>26219.0</v>
      </c>
      <c r="B376" s="23" t="s">
        <v>775</v>
      </c>
      <c r="C376" s="200" t="b">
        <f>IF($D376, TRUE, IF(ISERROR('API import'!$A$1), FALSE, COUNTIF('API import'!$A:$A, $A376)&gt;0))</f>
        <v>0</v>
      </c>
      <c r="D376" s="195" t="b">
        <v>0</v>
      </c>
      <c r="E376" s="195">
        <v>6.0</v>
      </c>
      <c r="F376" s="203">
        <f>COUNTIF('Activity map'!$C:$C, $A376)</f>
        <v>3</v>
      </c>
    </row>
    <row r="377">
      <c r="A377" s="26">
        <v>27279.0</v>
      </c>
      <c r="B377" s="23" t="s">
        <v>776</v>
      </c>
      <c r="C377" s="200" t="b">
        <f>IF($D377, TRUE, IF(ISERROR('API import'!$A$1), FALSE, COUNTIF('API import'!$A:$A, $A377)&gt;0))</f>
        <v>0</v>
      </c>
      <c r="D377" s="195" t="b">
        <v>0</v>
      </c>
      <c r="E377" s="195">
        <v>5.0</v>
      </c>
      <c r="F377" s="203">
        <f>COUNTIF('Activity map'!$C:$C, $A377)</f>
        <v>3</v>
      </c>
    </row>
    <row r="378">
      <c r="A378" s="26">
        <v>27283.0</v>
      </c>
      <c r="B378" s="23" t="s">
        <v>777</v>
      </c>
      <c r="C378" s="200" t="b">
        <f>IF($D378, TRUE, IF(ISERROR('API import'!$A$1), FALSE, COUNTIF('API import'!$A:$A, $A378)&gt;0))</f>
        <v>0</v>
      </c>
      <c r="D378" s="195" t="b">
        <v>0</v>
      </c>
      <c r="E378" s="195">
        <v>6.0</v>
      </c>
      <c r="F378" s="203">
        <f>COUNTIF('Activity map'!$C:$C, $A378)</f>
        <v>3</v>
      </c>
    </row>
    <row r="379">
      <c r="A379" s="26">
        <v>27285.0</v>
      </c>
      <c r="B379" s="23" t="s">
        <v>778</v>
      </c>
      <c r="C379" s="200" t="b">
        <f>IF($D379, TRUE, IF(ISERROR('API import'!$A$1), FALSE, COUNTIF('API import'!$A:$A, $A379)&gt;0))</f>
        <v>0</v>
      </c>
      <c r="D379" s="195" t="b">
        <v>0</v>
      </c>
      <c r="E379" s="195">
        <v>6.0</v>
      </c>
      <c r="F379" s="203">
        <f>COUNTIF('Activity map'!$C:$C, $A379)</f>
        <v>3</v>
      </c>
    </row>
    <row r="380">
      <c r="A380" s="26">
        <v>27289.0</v>
      </c>
      <c r="B380" s="23" t="s">
        <v>779</v>
      </c>
      <c r="C380" s="200" t="b">
        <f>IF($D380, TRUE, IF(ISERROR('API import'!$A$1), FALSE, COUNTIF('API import'!$A:$A, $A380)&gt;0))</f>
        <v>0</v>
      </c>
      <c r="D380" s="195" t="b">
        <v>0</v>
      </c>
      <c r="E380" s="195">
        <v>6.0</v>
      </c>
      <c r="F380" s="203">
        <f>COUNTIF('Activity map'!$C:$C, $A380)</f>
        <v>3</v>
      </c>
    </row>
    <row r="381">
      <c r="A381" s="26">
        <v>30893.0</v>
      </c>
      <c r="B381" s="23" t="s">
        <v>780</v>
      </c>
      <c r="C381" s="200" t="b">
        <f>IF($D381, TRUE, IF(ISERROR('API import'!$A$1), FALSE, COUNTIF('API import'!$A:$A, $A381)&gt;0))</f>
        <v>0</v>
      </c>
      <c r="D381" s="195" t="b">
        <v>0</v>
      </c>
      <c r="E381" s="195">
        <v>6.0</v>
      </c>
      <c r="F381" s="203">
        <f>COUNTIF('Activity map'!$C:$C, $A381)</f>
        <v>3</v>
      </c>
    </row>
    <row r="382">
      <c r="A382" s="26">
        <v>27255.0</v>
      </c>
      <c r="B382" s="23" t="s">
        <v>781</v>
      </c>
      <c r="C382" s="200" t="b">
        <f>IF($D382, TRUE, IF(ISERROR('API import'!$A$1), FALSE, COUNTIF('API import'!$A:$A, $A382)&gt;0))</f>
        <v>0</v>
      </c>
      <c r="D382" s="195" t="b">
        <v>0</v>
      </c>
      <c r="E382" s="195">
        <v>7.0</v>
      </c>
      <c r="F382" s="201">
        <f>COUNTIF('Activity map'!$C:$C, $A382)</f>
        <v>1</v>
      </c>
    </row>
    <row r="383">
      <c r="A383" s="26">
        <v>27248.0</v>
      </c>
      <c r="B383" s="23" t="s">
        <v>782</v>
      </c>
      <c r="C383" s="200" t="b">
        <f>IF($D383, TRUE, IF(ISERROR('API import'!$A$1), FALSE, COUNTIF('API import'!$A:$A, $A383)&gt;0))</f>
        <v>0</v>
      </c>
      <c r="D383" s="195" t="b">
        <v>0</v>
      </c>
      <c r="E383" s="195">
        <v>7.0</v>
      </c>
      <c r="F383" s="201">
        <f>COUNTIF('Activity map'!$C:$C, $A383)</f>
        <v>1</v>
      </c>
    </row>
    <row r="384">
      <c r="A384" s="26">
        <v>27372.0</v>
      </c>
      <c r="B384" s="23" t="s">
        <v>783</v>
      </c>
      <c r="C384" s="200" t="b">
        <f>IF($D384, TRUE, IF(ISERROR('API import'!$A$1), FALSE, COUNTIF('API import'!$A:$A, $A384)&gt;0))</f>
        <v>0</v>
      </c>
      <c r="D384" s="195" t="b">
        <v>0</v>
      </c>
      <c r="E384" s="195">
        <v>6.0</v>
      </c>
      <c r="F384" s="201">
        <f>COUNTIF('Activity map'!$C:$C, $A384)</f>
        <v>1</v>
      </c>
    </row>
    <row r="385">
      <c r="A385" s="26">
        <v>27293.0</v>
      </c>
      <c r="B385" s="23" t="s">
        <v>784</v>
      </c>
      <c r="C385" s="200" t="b">
        <f>IF($D385, TRUE, IF(ISERROR('API import'!$A$1), FALSE, COUNTIF('API import'!$A:$A, $A385)&gt;0))</f>
        <v>0</v>
      </c>
      <c r="D385" s="195" t="b">
        <v>0</v>
      </c>
      <c r="E385" s="195">
        <v>5.0</v>
      </c>
      <c r="F385" s="203">
        <f>COUNTIF('Activity map'!$C:$C, $A385)</f>
        <v>3</v>
      </c>
    </row>
    <row r="386">
      <c r="A386" s="26">
        <v>27257.0</v>
      </c>
      <c r="B386" s="23" t="s">
        <v>785</v>
      </c>
      <c r="C386" s="200" t="b">
        <f>IF($D386, TRUE, IF(ISERROR('API import'!$A$1), FALSE, COUNTIF('API import'!$A:$A, $A386)&gt;0))</f>
        <v>0</v>
      </c>
      <c r="D386" s="195" t="b">
        <v>0</v>
      </c>
      <c r="E386" s="195">
        <v>7.0</v>
      </c>
      <c r="F386" s="203">
        <f>COUNTIF('Activity map'!$C:$C, $A386)</f>
        <v>3</v>
      </c>
    </row>
    <row r="387">
      <c r="A387" s="26">
        <v>27259.0</v>
      </c>
      <c r="B387" s="23" t="s">
        <v>786</v>
      </c>
      <c r="C387" s="200" t="b">
        <f>IF($D387, TRUE, IF(ISERROR('API import'!$A$1), FALSE, COUNTIF('API import'!$A:$A, $A387)&gt;0))</f>
        <v>0</v>
      </c>
      <c r="D387" s="195" t="b">
        <v>0</v>
      </c>
      <c r="E387" s="195">
        <v>8.0</v>
      </c>
      <c r="F387" s="203">
        <f>COUNTIF('Activity map'!$C:$C, $A387)</f>
        <v>3</v>
      </c>
    </row>
    <row r="388">
      <c r="A388" s="26">
        <v>27261.0</v>
      </c>
      <c r="B388" s="23" t="s">
        <v>787</v>
      </c>
      <c r="C388" s="200" t="b">
        <f>IF($D388, TRUE, IF(ISERROR('API import'!$A$1), FALSE, COUNTIF('API import'!$A:$A, $A388)&gt;0))</f>
        <v>0</v>
      </c>
      <c r="D388" s="195" t="b">
        <v>0</v>
      </c>
      <c r="E388" s="195">
        <v>8.0</v>
      </c>
      <c r="F388" s="203">
        <f>COUNTIF('Activity map'!$C:$C, $A388)</f>
        <v>3</v>
      </c>
    </row>
    <row r="389">
      <c r="A389" s="26">
        <v>27263.0</v>
      </c>
      <c r="B389" s="23" t="s">
        <v>788</v>
      </c>
      <c r="C389" s="200" t="b">
        <f>IF($D389, TRUE, IF(ISERROR('API import'!$A$1), FALSE, COUNTIF('API import'!$A:$A, $A389)&gt;0))</f>
        <v>0</v>
      </c>
      <c r="D389" s="195" t="b">
        <v>0</v>
      </c>
      <c r="E389" s="195">
        <v>9.0</v>
      </c>
      <c r="F389" s="203">
        <f>COUNTIF('Activity map'!$C:$C, $A389)</f>
        <v>3</v>
      </c>
    </row>
    <row r="390">
      <c r="A390" s="26">
        <v>27265.0</v>
      </c>
      <c r="B390" s="23" t="s">
        <v>789</v>
      </c>
      <c r="C390" s="200" t="b">
        <f>IF($D390, TRUE, IF(ISERROR('API import'!$A$1), FALSE, COUNTIF('API import'!$A:$A, $A390)&gt;0))</f>
        <v>0</v>
      </c>
      <c r="D390" s="195" t="b">
        <v>0</v>
      </c>
      <c r="E390" s="195">
        <v>9.0</v>
      </c>
      <c r="F390" s="203">
        <f>COUNTIF('Activity map'!$C:$C, $A390)</f>
        <v>3</v>
      </c>
    </row>
    <row r="391">
      <c r="A391" s="26">
        <v>27377.0</v>
      </c>
      <c r="B391" s="23" t="s">
        <v>790</v>
      </c>
      <c r="C391" s="200" t="b">
        <f>IF($D391, TRUE, IF(ISERROR('API import'!$A$1), FALSE, COUNTIF('API import'!$A:$A, $A391)&gt;0))</f>
        <v>0</v>
      </c>
      <c r="D391" s="195" t="b">
        <v>0</v>
      </c>
      <c r="E391" s="195">
        <v>8.0</v>
      </c>
      <c r="F391" s="201">
        <f>COUNTIF('Activity map'!$C:$C, $A391)</f>
        <v>1</v>
      </c>
    </row>
    <row r="392">
      <c r="A392" s="26">
        <v>27378.0</v>
      </c>
      <c r="B392" s="23" t="s">
        <v>791</v>
      </c>
      <c r="C392" s="200" t="b">
        <f>IF($D392, TRUE, IF(ISERROR('API import'!$A$1), FALSE, COUNTIF('API import'!$A:$A, $A392)&gt;0))</f>
        <v>0</v>
      </c>
      <c r="D392" s="195" t="b">
        <v>0</v>
      </c>
      <c r="E392" s="195">
        <v>8.0</v>
      </c>
      <c r="F392" s="201">
        <f>COUNTIF('Activity map'!$C:$C, $A392)</f>
        <v>1</v>
      </c>
    </row>
    <row r="393">
      <c r="A393" s="26">
        <v>27379.0</v>
      </c>
      <c r="B393" s="23" t="s">
        <v>792</v>
      </c>
      <c r="C393" s="200" t="b">
        <f>IF($D393, TRUE, IF(ISERROR('API import'!$A$1), FALSE, COUNTIF('API import'!$A:$A, $A393)&gt;0))</f>
        <v>0</v>
      </c>
      <c r="D393" s="195" t="b">
        <v>0</v>
      </c>
      <c r="E393" s="195">
        <v>8.0</v>
      </c>
      <c r="F393" s="201">
        <f>COUNTIF('Activity map'!$C:$C, $A393)</f>
        <v>1</v>
      </c>
    </row>
    <row r="394">
      <c r="A394" s="26">
        <v>27380.0</v>
      </c>
      <c r="B394" s="23" t="s">
        <v>793</v>
      </c>
      <c r="C394" s="200" t="b">
        <f>IF($D394, TRUE, IF(ISERROR('API import'!$A$1), FALSE, COUNTIF('API import'!$A:$A, $A394)&gt;0))</f>
        <v>0</v>
      </c>
      <c r="D394" s="195" t="b">
        <v>0</v>
      </c>
      <c r="E394" s="195">
        <v>8.0</v>
      </c>
      <c r="F394" s="201">
        <f>COUNTIF('Activity map'!$C:$C, $A394)</f>
        <v>1</v>
      </c>
    </row>
    <row r="395">
      <c r="A395" s="26">
        <v>27381.0</v>
      </c>
      <c r="B395" s="23" t="s">
        <v>794</v>
      </c>
      <c r="C395" s="200" t="b">
        <f>IF($D395, TRUE, IF(ISERROR('API import'!$A$1), FALSE, COUNTIF('API import'!$A:$A, $A395)&gt;0))</f>
        <v>0</v>
      </c>
      <c r="D395" s="195" t="b">
        <v>0</v>
      </c>
      <c r="E395" s="195">
        <v>8.0</v>
      </c>
      <c r="F395" s="201">
        <f>COUNTIF('Activity map'!$C:$C, $A395)</f>
        <v>1</v>
      </c>
    </row>
    <row r="396">
      <c r="A396" s="26">
        <v>23285.0</v>
      </c>
      <c r="B396" s="23" t="s">
        <v>795</v>
      </c>
      <c r="C396" s="202" t="b">
        <f>IF($D396, TRUE, IF(ISERROR('API import'!$A$1), FALSE, COUNTIF('API import'!$A:$A, $A396)&gt;0))</f>
        <v>0</v>
      </c>
      <c r="D396" s="195" t="b">
        <v>0</v>
      </c>
      <c r="E396" s="195">
        <v>2.0</v>
      </c>
      <c r="F396" s="201">
        <f>COUNTIF('Activity map'!$C:$C, $A396)</f>
        <v>1</v>
      </c>
    </row>
    <row r="397">
      <c r="A397" s="26">
        <v>23288.0</v>
      </c>
      <c r="B397" s="23" t="s">
        <v>796</v>
      </c>
      <c r="C397" s="200" t="b">
        <f>IF($D397, TRUE, IF(ISERROR('API import'!$A$1), FALSE, COUNTIF('API import'!$A:$A, $A397)&gt;0))</f>
        <v>0</v>
      </c>
      <c r="D397" s="195" t="b">
        <v>0</v>
      </c>
      <c r="E397" s="195">
        <v>2.0</v>
      </c>
      <c r="F397" s="201">
        <f>COUNTIF('Activity map'!$C:$C, $A397)</f>
        <v>1</v>
      </c>
    </row>
    <row r="398">
      <c r="A398" s="26">
        <v>23291.0</v>
      </c>
      <c r="B398" s="23" t="s">
        <v>797</v>
      </c>
      <c r="C398" s="200" t="b">
        <f>IF($D398, TRUE, IF(ISERROR('API import'!$A$1), FALSE, COUNTIF('API import'!$A:$A, $A398)&gt;0))</f>
        <v>0</v>
      </c>
      <c r="D398" s="195" t="b">
        <v>0</v>
      </c>
      <c r="E398" s="195">
        <v>2.0</v>
      </c>
      <c r="F398" s="201">
        <f>COUNTIF('Activity map'!$C:$C, $A398)</f>
        <v>1</v>
      </c>
    </row>
    <row r="399">
      <c r="A399" s="26">
        <v>23294.0</v>
      </c>
      <c r="B399" s="23" t="s">
        <v>798</v>
      </c>
      <c r="C399" s="200" t="b">
        <f>IF($D399, TRUE, IF(ISERROR('API import'!$A$1), FALSE, COUNTIF('API import'!$A:$A, $A399)&gt;0))</f>
        <v>0</v>
      </c>
      <c r="D399" s="195" t="b">
        <v>0</v>
      </c>
      <c r="E399" s="195">
        <v>2.0</v>
      </c>
      <c r="F399" s="201">
        <f>COUNTIF('Activity map'!$C:$C, $A399)</f>
        <v>1</v>
      </c>
    </row>
    <row r="400">
      <c r="A400" s="26">
        <v>23297.0</v>
      </c>
      <c r="B400" s="23" t="s">
        <v>799</v>
      </c>
      <c r="C400" s="202" t="b">
        <f>IF($D400, TRUE, IF(ISERROR('API import'!$A$1), FALSE, COUNTIF('API import'!$A:$A, $A400)&gt;0))</f>
        <v>0</v>
      </c>
      <c r="D400" s="195" t="b">
        <v>0</v>
      </c>
      <c r="E400" s="195">
        <v>2.0</v>
      </c>
      <c r="F400" s="201">
        <f>COUNTIF('Activity map'!$C:$C, $A400)</f>
        <v>1</v>
      </c>
    </row>
    <row r="401">
      <c r="A401" s="26">
        <v>23300.0</v>
      </c>
      <c r="B401" s="23" t="s">
        <v>800</v>
      </c>
      <c r="C401" s="200" t="b">
        <f>IF($D401, TRUE, IF(ISERROR('API import'!$A$1), FALSE, COUNTIF('API import'!$A:$A, $A401)&gt;0))</f>
        <v>0</v>
      </c>
      <c r="D401" s="195" t="b">
        <v>0</v>
      </c>
      <c r="E401" s="195">
        <v>2.0</v>
      </c>
      <c r="F401" s="201">
        <f>COUNTIF('Activity map'!$C:$C, $A401)</f>
        <v>1</v>
      </c>
    </row>
    <row r="402">
      <c r="A402" s="26">
        <v>23303.0</v>
      </c>
      <c r="B402" s="23" t="s">
        <v>801</v>
      </c>
      <c r="C402" s="202" t="b">
        <f>IF($D402, TRUE, IF(ISERROR('API import'!$A$1), FALSE, COUNTIF('API import'!$A:$A, $A402)&gt;0))</f>
        <v>0</v>
      </c>
      <c r="D402" s="195" t="b">
        <v>0</v>
      </c>
      <c r="E402" s="195">
        <v>2.0</v>
      </c>
      <c r="F402" s="201">
        <f>COUNTIF('Activity map'!$C:$C, $A402)</f>
        <v>1</v>
      </c>
    </row>
    <row r="403">
      <c r="A403" s="26">
        <v>23306.0</v>
      </c>
      <c r="B403" s="23" t="s">
        <v>802</v>
      </c>
      <c r="C403" s="202" t="b">
        <f>IF($D403, TRUE, IF(ISERROR('API import'!$A$1), FALSE, COUNTIF('API import'!$A:$A, $A403)&gt;0))</f>
        <v>0</v>
      </c>
      <c r="D403" s="195" t="b">
        <v>0</v>
      </c>
      <c r="E403" s="195">
        <v>2.0</v>
      </c>
      <c r="F403" s="201">
        <f>COUNTIF('Activity map'!$C:$C, $A403)</f>
        <v>1</v>
      </c>
    </row>
    <row r="404">
      <c r="A404" s="26">
        <v>23309.0</v>
      </c>
      <c r="B404" s="23" t="s">
        <v>803</v>
      </c>
      <c r="C404" s="202" t="b">
        <f>IF($D404, TRUE, IF(ISERROR('API import'!$A$1), FALSE, COUNTIF('API import'!$A:$A, $A404)&gt;0))</f>
        <v>0</v>
      </c>
      <c r="D404" s="195" t="b">
        <v>0</v>
      </c>
      <c r="E404" s="195">
        <v>2.0</v>
      </c>
      <c r="F404" s="201">
        <f>COUNTIF('Activity map'!$C:$C, $A404)</f>
        <v>1</v>
      </c>
    </row>
    <row r="405">
      <c r="A405" s="26">
        <v>23312.0</v>
      </c>
      <c r="B405" s="23" t="s">
        <v>804</v>
      </c>
      <c r="C405" s="202" t="b">
        <f>IF($D405, TRUE, IF(ISERROR('API import'!$A$1), FALSE, COUNTIF('API import'!$A:$A, $A405)&gt;0))</f>
        <v>0</v>
      </c>
      <c r="D405" s="195" t="b">
        <v>0</v>
      </c>
      <c r="E405" s="195">
        <v>2.0</v>
      </c>
      <c r="F405" s="201">
        <f>COUNTIF('Activity map'!$C:$C, $A405)</f>
        <v>1</v>
      </c>
    </row>
    <row r="406">
      <c r="A406" s="26">
        <v>23315.0</v>
      </c>
      <c r="B406" s="23" t="s">
        <v>805</v>
      </c>
      <c r="C406" s="200" t="b">
        <f>IF($D406, TRUE, IF(ISERROR('API import'!$A$1), FALSE, COUNTIF('API import'!$A:$A, $A406)&gt;0))</f>
        <v>0</v>
      </c>
      <c r="D406" s="195" t="b">
        <v>0</v>
      </c>
      <c r="E406" s="195">
        <v>2.0</v>
      </c>
      <c r="F406" s="201">
        <f>COUNTIF('Activity map'!$C:$C, $A406)</f>
        <v>1</v>
      </c>
    </row>
    <row r="407">
      <c r="A407" s="26">
        <v>23318.0</v>
      </c>
      <c r="B407" s="23" t="s">
        <v>806</v>
      </c>
      <c r="C407" s="202" t="b">
        <f>IF($D407, TRUE, IF(ISERROR('API import'!$A$1), FALSE, COUNTIF('API import'!$A:$A, $A407)&gt;0))</f>
        <v>0</v>
      </c>
      <c r="D407" s="195" t="b">
        <v>0</v>
      </c>
      <c r="E407" s="195">
        <v>2.0</v>
      </c>
      <c r="F407" s="201">
        <f>COUNTIF('Activity map'!$C:$C, $A407)</f>
        <v>1</v>
      </c>
    </row>
    <row r="408">
      <c r="A408" s="26">
        <v>23321.0</v>
      </c>
      <c r="B408" s="23" t="s">
        <v>807</v>
      </c>
      <c r="C408" s="202" t="b">
        <f>IF($D408, TRUE, IF(ISERROR('API import'!$A$1), FALSE, COUNTIF('API import'!$A:$A, $A408)&gt;0))</f>
        <v>0</v>
      </c>
      <c r="D408" s="195" t="b">
        <v>0</v>
      </c>
      <c r="E408" s="195">
        <v>2.0</v>
      </c>
      <c r="F408" s="201">
        <f>COUNTIF('Activity map'!$C:$C, $A408)</f>
        <v>1</v>
      </c>
    </row>
    <row r="409">
      <c r="A409" s="26">
        <v>23324.0</v>
      </c>
      <c r="B409" s="23" t="s">
        <v>808</v>
      </c>
      <c r="C409" s="200" t="b">
        <f>IF($D409, TRUE, IF(ISERROR('API import'!$A$1), FALSE, COUNTIF('API import'!$A:$A, $A409)&gt;0))</f>
        <v>0</v>
      </c>
      <c r="D409" s="195" t="b">
        <v>0</v>
      </c>
      <c r="E409" s="195">
        <v>2.0</v>
      </c>
      <c r="F409" s="201">
        <f>COUNTIF('Activity map'!$C:$C, $A409)</f>
        <v>1</v>
      </c>
    </row>
    <row r="410">
      <c r="A410" s="26">
        <v>23327.0</v>
      </c>
      <c r="B410" s="23" t="s">
        <v>809</v>
      </c>
      <c r="C410" s="202" t="b">
        <f>IF($D410, TRUE, IF(ISERROR('API import'!$A$1), FALSE, COUNTIF('API import'!$A:$A, $A410)&gt;0))</f>
        <v>0</v>
      </c>
      <c r="D410" s="195" t="b">
        <v>0</v>
      </c>
      <c r="E410" s="195">
        <v>2.0</v>
      </c>
      <c r="F410" s="201">
        <f>COUNTIF('Activity map'!$C:$C, $A410)</f>
        <v>1</v>
      </c>
    </row>
    <row r="411">
      <c r="A411" s="26">
        <v>12297.0</v>
      </c>
      <c r="B411" s="23" t="s">
        <v>810</v>
      </c>
      <c r="C411" s="202" t="b">
        <f>IF($D411, TRUE, IF(ISERROR('API import'!$A$1), FALSE, COUNTIF('API import'!$A:$A, $A411)&gt;0))</f>
        <v>0</v>
      </c>
      <c r="D411" s="195" t="b">
        <v>0</v>
      </c>
      <c r="E411" s="195">
        <v>2.0</v>
      </c>
      <c r="F411" s="203">
        <f>COUNTIF('Activity map'!$C:$C, $A411)</f>
        <v>2</v>
      </c>
    </row>
    <row r="412">
      <c r="A412" s="26">
        <v>20211.0</v>
      </c>
      <c r="B412" s="23" t="s">
        <v>811</v>
      </c>
      <c r="C412" s="200" t="b">
        <f>IF($D412, TRUE, IF(ISERROR('API import'!$A$1), FALSE, COUNTIF('API import'!$A:$A, $A412)&gt;0))</f>
        <v>0</v>
      </c>
      <c r="D412" s="195" t="b">
        <v>0</v>
      </c>
      <c r="E412" s="195">
        <v>5.0</v>
      </c>
      <c r="F412" s="201">
        <f>COUNTIF('Activity map'!$C:$C, $A412)</f>
        <v>1</v>
      </c>
    </row>
    <row r="413">
      <c r="A413" s="26">
        <v>20217.0</v>
      </c>
      <c r="B413" s="23" t="s">
        <v>812</v>
      </c>
      <c r="C413" s="200" t="b">
        <f>IF($D413, TRUE, IF(ISERROR('API import'!$A$1), FALSE, COUNTIF('API import'!$A:$A, $A413)&gt;0))</f>
        <v>0</v>
      </c>
      <c r="D413" s="195" t="b">
        <v>0</v>
      </c>
      <c r="E413" s="195">
        <v>5.0</v>
      </c>
      <c r="F413" s="201">
        <f>COUNTIF('Activity map'!$C:$C, $A413)</f>
        <v>1</v>
      </c>
    </row>
    <row r="414">
      <c r="A414" s="26">
        <v>20214.0</v>
      </c>
      <c r="B414" s="23" t="s">
        <v>813</v>
      </c>
      <c r="C414" s="200" t="b">
        <f>IF($D414, TRUE, IF(ISERROR('API import'!$A$1), FALSE, COUNTIF('API import'!$A:$A, $A414)&gt;0))</f>
        <v>0</v>
      </c>
      <c r="D414" s="195" t="b">
        <v>0</v>
      </c>
      <c r="E414" s="195">
        <v>5.0</v>
      </c>
      <c r="F414" s="201">
        <f>COUNTIF('Activity map'!$C:$C, $A414)</f>
        <v>1</v>
      </c>
    </row>
    <row r="415">
      <c r="A415" s="26">
        <v>23351.0</v>
      </c>
      <c r="B415" s="23" t="s">
        <v>814</v>
      </c>
      <c r="C415" s="200" t="b">
        <f>IF($D415, TRUE, IF(ISERROR('API import'!$A$1), FALSE, COUNTIF('API import'!$A:$A, $A415)&gt;0))</f>
        <v>0</v>
      </c>
      <c r="D415" s="195" t="b">
        <v>0</v>
      </c>
      <c r="E415" s="195">
        <v>5.0</v>
      </c>
      <c r="F415" s="201">
        <f>COUNTIF('Activity map'!$C:$C, $A415)</f>
        <v>1</v>
      </c>
    </row>
    <row r="416">
      <c r="A416" s="26">
        <v>20205.0</v>
      </c>
      <c r="B416" s="23" t="s">
        <v>815</v>
      </c>
      <c r="C416" s="200" t="b">
        <f>IF($D416, TRUE, IF(ISERROR('API import'!$A$1), FALSE, COUNTIF('API import'!$A:$A, $A416)&gt;0))</f>
        <v>0</v>
      </c>
      <c r="D416" s="195" t="b">
        <v>0</v>
      </c>
      <c r="E416" s="195">
        <v>4.0</v>
      </c>
      <c r="F416" s="201">
        <f>COUNTIF('Activity map'!$C:$C, $A416)</f>
        <v>1</v>
      </c>
    </row>
    <row r="417">
      <c r="A417" s="26">
        <v>20208.0</v>
      </c>
      <c r="B417" s="23" t="s">
        <v>816</v>
      </c>
      <c r="C417" s="200" t="b">
        <f>IF($D417, TRUE, IF(ISERROR('API import'!$A$1), FALSE, COUNTIF('API import'!$A:$A, $A417)&gt;0))</f>
        <v>0</v>
      </c>
      <c r="D417" s="195" t="b">
        <v>0</v>
      </c>
      <c r="E417" s="195">
        <v>4.0</v>
      </c>
      <c r="F417" s="201">
        <f>COUNTIF('Activity map'!$C:$C, $A417)</f>
        <v>1</v>
      </c>
    </row>
    <row r="418">
      <c r="A418" s="26">
        <v>20166.0</v>
      </c>
      <c r="B418" s="23" t="s">
        <v>817</v>
      </c>
      <c r="C418" s="200" t="b">
        <f>IF($D418, TRUE, IF(ISERROR('API import'!$A$1), FALSE, COUNTIF('API import'!$A:$A, $A418)&gt;0))</f>
        <v>0</v>
      </c>
      <c r="D418" s="195" t="b">
        <v>0</v>
      </c>
      <c r="E418" s="195">
        <v>3.0</v>
      </c>
      <c r="F418" s="201">
        <f>COUNTIF('Activity map'!$C:$C, $A418)</f>
        <v>1</v>
      </c>
    </row>
    <row r="419">
      <c r="A419" s="26">
        <v>2587.0</v>
      </c>
      <c r="B419" s="23" t="s">
        <v>818</v>
      </c>
      <c r="C419" s="200" t="b">
        <f>IF($D419, TRUE, IF(ISERROR('API import'!$A$1), FALSE, COUNTIF('API import'!$A:$A, $A419)&gt;0))</f>
        <v>0</v>
      </c>
      <c r="D419" s="195" t="b">
        <v>0</v>
      </c>
      <c r="E419" s="195">
        <v>3.0</v>
      </c>
      <c r="F419" s="201">
        <f>COUNTIF('Activity map'!$C:$C, $A419)</f>
        <v>1</v>
      </c>
    </row>
    <row r="420">
      <c r="A420" s="26">
        <v>2583.0</v>
      </c>
      <c r="B420" s="23" t="s">
        <v>819</v>
      </c>
      <c r="C420" s="200" t="b">
        <f>IF($D420, TRUE, IF(ISERROR('API import'!$A$1), FALSE, COUNTIF('API import'!$A:$A, $A420)&gt;0))</f>
        <v>0</v>
      </c>
      <c r="D420" s="195" t="b">
        <v>0</v>
      </c>
      <c r="E420" s="195">
        <v>3.0</v>
      </c>
      <c r="F420" s="201">
        <f>COUNTIF('Activity map'!$C:$C, $A420)</f>
        <v>1</v>
      </c>
    </row>
    <row r="421">
      <c r="A421" s="26">
        <v>2585.0</v>
      </c>
      <c r="B421" s="23" t="s">
        <v>820</v>
      </c>
      <c r="C421" s="200" t="b">
        <f>IF($D421, TRUE, IF(ISERROR('API import'!$A$1), FALSE, COUNTIF('API import'!$A:$A, $A421)&gt;0))</f>
        <v>0</v>
      </c>
      <c r="D421" s="195" t="b">
        <v>0</v>
      </c>
      <c r="E421" s="195">
        <v>3.0</v>
      </c>
      <c r="F421" s="201">
        <f>COUNTIF('Activity map'!$C:$C, $A421)</f>
        <v>1</v>
      </c>
    </row>
    <row r="422">
      <c r="A422" s="26">
        <v>3472.0</v>
      </c>
      <c r="B422" s="23" t="s">
        <v>821</v>
      </c>
      <c r="C422" s="200" t="b">
        <f>IF($D422, TRUE, IF(ISERROR('API import'!$A$1), FALSE, COUNTIF('API import'!$A:$A, $A422)&gt;0))</f>
        <v>0</v>
      </c>
      <c r="D422" s="195" t="b">
        <v>0</v>
      </c>
      <c r="E422" s="195">
        <v>3.0</v>
      </c>
      <c r="F422" s="201">
        <f>COUNTIF('Activity map'!$C:$C, $A422)</f>
        <v>1</v>
      </c>
    </row>
    <row r="423">
      <c r="A423" s="26">
        <v>2589.0</v>
      </c>
      <c r="B423" s="23" t="s">
        <v>822</v>
      </c>
      <c r="C423" s="200" t="b">
        <f>IF($D423, TRUE, IF(ISERROR('API import'!$A$1), FALSE, COUNTIF('API import'!$A:$A, $A423)&gt;0))</f>
        <v>0</v>
      </c>
      <c r="D423" s="195" t="b">
        <v>0</v>
      </c>
      <c r="E423" s="195">
        <v>3.0</v>
      </c>
      <c r="F423" s="201">
        <f>COUNTIF('Activity map'!$C:$C, $A423)</f>
        <v>1</v>
      </c>
    </row>
    <row r="424">
      <c r="A424" s="26">
        <v>2595.0</v>
      </c>
      <c r="B424" s="23" t="s">
        <v>823</v>
      </c>
      <c r="C424" s="200" t="b">
        <f>IF($D424, TRUE, IF(ISERROR('API import'!$A$1), FALSE, COUNTIF('API import'!$A:$A, $A424)&gt;0))</f>
        <v>0</v>
      </c>
      <c r="D424" s="195" t="b">
        <v>0</v>
      </c>
      <c r="E424" s="195">
        <v>3.0</v>
      </c>
      <c r="F424" s="201">
        <f>COUNTIF('Activity map'!$C:$C, $A424)</f>
        <v>1</v>
      </c>
    </row>
    <row r="425">
      <c r="A425" s="26">
        <v>2591.0</v>
      </c>
      <c r="B425" s="23" t="s">
        <v>824</v>
      </c>
      <c r="C425" s="200" t="b">
        <f>IF($D425, TRUE, IF(ISERROR('API import'!$A$1), FALSE, COUNTIF('API import'!$A:$A, $A425)&gt;0))</f>
        <v>0</v>
      </c>
      <c r="D425" s="195" t="b">
        <v>0</v>
      </c>
      <c r="E425" s="195">
        <v>3.0</v>
      </c>
      <c r="F425" s="201">
        <f>COUNTIF('Activity map'!$C:$C, $A425)</f>
        <v>1</v>
      </c>
    </row>
    <row r="426">
      <c r="A426" s="26">
        <v>2593.0</v>
      </c>
      <c r="B426" s="23" t="s">
        <v>825</v>
      </c>
      <c r="C426" s="200" t="b">
        <f>IF($D426, TRUE, IF(ISERROR('API import'!$A$1), FALSE, COUNTIF('API import'!$A:$A, $A426)&gt;0))</f>
        <v>0</v>
      </c>
      <c r="D426" s="195" t="b">
        <v>0</v>
      </c>
      <c r="E426" s="195">
        <v>3.0</v>
      </c>
      <c r="F426" s="201">
        <f>COUNTIF('Activity map'!$C:$C, $A426)</f>
        <v>1</v>
      </c>
    </row>
    <row r="427">
      <c r="A427" s="26">
        <v>3473.0</v>
      </c>
      <c r="B427" s="23" t="s">
        <v>826</v>
      </c>
      <c r="C427" s="200" t="b">
        <f>IF($D427, TRUE, IF(ISERROR('API import'!$A$1), FALSE, COUNTIF('API import'!$A:$A, $A427)&gt;0))</f>
        <v>0</v>
      </c>
      <c r="D427" s="195" t="b">
        <v>0</v>
      </c>
      <c r="E427" s="195">
        <v>3.0</v>
      </c>
      <c r="F427" s="201">
        <f>COUNTIF('Activity map'!$C:$C, $A427)</f>
        <v>1</v>
      </c>
    </row>
    <row r="428">
      <c r="A428" s="26">
        <v>2597.0</v>
      </c>
      <c r="B428" s="23" t="s">
        <v>827</v>
      </c>
      <c r="C428" s="200" t="b">
        <f>IF($D428, TRUE, IF(ISERROR('API import'!$A$1), FALSE, COUNTIF('API import'!$A:$A, $A428)&gt;0))</f>
        <v>0</v>
      </c>
      <c r="D428" s="195" t="b">
        <v>0</v>
      </c>
      <c r="E428" s="195">
        <v>3.0</v>
      </c>
      <c r="F428" s="201">
        <f>COUNTIF('Activity map'!$C:$C, $A428)</f>
        <v>1</v>
      </c>
    </row>
    <row r="429">
      <c r="A429" s="26">
        <v>7332.0</v>
      </c>
      <c r="B429" s="23" t="s">
        <v>828</v>
      </c>
      <c r="C429" s="200" t="b">
        <f>IF($D429, TRUE, IF(ISERROR('API import'!$A$1), FALSE, COUNTIF('API import'!$A:$A, $A429)&gt;0))</f>
        <v>0</v>
      </c>
      <c r="D429" s="195" t="b">
        <v>0</v>
      </c>
      <c r="E429" s="195">
        <v>3.0</v>
      </c>
      <c r="F429" s="201">
        <f>COUNTIF('Activity map'!$C:$C, $A429)</f>
        <v>1</v>
      </c>
    </row>
    <row r="430">
      <c r="A430" s="26">
        <v>7338.0</v>
      </c>
      <c r="B430" s="23" t="s">
        <v>829</v>
      </c>
      <c r="C430" s="200" t="b">
        <f>IF($D430, TRUE, IF(ISERROR('API import'!$A$1), FALSE, COUNTIF('API import'!$A:$A, $A430)&gt;0))</f>
        <v>0</v>
      </c>
      <c r="D430" s="195" t="b">
        <v>0</v>
      </c>
      <c r="E430" s="195">
        <v>3.0</v>
      </c>
      <c r="F430" s="201">
        <f>COUNTIF('Activity map'!$C:$C, $A430)</f>
        <v>1</v>
      </c>
    </row>
    <row r="431">
      <c r="A431" s="26">
        <v>7344.0</v>
      </c>
      <c r="B431" s="23" t="s">
        <v>830</v>
      </c>
      <c r="C431" s="200" t="b">
        <f>IF($D431, TRUE, IF(ISERROR('API import'!$A$1), FALSE, COUNTIF('API import'!$A:$A, $A431)&gt;0))</f>
        <v>0</v>
      </c>
      <c r="D431" s="195" t="b">
        <v>0</v>
      </c>
      <c r="E431" s="195">
        <v>3.0</v>
      </c>
      <c r="F431" s="201">
        <f>COUNTIF('Activity map'!$C:$C, $A431)</f>
        <v>1</v>
      </c>
    </row>
    <row r="432">
      <c r="A432" s="26">
        <v>7350.0</v>
      </c>
      <c r="B432" s="23" t="s">
        <v>831</v>
      </c>
      <c r="C432" s="200" t="b">
        <f>IF($D432, TRUE, IF(ISERROR('API import'!$A$1), FALSE, COUNTIF('API import'!$A:$A, $A432)&gt;0))</f>
        <v>0</v>
      </c>
      <c r="D432" s="195" t="b">
        <v>0</v>
      </c>
      <c r="E432" s="195">
        <v>3.0</v>
      </c>
      <c r="F432" s="201">
        <f>COUNTIF('Activity map'!$C:$C, $A432)</f>
        <v>1</v>
      </c>
    </row>
    <row r="433">
      <c r="A433" s="26">
        <v>7356.0</v>
      </c>
      <c r="B433" s="23" t="s">
        <v>832</v>
      </c>
      <c r="C433" s="200" t="b">
        <f>IF($D433, TRUE, IF(ISERROR('API import'!$A$1), FALSE, COUNTIF('API import'!$A:$A, $A433)&gt;0))</f>
        <v>0</v>
      </c>
      <c r="D433" s="195" t="b">
        <v>0</v>
      </c>
      <c r="E433" s="195">
        <v>3.0</v>
      </c>
      <c r="F433" s="201">
        <f>COUNTIF('Activity map'!$C:$C, $A433)</f>
        <v>1</v>
      </c>
    </row>
    <row r="434">
      <c r="A434" s="26">
        <v>10306.0</v>
      </c>
      <c r="B434" s="23" t="s">
        <v>833</v>
      </c>
      <c r="C434" s="200" t="b">
        <f>IF($D434, TRUE, IF(ISERROR('API import'!$A$1), FALSE, COUNTIF('API import'!$A:$A, $A434)&gt;0))</f>
        <v>0</v>
      </c>
      <c r="D434" s="195" t="b">
        <v>0</v>
      </c>
      <c r="E434" s="195">
        <v>3.0</v>
      </c>
      <c r="F434" s="201">
        <f>COUNTIF('Activity map'!$C:$C, $A434)</f>
        <v>1</v>
      </c>
    </row>
    <row r="435">
      <c r="A435" s="26">
        <v>10308.0</v>
      </c>
      <c r="B435" s="23" t="s">
        <v>834</v>
      </c>
      <c r="C435" s="200" t="b">
        <f>IF($D435, TRUE, IF(ISERROR('API import'!$A$1), FALSE, COUNTIF('API import'!$A:$A, $A435)&gt;0))</f>
        <v>0</v>
      </c>
      <c r="D435" s="195" t="b">
        <v>0</v>
      </c>
      <c r="E435" s="195">
        <v>3.0</v>
      </c>
      <c r="F435" s="201">
        <f>COUNTIF('Activity map'!$C:$C, $A435)</f>
        <v>1</v>
      </c>
    </row>
    <row r="436">
      <c r="A436" s="26">
        <v>10310.0</v>
      </c>
      <c r="B436" s="23" t="s">
        <v>835</v>
      </c>
      <c r="C436" s="200" t="b">
        <f>IF($D436, TRUE, IF(ISERROR('API import'!$A$1), FALSE, COUNTIF('API import'!$A:$A, $A436)&gt;0))</f>
        <v>0</v>
      </c>
      <c r="D436" s="195" t="b">
        <v>0</v>
      </c>
      <c r="E436" s="195">
        <v>3.0</v>
      </c>
      <c r="F436" s="201">
        <f>COUNTIF('Activity map'!$C:$C, $A436)</f>
        <v>1</v>
      </c>
    </row>
    <row r="437">
      <c r="A437" s="26">
        <v>10312.0</v>
      </c>
      <c r="B437" s="23" t="s">
        <v>836</v>
      </c>
      <c r="C437" s="202" t="b">
        <f>IF($D437, TRUE, IF(ISERROR('API import'!$A$1), FALSE, COUNTIF('API import'!$A:$A, $A437)&gt;0))</f>
        <v>0</v>
      </c>
      <c r="D437" s="195" t="b">
        <v>0</v>
      </c>
      <c r="E437" s="195">
        <v>3.0</v>
      </c>
      <c r="F437" s="201">
        <f>COUNTIF('Activity map'!$C:$C, $A437)</f>
        <v>1</v>
      </c>
    </row>
    <row r="438">
      <c r="A438" s="26">
        <v>10314.0</v>
      </c>
      <c r="B438" s="23" t="s">
        <v>837</v>
      </c>
      <c r="C438" s="200" t="b">
        <f>IF($D438, TRUE, IF(ISERROR('API import'!$A$1), FALSE, COUNTIF('API import'!$A:$A, $A438)&gt;0))</f>
        <v>0</v>
      </c>
      <c r="D438" s="195" t="b">
        <v>0</v>
      </c>
      <c r="E438" s="195">
        <v>3.0</v>
      </c>
      <c r="F438" s="201">
        <f>COUNTIF('Activity map'!$C:$C, $A438)</f>
        <v>1</v>
      </c>
    </row>
    <row r="439">
      <c r="A439" s="26">
        <v>23366.0</v>
      </c>
      <c r="B439" s="23" t="s">
        <v>838</v>
      </c>
      <c r="C439" s="200" t="b">
        <f>IF($D439, TRUE, IF(ISERROR('API import'!$A$1), FALSE, COUNTIF('API import'!$A:$A, $A439)&gt;0))</f>
        <v>0</v>
      </c>
      <c r="D439" s="195" t="b">
        <v>0</v>
      </c>
      <c r="E439" s="195">
        <v>3.0</v>
      </c>
      <c r="F439" s="201">
        <f>COUNTIF('Activity map'!$C:$C, $A439)</f>
        <v>1</v>
      </c>
    </row>
    <row r="440">
      <c r="A440" s="26">
        <v>23369.0</v>
      </c>
      <c r="B440" s="23" t="s">
        <v>839</v>
      </c>
      <c r="C440" s="200" t="b">
        <f>IF($D440, TRUE, IF(ISERROR('API import'!$A$1), FALSE, COUNTIF('API import'!$A:$A, $A440)&gt;0))</f>
        <v>0</v>
      </c>
      <c r="D440" s="195" t="b">
        <v>0</v>
      </c>
      <c r="E440" s="195">
        <v>3.0</v>
      </c>
      <c r="F440" s="201">
        <f>COUNTIF('Activity map'!$C:$C, $A440)</f>
        <v>1</v>
      </c>
    </row>
    <row r="441">
      <c r="A441" s="26">
        <v>23372.0</v>
      </c>
      <c r="B441" s="23" t="s">
        <v>840</v>
      </c>
      <c r="C441" s="200" t="b">
        <f>IF($D441, TRUE, IF(ISERROR('API import'!$A$1), FALSE, COUNTIF('API import'!$A:$A, $A441)&gt;0))</f>
        <v>0</v>
      </c>
      <c r="D441" s="195" t="b">
        <v>0</v>
      </c>
      <c r="E441" s="195">
        <v>3.0</v>
      </c>
      <c r="F441" s="201">
        <f>COUNTIF('Activity map'!$C:$C, $A441)</f>
        <v>1</v>
      </c>
    </row>
    <row r="442">
      <c r="A442" s="26">
        <v>23375.0</v>
      </c>
      <c r="B442" s="23" t="s">
        <v>841</v>
      </c>
      <c r="C442" s="202" t="b">
        <f>IF($D442, TRUE, IF(ISERROR('API import'!$A$1), FALSE, COUNTIF('API import'!$A:$A, $A442)&gt;0))</f>
        <v>0</v>
      </c>
      <c r="D442" s="195" t="b">
        <v>0</v>
      </c>
      <c r="E442" s="195">
        <v>3.0</v>
      </c>
      <c r="F442" s="201">
        <f>COUNTIF('Activity map'!$C:$C, $A442)</f>
        <v>1</v>
      </c>
    </row>
    <row r="443">
      <c r="A443" s="26">
        <v>23378.0</v>
      </c>
      <c r="B443" s="23" t="s">
        <v>842</v>
      </c>
      <c r="C443" s="200" t="b">
        <f>IF($D443, TRUE, IF(ISERROR('API import'!$A$1), FALSE, COUNTIF('API import'!$A:$A, $A443)&gt;0))</f>
        <v>0</v>
      </c>
      <c r="D443" s="195" t="b">
        <v>0</v>
      </c>
      <c r="E443" s="195">
        <v>3.0</v>
      </c>
      <c r="F443" s="201">
        <f>COUNTIF('Activity map'!$C:$C, $A443)</f>
        <v>1</v>
      </c>
    </row>
    <row r="444">
      <c r="A444" s="26">
        <v>20193.0</v>
      </c>
      <c r="B444" s="23" t="s">
        <v>843</v>
      </c>
      <c r="C444" s="200" t="b">
        <f>IF($D444, TRUE, IF(ISERROR('API import'!$A$1), FALSE, COUNTIF('API import'!$A:$A, $A444)&gt;0))</f>
        <v>0</v>
      </c>
      <c r="D444" s="195" t="b">
        <v>0</v>
      </c>
      <c r="E444" s="195">
        <v>3.0</v>
      </c>
      <c r="F444" s="201">
        <f>COUNTIF('Activity map'!$C:$C, $A444)</f>
        <v>1</v>
      </c>
    </row>
    <row r="445">
      <c r="A445" s="26">
        <v>20184.0</v>
      </c>
      <c r="B445" s="23" t="s">
        <v>844</v>
      </c>
      <c r="C445" s="200" t="b">
        <f>IF($D445, TRUE, IF(ISERROR('API import'!$A$1), FALSE, COUNTIF('API import'!$A:$A, $A445)&gt;0))</f>
        <v>0</v>
      </c>
      <c r="D445" s="195" t="b">
        <v>0</v>
      </c>
      <c r="E445" s="195">
        <v>3.0</v>
      </c>
      <c r="F445" s="201">
        <f>COUNTIF('Activity map'!$C:$C, $A445)</f>
        <v>1</v>
      </c>
    </row>
    <row r="446">
      <c r="A446" s="26">
        <v>20187.0</v>
      </c>
      <c r="B446" s="23" t="s">
        <v>845</v>
      </c>
      <c r="C446" s="200" t="b">
        <f>IF($D446, TRUE, IF(ISERROR('API import'!$A$1), FALSE, COUNTIF('API import'!$A:$A, $A446)&gt;0))</f>
        <v>0</v>
      </c>
      <c r="D446" s="195" t="b">
        <v>0</v>
      </c>
      <c r="E446" s="195">
        <v>3.0</v>
      </c>
      <c r="F446" s="201">
        <f>COUNTIF('Activity map'!$C:$C, $A446)</f>
        <v>1</v>
      </c>
    </row>
    <row r="447">
      <c r="A447" s="26">
        <v>20190.0</v>
      </c>
      <c r="B447" s="23" t="s">
        <v>846</v>
      </c>
      <c r="C447" s="200" t="b">
        <f>IF($D447, TRUE, IF(ISERROR('API import'!$A$1), FALSE, COUNTIF('API import'!$A:$A, $A447)&gt;0))</f>
        <v>0</v>
      </c>
      <c r="D447" s="195" t="b">
        <v>0</v>
      </c>
      <c r="E447" s="195">
        <v>3.0</v>
      </c>
      <c r="F447" s="201">
        <f>COUNTIF('Activity map'!$C:$C, $A447)</f>
        <v>1</v>
      </c>
    </row>
    <row r="448">
      <c r="A448" s="26">
        <v>20196.0</v>
      </c>
      <c r="B448" s="23" t="s">
        <v>847</v>
      </c>
      <c r="C448" s="200" t="b">
        <f>IF($D448, TRUE, IF(ISERROR('API import'!$A$1), FALSE, COUNTIF('API import'!$A:$A, $A448)&gt;0))</f>
        <v>0</v>
      </c>
      <c r="D448" s="195" t="b">
        <v>0</v>
      </c>
      <c r="E448" s="195">
        <v>3.0</v>
      </c>
      <c r="F448" s="201">
        <f>COUNTIF('Activity map'!$C:$C, $A448)</f>
        <v>1</v>
      </c>
    </row>
    <row r="449">
      <c r="A449" s="26">
        <v>20178.0</v>
      </c>
      <c r="B449" s="23" t="s">
        <v>848</v>
      </c>
      <c r="C449" s="200" t="b">
        <f>IF($D449, TRUE, IF(ISERROR('API import'!$A$1), FALSE, COUNTIF('API import'!$A:$A, $A449)&gt;0))</f>
        <v>0</v>
      </c>
      <c r="D449" s="195" t="b">
        <v>0</v>
      </c>
      <c r="E449" s="195">
        <v>3.0</v>
      </c>
      <c r="F449" s="201">
        <f>COUNTIF('Activity map'!$C:$C, $A449)</f>
        <v>1</v>
      </c>
    </row>
    <row r="450">
      <c r="A450" s="26">
        <v>20169.0</v>
      </c>
      <c r="B450" s="23" t="s">
        <v>849</v>
      </c>
      <c r="C450" s="202" t="b">
        <f>IF($D450, TRUE, IF(ISERROR('API import'!$A$1), FALSE, COUNTIF('API import'!$A:$A, $A450)&gt;0))</f>
        <v>0</v>
      </c>
      <c r="D450" s="195" t="b">
        <v>0</v>
      </c>
      <c r="E450" s="195">
        <v>3.0</v>
      </c>
      <c r="F450" s="201">
        <f>COUNTIF('Activity map'!$C:$C, $A450)</f>
        <v>1</v>
      </c>
    </row>
    <row r="451">
      <c r="A451" s="26">
        <v>20172.0</v>
      </c>
      <c r="B451" s="23" t="s">
        <v>850</v>
      </c>
      <c r="C451" s="200" t="b">
        <f>IF($D451, TRUE, IF(ISERROR('API import'!$A$1), FALSE, COUNTIF('API import'!$A:$A, $A451)&gt;0))</f>
        <v>0</v>
      </c>
      <c r="D451" s="195" t="b">
        <v>0</v>
      </c>
      <c r="E451" s="195">
        <v>3.0</v>
      </c>
      <c r="F451" s="201">
        <f>COUNTIF('Activity map'!$C:$C, $A451)</f>
        <v>1</v>
      </c>
    </row>
    <row r="452">
      <c r="A452" s="26">
        <v>20175.0</v>
      </c>
      <c r="B452" s="23" t="s">
        <v>851</v>
      </c>
      <c r="C452" s="200" t="b">
        <f>IF($D452, TRUE, IF(ISERROR('API import'!$A$1), FALSE, COUNTIF('API import'!$A:$A, $A452)&gt;0))</f>
        <v>0</v>
      </c>
      <c r="D452" s="195" t="b">
        <v>0</v>
      </c>
      <c r="E452" s="195">
        <v>3.0</v>
      </c>
      <c r="F452" s="201">
        <f>COUNTIF('Activity map'!$C:$C, $A452)</f>
        <v>1</v>
      </c>
    </row>
    <row r="453">
      <c r="A453" s="26">
        <v>20181.0</v>
      </c>
      <c r="B453" s="23" t="s">
        <v>852</v>
      </c>
      <c r="C453" s="200" t="b">
        <f>IF($D453, TRUE, IF(ISERROR('API import'!$A$1), FALSE, COUNTIF('API import'!$A:$A, $A453)&gt;0))</f>
        <v>0</v>
      </c>
      <c r="D453" s="195" t="b">
        <v>0</v>
      </c>
      <c r="E453" s="195">
        <v>3.0</v>
      </c>
      <c r="F453" s="201">
        <f>COUNTIF('Activity map'!$C:$C, $A453)</f>
        <v>1</v>
      </c>
    </row>
    <row r="454">
      <c r="A454" s="26">
        <v>12225.0</v>
      </c>
      <c r="B454" s="23" t="s">
        <v>853</v>
      </c>
      <c r="C454" s="200" t="b">
        <f>IF($D454, TRUE, IF(ISERROR('API import'!$A$1), FALSE, COUNTIF('API import'!$A:$A, $A454)&gt;0))</f>
        <v>0</v>
      </c>
      <c r="D454" s="195" t="b">
        <v>0</v>
      </c>
      <c r="E454" s="195">
        <v>3.0</v>
      </c>
      <c r="F454" s="201">
        <f>COUNTIF('Activity map'!$C:$C, $A454)</f>
        <v>1</v>
      </c>
    </row>
    <row r="455">
      <c r="A455" s="26">
        <v>12227.0</v>
      </c>
      <c r="B455" s="23" t="s">
        <v>854</v>
      </c>
      <c r="C455" s="202" t="b">
        <f>IF($D455, TRUE, IF(ISERROR('API import'!$A$1), FALSE, COUNTIF('API import'!$A:$A, $A455)&gt;0))</f>
        <v>0</v>
      </c>
      <c r="D455" s="195" t="b">
        <v>0</v>
      </c>
      <c r="E455" s="195">
        <v>3.0</v>
      </c>
      <c r="F455" s="201">
        <f>COUNTIF('Activity map'!$C:$C, $A455)</f>
        <v>1</v>
      </c>
    </row>
    <row r="456">
      <c r="A456" s="26">
        <v>12229.0</v>
      </c>
      <c r="B456" s="23" t="s">
        <v>855</v>
      </c>
      <c r="C456" s="202" t="b">
        <f>IF($D456, TRUE, IF(ISERROR('API import'!$A$1), FALSE, COUNTIF('API import'!$A:$A, $A456)&gt;0))</f>
        <v>0</v>
      </c>
      <c r="D456" s="195" t="b">
        <v>0</v>
      </c>
      <c r="E456" s="195">
        <v>3.0</v>
      </c>
      <c r="F456" s="201">
        <f>COUNTIF('Activity map'!$C:$C, $A456)</f>
        <v>1</v>
      </c>
    </row>
    <row r="457">
      <c r="A457" s="26">
        <v>12233.0</v>
      </c>
      <c r="B457" s="23" t="s">
        <v>856</v>
      </c>
      <c r="C457" s="200" t="b">
        <f>IF($D457, TRUE, IF(ISERROR('API import'!$A$1), FALSE, COUNTIF('API import'!$A:$A, $A457)&gt;0))</f>
        <v>0</v>
      </c>
      <c r="D457" s="195" t="b">
        <v>0</v>
      </c>
      <c r="E457" s="195">
        <v>3.0</v>
      </c>
      <c r="F457" s="201">
        <f>COUNTIF('Activity map'!$C:$C, $A457)</f>
        <v>1</v>
      </c>
    </row>
    <row r="458">
      <c r="A458" s="26">
        <v>12231.0</v>
      </c>
      <c r="B458" s="23" t="s">
        <v>857</v>
      </c>
      <c r="C458" s="200" t="b">
        <f>IF($D458, TRUE, IF(ISERROR('API import'!$A$1), FALSE, COUNTIF('API import'!$A:$A, $A458)&gt;0))</f>
        <v>0</v>
      </c>
      <c r="D458" s="195" t="b">
        <v>0</v>
      </c>
      <c r="E458" s="195">
        <v>3.0</v>
      </c>
      <c r="F458" s="201">
        <f>COUNTIF('Activity map'!$C:$C, $A458)</f>
        <v>1</v>
      </c>
    </row>
    <row r="459">
      <c r="A459" s="26">
        <v>12235.0</v>
      </c>
      <c r="B459" s="23" t="s">
        <v>858</v>
      </c>
      <c r="C459" s="200" t="b">
        <f>IF($D459, TRUE, IF(ISERROR('API import'!$A$1), FALSE, COUNTIF('API import'!$A:$A, $A459)&gt;0))</f>
        <v>0</v>
      </c>
      <c r="D459" s="195" t="b">
        <v>0</v>
      </c>
      <c r="E459" s="195">
        <v>3.0</v>
      </c>
      <c r="F459" s="201">
        <f>COUNTIF('Activity map'!$C:$C, $A459)</f>
        <v>1</v>
      </c>
    </row>
    <row r="460">
      <c r="A460" s="26">
        <v>12237.0</v>
      </c>
      <c r="B460" s="23" t="s">
        <v>859</v>
      </c>
      <c r="C460" s="202" t="b">
        <f>IF($D460, TRUE, IF(ISERROR('API import'!$A$1), FALSE, COUNTIF('API import'!$A:$A, $A460)&gt;0))</f>
        <v>0</v>
      </c>
      <c r="D460" s="195" t="b">
        <v>0</v>
      </c>
      <c r="E460" s="195">
        <v>3.0</v>
      </c>
      <c r="F460" s="201">
        <f>COUNTIF('Activity map'!$C:$C, $A460)</f>
        <v>1</v>
      </c>
    </row>
    <row r="461">
      <c r="A461" s="26">
        <v>12239.0</v>
      </c>
      <c r="B461" s="23" t="s">
        <v>860</v>
      </c>
      <c r="C461" s="200" t="b">
        <f>IF($D461, TRUE, IF(ISERROR('API import'!$A$1), FALSE, COUNTIF('API import'!$A:$A, $A461)&gt;0))</f>
        <v>0</v>
      </c>
      <c r="D461" s="195" t="b">
        <v>0</v>
      </c>
      <c r="E461" s="195">
        <v>3.0</v>
      </c>
      <c r="F461" s="201">
        <f>COUNTIF('Activity map'!$C:$C, $A461)</f>
        <v>1</v>
      </c>
    </row>
    <row r="462">
      <c r="A462" s="26">
        <v>12243.0</v>
      </c>
      <c r="B462" s="23" t="s">
        <v>861</v>
      </c>
      <c r="C462" s="202" t="b">
        <f>IF($D462, TRUE, IF(ISERROR('API import'!$A$1), FALSE, COUNTIF('API import'!$A:$A, $A462)&gt;0))</f>
        <v>0</v>
      </c>
      <c r="D462" s="195" t="b">
        <v>0</v>
      </c>
      <c r="E462" s="195">
        <v>3.0</v>
      </c>
      <c r="F462" s="201">
        <f>COUNTIF('Activity map'!$C:$C, $A462)</f>
        <v>1</v>
      </c>
    </row>
    <row r="463">
      <c r="A463" s="26">
        <v>12241.0</v>
      </c>
      <c r="B463" s="23" t="s">
        <v>862</v>
      </c>
      <c r="C463" s="200" t="b">
        <f>IF($D463, TRUE, IF(ISERROR('API import'!$A$1), FALSE, COUNTIF('API import'!$A:$A, $A463)&gt;0))</f>
        <v>0</v>
      </c>
      <c r="D463" s="195" t="b">
        <v>0</v>
      </c>
      <c r="E463" s="195">
        <v>3.0</v>
      </c>
      <c r="F463" s="201">
        <f>COUNTIF('Activity map'!$C:$C, $A463)</f>
        <v>1</v>
      </c>
    </row>
    <row r="464">
      <c r="A464" s="26">
        <v>12215.0</v>
      </c>
      <c r="B464" s="23" t="s">
        <v>863</v>
      </c>
      <c r="C464" s="200" t="b">
        <f>IF($D464, TRUE, IF(ISERROR('API import'!$A$1), FALSE, COUNTIF('API import'!$A:$A, $A464)&gt;0))</f>
        <v>0</v>
      </c>
      <c r="D464" s="195" t="b">
        <v>0</v>
      </c>
      <c r="E464" s="195">
        <v>3.0</v>
      </c>
      <c r="F464" s="201">
        <f>COUNTIF('Activity map'!$C:$C, $A464)</f>
        <v>1</v>
      </c>
    </row>
    <row r="465">
      <c r="A465" s="26">
        <v>12217.0</v>
      </c>
      <c r="B465" s="23" t="s">
        <v>864</v>
      </c>
      <c r="C465" s="200" t="b">
        <f>IF($D465, TRUE, IF(ISERROR('API import'!$A$1), FALSE, COUNTIF('API import'!$A:$A, $A465)&gt;0))</f>
        <v>0</v>
      </c>
      <c r="D465" s="195" t="b">
        <v>0</v>
      </c>
      <c r="E465" s="195">
        <v>3.0</v>
      </c>
      <c r="F465" s="201">
        <f>COUNTIF('Activity map'!$C:$C, $A465)</f>
        <v>1</v>
      </c>
    </row>
    <row r="466">
      <c r="A466" s="26">
        <v>12219.0</v>
      </c>
      <c r="B466" s="23" t="s">
        <v>865</v>
      </c>
      <c r="C466" s="200" t="b">
        <f>IF($D466, TRUE, IF(ISERROR('API import'!$A$1), FALSE, COUNTIF('API import'!$A:$A, $A466)&gt;0))</f>
        <v>0</v>
      </c>
      <c r="D466" s="195" t="b">
        <v>0</v>
      </c>
      <c r="E466" s="195">
        <v>3.0</v>
      </c>
      <c r="F466" s="201">
        <f>COUNTIF('Activity map'!$C:$C, $A466)</f>
        <v>1</v>
      </c>
    </row>
    <row r="467">
      <c r="A467" s="26">
        <v>12223.0</v>
      </c>
      <c r="B467" s="23" t="s">
        <v>866</v>
      </c>
      <c r="C467" s="200" t="b">
        <f>IF($D467, TRUE, IF(ISERROR('API import'!$A$1), FALSE, COUNTIF('API import'!$A:$A, $A467)&gt;0))</f>
        <v>0</v>
      </c>
      <c r="D467" s="195" t="b">
        <v>0</v>
      </c>
      <c r="E467" s="195">
        <v>3.0</v>
      </c>
      <c r="F467" s="201">
        <f>COUNTIF('Activity map'!$C:$C, $A467)</f>
        <v>1</v>
      </c>
    </row>
    <row r="468">
      <c r="A468" s="26">
        <v>12221.0</v>
      </c>
      <c r="B468" s="23" t="s">
        <v>867</v>
      </c>
      <c r="C468" s="200" t="b">
        <f>IF($D468, TRUE, IF(ISERROR('API import'!$A$1), FALSE, COUNTIF('API import'!$A:$A, $A468)&gt;0))</f>
        <v>0</v>
      </c>
      <c r="D468" s="195" t="b">
        <v>0</v>
      </c>
      <c r="E468" s="195">
        <v>3.0</v>
      </c>
      <c r="F468" s="201">
        <f>COUNTIF('Activity map'!$C:$C, $A468)</f>
        <v>1</v>
      </c>
    </row>
    <row r="469">
      <c r="A469" s="26">
        <v>12205.0</v>
      </c>
      <c r="B469" s="23" t="s">
        <v>868</v>
      </c>
      <c r="C469" s="200" t="b">
        <f>IF($D469, TRUE, IF(ISERROR('API import'!$A$1), FALSE, COUNTIF('API import'!$A:$A, $A469)&gt;0))</f>
        <v>0</v>
      </c>
      <c r="D469" s="195" t="b">
        <v>0</v>
      </c>
      <c r="E469" s="195">
        <v>3.0</v>
      </c>
      <c r="F469" s="201">
        <f>COUNTIF('Activity map'!$C:$C, $A469)</f>
        <v>1</v>
      </c>
    </row>
    <row r="470">
      <c r="A470" s="26">
        <v>12207.0</v>
      </c>
      <c r="B470" s="23" t="s">
        <v>869</v>
      </c>
      <c r="C470" s="200" t="b">
        <f>IF($D470, TRUE, IF(ISERROR('API import'!$A$1), FALSE, COUNTIF('API import'!$A:$A, $A470)&gt;0))</f>
        <v>0</v>
      </c>
      <c r="D470" s="195" t="b">
        <v>0</v>
      </c>
      <c r="E470" s="195">
        <v>3.0</v>
      </c>
      <c r="F470" s="201">
        <f>COUNTIF('Activity map'!$C:$C, $A470)</f>
        <v>1</v>
      </c>
    </row>
    <row r="471">
      <c r="A471" s="26">
        <v>12209.0</v>
      </c>
      <c r="B471" s="23" t="s">
        <v>870</v>
      </c>
      <c r="C471" s="200" t="b">
        <f>IF($D471, TRUE, IF(ISERROR('API import'!$A$1), FALSE, COUNTIF('API import'!$A:$A, $A471)&gt;0))</f>
        <v>0</v>
      </c>
      <c r="D471" s="195" t="b">
        <v>0</v>
      </c>
      <c r="E471" s="195">
        <v>3.0</v>
      </c>
      <c r="F471" s="201">
        <f>COUNTIF('Activity map'!$C:$C, $A471)</f>
        <v>1</v>
      </c>
    </row>
    <row r="472">
      <c r="A472" s="26">
        <v>12213.0</v>
      </c>
      <c r="B472" s="23" t="s">
        <v>871</v>
      </c>
      <c r="C472" s="200" t="b">
        <f>IF($D472, TRUE, IF(ISERROR('API import'!$A$1), FALSE, COUNTIF('API import'!$A:$A, $A472)&gt;0))</f>
        <v>0</v>
      </c>
      <c r="D472" s="195" t="b">
        <v>0</v>
      </c>
      <c r="E472" s="195">
        <v>3.0</v>
      </c>
      <c r="F472" s="201">
        <f>COUNTIF('Activity map'!$C:$C, $A472)</f>
        <v>1</v>
      </c>
    </row>
    <row r="473">
      <c r="A473" s="26">
        <v>12211.0</v>
      </c>
      <c r="B473" s="23" t="s">
        <v>872</v>
      </c>
      <c r="C473" s="202" t="b">
        <f>IF($D473, TRUE, IF(ISERROR('API import'!$A$1), FALSE, COUNTIF('API import'!$A:$A, $A473)&gt;0))</f>
        <v>0</v>
      </c>
      <c r="D473" s="195" t="b">
        <v>0</v>
      </c>
      <c r="E473" s="195">
        <v>3.0</v>
      </c>
      <c r="F473" s="201">
        <f>COUNTIF('Activity map'!$C:$C, $A473)</f>
        <v>1</v>
      </c>
    </row>
    <row r="474">
      <c r="A474" s="26">
        <v>7362.0</v>
      </c>
      <c r="B474" s="23" t="s">
        <v>873</v>
      </c>
      <c r="C474" s="200" t="b">
        <f>IF($D474, TRUE, IF(ISERROR('API import'!$A$1), FALSE, COUNTIF('API import'!$A:$A, $A474)&gt;0))</f>
        <v>0</v>
      </c>
      <c r="D474" s="195" t="b">
        <v>0</v>
      </c>
      <c r="E474" s="195">
        <v>3.0</v>
      </c>
      <c r="F474" s="201">
        <f>COUNTIF('Activity map'!$C:$C, $A474)</f>
        <v>1</v>
      </c>
    </row>
    <row r="475">
      <c r="A475" s="26">
        <v>7366.0</v>
      </c>
      <c r="B475" s="23" t="s">
        <v>874</v>
      </c>
      <c r="C475" s="200" t="b">
        <f>IF($D475, TRUE, IF(ISERROR('API import'!$A$1), FALSE, COUNTIF('API import'!$A:$A, $A475)&gt;0))</f>
        <v>0</v>
      </c>
      <c r="D475" s="195" t="b">
        <v>0</v>
      </c>
      <c r="E475" s="195">
        <v>3.0</v>
      </c>
      <c r="F475" s="201">
        <f>COUNTIF('Activity map'!$C:$C, $A475)</f>
        <v>1</v>
      </c>
    </row>
    <row r="476">
      <c r="A476" s="26">
        <v>7364.0</v>
      </c>
      <c r="B476" s="23" t="s">
        <v>875</v>
      </c>
      <c r="C476" s="202" t="b">
        <f>IF($D476, TRUE, IF(ISERROR('API import'!$A$1), FALSE, COUNTIF('API import'!$A:$A, $A476)&gt;0))</f>
        <v>0</v>
      </c>
      <c r="D476" s="195" t="b">
        <v>0</v>
      </c>
      <c r="E476" s="195">
        <v>3.0</v>
      </c>
      <c r="F476" s="201">
        <f>COUNTIF('Activity map'!$C:$C, $A476)</f>
        <v>1</v>
      </c>
    </row>
    <row r="477">
      <c r="A477" s="26">
        <v>7368.0</v>
      </c>
      <c r="B477" s="23" t="s">
        <v>876</v>
      </c>
      <c r="C477" s="200" t="b">
        <f>IF($D477, TRUE, IF(ISERROR('API import'!$A$1), FALSE, COUNTIF('API import'!$A:$A, $A477)&gt;0))</f>
        <v>0</v>
      </c>
      <c r="D477" s="195" t="b">
        <v>0</v>
      </c>
      <c r="E477" s="195">
        <v>3.0</v>
      </c>
      <c r="F477" s="201">
        <f>COUNTIF('Activity map'!$C:$C, $A477)</f>
        <v>1</v>
      </c>
    </row>
    <row r="478">
      <c r="A478" s="26">
        <v>23381.0</v>
      </c>
      <c r="B478" s="23" t="s">
        <v>877</v>
      </c>
      <c r="C478" s="200" t="b">
        <f>IF($D478, TRUE, IF(ISERROR('API import'!$A$1), FALSE, COUNTIF('API import'!$A:$A, $A478)&gt;0))</f>
        <v>0</v>
      </c>
      <c r="D478" s="195" t="b">
        <v>0</v>
      </c>
      <c r="E478" s="195">
        <v>3.0</v>
      </c>
      <c r="F478" s="201">
        <f>COUNTIF('Activity map'!$C:$C, $A478)</f>
        <v>1</v>
      </c>
    </row>
    <row r="479">
      <c r="A479" s="26">
        <v>23384.0</v>
      </c>
      <c r="B479" s="23" t="s">
        <v>878</v>
      </c>
      <c r="C479" s="200" t="b">
        <f>IF($D479, TRUE, IF(ISERROR('API import'!$A$1), FALSE, COUNTIF('API import'!$A:$A, $A479)&gt;0))</f>
        <v>0</v>
      </c>
      <c r="D479" s="195" t="b">
        <v>0</v>
      </c>
      <c r="E479" s="195">
        <v>3.0</v>
      </c>
      <c r="F479" s="201">
        <f>COUNTIF('Activity map'!$C:$C, $A479)</f>
        <v>1</v>
      </c>
    </row>
    <row r="480">
      <c r="A480" s="26">
        <v>7394.0</v>
      </c>
      <c r="B480" s="23" t="s">
        <v>879</v>
      </c>
      <c r="C480" s="200" t="b">
        <f>IF($D480, TRUE, IF(ISERROR('API import'!$A$1), FALSE, COUNTIF('API import'!$A:$A, $A480)&gt;0))</f>
        <v>0</v>
      </c>
      <c r="D480" s="195" t="b">
        <v>0</v>
      </c>
      <c r="E480" s="195">
        <v>3.0</v>
      </c>
      <c r="F480" s="201">
        <f>COUNTIF('Activity map'!$C:$C, $A480)</f>
        <v>1</v>
      </c>
    </row>
    <row r="481">
      <c r="A481" s="26">
        <v>7390.0</v>
      </c>
      <c r="B481" s="23" t="s">
        <v>880</v>
      </c>
      <c r="C481" s="200" t="b">
        <f>IF($D481, TRUE, IF(ISERROR('API import'!$A$1), FALSE, COUNTIF('API import'!$A:$A, $A481)&gt;0))</f>
        <v>0</v>
      </c>
      <c r="D481" s="195" t="b">
        <v>0</v>
      </c>
      <c r="E481" s="195">
        <v>3.0</v>
      </c>
      <c r="F481" s="201">
        <f>COUNTIF('Activity map'!$C:$C, $A481)</f>
        <v>1</v>
      </c>
    </row>
    <row r="482">
      <c r="A482" s="26">
        <v>7386.0</v>
      </c>
      <c r="B482" s="23" t="s">
        <v>881</v>
      </c>
      <c r="C482" s="200" t="b">
        <f>IF($D482, TRUE, IF(ISERROR('API import'!$A$1), FALSE, COUNTIF('API import'!$A:$A, $A482)&gt;0))</f>
        <v>0</v>
      </c>
      <c r="D482" s="195" t="b">
        <v>0</v>
      </c>
      <c r="E482" s="195">
        <v>3.0</v>
      </c>
      <c r="F482" s="201">
        <f>COUNTIF('Activity map'!$C:$C, $A482)</f>
        <v>1</v>
      </c>
    </row>
    <row r="483">
      <c r="A483" s="26">
        <v>7396.0</v>
      </c>
      <c r="B483" s="23" t="s">
        <v>882</v>
      </c>
      <c r="C483" s="202" t="b">
        <f>IF($D483, TRUE, IF(ISERROR('API import'!$A$1), FALSE, COUNTIF('API import'!$A:$A, $A483)&gt;0))</f>
        <v>0</v>
      </c>
      <c r="D483" s="195" t="b">
        <v>0</v>
      </c>
      <c r="E483" s="195">
        <v>3.0</v>
      </c>
      <c r="F483" s="201">
        <f>COUNTIF('Activity map'!$C:$C, $A483)</f>
        <v>1</v>
      </c>
    </row>
    <row r="484">
      <c r="A484" s="26">
        <v>7392.0</v>
      </c>
      <c r="B484" s="23" t="s">
        <v>883</v>
      </c>
      <c r="C484" s="200" t="b">
        <f>IF($D484, TRUE, IF(ISERROR('API import'!$A$1), FALSE, COUNTIF('API import'!$A:$A, $A484)&gt;0))</f>
        <v>0</v>
      </c>
      <c r="D484" s="195" t="b">
        <v>0</v>
      </c>
      <c r="E484" s="195">
        <v>3.0</v>
      </c>
      <c r="F484" s="201">
        <f>COUNTIF('Activity map'!$C:$C, $A484)</f>
        <v>1</v>
      </c>
    </row>
    <row r="485">
      <c r="A485" s="26">
        <v>7388.0</v>
      </c>
      <c r="B485" s="23" t="s">
        <v>884</v>
      </c>
      <c r="C485" s="202" t="b">
        <f>IF($D485, TRUE, IF(ISERROR('API import'!$A$1), FALSE, COUNTIF('API import'!$A:$A, $A485)&gt;0))</f>
        <v>0</v>
      </c>
      <c r="D485" s="195" t="b">
        <v>0</v>
      </c>
      <c r="E485" s="195">
        <v>3.0</v>
      </c>
      <c r="F485" s="201">
        <f>COUNTIF('Activity map'!$C:$C, $A485)</f>
        <v>1</v>
      </c>
    </row>
    <row r="486">
      <c r="A486" s="26">
        <v>12453.0</v>
      </c>
      <c r="B486" s="23" t="s">
        <v>885</v>
      </c>
      <c r="C486" s="200" t="b">
        <f>IF($D486, TRUE, IF(ISERROR('API import'!$A$1), FALSE, COUNTIF('API import'!$A:$A, $A486)&gt;0))</f>
        <v>0</v>
      </c>
      <c r="D486" s="195" t="b">
        <v>0</v>
      </c>
      <c r="E486" s="195">
        <v>3.0</v>
      </c>
      <c r="F486" s="201">
        <f>COUNTIF('Activity map'!$C:$C, $A486)</f>
        <v>1</v>
      </c>
    </row>
    <row r="487">
      <c r="A487" s="26">
        <v>12449.0</v>
      </c>
      <c r="B487" s="23" t="s">
        <v>886</v>
      </c>
      <c r="C487" s="200" t="b">
        <f>IF($D487, TRUE, IF(ISERROR('API import'!$A$1), FALSE, COUNTIF('API import'!$A:$A, $A487)&gt;0))</f>
        <v>0</v>
      </c>
      <c r="D487" s="195" t="b">
        <v>0</v>
      </c>
      <c r="E487" s="195">
        <v>3.0</v>
      </c>
      <c r="F487" s="201">
        <f>COUNTIF('Activity map'!$C:$C, $A487)</f>
        <v>1</v>
      </c>
    </row>
    <row r="488">
      <c r="A488" s="26">
        <v>12445.0</v>
      </c>
      <c r="B488" s="23" t="s">
        <v>887</v>
      </c>
      <c r="C488" s="200" t="b">
        <f>IF($D488, TRUE, IF(ISERROR('API import'!$A$1), FALSE, COUNTIF('API import'!$A:$A, $A488)&gt;0))</f>
        <v>0</v>
      </c>
      <c r="D488" s="195" t="b">
        <v>0</v>
      </c>
      <c r="E488" s="195">
        <v>3.0</v>
      </c>
      <c r="F488" s="201">
        <f>COUNTIF('Activity map'!$C:$C, $A488)</f>
        <v>1</v>
      </c>
    </row>
    <row r="489">
      <c r="A489" s="26">
        <v>12455.0</v>
      </c>
      <c r="B489" s="23" t="s">
        <v>888</v>
      </c>
      <c r="C489" s="200" t="b">
        <f>IF($D489, TRUE, IF(ISERROR('API import'!$A$1), FALSE, COUNTIF('API import'!$A:$A, $A489)&gt;0))</f>
        <v>0</v>
      </c>
      <c r="D489" s="195" t="b">
        <v>0</v>
      </c>
      <c r="E489" s="195">
        <v>3.0</v>
      </c>
      <c r="F489" s="201">
        <f>COUNTIF('Activity map'!$C:$C, $A489)</f>
        <v>1</v>
      </c>
    </row>
    <row r="490">
      <c r="A490" s="26">
        <v>12451.0</v>
      </c>
      <c r="B490" s="23" t="s">
        <v>889</v>
      </c>
      <c r="C490" s="202" t="b">
        <f>IF($D490, TRUE, IF(ISERROR('API import'!$A$1), FALSE, COUNTIF('API import'!$A:$A, $A490)&gt;0))</f>
        <v>0</v>
      </c>
      <c r="D490" s="195" t="b">
        <v>0</v>
      </c>
      <c r="E490" s="195">
        <v>3.0</v>
      </c>
      <c r="F490" s="201">
        <f>COUNTIF('Activity map'!$C:$C, $A490)</f>
        <v>1</v>
      </c>
    </row>
    <row r="491">
      <c r="A491" s="26">
        <v>12447.0</v>
      </c>
      <c r="B491" s="23" t="s">
        <v>890</v>
      </c>
      <c r="C491" s="200" t="b">
        <f>IF($D491, TRUE, IF(ISERROR('API import'!$A$1), FALSE, COUNTIF('API import'!$A:$A, $A491)&gt;0))</f>
        <v>0</v>
      </c>
      <c r="D491" s="195" t="b">
        <v>0</v>
      </c>
      <c r="E491" s="195">
        <v>3.0</v>
      </c>
      <c r="F491" s="201">
        <f>COUNTIF('Activity map'!$C:$C, $A491)</f>
        <v>1</v>
      </c>
    </row>
    <row r="492">
      <c r="A492" s="26">
        <v>20199.0</v>
      </c>
      <c r="B492" s="23" t="s">
        <v>891</v>
      </c>
      <c r="C492" s="200" t="b">
        <f>IF($D492, TRUE, IF(ISERROR('API import'!$A$1), FALSE, COUNTIF('API import'!$A:$A, $A492)&gt;0))</f>
        <v>0</v>
      </c>
      <c r="D492" s="195" t="b">
        <v>0</v>
      </c>
      <c r="E492" s="195">
        <v>7.0</v>
      </c>
      <c r="F492" s="201">
        <f>COUNTIF('Activity map'!$C:$C, $A492)</f>
        <v>1</v>
      </c>
    </row>
    <row r="493">
      <c r="A493" s="26">
        <v>20202.0</v>
      </c>
      <c r="B493" s="23" t="s">
        <v>892</v>
      </c>
      <c r="C493" s="200" t="b">
        <f>IF($D493, TRUE, IF(ISERROR('API import'!$A$1), FALSE, COUNTIF('API import'!$A:$A, $A493)&gt;0))</f>
        <v>0</v>
      </c>
      <c r="D493" s="195" t="b">
        <v>0</v>
      </c>
      <c r="E493" s="195">
        <v>7.0</v>
      </c>
      <c r="F493" s="201">
        <f>COUNTIF('Activity map'!$C:$C, $A493)</f>
        <v>1</v>
      </c>
    </row>
    <row r="494">
      <c r="A494" s="26">
        <v>10458.0</v>
      </c>
      <c r="B494" s="23" t="s">
        <v>893</v>
      </c>
      <c r="C494" s="200" t="b">
        <f>IF($D494, TRUE, IF(ISERROR('API import'!$A$1), FALSE, COUNTIF('API import'!$A:$A, $A494)&gt;0))</f>
        <v>0</v>
      </c>
      <c r="D494" s="195" t="b">
        <v>0</v>
      </c>
      <c r="E494" s="195">
        <v>3.0</v>
      </c>
      <c r="F494" s="201">
        <f>COUNTIF('Activity map'!$C:$C, $A494)</f>
        <v>1</v>
      </c>
    </row>
    <row r="495">
      <c r="A495" s="26">
        <v>10464.0</v>
      </c>
      <c r="B495" s="23" t="s">
        <v>894</v>
      </c>
      <c r="C495" s="200" t="b">
        <f>IF($D495, TRUE, IF(ISERROR('API import'!$A$1), FALSE, COUNTIF('API import'!$A:$A, $A495)&gt;0))</f>
        <v>0</v>
      </c>
      <c r="D495" s="195" t="b">
        <v>0</v>
      </c>
      <c r="E495" s="195">
        <v>3.0</v>
      </c>
      <c r="F495" s="201">
        <f>COUNTIF('Activity map'!$C:$C, $A495)</f>
        <v>1</v>
      </c>
    </row>
    <row r="496">
      <c r="A496" s="26">
        <v>10462.0</v>
      </c>
      <c r="B496" s="23" t="s">
        <v>895</v>
      </c>
      <c r="C496" s="202" t="b">
        <f>IF($D496, TRUE, IF(ISERROR('API import'!$A$1), FALSE, COUNTIF('API import'!$A:$A, $A496)&gt;0))</f>
        <v>0</v>
      </c>
      <c r="D496" s="195" t="b">
        <v>0</v>
      </c>
      <c r="E496" s="195">
        <v>3.0</v>
      </c>
      <c r="F496" s="201">
        <f>COUNTIF('Activity map'!$C:$C, $A496)</f>
        <v>1</v>
      </c>
    </row>
    <row r="497">
      <c r="A497" s="26">
        <v>10466.0</v>
      </c>
      <c r="B497" s="23" t="s">
        <v>896</v>
      </c>
      <c r="C497" s="200" t="b">
        <f>IF($D497, TRUE, IF(ISERROR('API import'!$A$1), FALSE, COUNTIF('API import'!$A:$A, $A497)&gt;0))</f>
        <v>0</v>
      </c>
      <c r="D497" s="195" t="b">
        <v>0</v>
      </c>
      <c r="E497" s="195">
        <v>3.0</v>
      </c>
      <c r="F497" s="201">
        <f>COUNTIF('Activity map'!$C:$C, $A497)</f>
        <v>1</v>
      </c>
    </row>
    <row r="498">
      <c r="A498" s="26">
        <v>10460.0</v>
      </c>
      <c r="B498" s="23" t="s">
        <v>897</v>
      </c>
      <c r="C498" s="200" t="b">
        <f>IF($D498, TRUE, IF(ISERROR('API import'!$A$1), FALSE, COUNTIF('API import'!$A:$A, $A498)&gt;0))</f>
        <v>0</v>
      </c>
      <c r="D498" s="195" t="b">
        <v>0</v>
      </c>
      <c r="E498" s="195">
        <v>3.0</v>
      </c>
      <c r="F498" s="201">
        <f>COUNTIF('Activity map'!$C:$C, $A498)</f>
        <v>1</v>
      </c>
    </row>
    <row r="499">
      <c r="A499" s="26">
        <v>10468.0</v>
      </c>
      <c r="B499" s="23" t="s">
        <v>898</v>
      </c>
      <c r="C499" s="200" t="b">
        <f>IF($D499, TRUE, IF(ISERROR('API import'!$A$1), FALSE, COUNTIF('API import'!$A:$A, $A499)&gt;0))</f>
        <v>0</v>
      </c>
      <c r="D499" s="195" t="b">
        <v>0</v>
      </c>
      <c r="E499" s="195">
        <v>3.0</v>
      </c>
      <c r="F499" s="201">
        <f>COUNTIF('Activity map'!$C:$C, $A499)</f>
        <v>1</v>
      </c>
    </row>
    <row r="500">
      <c r="A500" s="26">
        <v>12193.0</v>
      </c>
      <c r="B500" s="23" t="s">
        <v>899</v>
      </c>
      <c r="C500" s="200" t="b">
        <f>IF($D500, TRUE, IF(ISERROR('API import'!$A$1), FALSE, COUNTIF('API import'!$A:$A, $A500)&gt;0))</f>
        <v>0</v>
      </c>
      <c r="D500" s="195" t="b">
        <v>0</v>
      </c>
      <c r="E500" s="195">
        <v>3.0</v>
      </c>
      <c r="F500" s="201">
        <f>COUNTIF('Activity map'!$C:$C, $A500)</f>
        <v>1</v>
      </c>
    </row>
    <row r="501">
      <c r="A501" s="26">
        <v>12195.0</v>
      </c>
      <c r="B501" s="23" t="s">
        <v>900</v>
      </c>
      <c r="C501" s="202" t="b">
        <f>IF($D501, TRUE, IF(ISERROR('API import'!$A$1), FALSE, COUNTIF('API import'!$A:$A, $A501)&gt;0))</f>
        <v>0</v>
      </c>
      <c r="D501" s="195" t="b">
        <v>0</v>
      </c>
      <c r="E501" s="195">
        <v>3.0</v>
      </c>
      <c r="F501" s="201">
        <f>COUNTIF('Activity map'!$C:$C, $A501)</f>
        <v>1</v>
      </c>
    </row>
    <row r="502">
      <c r="A502" s="26">
        <v>12253.0</v>
      </c>
      <c r="B502" s="23" t="s">
        <v>901</v>
      </c>
      <c r="C502" s="202" t="b">
        <f>IF($D502, TRUE, IF(ISERROR('API import'!$A$1), FALSE, COUNTIF('API import'!$A:$A, $A502)&gt;0))</f>
        <v>0</v>
      </c>
      <c r="D502" s="195" t="b">
        <v>0</v>
      </c>
      <c r="E502" s="195">
        <v>3.0</v>
      </c>
      <c r="F502" s="201">
        <f>COUNTIF('Activity map'!$C:$C, $A502)</f>
        <v>1</v>
      </c>
    </row>
    <row r="503">
      <c r="A503" s="26">
        <v>12255.0</v>
      </c>
      <c r="B503" s="23" t="s">
        <v>902</v>
      </c>
      <c r="C503" s="200" t="b">
        <f>IF($D503, TRUE, IF(ISERROR('API import'!$A$1), FALSE, COUNTIF('API import'!$A:$A, $A503)&gt;0))</f>
        <v>0</v>
      </c>
      <c r="D503" s="195" t="b">
        <v>0</v>
      </c>
      <c r="E503" s="195">
        <v>3.0</v>
      </c>
      <c r="F503" s="201">
        <f>COUNTIF('Activity map'!$C:$C, $A503)</f>
        <v>1</v>
      </c>
    </row>
    <row r="504">
      <c r="A504" s="26">
        <v>12265.0</v>
      </c>
      <c r="B504" s="23" t="s">
        <v>903</v>
      </c>
      <c r="C504" s="200" t="b">
        <f>IF($D504, TRUE, IF(ISERROR('API import'!$A$1), FALSE, COUNTIF('API import'!$A:$A, $A504)&gt;0))</f>
        <v>0</v>
      </c>
      <c r="D504" s="195" t="b">
        <v>0</v>
      </c>
      <c r="E504" s="195">
        <v>3.0</v>
      </c>
      <c r="F504" s="201">
        <f>COUNTIF('Activity map'!$C:$C, $A504)</f>
        <v>1</v>
      </c>
    </row>
    <row r="505">
      <c r="A505" s="26">
        <v>12267.0</v>
      </c>
      <c r="B505" s="23" t="s">
        <v>904</v>
      </c>
      <c r="C505" s="200" t="b">
        <f>IF($D505, TRUE, IF(ISERROR('API import'!$A$1), FALSE, COUNTIF('API import'!$A:$A, $A505)&gt;0))</f>
        <v>0</v>
      </c>
      <c r="D505" s="195" t="b">
        <v>0</v>
      </c>
      <c r="E505" s="195">
        <v>3.0</v>
      </c>
      <c r="F505" s="201">
        <f>COUNTIF('Activity map'!$C:$C, $A505)</f>
        <v>1</v>
      </c>
    </row>
    <row r="506">
      <c r="A506" s="26">
        <v>10316.0</v>
      </c>
      <c r="B506" s="23" t="s">
        <v>905</v>
      </c>
      <c r="C506" s="200" t="b">
        <f>IF($D506, TRUE, IF(ISERROR('API import'!$A$1), FALSE, COUNTIF('API import'!$A:$A, $A506)&gt;0))</f>
        <v>0</v>
      </c>
      <c r="D506" s="195" t="b">
        <v>0</v>
      </c>
      <c r="E506" s="195">
        <v>3.0</v>
      </c>
      <c r="F506" s="201">
        <f>COUNTIF('Activity map'!$C:$C, $A506)</f>
        <v>1</v>
      </c>
    </row>
    <row r="507">
      <c r="A507" s="26">
        <v>10320.0</v>
      </c>
      <c r="B507" s="23" t="s">
        <v>906</v>
      </c>
      <c r="C507" s="200" t="b">
        <f>IF($D507, TRUE, IF(ISERROR('API import'!$A$1), FALSE, COUNTIF('API import'!$A:$A, $A507)&gt;0))</f>
        <v>0</v>
      </c>
      <c r="D507" s="195" t="b">
        <v>0</v>
      </c>
      <c r="E507" s="195">
        <v>3.0</v>
      </c>
      <c r="F507" s="201">
        <f>COUNTIF('Activity map'!$C:$C, $A507)</f>
        <v>1</v>
      </c>
    </row>
    <row r="508">
      <c r="A508" s="26">
        <v>10318.0</v>
      </c>
      <c r="B508" s="23" t="s">
        <v>907</v>
      </c>
      <c r="C508" s="200" t="b">
        <f>IF($D508, TRUE, IF(ISERROR('API import'!$A$1), FALSE, COUNTIF('API import'!$A:$A, $A508)&gt;0))</f>
        <v>0</v>
      </c>
      <c r="D508" s="195" t="b">
        <v>0</v>
      </c>
      <c r="E508" s="195">
        <v>3.0</v>
      </c>
      <c r="F508" s="201">
        <f>COUNTIF('Activity map'!$C:$C, $A508)</f>
        <v>1</v>
      </c>
    </row>
    <row r="509">
      <c r="A509" s="26">
        <v>10322.0</v>
      </c>
      <c r="B509" s="23" t="s">
        <v>908</v>
      </c>
      <c r="C509" s="202" t="b">
        <f>IF($D509, TRUE, IF(ISERROR('API import'!$A$1), FALSE, COUNTIF('API import'!$A:$A, $A509)&gt;0))</f>
        <v>0</v>
      </c>
      <c r="D509" s="195" t="b">
        <v>0</v>
      </c>
      <c r="E509" s="195">
        <v>3.0</v>
      </c>
      <c r="F509" s="201">
        <f>COUNTIF('Activity map'!$C:$C, $A509)</f>
        <v>1</v>
      </c>
    </row>
    <row r="510">
      <c r="A510" s="26">
        <v>10324.0</v>
      </c>
      <c r="B510" s="23" t="s">
        <v>909</v>
      </c>
      <c r="C510" s="200" t="b">
        <f>IF($D510, TRUE, IF(ISERROR('API import'!$A$1), FALSE, COUNTIF('API import'!$A:$A, $A510)&gt;0))</f>
        <v>0</v>
      </c>
      <c r="D510" s="195" t="b">
        <v>0</v>
      </c>
      <c r="E510" s="195">
        <v>3.0</v>
      </c>
      <c r="F510" s="201">
        <f>COUNTIF('Activity map'!$C:$C, $A510)</f>
        <v>1</v>
      </c>
    </row>
    <row r="511">
      <c r="A511" s="26">
        <v>2631.0</v>
      </c>
      <c r="B511" s="23" t="s">
        <v>910</v>
      </c>
      <c r="C511" s="200" t="b">
        <f>IF($D511, TRUE, IF(ISERROR('API import'!$A$1), FALSE, COUNTIF('API import'!$A:$A, $A511)&gt;0))</f>
        <v>0</v>
      </c>
      <c r="D511" s="195" t="b">
        <v>0</v>
      </c>
      <c r="E511" s="195">
        <v>3.0</v>
      </c>
      <c r="F511" s="201">
        <f>COUNTIF('Activity map'!$C:$C, $A511)</f>
        <v>1</v>
      </c>
    </row>
    <row r="512">
      <c r="A512" s="26">
        <v>2633.0</v>
      </c>
      <c r="B512" s="23" t="s">
        <v>911</v>
      </c>
      <c r="C512" s="202" t="b">
        <f>IF($D512, TRUE, IF(ISERROR('API import'!$A$1), FALSE, COUNTIF('API import'!$A:$A, $A512)&gt;0))</f>
        <v>0</v>
      </c>
      <c r="D512" s="195" t="b">
        <v>0</v>
      </c>
      <c r="E512" s="195">
        <v>3.0</v>
      </c>
      <c r="F512" s="201">
        <f>COUNTIF('Activity map'!$C:$C, $A512)</f>
        <v>1</v>
      </c>
    </row>
    <row r="513">
      <c r="A513" s="26">
        <v>2635.0</v>
      </c>
      <c r="B513" s="23" t="s">
        <v>912</v>
      </c>
      <c r="C513" s="200" t="b">
        <f>IF($D513, TRUE, IF(ISERROR('API import'!$A$1), FALSE, COUNTIF('API import'!$A:$A, $A513)&gt;0))</f>
        <v>0</v>
      </c>
      <c r="D513" s="195" t="b">
        <v>0</v>
      </c>
      <c r="E513" s="195">
        <v>3.0</v>
      </c>
      <c r="F513" s="201">
        <f>COUNTIF('Activity map'!$C:$C, $A513)</f>
        <v>1</v>
      </c>
    </row>
    <row r="514">
      <c r="A514" s="26">
        <v>2637.0</v>
      </c>
      <c r="B514" s="23" t="s">
        <v>913</v>
      </c>
      <c r="C514" s="200" t="b">
        <f>IF($D514, TRUE, IF(ISERROR('API import'!$A$1), FALSE, COUNTIF('API import'!$A:$A, $A514)&gt;0))</f>
        <v>0</v>
      </c>
      <c r="D514" s="195" t="b">
        <v>0</v>
      </c>
      <c r="E514" s="195">
        <v>3.0</v>
      </c>
      <c r="F514" s="201">
        <f>COUNTIF('Activity map'!$C:$C, $A514)</f>
        <v>1</v>
      </c>
    </row>
    <row r="515">
      <c r="A515" s="26">
        <v>12247.0</v>
      </c>
      <c r="B515" s="23" t="s">
        <v>914</v>
      </c>
      <c r="C515" s="200" t="b">
        <f>IF($D515, TRUE, IF(ISERROR('API import'!$A$1), FALSE, COUNTIF('API import'!$A:$A, $A515)&gt;0))</f>
        <v>0</v>
      </c>
      <c r="D515" s="195" t="b">
        <v>0</v>
      </c>
      <c r="E515" s="195">
        <v>3.0</v>
      </c>
      <c r="F515" s="201">
        <f>COUNTIF('Activity map'!$C:$C, $A515)</f>
        <v>1</v>
      </c>
    </row>
    <row r="516">
      <c r="A516" s="26">
        <v>10392.0</v>
      </c>
      <c r="B516" s="23" t="s">
        <v>915</v>
      </c>
      <c r="C516" s="200" t="b">
        <f>IF($D516, TRUE, IF(ISERROR('API import'!$A$1), FALSE, COUNTIF('API import'!$A:$A, $A516)&gt;0))</f>
        <v>0</v>
      </c>
      <c r="D516" s="195" t="b">
        <v>0</v>
      </c>
      <c r="E516" s="195">
        <v>3.0</v>
      </c>
      <c r="F516" s="201">
        <f>COUNTIF('Activity map'!$C:$C, $A516)</f>
        <v>1</v>
      </c>
    </row>
    <row r="517">
      <c r="A517" s="26">
        <v>12245.0</v>
      </c>
      <c r="B517" s="23" t="s">
        <v>916</v>
      </c>
      <c r="C517" s="200" t="b">
        <f>IF($D517, TRUE, IF(ISERROR('API import'!$A$1), FALSE, COUNTIF('API import'!$A:$A, $A517)&gt;0))</f>
        <v>0</v>
      </c>
      <c r="D517" s="195" t="b">
        <v>0</v>
      </c>
      <c r="E517" s="195">
        <v>3.0</v>
      </c>
      <c r="F517" s="201">
        <f>COUNTIF('Activity map'!$C:$C, $A517)</f>
        <v>1</v>
      </c>
    </row>
    <row r="518">
      <c r="A518" s="26">
        <v>12249.0</v>
      </c>
      <c r="B518" s="23" t="s">
        <v>917</v>
      </c>
      <c r="C518" s="202" t="b">
        <f>IF($D518, TRUE, IF(ISERROR('API import'!$A$1), FALSE, COUNTIF('API import'!$A:$A, $A518)&gt;0))</f>
        <v>0</v>
      </c>
      <c r="D518" s="195" t="b">
        <v>0</v>
      </c>
      <c r="E518" s="195">
        <v>3.0</v>
      </c>
      <c r="F518" s="201">
        <f>COUNTIF('Activity map'!$C:$C, $A518)</f>
        <v>1</v>
      </c>
    </row>
    <row r="519">
      <c r="A519" s="26">
        <v>12251.0</v>
      </c>
      <c r="B519" s="23" t="s">
        <v>918</v>
      </c>
      <c r="C519" s="200" t="b">
        <f>IF($D519, TRUE, IF(ISERROR('API import'!$A$1), FALSE, COUNTIF('API import'!$A:$A, $A519)&gt;0))</f>
        <v>0</v>
      </c>
      <c r="D519" s="195" t="b">
        <v>0</v>
      </c>
      <c r="E519" s="195">
        <v>3.0</v>
      </c>
      <c r="F519" s="201">
        <f>COUNTIF('Activity map'!$C:$C, $A519)</f>
        <v>1</v>
      </c>
    </row>
    <row r="520">
      <c r="A520" s="26">
        <v>10398.0</v>
      </c>
      <c r="B520" s="23" t="s">
        <v>919</v>
      </c>
      <c r="C520" s="202" t="b">
        <f>IF($D520, TRUE, IF(ISERROR('API import'!$A$1), FALSE, COUNTIF('API import'!$A:$A, $A520)&gt;0))</f>
        <v>0</v>
      </c>
      <c r="D520" s="195" t="b">
        <v>0</v>
      </c>
      <c r="E520" s="195">
        <v>3.0</v>
      </c>
      <c r="F520" s="201">
        <f>COUNTIF('Activity map'!$C:$C, $A520)</f>
        <v>1</v>
      </c>
    </row>
    <row r="521">
      <c r="A521" s="26">
        <v>10394.0</v>
      </c>
      <c r="B521" s="23" t="s">
        <v>920</v>
      </c>
      <c r="C521" s="200" t="b">
        <f>IF($D521, TRUE, IF(ISERROR('API import'!$A$1), FALSE, COUNTIF('API import'!$A:$A, $A521)&gt;0))</f>
        <v>0</v>
      </c>
      <c r="D521" s="195" t="b">
        <v>0</v>
      </c>
      <c r="E521" s="195">
        <v>3.0</v>
      </c>
      <c r="F521" s="201">
        <f>COUNTIF('Activity map'!$C:$C, $A521)</f>
        <v>1</v>
      </c>
    </row>
    <row r="522">
      <c r="A522" s="26">
        <v>10396.0</v>
      </c>
      <c r="B522" s="23" t="s">
        <v>921</v>
      </c>
      <c r="C522" s="200" t="b">
        <f>IF($D522, TRUE, IF(ISERROR('API import'!$A$1), FALSE, COUNTIF('API import'!$A:$A, $A522)&gt;0))</f>
        <v>0</v>
      </c>
      <c r="D522" s="195" t="b">
        <v>0</v>
      </c>
      <c r="E522" s="195">
        <v>3.0</v>
      </c>
      <c r="F522" s="201">
        <f>COUNTIF('Activity map'!$C:$C, $A522)</f>
        <v>1</v>
      </c>
    </row>
    <row r="523">
      <c r="A523" s="26">
        <v>12375.0</v>
      </c>
      <c r="B523" s="23" t="s">
        <v>922</v>
      </c>
      <c r="C523" s="202" t="b">
        <f>IF($D523, TRUE, IF(ISERROR('API import'!$A$1), FALSE, COUNTIF('API import'!$A:$A, $A523)&gt;0))</f>
        <v>0</v>
      </c>
      <c r="D523" s="195" t="b">
        <v>0</v>
      </c>
      <c r="E523" s="195">
        <v>3.0</v>
      </c>
      <c r="F523" s="201">
        <f>COUNTIF('Activity map'!$C:$C, $A523)</f>
        <v>1</v>
      </c>
    </row>
    <row r="524">
      <c r="A524" s="26">
        <v>23363.0</v>
      </c>
      <c r="B524" s="23" t="s">
        <v>923</v>
      </c>
      <c r="C524" s="202" t="b">
        <f>IF($D524, TRUE, IF(ISERROR('API import'!$A$1), FALSE, COUNTIF('API import'!$A:$A, $A524)&gt;0))</f>
        <v>0</v>
      </c>
      <c r="D524" s="195" t="b">
        <v>0</v>
      </c>
      <c r="E524" s="195">
        <v>3.0</v>
      </c>
      <c r="F524" s="201">
        <f>COUNTIF('Activity map'!$C:$C, $A524)</f>
        <v>1</v>
      </c>
    </row>
    <row r="525">
      <c r="A525" s="26">
        <v>10404.0</v>
      </c>
      <c r="B525" s="23" t="s">
        <v>924</v>
      </c>
      <c r="C525" s="200" t="b">
        <f>IF($D525, TRUE, IF(ISERROR('API import'!$A$1), FALSE, COUNTIF('API import'!$A:$A, $A525)&gt;0))</f>
        <v>0</v>
      </c>
      <c r="D525" s="195" t="b">
        <v>0</v>
      </c>
      <c r="E525" s="195">
        <v>3.0</v>
      </c>
      <c r="F525" s="201">
        <f>COUNTIF('Activity map'!$C:$C, $A525)</f>
        <v>1</v>
      </c>
    </row>
    <row r="526">
      <c r="A526" s="26">
        <v>10424.0</v>
      </c>
      <c r="B526" s="23" t="s">
        <v>925</v>
      </c>
      <c r="C526" s="200" t="b">
        <f>IF($D526, TRUE, IF(ISERROR('API import'!$A$1), FALSE, COUNTIF('API import'!$A:$A, $A526)&gt;0))</f>
        <v>0</v>
      </c>
      <c r="D526" s="195" t="b">
        <v>0</v>
      </c>
      <c r="E526" s="195">
        <v>4.0</v>
      </c>
      <c r="F526" s="201">
        <f>COUNTIF('Activity map'!$C:$C, $A526)</f>
        <v>1</v>
      </c>
    </row>
    <row r="527">
      <c r="A527" s="26">
        <v>10406.0</v>
      </c>
      <c r="B527" s="23" t="s">
        <v>926</v>
      </c>
      <c r="C527" s="200" t="b">
        <f>IF($D527, TRUE, IF(ISERROR('API import'!$A$1), FALSE, COUNTIF('API import'!$A:$A, $A527)&gt;0))</f>
        <v>0</v>
      </c>
      <c r="D527" s="195" t="b">
        <v>0</v>
      </c>
      <c r="E527" s="195">
        <v>4.0</v>
      </c>
      <c r="F527" s="201">
        <f>COUNTIF('Activity map'!$C:$C, $A527)</f>
        <v>1</v>
      </c>
    </row>
    <row r="528">
      <c r="A528" s="26">
        <v>10426.0</v>
      </c>
      <c r="B528" s="23" t="s">
        <v>927</v>
      </c>
      <c r="C528" s="200" t="b">
        <f>IF($D528, TRUE, IF(ISERROR('API import'!$A$1), FALSE, COUNTIF('API import'!$A:$A, $A528)&gt;0))</f>
        <v>0</v>
      </c>
      <c r="D528" s="195" t="b">
        <v>0</v>
      </c>
      <c r="E528" s="195">
        <v>4.0</v>
      </c>
      <c r="F528" s="201">
        <f>COUNTIF('Activity map'!$C:$C, $A528)</f>
        <v>1</v>
      </c>
    </row>
    <row r="529">
      <c r="A529" s="26">
        <v>10412.0</v>
      </c>
      <c r="B529" s="23" t="s">
        <v>928</v>
      </c>
      <c r="C529" s="200" t="b">
        <f>IF($D529, TRUE, IF(ISERROR('API import'!$A$1), FALSE, COUNTIF('API import'!$A:$A, $A529)&gt;0))</f>
        <v>0</v>
      </c>
      <c r="D529" s="195" t="b">
        <v>0</v>
      </c>
      <c r="E529" s="195">
        <v>4.0</v>
      </c>
      <c r="F529" s="201">
        <f>COUNTIF('Activity map'!$C:$C, $A529)</f>
        <v>1</v>
      </c>
    </row>
    <row r="530">
      <c r="A530" s="26">
        <v>10432.0</v>
      </c>
      <c r="B530" s="23" t="s">
        <v>929</v>
      </c>
      <c r="C530" s="202" t="b">
        <f>IF($D530, TRUE, IF(ISERROR('API import'!$A$1), FALSE, COUNTIF('API import'!$A:$A, $A530)&gt;0))</f>
        <v>0</v>
      </c>
      <c r="D530" s="195" t="b">
        <v>0</v>
      </c>
      <c r="E530" s="195">
        <v>4.0</v>
      </c>
      <c r="F530" s="201">
        <f>COUNTIF('Activity map'!$C:$C, $A530)</f>
        <v>1</v>
      </c>
    </row>
    <row r="531">
      <c r="A531" s="26">
        <v>10414.0</v>
      </c>
      <c r="B531" s="23" t="s">
        <v>930</v>
      </c>
      <c r="C531" s="200" t="b">
        <f>IF($D531, TRUE, IF(ISERROR('API import'!$A$1), FALSE, COUNTIF('API import'!$A:$A, $A531)&gt;0))</f>
        <v>0</v>
      </c>
      <c r="D531" s="195" t="b">
        <v>0</v>
      </c>
      <c r="E531" s="195">
        <v>4.0</v>
      </c>
      <c r="F531" s="201">
        <f>COUNTIF('Activity map'!$C:$C, $A531)</f>
        <v>1</v>
      </c>
    </row>
    <row r="532">
      <c r="A532" s="26">
        <v>10434.0</v>
      </c>
      <c r="B532" s="23" t="s">
        <v>931</v>
      </c>
      <c r="C532" s="200" t="b">
        <f>IF($D532, TRUE, IF(ISERROR('API import'!$A$1), FALSE, COUNTIF('API import'!$A:$A, $A532)&gt;0))</f>
        <v>0</v>
      </c>
      <c r="D532" s="195" t="b">
        <v>0</v>
      </c>
      <c r="E532" s="195">
        <v>4.0</v>
      </c>
      <c r="F532" s="201">
        <f>COUNTIF('Activity map'!$C:$C, $A532)</f>
        <v>1</v>
      </c>
    </row>
    <row r="533">
      <c r="A533" s="26">
        <v>10408.0</v>
      </c>
      <c r="B533" s="23" t="s">
        <v>932</v>
      </c>
      <c r="C533" s="200" t="b">
        <f>IF($D533, TRUE, IF(ISERROR('API import'!$A$1), FALSE, COUNTIF('API import'!$A:$A, $A533)&gt;0))</f>
        <v>0</v>
      </c>
      <c r="D533" s="195" t="b">
        <v>0</v>
      </c>
      <c r="E533" s="195">
        <v>4.0</v>
      </c>
      <c r="F533" s="201">
        <f>COUNTIF('Activity map'!$C:$C, $A533)</f>
        <v>1</v>
      </c>
    </row>
    <row r="534">
      <c r="A534" s="26">
        <v>10428.0</v>
      </c>
      <c r="B534" s="23" t="s">
        <v>933</v>
      </c>
      <c r="C534" s="202" t="b">
        <f>IF($D534, TRUE, IF(ISERROR('API import'!$A$1), FALSE, COUNTIF('API import'!$A:$A, $A534)&gt;0))</f>
        <v>0</v>
      </c>
      <c r="D534" s="195" t="b">
        <v>0</v>
      </c>
      <c r="E534" s="195">
        <v>4.0</v>
      </c>
      <c r="F534" s="201">
        <f>COUNTIF('Activity map'!$C:$C, $A534)</f>
        <v>1</v>
      </c>
    </row>
    <row r="535">
      <c r="A535" s="26">
        <v>10410.0</v>
      </c>
      <c r="B535" s="23" t="s">
        <v>934</v>
      </c>
      <c r="C535" s="200" t="b">
        <f>IF($D535, TRUE, IF(ISERROR('API import'!$A$1), FALSE, COUNTIF('API import'!$A:$A, $A535)&gt;0))</f>
        <v>0</v>
      </c>
      <c r="D535" s="195" t="b">
        <v>0</v>
      </c>
      <c r="E535" s="195">
        <v>4.0</v>
      </c>
      <c r="F535" s="201">
        <f>COUNTIF('Activity map'!$C:$C, $A535)</f>
        <v>1</v>
      </c>
    </row>
    <row r="536">
      <c r="A536" s="26">
        <v>10430.0</v>
      </c>
      <c r="B536" s="23" t="s">
        <v>935</v>
      </c>
      <c r="C536" s="200" t="b">
        <f>IF($D536, TRUE, IF(ISERROR('API import'!$A$1), FALSE, COUNTIF('API import'!$A:$A, $A536)&gt;0))</f>
        <v>0</v>
      </c>
      <c r="D536" s="195" t="b">
        <v>0</v>
      </c>
      <c r="E536" s="195">
        <v>4.0</v>
      </c>
      <c r="F536" s="201">
        <f>COUNTIF('Activity map'!$C:$C, $A536)</f>
        <v>1</v>
      </c>
    </row>
    <row r="537">
      <c r="A537" s="26">
        <v>10366.0</v>
      </c>
      <c r="B537" s="23" t="s">
        <v>936</v>
      </c>
      <c r="C537" s="202" t="b">
        <f>IF($D537, TRUE, IF(ISERROR('API import'!$A$1), FALSE, COUNTIF('API import'!$A:$A, $A537)&gt;0))</f>
        <v>0</v>
      </c>
      <c r="D537" s="195" t="b">
        <v>0</v>
      </c>
      <c r="E537" s="195">
        <v>2.0</v>
      </c>
      <c r="F537" s="201">
        <f>COUNTIF('Activity map'!$C:$C, $A537)</f>
        <v>1</v>
      </c>
    </row>
    <row r="538">
      <c r="A538" s="26">
        <v>23354.0</v>
      </c>
      <c r="B538" s="23" t="s">
        <v>937</v>
      </c>
      <c r="C538" s="200" t="b">
        <f>IF($D538, TRUE, IF(ISERROR('API import'!$A$1), FALSE, COUNTIF('API import'!$A:$A, $A538)&gt;0))</f>
        <v>0</v>
      </c>
      <c r="D538" s="195" t="b">
        <v>0</v>
      </c>
      <c r="E538" s="195">
        <v>3.0</v>
      </c>
      <c r="F538" s="201">
        <f>COUNTIF('Activity map'!$C:$C, $A538)</f>
        <v>1</v>
      </c>
    </row>
    <row r="539">
      <c r="A539" s="26">
        <v>23360.0</v>
      </c>
      <c r="B539" s="23" t="s">
        <v>938</v>
      </c>
      <c r="C539" s="202" t="b">
        <f>IF($D539, TRUE, IF(ISERROR('API import'!$A$1), FALSE, COUNTIF('API import'!$A:$A, $A539)&gt;0))</f>
        <v>0</v>
      </c>
      <c r="D539" s="195" t="b">
        <v>0</v>
      </c>
      <c r="E539" s="195">
        <v>3.0</v>
      </c>
      <c r="F539" s="201">
        <f>COUNTIF('Activity map'!$C:$C, $A539)</f>
        <v>1</v>
      </c>
    </row>
    <row r="540">
      <c r="A540" s="26">
        <v>23357.0</v>
      </c>
      <c r="B540" s="23" t="s">
        <v>939</v>
      </c>
      <c r="C540" s="202" t="b">
        <f>IF($D540, TRUE, IF(ISERROR('API import'!$A$1), FALSE, COUNTIF('API import'!$A:$A, $A540)&gt;0))</f>
        <v>0</v>
      </c>
      <c r="D540" s="195" t="b">
        <v>0</v>
      </c>
      <c r="E540" s="195">
        <v>3.0</v>
      </c>
      <c r="F540" s="201">
        <f>COUNTIF('Activity map'!$C:$C, $A540)</f>
        <v>1</v>
      </c>
    </row>
    <row r="541">
      <c r="A541" s="26">
        <v>10280.0</v>
      </c>
      <c r="B541" s="23" t="s">
        <v>940</v>
      </c>
      <c r="C541" s="200" t="b">
        <f>IF($D541, TRUE, IF(ISERROR('API import'!$A$1), FALSE, COUNTIF('API import'!$A:$A, $A541)&gt;0))</f>
        <v>0</v>
      </c>
      <c r="D541" s="195" t="b">
        <v>0</v>
      </c>
      <c r="E541" s="195">
        <v>2.0</v>
      </c>
      <c r="F541" s="201">
        <f>COUNTIF('Activity map'!$C:$C, $A541)</f>
        <v>1</v>
      </c>
    </row>
    <row r="542">
      <c r="A542" s="26">
        <v>2577.0</v>
      </c>
      <c r="B542" s="23" t="s">
        <v>941</v>
      </c>
      <c r="C542" s="200" t="b">
        <f>IF($D542, TRUE, IF(ISERROR('API import'!$A$1), FALSE, COUNTIF('API import'!$A:$A, $A542)&gt;0))</f>
        <v>0</v>
      </c>
      <c r="D542" s="195" t="b">
        <v>0</v>
      </c>
      <c r="E542" s="195">
        <v>4.0</v>
      </c>
      <c r="F542" s="201">
        <f>COUNTIF('Activity map'!$C:$C, $A542)</f>
        <v>1</v>
      </c>
    </row>
    <row r="543">
      <c r="A543" s="26">
        <v>2579.0</v>
      </c>
      <c r="B543" s="23" t="s">
        <v>942</v>
      </c>
      <c r="C543" s="202" t="b">
        <f>IF($D543, TRUE, IF(ISERROR('API import'!$A$1), FALSE, COUNTIF('API import'!$A:$A, $A543)&gt;0))</f>
        <v>0</v>
      </c>
      <c r="D543" s="195" t="b">
        <v>0</v>
      </c>
      <c r="E543" s="195">
        <v>4.0</v>
      </c>
      <c r="F543" s="201">
        <f>COUNTIF('Activity map'!$C:$C, $A543)</f>
        <v>1</v>
      </c>
    </row>
    <row r="544">
      <c r="A544" s="26">
        <v>12598.0</v>
      </c>
      <c r="B544" s="23" t="s">
        <v>943</v>
      </c>
      <c r="C544" s="200" t="b">
        <f>IF($D544, TRUE, IF(ISERROR('API import'!$A$1), FALSE, COUNTIF('API import'!$A:$A, $A544)&gt;0))</f>
        <v>0</v>
      </c>
      <c r="D544" s="195" t="b">
        <v>0</v>
      </c>
      <c r="E544" s="195">
        <v>4.0</v>
      </c>
      <c r="F544" s="201">
        <f>COUNTIF('Activity map'!$C:$C, $A544)</f>
        <v>1</v>
      </c>
    </row>
    <row r="545">
      <c r="A545" s="26">
        <v>23413.0</v>
      </c>
      <c r="B545" s="23" t="s">
        <v>944</v>
      </c>
      <c r="C545" s="200" t="b">
        <f>IF($D545, TRUE, IF(ISERROR('API import'!$A$1), FALSE, COUNTIF('API import'!$A:$A, $A545)&gt;0))</f>
        <v>0</v>
      </c>
      <c r="D545" s="195" t="b">
        <v>0</v>
      </c>
      <c r="E545" s="195">
        <v>4.0</v>
      </c>
      <c r="F545" s="201">
        <f>COUNTIF('Activity map'!$C:$C, $A545)</f>
        <v>1</v>
      </c>
    </row>
    <row r="546">
      <c r="A546" s="26">
        <v>23389.0</v>
      </c>
      <c r="B546" s="23" t="s">
        <v>945</v>
      </c>
      <c r="C546" s="200" t="b">
        <f>IF($D546, TRUE, IF(ISERROR('API import'!$A$1), FALSE, COUNTIF('API import'!$A:$A, $A546)&gt;0))</f>
        <v>0</v>
      </c>
      <c r="D546" s="195" t="b">
        <v>0</v>
      </c>
      <c r="E546" s="195">
        <v>4.0</v>
      </c>
      <c r="F546" s="201">
        <f>COUNTIF('Activity map'!$C:$C, $A546)</f>
        <v>1</v>
      </c>
    </row>
    <row r="547">
      <c r="A547" s="26">
        <v>2605.0</v>
      </c>
      <c r="B547" s="23" t="s">
        <v>946</v>
      </c>
      <c r="C547" s="200" t="b">
        <f>IF($D547, TRUE, IF(ISERROR('API import'!$A$1), FALSE, COUNTIF('API import'!$A:$A, $A547)&gt;0))</f>
        <v>0</v>
      </c>
      <c r="D547" s="195" t="b">
        <v>0</v>
      </c>
      <c r="E547" s="195">
        <v>4.0</v>
      </c>
      <c r="F547" s="201">
        <f>COUNTIF('Activity map'!$C:$C, $A547)</f>
        <v>1</v>
      </c>
    </row>
    <row r="548">
      <c r="A548" s="26">
        <v>2599.0</v>
      </c>
      <c r="B548" s="23" t="s">
        <v>947</v>
      </c>
      <c r="C548" s="202" t="b">
        <f>IF($D548, TRUE, IF(ISERROR('API import'!$A$1), FALSE, COUNTIF('API import'!$A:$A, $A548)&gt;0))</f>
        <v>0</v>
      </c>
      <c r="D548" s="195" t="b">
        <v>0</v>
      </c>
      <c r="E548" s="195">
        <v>4.0</v>
      </c>
      <c r="F548" s="201">
        <f>COUNTIF('Activity map'!$C:$C, $A548)</f>
        <v>1</v>
      </c>
    </row>
    <row r="549">
      <c r="A549" s="26">
        <v>2601.0</v>
      </c>
      <c r="B549" s="23" t="s">
        <v>948</v>
      </c>
      <c r="C549" s="200" t="b">
        <f>IF($D549, TRUE, IF(ISERROR('API import'!$A$1), FALSE, COUNTIF('API import'!$A:$A, $A549)&gt;0))</f>
        <v>0</v>
      </c>
      <c r="D549" s="195" t="b">
        <v>0</v>
      </c>
      <c r="E549" s="195">
        <v>4.0</v>
      </c>
      <c r="F549" s="201">
        <f>COUNTIF('Activity map'!$C:$C, $A549)</f>
        <v>1</v>
      </c>
    </row>
    <row r="550">
      <c r="A550" s="26">
        <v>3474.0</v>
      </c>
      <c r="B550" s="23" t="s">
        <v>949</v>
      </c>
      <c r="C550" s="202" t="b">
        <f>IF($D550, TRUE, IF(ISERROR('API import'!$A$1), FALSE, COUNTIF('API import'!$A:$A, $A550)&gt;0))</f>
        <v>0</v>
      </c>
      <c r="D550" s="195" t="b">
        <v>0</v>
      </c>
      <c r="E550" s="195">
        <v>4.0</v>
      </c>
      <c r="F550" s="201">
        <f>COUNTIF('Activity map'!$C:$C, $A550)</f>
        <v>1</v>
      </c>
    </row>
    <row r="551">
      <c r="A551" s="26">
        <v>2603.0</v>
      </c>
      <c r="B551" s="23" t="s">
        <v>950</v>
      </c>
      <c r="C551" s="200" t="b">
        <f>IF($D551, TRUE, IF(ISERROR('API import'!$A$1), FALSE, COUNTIF('API import'!$A:$A, $A551)&gt;0))</f>
        <v>0</v>
      </c>
      <c r="D551" s="195" t="b">
        <v>0</v>
      </c>
      <c r="E551" s="195">
        <v>4.0</v>
      </c>
      <c r="F551" s="201">
        <f>COUNTIF('Activity map'!$C:$C, $A551)</f>
        <v>1</v>
      </c>
    </row>
    <row r="552">
      <c r="A552" s="26">
        <v>2613.0</v>
      </c>
      <c r="B552" s="23" t="s">
        <v>951</v>
      </c>
      <c r="C552" s="200" t="b">
        <f>IF($D552, TRUE, IF(ISERROR('API import'!$A$1), FALSE, COUNTIF('API import'!$A:$A, $A552)&gt;0))</f>
        <v>0</v>
      </c>
      <c r="D552" s="195" t="b">
        <v>0</v>
      </c>
      <c r="E552" s="195">
        <v>4.0</v>
      </c>
      <c r="F552" s="201">
        <f>COUNTIF('Activity map'!$C:$C, $A552)</f>
        <v>1</v>
      </c>
    </row>
    <row r="553">
      <c r="A553" s="26">
        <v>2607.0</v>
      </c>
      <c r="B553" s="23" t="s">
        <v>952</v>
      </c>
      <c r="C553" s="200" t="b">
        <f>IF($D553, TRUE, IF(ISERROR('API import'!$A$1), FALSE, COUNTIF('API import'!$A:$A, $A553)&gt;0))</f>
        <v>0</v>
      </c>
      <c r="D553" s="195" t="b">
        <v>0</v>
      </c>
      <c r="E553" s="195">
        <v>4.0</v>
      </c>
      <c r="F553" s="201">
        <f>COUNTIF('Activity map'!$C:$C, $A553)</f>
        <v>1</v>
      </c>
    </row>
    <row r="554">
      <c r="A554" s="26">
        <v>2609.0</v>
      </c>
      <c r="B554" s="23" t="s">
        <v>953</v>
      </c>
      <c r="C554" s="200" t="b">
        <f>IF($D554, TRUE, IF(ISERROR('API import'!$A$1), FALSE, COUNTIF('API import'!$A:$A, $A554)&gt;0))</f>
        <v>0</v>
      </c>
      <c r="D554" s="195" t="b">
        <v>0</v>
      </c>
      <c r="E554" s="195">
        <v>4.0</v>
      </c>
      <c r="F554" s="201">
        <f>COUNTIF('Activity map'!$C:$C, $A554)</f>
        <v>1</v>
      </c>
    </row>
    <row r="555">
      <c r="A555" s="26">
        <v>3475.0</v>
      </c>
      <c r="B555" s="23" t="s">
        <v>954</v>
      </c>
      <c r="C555" s="200" t="b">
        <f>IF($D555, TRUE, IF(ISERROR('API import'!$A$1), FALSE, COUNTIF('API import'!$A:$A, $A555)&gt;0))</f>
        <v>0</v>
      </c>
      <c r="D555" s="195" t="b">
        <v>0</v>
      </c>
      <c r="E555" s="195">
        <v>4.0</v>
      </c>
      <c r="F555" s="201">
        <f>COUNTIF('Activity map'!$C:$C, $A555)</f>
        <v>1</v>
      </c>
    </row>
    <row r="556">
      <c r="A556" s="26">
        <v>2611.0</v>
      </c>
      <c r="B556" s="23" t="s">
        <v>955</v>
      </c>
      <c r="C556" s="200" t="b">
        <f>IF($D556, TRUE, IF(ISERROR('API import'!$A$1), FALSE, COUNTIF('API import'!$A:$A, $A556)&gt;0))</f>
        <v>0</v>
      </c>
      <c r="D556" s="195" t="b">
        <v>0</v>
      </c>
      <c r="E556" s="195">
        <v>4.0</v>
      </c>
      <c r="F556" s="201">
        <f>COUNTIF('Activity map'!$C:$C, $A556)</f>
        <v>1</v>
      </c>
    </row>
    <row r="557">
      <c r="A557" s="26">
        <v>7334.0</v>
      </c>
      <c r="B557" s="23" t="s">
        <v>956</v>
      </c>
      <c r="C557" s="202" t="b">
        <f>IF($D557, TRUE, IF(ISERROR('API import'!$A$1), FALSE, COUNTIF('API import'!$A:$A, $A557)&gt;0))</f>
        <v>0</v>
      </c>
      <c r="D557" s="195" t="b">
        <v>0</v>
      </c>
      <c r="E557" s="195">
        <v>4.0</v>
      </c>
      <c r="F557" s="201">
        <f>COUNTIF('Activity map'!$C:$C, $A557)</f>
        <v>1</v>
      </c>
    </row>
    <row r="558">
      <c r="A558" s="26">
        <v>7340.0</v>
      </c>
      <c r="B558" s="23" t="s">
        <v>957</v>
      </c>
      <c r="C558" s="200" t="b">
        <f>IF($D558, TRUE, IF(ISERROR('API import'!$A$1), FALSE, COUNTIF('API import'!$A:$A, $A558)&gt;0))</f>
        <v>0</v>
      </c>
      <c r="D558" s="195" t="b">
        <v>0</v>
      </c>
      <c r="E558" s="195">
        <v>4.0</v>
      </c>
      <c r="F558" s="201">
        <f>COUNTIF('Activity map'!$C:$C, $A558)</f>
        <v>1</v>
      </c>
    </row>
    <row r="559">
      <c r="A559" s="26">
        <v>7346.0</v>
      </c>
      <c r="B559" s="23" t="s">
        <v>958</v>
      </c>
      <c r="C559" s="200" t="b">
        <f>IF($D559, TRUE, IF(ISERROR('API import'!$A$1), FALSE, COUNTIF('API import'!$A:$A, $A559)&gt;0))</f>
        <v>0</v>
      </c>
      <c r="D559" s="195" t="b">
        <v>0</v>
      </c>
      <c r="E559" s="195">
        <v>4.0</v>
      </c>
      <c r="F559" s="201">
        <f>COUNTIF('Activity map'!$C:$C, $A559)</f>
        <v>1</v>
      </c>
    </row>
    <row r="560">
      <c r="A560" s="26">
        <v>7352.0</v>
      </c>
      <c r="B560" s="23" t="s">
        <v>959</v>
      </c>
      <c r="C560" s="200" t="b">
        <f>IF($D560, TRUE, IF(ISERROR('API import'!$A$1), FALSE, COUNTIF('API import'!$A:$A, $A560)&gt;0))</f>
        <v>0</v>
      </c>
      <c r="D560" s="195" t="b">
        <v>0</v>
      </c>
      <c r="E560" s="195">
        <v>4.0</v>
      </c>
      <c r="F560" s="201">
        <f>COUNTIF('Activity map'!$C:$C, $A560)</f>
        <v>1</v>
      </c>
    </row>
    <row r="561">
      <c r="A561" s="26">
        <v>7358.0</v>
      </c>
      <c r="B561" s="23" t="s">
        <v>960</v>
      </c>
      <c r="C561" s="200" t="b">
        <f>IF($D561, TRUE, IF(ISERROR('API import'!$A$1), FALSE, COUNTIF('API import'!$A:$A, $A561)&gt;0))</f>
        <v>0</v>
      </c>
      <c r="D561" s="195" t="b">
        <v>0</v>
      </c>
      <c r="E561" s="195">
        <v>4.0</v>
      </c>
      <c r="F561" s="201">
        <f>COUNTIF('Activity map'!$C:$C, $A561)</f>
        <v>1</v>
      </c>
    </row>
    <row r="562">
      <c r="A562" s="26">
        <v>10296.0</v>
      </c>
      <c r="B562" s="23" t="s">
        <v>961</v>
      </c>
      <c r="C562" s="200" t="b">
        <f>IF($D562, TRUE, IF(ISERROR('API import'!$A$1), FALSE, COUNTIF('API import'!$A:$A, $A562)&gt;0))</f>
        <v>0</v>
      </c>
      <c r="D562" s="195" t="b">
        <v>0</v>
      </c>
      <c r="E562" s="195">
        <v>4.0</v>
      </c>
      <c r="F562" s="201">
        <f>COUNTIF('Activity map'!$C:$C, $A562)</f>
        <v>1</v>
      </c>
    </row>
    <row r="563">
      <c r="A563" s="26">
        <v>10298.0</v>
      </c>
      <c r="B563" s="23" t="s">
        <v>962</v>
      </c>
      <c r="C563" s="202" t="b">
        <f>IF($D563, TRUE, IF(ISERROR('API import'!$A$1), FALSE, COUNTIF('API import'!$A:$A, $A563)&gt;0))</f>
        <v>0</v>
      </c>
      <c r="D563" s="195" t="b">
        <v>0</v>
      </c>
      <c r="E563" s="195">
        <v>4.0</v>
      </c>
      <c r="F563" s="201">
        <f>COUNTIF('Activity map'!$C:$C, $A563)</f>
        <v>1</v>
      </c>
    </row>
    <row r="564">
      <c r="A564" s="26">
        <v>10300.0</v>
      </c>
      <c r="B564" s="23" t="s">
        <v>963</v>
      </c>
      <c r="C564" s="200" t="b">
        <f>IF($D564, TRUE, IF(ISERROR('API import'!$A$1), FALSE, COUNTIF('API import'!$A:$A, $A564)&gt;0))</f>
        <v>0</v>
      </c>
      <c r="D564" s="195" t="b">
        <v>0</v>
      </c>
      <c r="E564" s="195">
        <v>4.0</v>
      </c>
      <c r="F564" s="201">
        <f>COUNTIF('Activity map'!$C:$C, $A564)</f>
        <v>1</v>
      </c>
    </row>
    <row r="565">
      <c r="A565" s="26">
        <v>10302.0</v>
      </c>
      <c r="B565" s="23" t="s">
        <v>964</v>
      </c>
      <c r="C565" s="200" t="b">
        <f>IF($D565, TRUE, IF(ISERROR('API import'!$A$1), FALSE, COUNTIF('API import'!$A:$A, $A565)&gt;0))</f>
        <v>0</v>
      </c>
      <c r="D565" s="195" t="b">
        <v>0</v>
      </c>
      <c r="E565" s="195">
        <v>4.0</v>
      </c>
      <c r="F565" s="201">
        <f>COUNTIF('Activity map'!$C:$C, $A565)</f>
        <v>1</v>
      </c>
    </row>
    <row r="566">
      <c r="A566" s="26">
        <v>10304.0</v>
      </c>
      <c r="B566" s="23" t="s">
        <v>965</v>
      </c>
      <c r="C566" s="202" t="b">
        <f>IF($D566, TRUE, IF(ISERROR('API import'!$A$1), FALSE, COUNTIF('API import'!$A:$A, $A566)&gt;0))</f>
        <v>0</v>
      </c>
      <c r="D566" s="195" t="b">
        <v>0</v>
      </c>
      <c r="E566" s="195">
        <v>4.0</v>
      </c>
      <c r="F566" s="201">
        <f>COUNTIF('Activity map'!$C:$C, $A566)</f>
        <v>1</v>
      </c>
    </row>
    <row r="567">
      <c r="A567" s="26">
        <v>23392.0</v>
      </c>
      <c r="B567" s="23" t="s">
        <v>966</v>
      </c>
      <c r="C567" s="200" t="b">
        <f>IF($D567, TRUE, IF(ISERROR('API import'!$A$1), FALSE, COUNTIF('API import'!$A:$A, $A567)&gt;0))</f>
        <v>0</v>
      </c>
      <c r="D567" s="195" t="b">
        <v>0</v>
      </c>
      <c r="E567" s="195">
        <v>4.0</v>
      </c>
      <c r="F567" s="201">
        <f>COUNTIF('Activity map'!$C:$C, $A567)</f>
        <v>1</v>
      </c>
    </row>
    <row r="568">
      <c r="A568" s="26">
        <v>23395.0</v>
      </c>
      <c r="B568" s="23" t="s">
        <v>967</v>
      </c>
      <c r="C568" s="200" t="b">
        <f>IF($D568, TRUE, IF(ISERROR('API import'!$A$1), FALSE, COUNTIF('API import'!$A:$A, $A568)&gt;0))</f>
        <v>0</v>
      </c>
      <c r="D568" s="195" t="b">
        <v>0</v>
      </c>
      <c r="E568" s="195">
        <v>4.0</v>
      </c>
      <c r="F568" s="201">
        <f>COUNTIF('Activity map'!$C:$C, $A568)</f>
        <v>1</v>
      </c>
    </row>
    <row r="569">
      <c r="A569" s="26">
        <v>23398.0</v>
      </c>
      <c r="B569" s="23" t="s">
        <v>968</v>
      </c>
      <c r="C569" s="200" t="b">
        <f>IF($D569, TRUE, IF(ISERROR('API import'!$A$1), FALSE, COUNTIF('API import'!$A:$A, $A569)&gt;0))</f>
        <v>0</v>
      </c>
      <c r="D569" s="195" t="b">
        <v>0</v>
      </c>
      <c r="E569" s="195">
        <v>4.0</v>
      </c>
      <c r="F569" s="201">
        <f>COUNTIF('Activity map'!$C:$C, $A569)</f>
        <v>1</v>
      </c>
    </row>
    <row r="570">
      <c r="A570" s="26">
        <v>23401.0</v>
      </c>
      <c r="B570" s="23" t="s">
        <v>969</v>
      </c>
      <c r="C570" s="200" t="b">
        <f>IF($D570, TRUE, IF(ISERROR('API import'!$A$1), FALSE, COUNTIF('API import'!$A:$A, $A570)&gt;0))</f>
        <v>0</v>
      </c>
      <c r="D570" s="195" t="b">
        <v>0</v>
      </c>
      <c r="E570" s="195">
        <v>4.0</v>
      </c>
      <c r="F570" s="201">
        <f>COUNTIF('Activity map'!$C:$C, $A570)</f>
        <v>1</v>
      </c>
    </row>
    <row r="571">
      <c r="A571" s="26">
        <v>23404.0</v>
      </c>
      <c r="B571" s="23" t="s">
        <v>970</v>
      </c>
      <c r="C571" s="200" t="b">
        <f>IF($D571, TRUE, IF(ISERROR('API import'!$A$1), FALSE, COUNTIF('API import'!$A:$A, $A571)&gt;0))</f>
        <v>0</v>
      </c>
      <c r="D571" s="195" t="b">
        <v>0</v>
      </c>
      <c r="E571" s="195">
        <v>4.0</v>
      </c>
      <c r="F571" s="201">
        <f>COUNTIF('Activity map'!$C:$C, $A571)</f>
        <v>1</v>
      </c>
    </row>
    <row r="572">
      <c r="A572" s="26">
        <v>12283.0</v>
      </c>
      <c r="B572" s="23" t="s">
        <v>971</v>
      </c>
      <c r="C572" s="200" t="b">
        <f>IF($D572, TRUE, IF(ISERROR('API import'!$A$1), FALSE, COUNTIF('API import'!$A:$A, $A572)&gt;0))</f>
        <v>0</v>
      </c>
      <c r="D572" s="195" t="b">
        <v>0</v>
      </c>
      <c r="E572" s="195">
        <v>4.0</v>
      </c>
      <c r="F572" s="201">
        <f>COUNTIF('Activity map'!$C:$C, $A572)</f>
        <v>1</v>
      </c>
    </row>
    <row r="573">
      <c r="A573" s="26">
        <v>12277.0</v>
      </c>
      <c r="B573" s="23" t="s">
        <v>972</v>
      </c>
      <c r="C573" s="200" t="b">
        <f>IF($D573, TRUE, IF(ISERROR('API import'!$A$1), FALSE, COUNTIF('API import'!$A:$A, $A573)&gt;0))</f>
        <v>0</v>
      </c>
      <c r="D573" s="195" t="b">
        <v>0</v>
      </c>
      <c r="E573" s="195">
        <v>4.0</v>
      </c>
      <c r="F573" s="201">
        <f>COUNTIF('Activity map'!$C:$C, $A573)</f>
        <v>1</v>
      </c>
    </row>
    <row r="574">
      <c r="A574" s="26">
        <v>12279.0</v>
      </c>
      <c r="B574" s="23" t="s">
        <v>973</v>
      </c>
      <c r="C574" s="200" t="b">
        <f>IF($D574, TRUE, IF(ISERROR('API import'!$A$1), FALSE, COUNTIF('API import'!$A:$A, $A574)&gt;0))</f>
        <v>0</v>
      </c>
      <c r="D574" s="195" t="b">
        <v>0</v>
      </c>
      <c r="E574" s="195">
        <v>4.0</v>
      </c>
      <c r="F574" s="201">
        <f>COUNTIF('Activity map'!$C:$C, $A574)</f>
        <v>1</v>
      </c>
    </row>
    <row r="575">
      <c r="A575" s="26">
        <v>12285.0</v>
      </c>
      <c r="B575" s="23" t="s">
        <v>974</v>
      </c>
      <c r="C575" s="200" t="b">
        <f>IF($D575, TRUE, IF(ISERROR('API import'!$A$1), FALSE, COUNTIF('API import'!$A:$A, $A575)&gt;0))</f>
        <v>0</v>
      </c>
      <c r="D575" s="195" t="b">
        <v>0</v>
      </c>
      <c r="E575" s="195">
        <v>4.0</v>
      </c>
      <c r="F575" s="201">
        <f>COUNTIF('Activity map'!$C:$C, $A575)</f>
        <v>1</v>
      </c>
    </row>
    <row r="576">
      <c r="A576" s="26">
        <v>12281.0</v>
      </c>
      <c r="B576" s="23" t="s">
        <v>975</v>
      </c>
      <c r="C576" s="202" t="b">
        <f>IF($D576, TRUE, IF(ISERROR('API import'!$A$1), FALSE, COUNTIF('API import'!$A:$A, $A576)&gt;0))</f>
        <v>0</v>
      </c>
      <c r="D576" s="195" t="b">
        <v>0</v>
      </c>
      <c r="E576" s="195">
        <v>4.0</v>
      </c>
      <c r="F576" s="201">
        <f>COUNTIF('Activity map'!$C:$C, $A576)</f>
        <v>1</v>
      </c>
    </row>
    <row r="577">
      <c r="A577" s="26">
        <v>12293.0</v>
      </c>
      <c r="B577" s="23" t="s">
        <v>976</v>
      </c>
      <c r="C577" s="202" t="b">
        <f>IF($D577, TRUE, IF(ISERROR('API import'!$A$1), FALSE, COUNTIF('API import'!$A:$A, $A577)&gt;0))</f>
        <v>0</v>
      </c>
      <c r="D577" s="195" t="b">
        <v>0</v>
      </c>
      <c r="E577" s="195">
        <v>4.0</v>
      </c>
      <c r="F577" s="201">
        <f>COUNTIF('Activity map'!$C:$C, $A577)</f>
        <v>1</v>
      </c>
    </row>
    <row r="578">
      <c r="A578" s="26">
        <v>12287.0</v>
      </c>
      <c r="B578" s="23" t="s">
        <v>977</v>
      </c>
      <c r="C578" s="200" t="b">
        <f>IF($D578, TRUE, IF(ISERROR('API import'!$A$1), FALSE, COUNTIF('API import'!$A:$A, $A578)&gt;0))</f>
        <v>0</v>
      </c>
      <c r="D578" s="195" t="b">
        <v>0</v>
      </c>
      <c r="E578" s="195">
        <v>4.0</v>
      </c>
      <c r="F578" s="201">
        <f>COUNTIF('Activity map'!$C:$C, $A578)</f>
        <v>1</v>
      </c>
    </row>
    <row r="579">
      <c r="A579" s="26">
        <v>12289.0</v>
      </c>
      <c r="B579" s="23" t="s">
        <v>978</v>
      </c>
      <c r="C579" s="200" t="b">
        <f>IF($D579, TRUE, IF(ISERROR('API import'!$A$1), FALSE, COUNTIF('API import'!$A:$A, $A579)&gt;0))</f>
        <v>0</v>
      </c>
      <c r="D579" s="195" t="b">
        <v>0</v>
      </c>
      <c r="E579" s="195">
        <v>4.0</v>
      </c>
      <c r="F579" s="201">
        <f>COUNTIF('Activity map'!$C:$C, $A579)</f>
        <v>1</v>
      </c>
    </row>
    <row r="580">
      <c r="A580" s="26">
        <v>12295.0</v>
      </c>
      <c r="B580" s="23" t="s">
        <v>979</v>
      </c>
      <c r="C580" s="200" t="b">
        <f>IF($D580, TRUE, IF(ISERROR('API import'!$A$1), FALSE, COUNTIF('API import'!$A:$A, $A580)&gt;0))</f>
        <v>0</v>
      </c>
      <c r="D580" s="195" t="b">
        <v>0</v>
      </c>
      <c r="E580" s="195">
        <v>4.0</v>
      </c>
      <c r="F580" s="201">
        <f>COUNTIF('Activity map'!$C:$C, $A580)</f>
        <v>1</v>
      </c>
    </row>
    <row r="581">
      <c r="A581" s="26">
        <v>12291.0</v>
      </c>
      <c r="B581" s="23" t="s">
        <v>980</v>
      </c>
      <c r="C581" s="200" t="b">
        <f>IF($D581, TRUE, IF(ISERROR('API import'!$A$1), FALSE, COUNTIF('API import'!$A:$A, $A581)&gt;0))</f>
        <v>0</v>
      </c>
      <c r="D581" s="195" t="b">
        <v>0</v>
      </c>
      <c r="E581" s="195">
        <v>4.0</v>
      </c>
      <c r="F581" s="201">
        <f>COUNTIF('Activity map'!$C:$C, $A581)</f>
        <v>1</v>
      </c>
    </row>
    <row r="582">
      <c r="A582" s="26">
        <v>7370.0</v>
      </c>
      <c r="B582" s="23" t="s">
        <v>981</v>
      </c>
      <c r="C582" s="200" t="b">
        <f>IF($D582, TRUE, IF(ISERROR('API import'!$A$1), FALSE, COUNTIF('API import'!$A:$A, $A582)&gt;0))</f>
        <v>0</v>
      </c>
      <c r="D582" s="195" t="b">
        <v>0</v>
      </c>
      <c r="E582" s="195">
        <v>4.0</v>
      </c>
      <c r="F582" s="201">
        <f>COUNTIF('Activity map'!$C:$C, $A582)</f>
        <v>1</v>
      </c>
    </row>
    <row r="583">
      <c r="A583" s="26">
        <v>7372.0</v>
      </c>
      <c r="B583" s="23" t="s">
        <v>982</v>
      </c>
      <c r="C583" s="200" t="b">
        <f>IF($D583, TRUE, IF(ISERROR('API import'!$A$1), FALSE, COUNTIF('API import'!$A:$A, $A583)&gt;0))</f>
        <v>0</v>
      </c>
      <c r="D583" s="195" t="b">
        <v>0</v>
      </c>
      <c r="E583" s="195">
        <v>4.0</v>
      </c>
      <c r="F583" s="201">
        <f>COUNTIF('Activity map'!$C:$C, $A583)</f>
        <v>1</v>
      </c>
    </row>
    <row r="584">
      <c r="A584" s="26">
        <v>7378.0</v>
      </c>
      <c r="B584" s="23" t="s">
        <v>983</v>
      </c>
      <c r="C584" s="200" t="b">
        <f>IF($D584, TRUE, IF(ISERROR('API import'!$A$1), FALSE, COUNTIF('API import'!$A:$A, $A584)&gt;0))</f>
        <v>0</v>
      </c>
      <c r="D584" s="195" t="b">
        <v>0</v>
      </c>
      <c r="E584" s="195">
        <v>4.0</v>
      </c>
      <c r="F584" s="201">
        <f>COUNTIF('Activity map'!$C:$C, $A584)</f>
        <v>1</v>
      </c>
    </row>
    <row r="585">
      <c r="A585" s="26">
        <v>7380.0</v>
      </c>
      <c r="B585" s="23" t="s">
        <v>984</v>
      </c>
      <c r="C585" s="202" t="b">
        <f>IF($D585, TRUE, IF(ISERROR('API import'!$A$1), FALSE, COUNTIF('API import'!$A:$A, $A585)&gt;0))</f>
        <v>0</v>
      </c>
      <c r="D585" s="195" t="b">
        <v>0</v>
      </c>
      <c r="E585" s="195">
        <v>4.0</v>
      </c>
      <c r="F585" s="201">
        <f>COUNTIF('Activity map'!$C:$C, $A585)</f>
        <v>1</v>
      </c>
    </row>
    <row r="586">
      <c r="A586" s="26">
        <v>10452.0</v>
      </c>
      <c r="B586" s="23" t="s">
        <v>985</v>
      </c>
      <c r="C586" s="200" t="b">
        <f>IF($D586, TRUE, IF(ISERROR('API import'!$A$1), FALSE, COUNTIF('API import'!$A:$A, $A586)&gt;0))</f>
        <v>0</v>
      </c>
      <c r="D586" s="195" t="b">
        <v>0</v>
      </c>
      <c r="E586" s="195">
        <v>4.0</v>
      </c>
      <c r="F586" s="201">
        <f>COUNTIF('Activity map'!$C:$C, $A586)</f>
        <v>1</v>
      </c>
    </row>
    <row r="587">
      <c r="A587" s="26">
        <v>10446.0</v>
      </c>
      <c r="B587" s="23" t="s">
        <v>986</v>
      </c>
      <c r="C587" s="200" t="b">
        <f>IF($D587, TRUE, IF(ISERROR('API import'!$A$1), FALSE, COUNTIF('API import'!$A:$A, $A587)&gt;0))</f>
        <v>0</v>
      </c>
      <c r="D587" s="195" t="b">
        <v>0</v>
      </c>
      <c r="E587" s="195">
        <v>4.0</v>
      </c>
      <c r="F587" s="201">
        <f>COUNTIF('Activity map'!$C:$C, $A587)</f>
        <v>1</v>
      </c>
    </row>
    <row r="588">
      <c r="A588" s="26">
        <v>10454.0</v>
      </c>
      <c r="B588" s="23" t="s">
        <v>987</v>
      </c>
      <c r="C588" s="202" t="b">
        <f>IF($D588, TRUE, IF(ISERROR('API import'!$A$1), FALSE, COUNTIF('API import'!$A:$A, $A588)&gt;0))</f>
        <v>0</v>
      </c>
      <c r="D588" s="195" t="b">
        <v>0</v>
      </c>
      <c r="E588" s="195">
        <v>4.0</v>
      </c>
      <c r="F588" s="201">
        <f>COUNTIF('Activity map'!$C:$C, $A588)</f>
        <v>1</v>
      </c>
    </row>
    <row r="589">
      <c r="A589" s="26">
        <v>10448.0</v>
      </c>
      <c r="B589" s="23" t="s">
        <v>988</v>
      </c>
      <c r="C589" s="200" t="b">
        <f>IF($D589, TRUE, IF(ISERROR('API import'!$A$1), FALSE, COUNTIF('API import'!$A:$A, $A589)&gt;0))</f>
        <v>0</v>
      </c>
      <c r="D589" s="195" t="b">
        <v>0</v>
      </c>
      <c r="E589" s="195">
        <v>4.0</v>
      </c>
      <c r="F589" s="201">
        <f>COUNTIF('Activity map'!$C:$C, $A589)</f>
        <v>1</v>
      </c>
    </row>
    <row r="590">
      <c r="A590" s="26">
        <v>10456.0</v>
      </c>
      <c r="B590" s="23" t="s">
        <v>989</v>
      </c>
      <c r="C590" s="202" t="b">
        <f>IF($D590, TRUE, IF(ISERROR('API import'!$A$1), FALSE, COUNTIF('API import'!$A:$A, $A590)&gt;0))</f>
        <v>0</v>
      </c>
      <c r="D590" s="195" t="b">
        <v>0</v>
      </c>
      <c r="E590" s="195">
        <v>4.0</v>
      </c>
      <c r="F590" s="201">
        <f>COUNTIF('Activity map'!$C:$C, $A590)</f>
        <v>1</v>
      </c>
    </row>
    <row r="591">
      <c r="A591" s="26">
        <v>10450.0</v>
      </c>
      <c r="B591" s="23" t="s">
        <v>990</v>
      </c>
      <c r="C591" s="200" t="b">
        <f>IF($D591, TRUE, IF(ISERROR('API import'!$A$1), FALSE, COUNTIF('API import'!$A:$A, $A591)&gt;0))</f>
        <v>0</v>
      </c>
      <c r="D591" s="195" t="b">
        <v>0</v>
      </c>
      <c r="E591" s="195">
        <v>4.0</v>
      </c>
      <c r="F591" s="201">
        <f>COUNTIF('Activity map'!$C:$C, $A591)</f>
        <v>1</v>
      </c>
    </row>
    <row r="592">
      <c r="A592" s="26">
        <v>12203.0</v>
      </c>
      <c r="B592" s="23" t="s">
        <v>991</v>
      </c>
      <c r="C592" s="200" t="b">
        <f>IF($D592, TRUE, IF(ISERROR('API import'!$A$1), FALSE, COUNTIF('API import'!$A:$A, $A592)&gt;0))</f>
        <v>0</v>
      </c>
      <c r="D592" s="195" t="b">
        <v>0</v>
      </c>
      <c r="E592" s="195">
        <v>4.0</v>
      </c>
      <c r="F592" s="201">
        <f>COUNTIF('Activity map'!$C:$C, $A592)</f>
        <v>1</v>
      </c>
    </row>
    <row r="593">
      <c r="A593" s="26">
        <v>12197.0</v>
      </c>
      <c r="B593" s="23" t="s">
        <v>992</v>
      </c>
      <c r="C593" s="200" t="b">
        <f>IF($D593, TRUE, IF(ISERROR('API import'!$A$1), FALSE, COUNTIF('API import'!$A:$A, $A593)&gt;0))</f>
        <v>0</v>
      </c>
      <c r="D593" s="195" t="b">
        <v>0</v>
      </c>
      <c r="E593" s="195">
        <v>4.0</v>
      </c>
      <c r="F593" s="201">
        <f>COUNTIF('Activity map'!$C:$C, $A593)</f>
        <v>1</v>
      </c>
    </row>
    <row r="594">
      <c r="A594" s="26">
        <v>12201.0</v>
      </c>
      <c r="B594" s="23" t="s">
        <v>993</v>
      </c>
      <c r="C594" s="200" t="b">
        <f>IF($D594, TRUE, IF(ISERROR('API import'!$A$1), FALSE, COUNTIF('API import'!$A:$A, $A594)&gt;0))</f>
        <v>0</v>
      </c>
      <c r="D594" s="195" t="b">
        <v>0</v>
      </c>
      <c r="E594" s="195">
        <v>4.0</v>
      </c>
      <c r="F594" s="201">
        <f>COUNTIF('Activity map'!$C:$C, $A594)</f>
        <v>1</v>
      </c>
    </row>
    <row r="595">
      <c r="A595" s="26">
        <v>12199.0</v>
      </c>
      <c r="B595" s="23" t="s">
        <v>994</v>
      </c>
      <c r="C595" s="200" t="b">
        <f>IF($D595, TRUE, IF(ISERROR('API import'!$A$1), FALSE, COUNTIF('API import'!$A:$A, $A595)&gt;0))</f>
        <v>0</v>
      </c>
      <c r="D595" s="195" t="b">
        <v>0</v>
      </c>
      <c r="E595" s="195">
        <v>4.0</v>
      </c>
      <c r="F595" s="201">
        <f>COUNTIF('Activity map'!$C:$C, $A595)</f>
        <v>1</v>
      </c>
    </row>
    <row r="596">
      <c r="A596" s="26">
        <v>12259.0</v>
      </c>
      <c r="B596" s="23" t="s">
        <v>995</v>
      </c>
      <c r="C596" s="202" t="b">
        <f>IF($D596, TRUE, IF(ISERROR('API import'!$A$1), FALSE, COUNTIF('API import'!$A:$A, $A596)&gt;0))</f>
        <v>0</v>
      </c>
      <c r="D596" s="195" t="b">
        <v>0</v>
      </c>
      <c r="E596" s="195">
        <v>4.0</v>
      </c>
      <c r="F596" s="201">
        <f>COUNTIF('Activity map'!$C:$C, $A596)</f>
        <v>1</v>
      </c>
    </row>
    <row r="597">
      <c r="A597" s="26">
        <v>12261.0</v>
      </c>
      <c r="B597" s="23" t="s">
        <v>996</v>
      </c>
      <c r="C597" s="200" t="b">
        <f>IF($D597, TRUE, IF(ISERROR('API import'!$A$1), FALSE, COUNTIF('API import'!$A:$A, $A597)&gt;0))</f>
        <v>0</v>
      </c>
      <c r="D597" s="195" t="b">
        <v>0</v>
      </c>
      <c r="E597" s="195">
        <v>4.0</v>
      </c>
      <c r="F597" s="201">
        <f>COUNTIF('Activity map'!$C:$C, $A597)</f>
        <v>1</v>
      </c>
    </row>
    <row r="598">
      <c r="A598" s="26">
        <v>12257.0</v>
      </c>
      <c r="B598" s="23" t="s">
        <v>997</v>
      </c>
      <c r="C598" s="202" t="b">
        <f>IF($D598, TRUE, IF(ISERROR('API import'!$A$1), FALSE, COUNTIF('API import'!$A:$A, $A598)&gt;0))</f>
        <v>0</v>
      </c>
      <c r="D598" s="195" t="b">
        <v>0</v>
      </c>
      <c r="E598" s="195">
        <v>4.0</v>
      </c>
      <c r="F598" s="201">
        <f>COUNTIF('Activity map'!$C:$C, $A598)</f>
        <v>1</v>
      </c>
    </row>
    <row r="599">
      <c r="A599" s="26">
        <v>12263.0</v>
      </c>
      <c r="B599" s="23" t="s">
        <v>998</v>
      </c>
      <c r="C599" s="200" t="b">
        <f>IF($D599, TRUE, IF(ISERROR('API import'!$A$1), FALSE, COUNTIF('API import'!$A:$A, $A599)&gt;0))</f>
        <v>0</v>
      </c>
      <c r="D599" s="195" t="b">
        <v>0</v>
      </c>
      <c r="E599" s="195">
        <v>4.0</v>
      </c>
      <c r="F599" s="201">
        <f>COUNTIF('Activity map'!$C:$C, $A599)</f>
        <v>1</v>
      </c>
    </row>
    <row r="600">
      <c r="A600" s="26">
        <v>12271.0</v>
      </c>
      <c r="B600" s="23" t="s">
        <v>999</v>
      </c>
      <c r="C600" s="200" t="b">
        <f>IF($D600, TRUE, IF(ISERROR('API import'!$A$1), FALSE, COUNTIF('API import'!$A:$A, $A600)&gt;0))</f>
        <v>0</v>
      </c>
      <c r="D600" s="195" t="b">
        <v>0</v>
      </c>
      <c r="E600" s="195">
        <v>4.0</v>
      </c>
      <c r="F600" s="201">
        <f>COUNTIF('Activity map'!$C:$C, $A600)</f>
        <v>1</v>
      </c>
    </row>
    <row r="601">
      <c r="A601" s="26">
        <v>12273.0</v>
      </c>
      <c r="B601" s="23" t="s">
        <v>1000</v>
      </c>
      <c r="C601" s="200" t="b">
        <f>IF($D601, TRUE, IF(ISERROR('API import'!$A$1), FALSE, COUNTIF('API import'!$A:$A, $A601)&gt;0))</f>
        <v>0</v>
      </c>
      <c r="D601" s="195" t="b">
        <v>0</v>
      </c>
      <c r="E601" s="195">
        <v>4.0</v>
      </c>
      <c r="F601" s="201">
        <f>COUNTIF('Activity map'!$C:$C, $A601)</f>
        <v>1</v>
      </c>
    </row>
    <row r="602">
      <c r="A602" s="26">
        <v>12269.0</v>
      </c>
      <c r="B602" s="23" t="s">
        <v>1001</v>
      </c>
      <c r="C602" s="200" t="b">
        <f>IF($D602, TRUE, IF(ISERROR('API import'!$A$1), FALSE, COUNTIF('API import'!$A:$A, $A602)&gt;0))</f>
        <v>0</v>
      </c>
      <c r="D602" s="195" t="b">
        <v>0</v>
      </c>
      <c r="E602" s="195">
        <v>4.0</v>
      </c>
      <c r="F602" s="201">
        <f>COUNTIF('Activity map'!$C:$C, $A602)</f>
        <v>1</v>
      </c>
    </row>
    <row r="603">
      <c r="A603" s="26">
        <v>12275.0</v>
      </c>
      <c r="B603" s="23" t="s">
        <v>1002</v>
      </c>
      <c r="C603" s="200" t="b">
        <f>IF($D603, TRUE, IF(ISERROR('API import'!$A$1), FALSE, COUNTIF('API import'!$A:$A, $A603)&gt;0))</f>
        <v>0</v>
      </c>
      <c r="D603" s="195" t="b">
        <v>0</v>
      </c>
      <c r="E603" s="195">
        <v>4.0</v>
      </c>
      <c r="F603" s="201">
        <f>COUNTIF('Activity map'!$C:$C, $A603)</f>
        <v>1</v>
      </c>
    </row>
    <row r="604">
      <c r="A604" s="26">
        <v>7319.0</v>
      </c>
      <c r="B604" s="23" t="s">
        <v>1003</v>
      </c>
      <c r="C604" s="200" t="b">
        <f>IF($D604, TRUE, IF(ISERROR('API import'!$A$1), FALSE, COUNTIF('API import'!$A:$A, $A604)&gt;0))</f>
        <v>0</v>
      </c>
      <c r="D604" s="195" t="b">
        <v>0</v>
      </c>
      <c r="E604" s="195">
        <v>4.0</v>
      </c>
      <c r="F604" s="201">
        <f>COUNTIF('Activity map'!$C:$C, $A604)</f>
        <v>1</v>
      </c>
    </row>
    <row r="605">
      <c r="A605" s="26">
        <v>7323.0</v>
      </c>
      <c r="B605" s="23" t="s">
        <v>1004</v>
      </c>
      <c r="C605" s="200" t="b">
        <f>IF($D605, TRUE, IF(ISERROR('API import'!$A$1), FALSE, COUNTIF('API import'!$A:$A, $A605)&gt;0))</f>
        <v>0</v>
      </c>
      <c r="D605" s="195" t="b">
        <v>0</v>
      </c>
      <c r="E605" s="195">
        <v>4.0</v>
      </c>
      <c r="F605" s="201">
        <f>COUNTIF('Activity map'!$C:$C, $A605)</f>
        <v>1</v>
      </c>
    </row>
    <row r="606">
      <c r="A606" s="26">
        <v>7321.0</v>
      </c>
      <c r="B606" s="23" t="s">
        <v>1005</v>
      </c>
      <c r="C606" s="200" t="b">
        <f>IF($D606, TRUE, IF(ISERROR('API import'!$A$1), FALSE, COUNTIF('API import'!$A:$A, $A606)&gt;0))</f>
        <v>0</v>
      </c>
      <c r="D606" s="195" t="b">
        <v>0</v>
      </c>
      <c r="E606" s="195">
        <v>4.0</v>
      </c>
      <c r="F606" s="201">
        <f>COUNTIF('Activity map'!$C:$C, $A606)</f>
        <v>1</v>
      </c>
    </row>
    <row r="607">
      <c r="A607" s="26">
        <v>7327.0</v>
      </c>
      <c r="B607" s="23" t="s">
        <v>1006</v>
      </c>
      <c r="C607" s="200" t="b">
        <f>IF($D607, TRUE, IF(ISERROR('API import'!$A$1), FALSE, COUNTIF('API import'!$A:$A, $A607)&gt;0))</f>
        <v>0</v>
      </c>
      <c r="D607" s="195" t="b">
        <v>0</v>
      </c>
      <c r="E607" s="195">
        <v>4.0</v>
      </c>
      <c r="F607" s="201">
        <f>COUNTIF('Activity map'!$C:$C, $A607)</f>
        <v>1</v>
      </c>
    </row>
    <row r="608">
      <c r="A608" s="26">
        <v>7325.0</v>
      </c>
      <c r="B608" s="23" t="s">
        <v>1007</v>
      </c>
      <c r="C608" s="202" t="b">
        <f>IF($D608, TRUE, IF(ISERROR('API import'!$A$1), FALSE, COUNTIF('API import'!$A:$A, $A608)&gt;0))</f>
        <v>0</v>
      </c>
      <c r="D608" s="195" t="b">
        <v>0</v>
      </c>
      <c r="E608" s="195">
        <v>4.0</v>
      </c>
      <c r="F608" s="201">
        <f>COUNTIF('Activity map'!$C:$C, $A608)</f>
        <v>1</v>
      </c>
    </row>
    <row r="609">
      <c r="A609" s="26">
        <v>12309.0</v>
      </c>
      <c r="B609" s="23" t="s">
        <v>1008</v>
      </c>
      <c r="C609" s="200" t="b">
        <f>IF($D609, TRUE, IF(ISERROR('API import'!$A$1), FALSE, COUNTIF('API import'!$A:$A, $A609)&gt;0))</f>
        <v>0</v>
      </c>
      <c r="D609" s="195" t="b">
        <v>0</v>
      </c>
      <c r="E609" s="195">
        <v>4.0</v>
      </c>
      <c r="F609" s="201">
        <f>COUNTIF('Activity map'!$C:$C, $A609)</f>
        <v>1</v>
      </c>
    </row>
    <row r="610">
      <c r="A610" s="26">
        <v>12311.0</v>
      </c>
      <c r="B610" s="23" t="s">
        <v>1009</v>
      </c>
      <c r="C610" s="200" t="b">
        <f>IF($D610, TRUE, IF(ISERROR('API import'!$A$1), FALSE, COUNTIF('API import'!$A:$A, $A610)&gt;0))</f>
        <v>0</v>
      </c>
      <c r="D610" s="195" t="b">
        <v>0</v>
      </c>
      <c r="E610" s="195">
        <v>4.0</v>
      </c>
      <c r="F610" s="201">
        <f>COUNTIF('Activity map'!$C:$C, $A610)</f>
        <v>1</v>
      </c>
    </row>
    <row r="611">
      <c r="A611" s="26">
        <v>12313.0</v>
      </c>
      <c r="B611" s="23" t="s">
        <v>1010</v>
      </c>
      <c r="C611" s="200" t="b">
        <f>IF($D611, TRUE, IF(ISERROR('API import'!$A$1), FALSE, COUNTIF('API import'!$A:$A, $A611)&gt;0))</f>
        <v>0</v>
      </c>
      <c r="D611" s="195" t="b">
        <v>0</v>
      </c>
      <c r="E611" s="195">
        <v>4.0</v>
      </c>
      <c r="F611" s="201">
        <f>COUNTIF('Activity map'!$C:$C, $A611)</f>
        <v>1</v>
      </c>
    </row>
    <row r="612">
      <c r="A612" s="26">
        <v>2645.0</v>
      </c>
      <c r="B612" s="23" t="s">
        <v>1011</v>
      </c>
      <c r="C612" s="202" t="b">
        <f>IF($D612, TRUE, IF(ISERROR('API import'!$A$1), FALSE, COUNTIF('API import'!$A:$A, $A612)&gt;0))</f>
        <v>0</v>
      </c>
      <c r="D612" s="195" t="b">
        <v>0</v>
      </c>
      <c r="E612" s="195">
        <v>4.0</v>
      </c>
      <c r="F612" s="201">
        <f>COUNTIF('Activity map'!$C:$C, $A612)</f>
        <v>1</v>
      </c>
    </row>
    <row r="613">
      <c r="A613" s="26">
        <v>2647.0</v>
      </c>
      <c r="B613" s="23" t="s">
        <v>1012</v>
      </c>
      <c r="C613" s="200" t="b">
        <f>IF($D613, TRUE, IF(ISERROR('API import'!$A$1), FALSE, COUNTIF('API import'!$A:$A, $A613)&gt;0))</f>
        <v>0</v>
      </c>
      <c r="D613" s="195" t="b">
        <v>0</v>
      </c>
      <c r="E613" s="195">
        <v>4.0</v>
      </c>
      <c r="F613" s="201">
        <f>COUNTIF('Activity map'!$C:$C, $A613)</f>
        <v>1</v>
      </c>
    </row>
    <row r="614">
      <c r="A614" s="26">
        <v>2649.0</v>
      </c>
      <c r="B614" s="23" t="s">
        <v>1013</v>
      </c>
      <c r="C614" s="200" t="b">
        <f>IF($D614, TRUE, IF(ISERROR('API import'!$A$1), FALSE, COUNTIF('API import'!$A:$A, $A614)&gt;0))</f>
        <v>0</v>
      </c>
      <c r="D614" s="195" t="b">
        <v>0</v>
      </c>
      <c r="E614" s="195">
        <v>4.0</v>
      </c>
      <c r="F614" s="201">
        <f>COUNTIF('Activity map'!$C:$C, $A614)</f>
        <v>1</v>
      </c>
    </row>
    <row r="615">
      <c r="A615" s="26">
        <v>12299.0</v>
      </c>
      <c r="B615" s="23" t="s">
        <v>1014</v>
      </c>
      <c r="C615" s="200" t="b">
        <f>IF($D615, TRUE, IF(ISERROR('API import'!$A$1), FALSE, COUNTIF('API import'!$A:$A, $A615)&gt;0))</f>
        <v>0</v>
      </c>
      <c r="D615" s="195" t="b">
        <v>0</v>
      </c>
      <c r="E615" s="195">
        <v>4.0</v>
      </c>
      <c r="F615" s="201">
        <f>COUNTIF('Activity map'!$C:$C, $A615)</f>
        <v>1</v>
      </c>
    </row>
    <row r="616">
      <c r="A616" s="26">
        <v>12301.0</v>
      </c>
      <c r="B616" s="23" t="s">
        <v>1015</v>
      </c>
      <c r="C616" s="200" t="b">
        <f>IF($D616, TRUE, IF(ISERROR('API import'!$A$1), FALSE, COUNTIF('API import'!$A:$A, $A616)&gt;0))</f>
        <v>0</v>
      </c>
      <c r="D616" s="195" t="b">
        <v>0</v>
      </c>
      <c r="E616" s="195">
        <v>4.0</v>
      </c>
      <c r="F616" s="201">
        <f>COUNTIF('Activity map'!$C:$C, $A616)</f>
        <v>1</v>
      </c>
    </row>
    <row r="617">
      <c r="A617" s="26">
        <v>12303.0</v>
      </c>
      <c r="B617" s="23" t="s">
        <v>1016</v>
      </c>
      <c r="C617" s="202" t="b">
        <f>IF($D617, TRUE, IF(ISERROR('API import'!$A$1), FALSE, COUNTIF('API import'!$A:$A, $A617)&gt;0))</f>
        <v>0</v>
      </c>
      <c r="D617" s="195" t="b">
        <v>0</v>
      </c>
      <c r="E617" s="195">
        <v>4.0</v>
      </c>
      <c r="F617" s="201">
        <f>COUNTIF('Activity map'!$C:$C, $A617)</f>
        <v>1</v>
      </c>
    </row>
    <row r="618">
      <c r="A618" s="26">
        <v>12305.0</v>
      </c>
      <c r="B618" s="23" t="s">
        <v>1017</v>
      </c>
      <c r="C618" s="202" t="b">
        <f>IF($D618, TRUE, IF(ISERROR('API import'!$A$1), FALSE, COUNTIF('API import'!$A:$A, $A618)&gt;0))</f>
        <v>0</v>
      </c>
      <c r="D618" s="195" t="b">
        <v>0</v>
      </c>
      <c r="E618" s="195">
        <v>4.0</v>
      </c>
      <c r="F618" s="201">
        <f>COUNTIF('Activity map'!$C:$C, $A618)</f>
        <v>1</v>
      </c>
    </row>
    <row r="619">
      <c r="A619" s="26">
        <v>12307.0</v>
      </c>
      <c r="B619" s="23" t="s">
        <v>1018</v>
      </c>
      <c r="C619" s="202" t="b">
        <f>IF($D619, TRUE, IF(ISERROR('API import'!$A$1), FALSE, COUNTIF('API import'!$A:$A, $A619)&gt;0))</f>
        <v>0</v>
      </c>
      <c r="D619" s="195" t="b">
        <v>0</v>
      </c>
      <c r="E619" s="195">
        <v>4.0</v>
      </c>
      <c r="F619" s="201">
        <f>COUNTIF('Activity map'!$C:$C, $A619)</f>
        <v>1</v>
      </c>
    </row>
    <row r="620">
      <c r="A620" s="26">
        <v>12319.0</v>
      </c>
      <c r="B620" s="23" t="s">
        <v>1019</v>
      </c>
      <c r="C620" s="200" t="b">
        <f>IF($D620, TRUE, IF(ISERROR('API import'!$A$1), FALSE, COUNTIF('API import'!$A:$A, $A620)&gt;0))</f>
        <v>0</v>
      </c>
      <c r="D620" s="195" t="b">
        <v>0</v>
      </c>
      <c r="E620" s="195">
        <v>4.0</v>
      </c>
      <c r="F620" s="201">
        <f>COUNTIF('Activity map'!$C:$C, $A620)</f>
        <v>1</v>
      </c>
    </row>
    <row r="621">
      <c r="A621" s="26">
        <v>20240.0</v>
      </c>
      <c r="B621" s="23" t="s">
        <v>1020</v>
      </c>
      <c r="C621" s="200" t="b">
        <f>IF($D621, TRUE, IF(ISERROR('API import'!$A$1), FALSE, COUNTIF('API import'!$A:$A, $A621)&gt;0))</f>
        <v>0</v>
      </c>
      <c r="D621" s="195" t="b">
        <v>0</v>
      </c>
      <c r="E621" s="195">
        <v>4.0</v>
      </c>
      <c r="F621" s="201">
        <f>COUNTIF('Activity map'!$C:$C, $A621)</f>
        <v>1</v>
      </c>
    </row>
    <row r="622">
      <c r="A622" s="26">
        <v>20243.0</v>
      </c>
      <c r="B622" s="23" t="s">
        <v>1021</v>
      </c>
      <c r="C622" s="200" t="b">
        <f>IF($D622, TRUE, IF(ISERROR('API import'!$A$1), FALSE, COUNTIF('API import'!$A:$A, $A622)&gt;0))</f>
        <v>0</v>
      </c>
      <c r="D622" s="195" t="b">
        <v>0</v>
      </c>
      <c r="E622" s="195">
        <v>4.0</v>
      </c>
      <c r="F622" s="201">
        <f>COUNTIF('Activity map'!$C:$C, $A622)</f>
        <v>1</v>
      </c>
    </row>
    <row r="623">
      <c r="A623" s="26">
        <v>12377.0</v>
      </c>
      <c r="B623" s="23" t="s">
        <v>1022</v>
      </c>
      <c r="C623" s="200" t="b">
        <f>IF($D623, TRUE, IF(ISERROR('API import'!$A$1), FALSE, COUNTIF('API import'!$A:$A, $A623)&gt;0))</f>
        <v>0</v>
      </c>
      <c r="D623" s="195" t="b">
        <v>0</v>
      </c>
      <c r="E623" s="195">
        <v>4.0</v>
      </c>
      <c r="F623" s="201">
        <f>COUNTIF('Activity map'!$C:$C, $A623)</f>
        <v>1</v>
      </c>
    </row>
    <row r="624">
      <c r="A624" s="26">
        <v>20251.0</v>
      </c>
      <c r="B624" s="23" t="s">
        <v>1023</v>
      </c>
      <c r="C624" s="200" t="b">
        <f>IF($D624, TRUE, IF(ISERROR('API import'!$A$1), FALSE, COUNTIF('API import'!$A:$A, $A624)&gt;0))</f>
        <v>0</v>
      </c>
      <c r="D624" s="195" t="b">
        <v>0</v>
      </c>
      <c r="E624" s="195">
        <v>4.0</v>
      </c>
      <c r="F624" s="201">
        <f>COUNTIF('Activity map'!$C:$C, $A624)</f>
        <v>1</v>
      </c>
    </row>
    <row r="625">
      <c r="A625" s="26">
        <v>20260.0</v>
      </c>
      <c r="B625" s="23" t="s">
        <v>1024</v>
      </c>
      <c r="C625" s="200" t="b">
        <f>IF($D625, TRUE, IF(ISERROR('API import'!$A$1), FALSE, COUNTIF('API import'!$A:$A, $A625)&gt;0))</f>
        <v>0</v>
      </c>
      <c r="D625" s="195" t="b">
        <v>0</v>
      </c>
      <c r="E625" s="195">
        <v>4.0</v>
      </c>
      <c r="F625" s="201">
        <f>COUNTIF('Activity map'!$C:$C, $A625)</f>
        <v>1</v>
      </c>
    </row>
    <row r="626">
      <c r="A626" s="26">
        <v>20254.0</v>
      </c>
      <c r="B626" s="23" t="s">
        <v>1025</v>
      </c>
      <c r="C626" s="202" t="b">
        <f>IF($D626, TRUE, IF(ISERROR('API import'!$A$1), FALSE, COUNTIF('API import'!$A:$A, $A626)&gt;0))</f>
        <v>0</v>
      </c>
      <c r="D626" s="195" t="b">
        <v>0</v>
      </c>
      <c r="E626" s="195">
        <v>4.0</v>
      </c>
      <c r="F626" s="201">
        <f>COUNTIF('Activity map'!$C:$C, $A626)</f>
        <v>1</v>
      </c>
    </row>
    <row r="627">
      <c r="A627" s="26">
        <v>20263.0</v>
      </c>
      <c r="B627" s="23" t="s">
        <v>1026</v>
      </c>
      <c r="C627" s="200" t="b">
        <f>IF($D627, TRUE, IF(ISERROR('API import'!$A$1), FALSE, COUNTIF('API import'!$A:$A, $A627)&gt;0))</f>
        <v>0</v>
      </c>
      <c r="D627" s="195" t="b">
        <v>0</v>
      </c>
      <c r="E627" s="195">
        <v>4.0</v>
      </c>
      <c r="F627" s="201">
        <f>COUNTIF('Activity map'!$C:$C, $A627)</f>
        <v>1</v>
      </c>
    </row>
    <row r="628">
      <c r="A628" s="26">
        <v>20257.0</v>
      </c>
      <c r="B628" s="23" t="s">
        <v>1027</v>
      </c>
      <c r="C628" s="202" t="b">
        <f>IF($D628, TRUE, IF(ISERROR('API import'!$A$1), FALSE, COUNTIF('API import'!$A:$A, $A628)&gt;0))</f>
        <v>0</v>
      </c>
      <c r="D628" s="195" t="b">
        <v>0</v>
      </c>
      <c r="E628" s="195">
        <v>4.0</v>
      </c>
      <c r="F628" s="201">
        <f>COUNTIF('Activity map'!$C:$C, $A628)</f>
        <v>1</v>
      </c>
    </row>
    <row r="629">
      <c r="A629" s="26">
        <v>20272.0</v>
      </c>
      <c r="B629" s="23" t="s">
        <v>1028</v>
      </c>
      <c r="C629" s="200" t="b">
        <f>IF($D629, TRUE, IF(ISERROR('API import'!$A$1), FALSE, COUNTIF('API import'!$A:$A, $A629)&gt;0))</f>
        <v>0</v>
      </c>
      <c r="D629" s="195" t="b">
        <v>0</v>
      </c>
      <c r="E629" s="195">
        <v>4.0</v>
      </c>
      <c r="F629" s="201">
        <f>COUNTIF('Activity map'!$C:$C, $A629)</f>
        <v>1</v>
      </c>
    </row>
    <row r="630">
      <c r="A630" s="26">
        <v>20266.0</v>
      </c>
      <c r="B630" s="23" t="s">
        <v>1029</v>
      </c>
      <c r="C630" s="200" t="b">
        <f>IF($D630, TRUE, IF(ISERROR('API import'!$A$1), FALSE, COUNTIF('API import'!$A:$A, $A630)&gt;0))</f>
        <v>0</v>
      </c>
      <c r="D630" s="195" t="b">
        <v>0</v>
      </c>
      <c r="E630" s="195">
        <v>5.0</v>
      </c>
      <c r="F630" s="201">
        <f>COUNTIF('Activity map'!$C:$C, $A630)</f>
        <v>1</v>
      </c>
    </row>
    <row r="631">
      <c r="A631" s="26">
        <v>20269.0</v>
      </c>
      <c r="B631" s="23" t="s">
        <v>1030</v>
      </c>
      <c r="C631" s="200" t="b">
        <f>IF($D631, TRUE, IF(ISERROR('API import'!$A$1), FALSE, COUNTIF('API import'!$A:$A, $A631)&gt;0))</f>
        <v>0</v>
      </c>
      <c r="D631" s="195" t="b">
        <v>0</v>
      </c>
      <c r="E631" s="195">
        <v>5.0</v>
      </c>
      <c r="F631" s="201">
        <f>COUNTIF('Activity map'!$C:$C, $A631)</f>
        <v>1</v>
      </c>
    </row>
    <row r="632">
      <c r="A632" s="26">
        <v>12361.0</v>
      </c>
      <c r="B632" s="23" t="s">
        <v>1031</v>
      </c>
      <c r="C632" s="200" t="b">
        <f>IF($D632, TRUE, IF(ISERROR('API import'!$A$1), FALSE, COUNTIF('API import'!$A:$A, $A632)&gt;0))</f>
        <v>0</v>
      </c>
      <c r="D632" s="195" t="b">
        <v>0</v>
      </c>
      <c r="E632" s="195">
        <v>4.0</v>
      </c>
      <c r="F632" s="201">
        <f>COUNTIF('Activity map'!$C:$C, $A632)</f>
        <v>1</v>
      </c>
    </row>
    <row r="633">
      <c r="A633" s="26">
        <v>12428.0</v>
      </c>
      <c r="B633" s="23" t="s">
        <v>1032</v>
      </c>
      <c r="C633" s="202" t="b">
        <f>IF($D633, TRUE, IF(ISERROR('API import'!$A$1), FALSE, COUNTIF('API import'!$A:$A, $A633)&gt;0))</f>
        <v>0</v>
      </c>
      <c r="D633" s="195" t="b">
        <v>0</v>
      </c>
      <c r="E633" s="195">
        <v>4.0</v>
      </c>
      <c r="F633" s="201">
        <f>COUNTIF('Activity map'!$C:$C, $A633)</f>
        <v>1</v>
      </c>
    </row>
    <row r="634">
      <c r="A634" s="26">
        <v>12359.0</v>
      </c>
      <c r="B634" s="23" t="s">
        <v>1033</v>
      </c>
      <c r="C634" s="202" t="b">
        <f>IF($D634, TRUE, IF(ISERROR('API import'!$A$1), FALSE, COUNTIF('API import'!$A:$A, $A634)&gt;0))</f>
        <v>0</v>
      </c>
      <c r="D634" s="195" t="b">
        <v>0</v>
      </c>
      <c r="E634" s="195">
        <v>4.0</v>
      </c>
      <c r="F634" s="201">
        <f>COUNTIF('Activity map'!$C:$C, $A634)</f>
        <v>1</v>
      </c>
    </row>
    <row r="635">
      <c r="A635" s="26">
        <v>20246.0</v>
      </c>
      <c r="B635" s="23" t="s">
        <v>1034</v>
      </c>
      <c r="C635" s="202" t="b">
        <f>IF($D635, TRUE, IF(ISERROR('API import'!$A$1), FALSE, COUNTIF('API import'!$A:$A, $A635)&gt;0))</f>
        <v>0</v>
      </c>
      <c r="D635" s="195" t="b">
        <v>0</v>
      </c>
      <c r="E635" s="195">
        <v>4.0</v>
      </c>
      <c r="F635" s="201">
        <f>COUNTIF('Activity map'!$C:$C, $A635)</f>
        <v>1</v>
      </c>
    </row>
    <row r="636">
      <c r="A636" s="26">
        <v>23407.0</v>
      </c>
      <c r="B636" s="23" t="s">
        <v>1035</v>
      </c>
      <c r="C636" s="200" t="b">
        <f>IF($D636, TRUE, IF(ISERROR('API import'!$A$1), FALSE, COUNTIF('API import'!$A:$A, $A636)&gt;0))</f>
        <v>0</v>
      </c>
      <c r="D636" s="195" t="b">
        <v>0</v>
      </c>
      <c r="E636" s="195">
        <v>4.0</v>
      </c>
      <c r="F636" s="201">
        <f>COUNTIF('Activity map'!$C:$C, $A636)</f>
        <v>1</v>
      </c>
    </row>
    <row r="637">
      <c r="A637" s="26">
        <v>23410.0</v>
      </c>
      <c r="B637" s="23" t="s">
        <v>1036</v>
      </c>
      <c r="C637" s="200" t="b">
        <f>IF($D637, TRUE, IF(ISERROR('API import'!$A$1), FALSE, COUNTIF('API import'!$A:$A, $A637)&gt;0))</f>
        <v>0</v>
      </c>
      <c r="D637" s="195" t="b">
        <v>0</v>
      </c>
      <c r="E637" s="195">
        <v>4.0</v>
      </c>
      <c r="F637" s="201">
        <f>COUNTIF('Activity map'!$C:$C, $A637)</f>
        <v>1</v>
      </c>
    </row>
    <row r="638">
      <c r="A638" s="26">
        <v>10416.0</v>
      </c>
      <c r="B638" s="23" t="s">
        <v>1037</v>
      </c>
      <c r="C638" s="200" t="b">
        <f>IF($D638, TRUE, IF(ISERROR('API import'!$A$1), FALSE, COUNTIF('API import'!$A:$A, $A638)&gt;0))</f>
        <v>0</v>
      </c>
      <c r="D638" s="195" t="b">
        <v>0</v>
      </c>
      <c r="E638" s="195">
        <v>5.0</v>
      </c>
      <c r="F638" s="201">
        <f>COUNTIF('Activity map'!$C:$C, $A638)</f>
        <v>1</v>
      </c>
    </row>
    <row r="639">
      <c r="A639" s="26">
        <v>10436.0</v>
      </c>
      <c r="B639" s="23" t="s">
        <v>1038</v>
      </c>
      <c r="C639" s="202" t="b">
        <f>IF($D639, TRUE, IF(ISERROR('API import'!$A$1), FALSE, COUNTIF('API import'!$A:$A, $A639)&gt;0))</f>
        <v>0</v>
      </c>
      <c r="D639" s="195" t="b">
        <v>0</v>
      </c>
      <c r="E639" s="195">
        <v>5.0</v>
      </c>
      <c r="F639" s="201">
        <f>COUNTIF('Activity map'!$C:$C, $A639)</f>
        <v>1</v>
      </c>
    </row>
    <row r="640">
      <c r="A640" s="26">
        <v>10418.0</v>
      </c>
      <c r="B640" s="23" t="s">
        <v>1039</v>
      </c>
      <c r="C640" s="200" t="b">
        <f>IF($D640, TRUE, IF(ISERROR('API import'!$A$1), FALSE, COUNTIF('API import'!$A:$A, $A640)&gt;0))</f>
        <v>0</v>
      </c>
      <c r="D640" s="195" t="b">
        <v>0</v>
      </c>
      <c r="E640" s="195">
        <v>5.0</v>
      </c>
      <c r="F640" s="201">
        <f>COUNTIF('Activity map'!$C:$C, $A640)</f>
        <v>1</v>
      </c>
    </row>
    <row r="641">
      <c r="A641" s="26">
        <v>10438.0</v>
      </c>
      <c r="B641" s="23" t="s">
        <v>1040</v>
      </c>
      <c r="C641" s="200" t="b">
        <f>IF($D641, TRUE, IF(ISERROR('API import'!$A$1), FALSE, COUNTIF('API import'!$A:$A, $A641)&gt;0))</f>
        <v>0</v>
      </c>
      <c r="D641" s="195" t="b">
        <v>0</v>
      </c>
      <c r="E641" s="195">
        <v>5.0</v>
      </c>
      <c r="F641" s="201">
        <f>COUNTIF('Activity map'!$C:$C, $A641)</f>
        <v>1</v>
      </c>
    </row>
    <row r="642">
      <c r="A642" s="26">
        <v>10400.0</v>
      </c>
      <c r="B642" s="23" t="s">
        <v>1041</v>
      </c>
      <c r="C642" s="200" t="b">
        <f>IF($D642, TRUE, IF(ISERROR('API import'!$A$1), FALSE, COUNTIF('API import'!$A:$A, $A642)&gt;0))</f>
        <v>0</v>
      </c>
      <c r="D642" s="195" t="b">
        <v>0</v>
      </c>
      <c r="E642" s="195">
        <v>5.0</v>
      </c>
      <c r="F642" s="201">
        <f>COUNTIF('Activity map'!$C:$C, $A642)</f>
        <v>1</v>
      </c>
    </row>
    <row r="643">
      <c r="A643" s="26">
        <v>10420.0</v>
      </c>
      <c r="B643" s="23" t="s">
        <v>1042</v>
      </c>
      <c r="C643" s="200" t="b">
        <f>IF($D643, TRUE, IF(ISERROR('API import'!$A$1), FALSE, COUNTIF('API import'!$A:$A, $A643)&gt;0))</f>
        <v>0</v>
      </c>
      <c r="D643" s="195" t="b">
        <v>0</v>
      </c>
      <c r="E643" s="195">
        <v>5.0</v>
      </c>
      <c r="F643" s="201">
        <f>COUNTIF('Activity map'!$C:$C, $A643)</f>
        <v>1</v>
      </c>
    </row>
    <row r="644">
      <c r="A644" s="26">
        <v>10402.0</v>
      </c>
      <c r="B644" s="23" t="s">
        <v>1043</v>
      </c>
      <c r="C644" s="200" t="b">
        <f>IF($D644, TRUE, IF(ISERROR('API import'!$A$1), FALSE, COUNTIF('API import'!$A:$A, $A644)&gt;0))</f>
        <v>0</v>
      </c>
      <c r="D644" s="195" t="b">
        <v>0</v>
      </c>
      <c r="E644" s="195">
        <v>5.0</v>
      </c>
      <c r="F644" s="201">
        <f>COUNTIF('Activity map'!$C:$C, $A644)</f>
        <v>1</v>
      </c>
    </row>
    <row r="645">
      <c r="A645" s="26">
        <v>10422.0</v>
      </c>
      <c r="B645" s="23" t="s">
        <v>1044</v>
      </c>
      <c r="C645" s="200" t="b">
        <f>IF($D645, TRUE, IF(ISERROR('API import'!$A$1), FALSE, COUNTIF('API import'!$A:$A, $A645)&gt;0))</f>
        <v>0</v>
      </c>
      <c r="D645" s="195" t="b">
        <v>0</v>
      </c>
      <c r="E645" s="195">
        <v>5.0</v>
      </c>
      <c r="F645" s="201">
        <f>COUNTIF('Activity map'!$C:$C, $A645)</f>
        <v>1</v>
      </c>
    </row>
    <row r="646">
      <c r="A646" s="26">
        <v>12315.0</v>
      </c>
      <c r="B646" s="23" t="s">
        <v>1045</v>
      </c>
      <c r="C646" s="200" t="b">
        <f>IF($D646, TRUE, IF(ISERROR('API import'!$A$1), FALSE, COUNTIF('API import'!$A:$A, $A646)&gt;0))</f>
        <v>0</v>
      </c>
      <c r="D646" s="195" t="b">
        <v>0</v>
      </c>
      <c r="E646" s="195">
        <v>5.0</v>
      </c>
      <c r="F646" s="201">
        <f>COUNTIF('Activity map'!$C:$C, $A646)</f>
        <v>1</v>
      </c>
    </row>
    <row r="647">
      <c r="A647" s="26">
        <v>12339.0</v>
      </c>
      <c r="B647" s="23" t="s">
        <v>1046</v>
      </c>
      <c r="C647" s="200" t="b">
        <f>IF($D647, TRUE, IF(ISERROR('API import'!$A$1), FALSE, COUNTIF('API import'!$A:$A, $A647)&gt;0))</f>
        <v>0</v>
      </c>
      <c r="D647" s="195" t="b">
        <v>0</v>
      </c>
      <c r="E647" s="195">
        <v>5.0</v>
      </c>
      <c r="F647" s="201">
        <f>COUNTIF('Activity map'!$C:$C, $A647)</f>
        <v>1</v>
      </c>
    </row>
    <row r="648">
      <c r="A648" s="26">
        <v>12317.0</v>
      </c>
      <c r="B648" s="23" t="s">
        <v>1047</v>
      </c>
      <c r="C648" s="200" t="b">
        <f>IF($D648, TRUE, IF(ISERROR('API import'!$A$1), FALSE, COUNTIF('API import'!$A:$A, $A648)&gt;0))</f>
        <v>0</v>
      </c>
      <c r="D648" s="195" t="b">
        <v>0</v>
      </c>
      <c r="E648" s="195">
        <v>5.0</v>
      </c>
      <c r="F648" s="201">
        <f>COUNTIF('Activity map'!$C:$C, $A648)</f>
        <v>1</v>
      </c>
    </row>
    <row r="649">
      <c r="A649" s="26">
        <v>12341.0</v>
      </c>
      <c r="B649" s="23" t="s">
        <v>1048</v>
      </c>
      <c r="C649" s="200" t="b">
        <f>IF($D649, TRUE, IF(ISERROR('API import'!$A$1), FALSE, COUNTIF('API import'!$A:$A, $A649)&gt;0))</f>
        <v>0</v>
      </c>
      <c r="D649" s="195" t="b">
        <v>0</v>
      </c>
      <c r="E649" s="195">
        <v>5.0</v>
      </c>
      <c r="F649" s="201">
        <f>COUNTIF('Activity map'!$C:$C, $A649)</f>
        <v>1</v>
      </c>
    </row>
    <row r="650">
      <c r="A650" s="26">
        <v>12347.0</v>
      </c>
      <c r="B650" s="23" t="s">
        <v>1049</v>
      </c>
      <c r="C650" s="200" t="b">
        <f>IF($D650, TRUE, IF(ISERROR('API import'!$A$1), FALSE, COUNTIF('API import'!$A:$A, $A650)&gt;0))</f>
        <v>0</v>
      </c>
      <c r="D650" s="195" t="b">
        <v>0</v>
      </c>
      <c r="E650" s="195">
        <v>5.0</v>
      </c>
      <c r="F650" s="201">
        <f>COUNTIF('Activity map'!$C:$C, $A650)</f>
        <v>1</v>
      </c>
    </row>
    <row r="651">
      <c r="A651" s="26">
        <v>12343.0</v>
      </c>
      <c r="B651" s="23" t="s">
        <v>1050</v>
      </c>
      <c r="C651" s="200" t="b">
        <f>IF($D651, TRUE, IF(ISERROR('API import'!$A$1), FALSE, COUNTIF('API import'!$A:$A, $A651)&gt;0))</f>
        <v>0</v>
      </c>
      <c r="D651" s="195" t="b">
        <v>0</v>
      </c>
      <c r="E651" s="195">
        <v>5.0</v>
      </c>
      <c r="F651" s="201">
        <f>COUNTIF('Activity map'!$C:$C, $A651)</f>
        <v>1</v>
      </c>
    </row>
    <row r="652">
      <c r="A652" s="26">
        <v>12349.0</v>
      </c>
      <c r="B652" s="23" t="s">
        <v>1051</v>
      </c>
      <c r="C652" s="200" t="b">
        <f>IF($D652, TRUE, IF(ISERROR('API import'!$A$1), FALSE, COUNTIF('API import'!$A:$A, $A652)&gt;0))</f>
        <v>0</v>
      </c>
      <c r="D652" s="195" t="b">
        <v>0</v>
      </c>
      <c r="E652" s="195">
        <v>5.0</v>
      </c>
      <c r="F652" s="201">
        <f>COUNTIF('Activity map'!$C:$C, $A652)</f>
        <v>1</v>
      </c>
    </row>
    <row r="653">
      <c r="A653" s="26">
        <v>12345.0</v>
      </c>
      <c r="B653" s="23" t="s">
        <v>1052</v>
      </c>
      <c r="C653" s="200" t="b">
        <f>IF($D653, TRUE, IF(ISERROR('API import'!$A$1), FALSE, COUNTIF('API import'!$A:$A, $A653)&gt;0))</f>
        <v>0</v>
      </c>
      <c r="D653" s="195" t="b">
        <v>0</v>
      </c>
      <c r="E653" s="195">
        <v>5.0</v>
      </c>
      <c r="F653" s="201">
        <f>COUNTIF('Activity map'!$C:$C, $A653)</f>
        <v>1</v>
      </c>
    </row>
    <row r="654">
      <c r="A654" s="26">
        <v>20275.0</v>
      </c>
      <c r="B654" s="23" t="s">
        <v>1053</v>
      </c>
      <c r="C654" s="202" t="b">
        <f>IF($D654, TRUE, IF(ISERROR('API import'!$A$1), FALSE, COUNTIF('API import'!$A:$A, $A654)&gt;0))</f>
        <v>0</v>
      </c>
      <c r="D654" s="195" t="b">
        <v>0</v>
      </c>
      <c r="E654" s="195">
        <v>4.0</v>
      </c>
      <c r="F654" s="201">
        <f>COUNTIF('Activity map'!$C:$C, $A654)</f>
        <v>1</v>
      </c>
    </row>
    <row r="655">
      <c r="A655" s="26">
        <v>10364.0</v>
      </c>
      <c r="B655" s="23" t="s">
        <v>1054</v>
      </c>
      <c r="C655" s="202" t="b">
        <f>IF($D655, TRUE, IF(ISERROR('API import'!$A$1), FALSE, COUNTIF('API import'!$A:$A, $A655)&gt;0))</f>
        <v>0</v>
      </c>
      <c r="D655" s="195" t="b">
        <v>0</v>
      </c>
      <c r="E655" s="195">
        <v>4.0</v>
      </c>
      <c r="F655" s="201">
        <f>COUNTIF('Activity map'!$C:$C, $A655)</f>
        <v>1</v>
      </c>
    </row>
    <row r="656">
      <c r="A656" s="26">
        <v>10282.0</v>
      </c>
      <c r="B656" s="23" t="s">
        <v>1055</v>
      </c>
      <c r="C656" s="202" t="b">
        <f>IF($D656, TRUE, IF(ISERROR('API import'!$A$1), FALSE, COUNTIF('API import'!$A:$A, $A656)&gt;0))</f>
        <v>0</v>
      </c>
      <c r="D656" s="195" t="b">
        <v>0</v>
      </c>
      <c r="E656" s="195">
        <v>5.0</v>
      </c>
      <c r="F656" s="201">
        <f>COUNTIF('Activity map'!$C:$C, $A656)</f>
        <v>1</v>
      </c>
    </row>
    <row r="657">
      <c r="A657" s="26">
        <v>2581.0</v>
      </c>
      <c r="B657" s="23" t="s">
        <v>1056</v>
      </c>
      <c r="C657" s="200" t="b">
        <f>IF($D657, TRUE, IF(ISERROR('API import'!$A$1), FALSE, COUNTIF('API import'!$A:$A, $A657)&gt;0))</f>
        <v>0</v>
      </c>
      <c r="D657" s="195" t="b">
        <v>0</v>
      </c>
      <c r="E657" s="195">
        <v>5.0</v>
      </c>
      <c r="F657" s="201">
        <f>COUNTIF('Activity map'!$C:$C, $A657)</f>
        <v>1</v>
      </c>
    </row>
    <row r="658">
      <c r="A658" s="26">
        <v>22231.0</v>
      </c>
      <c r="B658" s="23" t="s">
        <v>1057</v>
      </c>
      <c r="C658" s="200" t="b">
        <f>IF($D658, TRUE, IF(ISERROR('API import'!$A$1), FALSE, COUNTIF('API import'!$A:$A, $A658)&gt;0))</f>
        <v>0</v>
      </c>
      <c r="D658" s="195" t="b">
        <v>0</v>
      </c>
      <c r="E658" s="195">
        <v>5.0</v>
      </c>
      <c r="F658" s="201">
        <f>COUNTIF('Activity map'!$C:$C, $A658)</f>
        <v>1</v>
      </c>
    </row>
    <row r="659">
      <c r="A659" s="26">
        <v>23227.0</v>
      </c>
      <c r="B659" s="23" t="s">
        <v>1058</v>
      </c>
      <c r="C659" s="200" t="b">
        <f>IF($D659, TRUE, IF(ISERROR('API import'!$A$1), FALSE, COUNTIF('API import'!$A:$A, $A659)&gt;0))</f>
        <v>0</v>
      </c>
      <c r="D659" s="195" t="b">
        <v>0</v>
      </c>
      <c r="E659" s="195">
        <v>5.0</v>
      </c>
      <c r="F659" s="201">
        <f>COUNTIF('Activity map'!$C:$C, $A659)</f>
        <v>1</v>
      </c>
    </row>
    <row r="660">
      <c r="A660" s="26">
        <v>23232.0</v>
      </c>
      <c r="B660" s="23" t="s">
        <v>1059</v>
      </c>
      <c r="C660" s="200" t="b">
        <f>IF($D660, TRUE, IF(ISERROR('API import'!$A$1), FALSE, COUNTIF('API import'!$A:$A, $A660)&gt;0))</f>
        <v>0</v>
      </c>
      <c r="D660" s="195" t="b">
        <v>0</v>
      </c>
      <c r="E660" s="195">
        <v>5.0</v>
      </c>
      <c r="F660" s="201">
        <f>COUNTIF('Activity map'!$C:$C, $A660)</f>
        <v>1</v>
      </c>
    </row>
    <row r="661">
      <c r="A661" s="26">
        <v>23237.0</v>
      </c>
      <c r="B661" s="23" t="s">
        <v>1060</v>
      </c>
      <c r="C661" s="200" t="b">
        <f>IF($D661, TRUE, IF(ISERROR('API import'!$A$1), FALSE, COUNTIF('API import'!$A:$A, $A661)&gt;0))</f>
        <v>0</v>
      </c>
      <c r="D661" s="195" t="b">
        <v>0</v>
      </c>
      <c r="E661" s="195">
        <v>5.0</v>
      </c>
      <c r="F661" s="201">
        <f>COUNTIF('Activity map'!$C:$C, $A661)</f>
        <v>1</v>
      </c>
    </row>
    <row r="662">
      <c r="A662" s="26">
        <v>2627.0</v>
      </c>
      <c r="B662" s="23" t="s">
        <v>1061</v>
      </c>
      <c r="C662" s="200" t="b">
        <f>IF($D662, TRUE, IF(ISERROR('API import'!$A$1), FALSE, COUNTIF('API import'!$A:$A, $A662)&gt;0))</f>
        <v>0</v>
      </c>
      <c r="D662" s="195" t="b">
        <v>0</v>
      </c>
      <c r="E662" s="195">
        <v>5.0</v>
      </c>
      <c r="F662" s="201">
        <f>COUNTIF('Activity map'!$C:$C, $A662)</f>
        <v>1</v>
      </c>
    </row>
    <row r="663">
      <c r="A663" s="26">
        <v>2623.0</v>
      </c>
      <c r="B663" s="23" t="s">
        <v>1062</v>
      </c>
      <c r="C663" s="202" t="b">
        <f>IF($D663, TRUE, IF(ISERROR('API import'!$A$1), FALSE, COUNTIF('API import'!$A:$A, $A663)&gt;0))</f>
        <v>0</v>
      </c>
      <c r="D663" s="195" t="b">
        <v>0</v>
      </c>
      <c r="E663" s="195">
        <v>5.0</v>
      </c>
      <c r="F663" s="201">
        <f>COUNTIF('Activity map'!$C:$C, $A663)</f>
        <v>1</v>
      </c>
    </row>
    <row r="664">
      <c r="A664" s="26">
        <v>2625.0</v>
      </c>
      <c r="B664" s="23" t="s">
        <v>1063</v>
      </c>
      <c r="C664" s="202" t="b">
        <f>IF($D664, TRUE, IF(ISERROR('API import'!$A$1), FALSE, COUNTIF('API import'!$A:$A, $A664)&gt;0))</f>
        <v>0</v>
      </c>
      <c r="D664" s="195" t="b">
        <v>0</v>
      </c>
      <c r="E664" s="195">
        <v>5.0</v>
      </c>
      <c r="F664" s="201">
        <f>COUNTIF('Activity map'!$C:$C, $A664)</f>
        <v>1</v>
      </c>
    </row>
    <row r="665">
      <c r="A665" s="26">
        <v>3477.0</v>
      </c>
      <c r="B665" s="23" t="s">
        <v>1064</v>
      </c>
      <c r="C665" s="200" t="b">
        <f>IF($D665, TRUE, IF(ISERROR('API import'!$A$1), FALSE, COUNTIF('API import'!$A:$A, $A665)&gt;0))</f>
        <v>0</v>
      </c>
      <c r="D665" s="195" t="b">
        <v>0</v>
      </c>
      <c r="E665" s="195">
        <v>5.0</v>
      </c>
      <c r="F665" s="201">
        <f>COUNTIF('Activity map'!$C:$C, $A665)</f>
        <v>1</v>
      </c>
    </row>
    <row r="666">
      <c r="A666" s="26">
        <v>2629.0</v>
      </c>
      <c r="B666" s="23" t="s">
        <v>1065</v>
      </c>
      <c r="C666" s="200" t="b">
        <f>IF($D666, TRUE, IF(ISERROR('API import'!$A$1), FALSE, COUNTIF('API import'!$A:$A, $A666)&gt;0))</f>
        <v>0</v>
      </c>
      <c r="D666" s="195" t="b">
        <v>0</v>
      </c>
      <c r="E666" s="195">
        <v>5.0</v>
      </c>
      <c r="F666" s="201">
        <f>COUNTIF('Activity map'!$C:$C, $A666)</f>
        <v>1</v>
      </c>
    </row>
    <row r="667">
      <c r="A667" s="26">
        <v>2619.0</v>
      </c>
      <c r="B667" s="23" t="s">
        <v>1066</v>
      </c>
      <c r="C667" s="202" t="b">
        <f>IF($D667, TRUE, IF(ISERROR('API import'!$A$1), FALSE, COUNTIF('API import'!$A:$A, $A667)&gt;0))</f>
        <v>0</v>
      </c>
      <c r="D667" s="195" t="b">
        <v>0</v>
      </c>
      <c r="E667" s="195">
        <v>5.0</v>
      </c>
      <c r="F667" s="201">
        <f>COUNTIF('Activity map'!$C:$C, $A667)</f>
        <v>1</v>
      </c>
    </row>
    <row r="668">
      <c r="A668" s="26">
        <v>2615.0</v>
      </c>
      <c r="B668" s="23" t="s">
        <v>1067</v>
      </c>
      <c r="C668" s="200" t="b">
        <f>IF($D668, TRUE, IF(ISERROR('API import'!$A$1), FALSE, COUNTIF('API import'!$A:$A, $A668)&gt;0))</f>
        <v>0</v>
      </c>
      <c r="D668" s="195" t="b">
        <v>0</v>
      </c>
      <c r="E668" s="195">
        <v>5.0</v>
      </c>
      <c r="F668" s="201">
        <f>COUNTIF('Activity map'!$C:$C, $A668)</f>
        <v>1</v>
      </c>
    </row>
    <row r="669">
      <c r="A669" s="26">
        <v>2617.0</v>
      </c>
      <c r="B669" s="23" t="s">
        <v>1068</v>
      </c>
      <c r="C669" s="202" t="b">
        <f>IF($D669, TRUE, IF(ISERROR('API import'!$A$1), FALSE, COUNTIF('API import'!$A:$A, $A669)&gt;0))</f>
        <v>0</v>
      </c>
      <c r="D669" s="195" t="b">
        <v>0</v>
      </c>
      <c r="E669" s="195">
        <v>5.0</v>
      </c>
      <c r="F669" s="201">
        <f>COUNTIF('Activity map'!$C:$C, $A669)</f>
        <v>1</v>
      </c>
    </row>
    <row r="670">
      <c r="A670" s="26">
        <v>3476.0</v>
      </c>
      <c r="B670" s="23" t="s">
        <v>1069</v>
      </c>
      <c r="C670" s="200" t="b">
        <f>IF($D670, TRUE, IF(ISERROR('API import'!$A$1), FALSE, COUNTIF('API import'!$A:$A, $A670)&gt;0))</f>
        <v>0</v>
      </c>
      <c r="D670" s="195" t="b">
        <v>0</v>
      </c>
      <c r="E670" s="195">
        <v>5.0</v>
      </c>
      <c r="F670" s="201">
        <f>COUNTIF('Activity map'!$C:$C, $A670)</f>
        <v>1</v>
      </c>
    </row>
    <row r="671">
      <c r="A671" s="26">
        <v>2621.0</v>
      </c>
      <c r="B671" s="23" t="s">
        <v>1070</v>
      </c>
      <c r="C671" s="202" t="b">
        <f>IF($D671, TRUE, IF(ISERROR('API import'!$A$1), FALSE, COUNTIF('API import'!$A:$A, $A671)&gt;0))</f>
        <v>0</v>
      </c>
      <c r="D671" s="195" t="b">
        <v>0</v>
      </c>
      <c r="E671" s="195">
        <v>5.0</v>
      </c>
      <c r="F671" s="201">
        <f>COUNTIF('Activity map'!$C:$C, $A671)</f>
        <v>1</v>
      </c>
    </row>
    <row r="672">
      <c r="A672" s="26">
        <v>2657.0</v>
      </c>
      <c r="B672" s="23" t="s">
        <v>1071</v>
      </c>
      <c r="C672" s="202" t="b">
        <f>IF($D672, TRUE, IF(ISERROR('API import'!$A$1), FALSE, COUNTIF('API import'!$A:$A, $A672)&gt;0))</f>
        <v>0</v>
      </c>
      <c r="D672" s="195" t="b">
        <v>0</v>
      </c>
      <c r="E672" s="195">
        <v>5.0</v>
      </c>
      <c r="F672" s="201">
        <f>COUNTIF('Activity map'!$C:$C, $A672)</f>
        <v>1</v>
      </c>
    </row>
    <row r="673">
      <c r="A673" s="26">
        <v>2653.0</v>
      </c>
      <c r="B673" s="23" t="s">
        <v>1072</v>
      </c>
      <c r="C673" s="202" t="b">
        <f>IF($D673, TRUE, IF(ISERROR('API import'!$A$1), FALSE, COUNTIF('API import'!$A:$A, $A673)&gt;0))</f>
        <v>0</v>
      </c>
      <c r="D673" s="195" t="b">
        <v>0</v>
      </c>
      <c r="E673" s="195">
        <v>5.0</v>
      </c>
      <c r="F673" s="201">
        <f>COUNTIF('Activity map'!$C:$C, $A673)</f>
        <v>1</v>
      </c>
    </row>
    <row r="674">
      <c r="A674" s="26">
        <v>2655.0</v>
      </c>
      <c r="B674" s="23" t="s">
        <v>1073</v>
      </c>
      <c r="C674" s="202" t="b">
        <f>IF($D674, TRUE, IF(ISERROR('API import'!$A$1), FALSE, COUNTIF('API import'!$A:$A, $A674)&gt;0))</f>
        <v>0</v>
      </c>
      <c r="D674" s="195" t="b">
        <v>0</v>
      </c>
      <c r="E674" s="195">
        <v>5.0</v>
      </c>
      <c r="F674" s="201">
        <f>COUNTIF('Activity map'!$C:$C, $A674)</f>
        <v>1</v>
      </c>
    </row>
    <row r="675">
      <c r="A675" s="26">
        <v>3478.0</v>
      </c>
      <c r="B675" s="23" t="s">
        <v>1074</v>
      </c>
      <c r="C675" s="200" t="b">
        <f>IF($D675, TRUE, IF(ISERROR('API import'!$A$1), FALSE, COUNTIF('API import'!$A:$A, $A675)&gt;0))</f>
        <v>0</v>
      </c>
      <c r="D675" s="195" t="b">
        <v>0</v>
      </c>
      <c r="E675" s="195">
        <v>5.0</v>
      </c>
      <c r="F675" s="201">
        <f>COUNTIF('Activity map'!$C:$C, $A675)</f>
        <v>1</v>
      </c>
    </row>
    <row r="676">
      <c r="A676" s="26">
        <v>2659.0</v>
      </c>
      <c r="B676" s="23" t="s">
        <v>1075</v>
      </c>
      <c r="C676" s="202" t="b">
        <f>IF($D676, TRUE, IF(ISERROR('API import'!$A$1), FALSE, COUNTIF('API import'!$A:$A, $A676)&gt;0))</f>
        <v>0</v>
      </c>
      <c r="D676" s="195" t="b">
        <v>0</v>
      </c>
      <c r="E676" s="195">
        <v>5.0</v>
      </c>
      <c r="F676" s="201">
        <f>COUNTIF('Activity map'!$C:$C, $A676)</f>
        <v>1</v>
      </c>
    </row>
    <row r="677">
      <c r="A677" s="26">
        <v>2673.0</v>
      </c>
      <c r="B677" s="23" t="s">
        <v>1076</v>
      </c>
      <c r="C677" s="200" t="b">
        <f>IF($D677, TRUE, IF(ISERROR('API import'!$A$1), FALSE, COUNTIF('API import'!$A:$A, $A677)&gt;0))</f>
        <v>0</v>
      </c>
      <c r="D677" s="195" t="b">
        <v>0</v>
      </c>
      <c r="E677" s="195">
        <v>5.0</v>
      </c>
      <c r="F677" s="201">
        <f>COUNTIF('Activity map'!$C:$C, $A677)</f>
        <v>1</v>
      </c>
    </row>
    <row r="678">
      <c r="A678" s="26">
        <v>2669.0</v>
      </c>
      <c r="B678" s="23" t="s">
        <v>1077</v>
      </c>
      <c r="C678" s="202" t="b">
        <f>IF($D678, TRUE, IF(ISERROR('API import'!$A$1), FALSE, COUNTIF('API import'!$A:$A, $A678)&gt;0))</f>
        <v>0</v>
      </c>
      <c r="D678" s="195" t="b">
        <v>0</v>
      </c>
      <c r="E678" s="195">
        <v>5.0</v>
      </c>
      <c r="F678" s="201">
        <f>COUNTIF('Activity map'!$C:$C, $A678)</f>
        <v>1</v>
      </c>
    </row>
    <row r="679">
      <c r="A679" s="26">
        <v>2671.0</v>
      </c>
      <c r="B679" s="23" t="s">
        <v>1078</v>
      </c>
      <c r="C679" s="200" t="b">
        <f>IF($D679, TRUE, IF(ISERROR('API import'!$A$1), FALSE, COUNTIF('API import'!$A:$A, $A679)&gt;0))</f>
        <v>0</v>
      </c>
      <c r="D679" s="195" t="b">
        <v>0</v>
      </c>
      <c r="E679" s="195">
        <v>5.0</v>
      </c>
      <c r="F679" s="201">
        <f>COUNTIF('Activity map'!$C:$C, $A679)</f>
        <v>1</v>
      </c>
    </row>
    <row r="680">
      <c r="A680" s="26">
        <v>3480.0</v>
      </c>
      <c r="B680" s="23" t="s">
        <v>1079</v>
      </c>
      <c r="C680" s="200" t="b">
        <f>IF($D680, TRUE, IF(ISERROR('API import'!$A$1), FALSE, COUNTIF('API import'!$A:$A, $A680)&gt;0))</f>
        <v>0</v>
      </c>
      <c r="D680" s="195" t="b">
        <v>0</v>
      </c>
      <c r="E680" s="195">
        <v>5.0</v>
      </c>
      <c r="F680" s="201">
        <f>COUNTIF('Activity map'!$C:$C, $A680)</f>
        <v>1</v>
      </c>
    </row>
    <row r="681">
      <c r="A681" s="26">
        <v>2675.0</v>
      </c>
      <c r="B681" s="23" t="s">
        <v>1080</v>
      </c>
      <c r="C681" s="200" t="b">
        <f>IF($D681, TRUE, IF(ISERROR('API import'!$A$1), FALSE, COUNTIF('API import'!$A:$A, $A681)&gt;0))</f>
        <v>0</v>
      </c>
      <c r="D681" s="195" t="b">
        <v>0</v>
      </c>
      <c r="E681" s="195">
        <v>5.0</v>
      </c>
      <c r="F681" s="201">
        <f>COUNTIF('Activity map'!$C:$C, $A681)</f>
        <v>1</v>
      </c>
    </row>
    <row r="682">
      <c r="A682" s="26">
        <v>2665.0</v>
      </c>
      <c r="B682" s="23" t="s">
        <v>1081</v>
      </c>
      <c r="C682" s="200" t="b">
        <f>IF($D682, TRUE, IF(ISERROR('API import'!$A$1), FALSE, COUNTIF('API import'!$A:$A, $A682)&gt;0))</f>
        <v>0</v>
      </c>
      <c r="D682" s="195" t="b">
        <v>0</v>
      </c>
      <c r="E682" s="195">
        <v>5.0</v>
      </c>
      <c r="F682" s="201">
        <f>COUNTIF('Activity map'!$C:$C, $A682)</f>
        <v>1</v>
      </c>
    </row>
    <row r="683">
      <c r="A683" s="26">
        <v>2661.0</v>
      </c>
      <c r="B683" s="23" t="s">
        <v>1082</v>
      </c>
      <c r="C683" s="202" t="b">
        <f>IF($D683, TRUE, IF(ISERROR('API import'!$A$1), FALSE, COUNTIF('API import'!$A:$A, $A683)&gt;0))</f>
        <v>0</v>
      </c>
      <c r="D683" s="195" t="b">
        <v>0</v>
      </c>
      <c r="E683" s="195">
        <v>5.0</v>
      </c>
      <c r="F683" s="201">
        <f>COUNTIF('Activity map'!$C:$C, $A683)</f>
        <v>1</v>
      </c>
    </row>
    <row r="684">
      <c r="A684" s="26">
        <v>2663.0</v>
      </c>
      <c r="B684" s="23" t="s">
        <v>1083</v>
      </c>
      <c r="C684" s="200" t="b">
        <f>IF($D684, TRUE, IF(ISERROR('API import'!$A$1), FALSE, COUNTIF('API import'!$A:$A, $A684)&gt;0))</f>
        <v>0</v>
      </c>
      <c r="D684" s="195" t="b">
        <v>0</v>
      </c>
      <c r="E684" s="195">
        <v>5.0</v>
      </c>
      <c r="F684" s="201">
        <f>COUNTIF('Activity map'!$C:$C, $A684)</f>
        <v>1</v>
      </c>
    </row>
    <row r="685">
      <c r="A685" s="26">
        <v>3479.0</v>
      </c>
      <c r="B685" s="23" t="s">
        <v>1084</v>
      </c>
      <c r="C685" s="200" t="b">
        <f>IF($D685, TRUE, IF(ISERROR('API import'!$A$1), FALSE, COUNTIF('API import'!$A:$A, $A685)&gt;0))</f>
        <v>0</v>
      </c>
      <c r="D685" s="195" t="b">
        <v>0</v>
      </c>
      <c r="E685" s="195">
        <v>5.0</v>
      </c>
      <c r="F685" s="201">
        <f>COUNTIF('Activity map'!$C:$C, $A685)</f>
        <v>1</v>
      </c>
    </row>
    <row r="686">
      <c r="A686" s="26">
        <v>2667.0</v>
      </c>
      <c r="B686" s="23" t="s">
        <v>1085</v>
      </c>
      <c r="C686" s="200" t="b">
        <f>IF($D686, TRUE, IF(ISERROR('API import'!$A$1), FALSE, COUNTIF('API import'!$A:$A, $A686)&gt;0))</f>
        <v>0</v>
      </c>
      <c r="D686" s="195" t="b">
        <v>0</v>
      </c>
      <c r="E686" s="195">
        <v>5.0</v>
      </c>
      <c r="F686" s="201">
        <f>COUNTIF('Activity map'!$C:$C, $A686)</f>
        <v>1</v>
      </c>
    </row>
    <row r="687">
      <c r="A687" s="26">
        <v>12466.0</v>
      </c>
      <c r="B687" s="23" t="s">
        <v>1086</v>
      </c>
      <c r="C687" s="200" t="b">
        <f>IF($D687, TRUE, IF(ISERROR('API import'!$A$1), FALSE, COUNTIF('API import'!$A:$A, $A687)&gt;0))</f>
        <v>0</v>
      </c>
      <c r="D687" s="195" t="b">
        <v>0</v>
      </c>
      <c r="E687" s="195">
        <v>5.0</v>
      </c>
      <c r="F687" s="201">
        <f>COUNTIF('Activity map'!$C:$C, $A687)</f>
        <v>1</v>
      </c>
    </row>
    <row r="688">
      <c r="A688" s="26">
        <v>12460.0</v>
      </c>
      <c r="B688" s="23" t="s">
        <v>1087</v>
      </c>
      <c r="C688" s="200" t="b">
        <f>IF($D688, TRUE, IF(ISERROR('API import'!$A$1), FALSE, COUNTIF('API import'!$A:$A, $A688)&gt;0))</f>
        <v>0</v>
      </c>
      <c r="D688" s="195" t="b">
        <v>0</v>
      </c>
      <c r="E688" s="195">
        <v>5.0</v>
      </c>
      <c r="F688" s="201">
        <f>COUNTIF('Activity map'!$C:$C, $A688)</f>
        <v>1</v>
      </c>
    </row>
    <row r="689">
      <c r="A689" s="26">
        <v>12462.0</v>
      </c>
      <c r="B689" s="23" t="s">
        <v>1088</v>
      </c>
      <c r="C689" s="202" t="b">
        <f>IF($D689, TRUE, IF(ISERROR('API import'!$A$1), FALSE, COUNTIF('API import'!$A:$A, $A689)&gt;0))</f>
        <v>0</v>
      </c>
      <c r="D689" s="195" t="b">
        <v>0</v>
      </c>
      <c r="E689" s="195">
        <v>5.0</v>
      </c>
      <c r="F689" s="201">
        <f>COUNTIF('Activity map'!$C:$C, $A689)</f>
        <v>1</v>
      </c>
    </row>
    <row r="690">
      <c r="A690" s="26">
        <v>12464.0</v>
      </c>
      <c r="B690" s="23" t="s">
        <v>1089</v>
      </c>
      <c r="C690" s="200" t="b">
        <f>IF($D690, TRUE, IF(ISERROR('API import'!$A$1), FALSE, COUNTIF('API import'!$A:$A, $A690)&gt;0))</f>
        <v>0</v>
      </c>
      <c r="D690" s="195" t="b">
        <v>0</v>
      </c>
      <c r="E690" s="195">
        <v>5.0</v>
      </c>
      <c r="F690" s="201">
        <f>COUNTIF('Activity map'!$C:$C, $A690)</f>
        <v>1</v>
      </c>
    </row>
    <row r="691">
      <c r="A691" s="26">
        <v>12468.0</v>
      </c>
      <c r="B691" s="23" t="s">
        <v>1090</v>
      </c>
      <c r="C691" s="202" t="b">
        <f>IF($D691, TRUE, IF(ISERROR('API import'!$A$1), FALSE, COUNTIF('API import'!$A:$A, $A691)&gt;0))</f>
        <v>0</v>
      </c>
      <c r="D691" s="195" t="b">
        <v>0</v>
      </c>
      <c r="E691" s="195">
        <v>5.0</v>
      </c>
      <c r="F691" s="201">
        <f>COUNTIF('Activity map'!$C:$C, $A691)</f>
        <v>1</v>
      </c>
    </row>
    <row r="692">
      <c r="A692" s="26">
        <v>12476.0</v>
      </c>
      <c r="B692" s="23" t="s">
        <v>1091</v>
      </c>
      <c r="C692" s="202" t="b">
        <f>IF($D692, TRUE, IF(ISERROR('API import'!$A$1), FALSE, COUNTIF('API import'!$A:$A, $A692)&gt;0))</f>
        <v>0</v>
      </c>
      <c r="D692" s="195" t="b">
        <v>0</v>
      </c>
      <c r="E692" s="195">
        <v>5.0</v>
      </c>
      <c r="F692" s="201">
        <f>COUNTIF('Activity map'!$C:$C, $A692)</f>
        <v>1</v>
      </c>
    </row>
    <row r="693">
      <c r="A693" s="26">
        <v>12470.0</v>
      </c>
      <c r="B693" s="23" t="s">
        <v>1092</v>
      </c>
      <c r="C693" s="200" t="b">
        <f>IF($D693, TRUE, IF(ISERROR('API import'!$A$1), FALSE, COUNTIF('API import'!$A:$A, $A693)&gt;0))</f>
        <v>0</v>
      </c>
      <c r="D693" s="195" t="b">
        <v>0</v>
      </c>
      <c r="E693" s="195">
        <v>5.0</v>
      </c>
      <c r="F693" s="201">
        <f>COUNTIF('Activity map'!$C:$C, $A693)</f>
        <v>1</v>
      </c>
    </row>
    <row r="694">
      <c r="A694" s="26">
        <v>12472.0</v>
      </c>
      <c r="B694" s="23" t="s">
        <v>1093</v>
      </c>
      <c r="C694" s="202" t="b">
        <f>IF($D694, TRUE, IF(ISERROR('API import'!$A$1), FALSE, COUNTIF('API import'!$A:$A, $A694)&gt;0))</f>
        <v>0</v>
      </c>
      <c r="D694" s="195" t="b">
        <v>0</v>
      </c>
      <c r="E694" s="195">
        <v>5.0</v>
      </c>
      <c r="F694" s="201">
        <f>COUNTIF('Activity map'!$C:$C, $A694)</f>
        <v>1</v>
      </c>
    </row>
    <row r="695">
      <c r="A695" s="26">
        <v>12474.0</v>
      </c>
      <c r="B695" s="23" t="s">
        <v>1094</v>
      </c>
      <c r="C695" s="200" t="b">
        <f>IF($D695, TRUE, IF(ISERROR('API import'!$A$1), FALSE, COUNTIF('API import'!$A:$A, $A695)&gt;0))</f>
        <v>0</v>
      </c>
      <c r="D695" s="195" t="b">
        <v>0</v>
      </c>
      <c r="E695" s="195">
        <v>5.0</v>
      </c>
      <c r="F695" s="201">
        <f>COUNTIF('Activity map'!$C:$C, $A695)</f>
        <v>1</v>
      </c>
    </row>
    <row r="696">
      <c r="A696" s="26">
        <v>12478.0</v>
      </c>
      <c r="B696" s="23" t="s">
        <v>1095</v>
      </c>
      <c r="C696" s="200" t="b">
        <f>IF($D696, TRUE, IF(ISERROR('API import'!$A$1), FALSE, COUNTIF('API import'!$A:$A, $A696)&gt;0))</f>
        <v>0</v>
      </c>
      <c r="D696" s="195" t="b">
        <v>0</v>
      </c>
      <c r="E696" s="195">
        <v>5.0</v>
      </c>
      <c r="F696" s="201">
        <f>COUNTIF('Activity map'!$C:$C, $A696)</f>
        <v>1</v>
      </c>
    </row>
    <row r="697">
      <c r="A697" s="26">
        <v>12486.0</v>
      </c>
      <c r="B697" s="23" t="s">
        <v>1096</v>
      </c>
      <c r="C697" s="200" t="b">
        <f>IF($D697, TRUE, IF(ISERROR('API import'!$A$1), FALSE, COUNTIF('API import'!$A:$A, $A697)&gt;0))</f>
        <v>0</v>
      </c>
      <c r="D697" s="195" t="b">
        <v>0</v>
      </c>
      <c r="E697" s="195">
        <v>5.0</v>
      </c>
      <c r="F697" s="201">
        <f>COUNTIF('Activity map'!$C:$C, $A697)</f>
        <v>1</v>
      </c>
    </row>
    <row r="698">
      <c r="A698" s="26">
        <v>12480.0</v>
      </c>
      <c r="B698" s="23" t="s">
        <v>1097</v>
      </c>
      <c r="C698" s="200" t="b">
        <f>IF($D698, TRUE, IF(ISERROR('API import'!$A$1), FALSE, COUNTIF('API import'!$A:$A, $A698)&gt;0))</f>
        <v>0</v>
      </c>
      <c r="D698" s="195" t="b">
        <v>0</v>
      </c>
      <c r="E698" s="195">
        <v>5.0</v>
      </c>
      <c r="F698" s="201">
        <f>COUNTIF('Activity map'!$C:$C, $A698)</f>
        <v>1</v>
      </c>
    </row>
    <row r="699">
      <c r="A699" s="26">
        <v>12482.0</v>
      </c>
      <c r="B699" s="23" t="s">
        <v>1098</v>
      </c>
      <c r="C699" s="200" t="b">
        <f>IF($D699, TRUE, IF(ISERROR('API import'!$A$1), FALSE, COUNTIF('API import'!$A:$A, $A699)&gt;0))</f>
        <v>0</v>
      </c>
      <c r="D699" s="195" t="b">
        <v>0</v>
      </c>
      <c r="E699" s="195">
        <v>5.0</v>
      </c>
      <c r="F699" s="201">
        <f>COUNTIF('Activity map'!$C:$C, $A699)</f>
        <v>1</v>
      </c>
    </row>
    <row r="700">
      <c r="A700" s="26">
        <v>12484.0</v>
      </c>
      <c r="B700" s="23" t="s">
        <v>1099</v>
      </c>
      <c r="C700" s="200" t="b">
        <f>IF($D700, TRUE, IF(ISERROR('API import'!$A$1), FALSE, COUNTIF('API import'!$A:$A, $A700)&gt;0))</f>
        <v>0</v>
      </c>
      <c r="D700" s="195" t="b">
        <v>0</v>
      </c>
      <c r="E700" s="195">
        <v>5.0</v>
      </c>
      <c r="F700" s="201">
        <f>COUNTIF('Activity map'!$C:$C, $A700)</f>
        <v>1</v>
      </c>
    </row>
    <row r="701">
      <c r="A701" s="26">
        <v>12488.0</v>
      </c>
      <c r="B701" s="23" t="s">
        <v>1100</v>
      </c>
      <c r="C701" s="200" t="b">
        <f>IF($D701, TRUE, IF(ISERROR('API import'!$A$1), FALSE, COUNTIF('API import'!$A:$A, $A701)&gt;0))</f>
        <v>0</v>
      </c>
      <c r="D701" s="195" t="b">
        <v>0</v>
      </c>
      <c r="E701" s="195">
        <v>5.0</v>
      </c>
      <c r="F701" s="201">
        <f>COUNTIF('Activity map'!$C:$C, $A701)</f>
        <v>1</v>
      </c>
    </row>
    <row r="702">
      <c r="A702" s="26">
        <v>7336.0</v>
      </c>
      <c r="B702" s="23" t="s">
        <v>1101</v>
      </c>
      <c r="C702" s="200" t="b">
        <f>IF($D702, TRUE, IF(ISERROR('API import'!$A$1), FALSE, COUNTIF('API import'!$A:$A, $A702)&gt;0))</f>
        <v>0</v>
      </c>
      <c r="D702" s="195" t="b">
        <v>0</v>
      </c>
      <c r="E702" s="195">
        <v>5.0</v>
      </c>
      <c r="F702" s="201">
        <f>COUNTIF('Activity map'!$C:$C, $A702)</f>
        <v>1</v>
      </c>
    </row>
    <row r="703">
      <c r="A703" s="26">
        <v>7342.0</v>
      </c>
      <c r="B703" s="23" t="s">
        <v>1102</v>
      </c>
      <c r="C703" s="200" t="b">
        <f>IF($D703, TRUE, IF(ISERROR('API import'!$A$1), FALSE, COUNTIF('API import'!$A:$A, $A703)&gt;0))</f>
        <v>0</v>
      </c>
      <c r="D703" s="195" t="b">
        <v>0</v>
      </c>
      <c r="E703" s="195">
        <v>5.0</v>
      </c>
      <c r="F703" s="201">
        <f>COUNTIF('Activity map'!$C:$C, $A703)</f>
        <v>1</v>
      </c>
    </row>
    <row r="704">
      <c r="A704" s="26">
        <v>7348.0</v>
      </c>
      <c r="B704" s="23" t="s">
        <v>1103</v>
      </c>
      <c r="C704" s="200" t="b">
        <f>IF($D704, TRUE, IF(ISERROR('API import'!$A$1), FALSE, COUNTIF('API import'!$A:$A, $A704)&gt;0))</f>
        <v>0</v>
      </c>
      <c r="D704" s="195" t="b">
        <v>0</v>
      </c>
      <c r="E704" s="195">
        <v>5.0</v>
      </c>
      <c r="F704" s="201">
        <f>COUNTIF('Activity map'!$C:$C, $A704)</f>
        <v>1</v>
      </c>
    </row>
    <row r="705">
      <c r="A705" s="26">
        <v>7354.0</v>
      </c>
      <c r="B705" s="23" t="s">
        <v>1104</v>
      </c>
      <c r="C705" s="200" t="b">
        <f>IF($D705, TRUE, IF(ISERROR('API import'!$A$1), FALSE, COUNTIF('API import'!$A:$A, $A705)&gt;0))</f>
        <v>0</v>
      </c>
      <c r="D705" s="195" t="b">
        <v>0</v>
      </c>
      <c r="E705" s="195">
        <v>5.0</v>
      </c>
      <c r="F705" s="201">
        <f>COUNTIF('Activity map'!$C:$C, $A705)</f>
        <v>1</v>
      </c>
    </row>
    <row r="706">
      <c r="A706" s="26">
        <v>7360.0</v>
      </c>
      <c r="B706" s="23" t="s">
        <v>1105</v>
      </c>
      <c r="C706" s="200" t="b">
        <f>IF($D706, TRUE, IF(ISERROR('API import'!$A$1), FALSE, COUNTIF('API import'!$A:$A, $A706)&gt;0))</f>
        <v>0</v>
      </c>
      <c r="D706" s="195" t="b">
        <v>0</v>
      </c>
      <c r="E706" s="195">
        <v>5.0</v>
      </c>
      <c r="F706" s="201">
        <f>COUNTIF('Activity map'!$C:$C, $A706)</f>
        <v>1</v>
      </c>
    </row>
    <row r="707">
      <c r="A707" s="26">
        <v>10286.0</v>
      </c>
      <c r="B707" s="23" t="s">
        <v>1106</v>
      </c>
      <c r="C707" s="202" t="b">
        <f>IF($D707, TRUE, IF(ISERROR('API import'!$A$1), FALSE, COUNTIF('API import'!$A:$A, $A707)&gt;0))</f>
        <v>0</v>
      </c>
      <c r="D707" s="195" t="b">
        <v>0</v>
      </c>
      <c r="E707" s="195">
        <v>5.0</v>
      </c>
      <c r="F707" s="201">
        <f>COUNTIF('Activity map'!$C:$C, $A707)</f>
        <v>1</v>
      </c>
    </row>
    <row r="708">
      <c r="A708" s="26">
        <v>10288.0</v>
      </c>
      <c r="B708" s="23" t="s">
        <v>1107</v>
      </c>
      <c r="C708" s="202" t="b">
        <f>IF($D708, TRUE, IF(ISERROR('API import'!$A$1), FALSE, COUNTIF('API import'!$A:$A, $A708)&gt;0))</f>
        <v>0</v>
      </c>
      <c r="D708" s="195" t="b">
        <v>0</v>
      </c>
      <c r="E708" s="195">
        <v>5.0</v>
      </c>
      <c r="F708" s="201">
        <f>COUNTIF('Activity map'!$C:$C, $A708)</f>
        <v>1</v>
      </c>
    </row>
    <row r="709">
      <c r="A709" s="26">
        <v>10290.0</v>
      </c>
      <c r="B709" s="23" t="s">
        <v>1108</v>
      </c>
      <c r="C709" s="202" t="b">
        <f>IF($D709, TRUE, IF(ISERROR('API import'!$A$1), FALSE, COUNTIF('API import'!$A:$A, $A709)&gt;0))</f>
        <v>0</v>
      </c>
      <c r="D709" s="195" t="b">
        <v>0</v>
      </c>
      <c r="E709" s="195">
        <v>5.0</v>
      </c>
      <c r="F709" s="201">
        <f>COUNTIF('Activity map'!$C:$C, $A709)</f>
        <v>1</v>
      </c>
    </row>
    <row r="710">
      <c r="A710" s="26">
        <v>10292.0</v>
      </c>
      <c r="B710" s="23" t="s">
        <v>1109</v>
      </c>
      <c r="C710" s="200" t="b">
        <f>IF($D710, TRUE, IF(ISERROR('API import'!$A$1), FALSE, COUNTIF('API import'!$A:$A, $A710)&gt;0))</f>
        <v>0</v>
      </c>
      <c r="D710" s="195" t="b">
        <v>0</v>
      </c>
      <c r="E710" s="195">
        <v>5.0</v>
      </c>
      <c r="F710" s="201">
        <f>COUNTIF('Activity map'!$C:$C, $A710)</f>
        <v>1</v>
      </c>
    </row>
    <row r="711">
      <c r="A711" s="26">
        <v>10294.0</v>
      </c>
      <c r="B711" s="23" t="s">
        <v>1110</v>
      </c>
      <c r="C711" s="200" t="b">
        <f>IF($D711, TRUE, IF(ISERROR('API import'!$A$1), FALSE, COUNTIF('API import'!$A:$A, $A711)&gt;0))</f>
        <v>0</v>
      </c>
      <c r="D711" s="195" t="b">
        <v>0</v>
      </c>
      <c r="E711" s="195">
        <v>5.0</v>
      </c>
      <c r="F711" s="201">
        <f>COUNTIF('Activity map'!$C:$C, $A711)</f>
        <v>1</v>
      </c>
    </row>
    <row r="712">
      <c r="A712" s="26">
        <v>23209.0</v>
      </c>
      <c r="B712" s="23" t="s">
        <v>1111</v>
      </c>
      <c r="C712" s="200" t="b">
        <f>IF($D712, TRUE, IF(ISERROR('API import'!$A$1), FALSE, COUNTIF('API import'!$A:$A, $A712)&gt;0))</f>
        <v>0</v>
      </c>
      <c r="D712" s="195" t="b">
        <v>0</v>
      </c>
      <c r="E712" s="195">
        <v>6.0</v>
      </c>
      <c r="F712" s="201">
        <f>COUNTIF('Activity map'!$C:$C, $A712)</f>
        <v>1</v>
      </c>
    </row>
    <row r="713">
      <c r="A713" s="26">
        <v>23212.0</v>
      </c>
      <c r="B713" s="23" t="s">
        <v>1112</v>
      </c>
      <c r="C713" s="200" t="b">
        <f>IF($D713, TRUE, IF(ISERROR('API import'!$A$1), FALSE, COUNTIF('API import'!$A:$A, $A713)&gt;0))</f>
        <v>0</v>
      </c>
      <c r="D713" s="195" t="b">
        <v>0</v>
      </c>
      <c r="E713" s="195">
        <v>6.0</v>
      </c>
      <c r="F713" s="201">
        <f>COUNTIF('Activity map'!$C:$C, $A713)</f>
        <v>1</v>
      </c>
    </row>
    <row r="714">
      <c r="A714" s="26">
        <v>23215.0</v>
      </c>
      <c r="B714" s="23" t="s">
        <v>1113</v>
      </c>
      <c r="C714" s="200" t="b">
        <f>IF($D714, TRUE, IF(ISERROR('API import'!$A$1), FALSE, COUNTIF('API import'!$A:$A, $A714)&gt;0))</f>
        <v>0</v>
      </c>
      <c r="D714" s="195" t="b">
        <v>0</v>
      </c>
      <c r="E714" s="195">
        <v>6.0</v>
      </c>
      <c r="F714" s="201">
        <f>COUNTIF('Activity map'!$C:$C, $A714)</f>
        <v>1</v>
      </c>
    </row>
    <row r="715">
      <c r="A715" s="26">
        <v>23218.0</v>
      </c>
      <c r="B715" s="23" t="s">
        <v>1114</v>
      </c>
      <c r="C715" s="200" t="b">
        <f>IF($D715, TRUE, IF(ISERROR('API import'!$A$1), FALSE, COUNTIF('API import'!$A:$A, $A715)&gt;0))</f>
        <v>0</v>
      </c>
      <c r="D715" s="195" t="b">
        <v>0</v>
      </c>
      <c r="E715" s="195">
        <v>6.0</v>
      </c>
      <c r="F715" s="201">
        <f>COUNTIF('Activity map'!$C:$C, $A715)</f>
        <v>1</v>
      </c>
    </row>
    <row r="716">
      <c r="A716" s="26">
        <v>23221.0</v>
      </c>
      <c r="B716" s="23" t="s">
        <v>1115</v>
      </c>
      <c r="C716" s="200" t="b">
        <f>IF($D716, TRUE, IF(ISERROR('API import'!$A$1), FALSE, COUNTIF('API import'!$A:$A, $A716)&gt;0))</f>
        <v>0</v>
      </c>
      <c r="D716" s="195" t="b">
        <v>0</v>
      </c>
      <c r="E716" s="195">
        <v>6.0</v>
      </c>
      <c r="F716" s="201">
        <f>COUNTIF('Activity map'!$C:$C, $A716)</f>
        <v>1</v>
      </c>
    </row>
    <row r="717">
      <c r="A717" s="26">
        <v>10390.0</v>
      </c>
      <c r="B717" s="23" t="s">
        <v>1116</v>
      </c>
      <c r="C717" s="200" t="b">
        <f>IF($D717, TRUE, IF(ISERROR('API import'!$A$1), FALSE, COUNTIF('API import'!$A:$A, $A717)&gt;0))</f>
        <v>0</v>
      </c>
      <c r="D717" s="195" t="b">
        <v>0</v>
      </c>
      <c r="E717" s="195">
        <v>5.0</v>
      </c>
      <c r="F717" s="201">
        <f>COUNTIF('Activity map'!$C:$C, $A717)</f>
        <v>1</v>
      </c>
    </row>
    <row r="718">
      <c r="A718" s="26">
        <v>10386.0</v>
      </c>
      <c r="B718" s="23" t="s">
        <v>1117</v>
      </c>
      <c r="C718" s="200" t="b">
        <f>IF($D718, TRUE, IF(ISERROR('API import'!$A$1), FALSE, COUNTIF('API import'!$A:$A, $A718)&gt;0))</f>
        <v>0</v>
      </c>
      <c r="D718" s="195" t="b">
        <v>0</v>
      </c>
      <c r="E718" s="195">
        <v>5.0</v>
      </c>
      <c r="F718" s="201">
        <f>COUNTIF('Activity map'!$C:$C, $A718)</f>
        <v>1</v>
      </c>
    </row>
    <row r="719">
      <c r="A719" s="26">
        <v>10388.0</v>
      </c>
      <c r="B719" s="23" t="s">
        <v>1118</v>
      </c>
      <c r="C719" s="200" t="b">
        <f>IF($D719, TRUE, IF(ISERROR('API import'!$A$1), FALSE, COUNTIF('API import'!$A:$A, $A719)&gt;0))</f>
        <v>0</v>
      </c>
      <c r="D719" s="195" t="b">
        <v>0</v>
      </c>
      <c r="E719" s="195">
        <v>5.0</v>
      </c>
      <c r="F719" s="201">
        <f>COUNTIF('Activity map'!$C:$C, $A719)</f>
        <v>1</v>
      </c>
    </row>
    <row r="720">
      <c r="A720" s="26">
        <v>10384.0</v>
      </c>
      <c r="B720" s="23" t="s">
        <v>1119</v>
      </c>
      <c r="C720" s="200" t="b">
        <f>IF($D720, TRUE, IF(ISERROR('API import'!$A$1), FALSE, COUNTIF('API import'!$A:$A, $A720)&gt;0))</f>
        <v>0</v>
      </c>
      <c r="D720" s="195" t="b">
        <v>0</v>
      </c>
      <c r="E720" s="195">
        <v>5.0</v>
      </c>
      <c r="F720" s="201">
        <f>COUNTIF('Activity map'!$C:$C, $A720)</f>
        <v>1</v>
      </c>
    </row>
    <row r="721">
      <c r="A721" s="26">
        <v>19933.0</v>
      </c>
      <c r="B721" s="23" t="s">
        <v>1120</v>
      </c>
      <c r="C721" s="202" t="b">
        <f>IF($D721, TRUE, IF(ISERROR('API import'!$A$1), FALSE, COUNTIF('API import'!$A:$A, $A721)&gt;0))</f>
        <v>0</v>
      </c>
      <c r="D721" s="195" t="b">
        <v>0</v>
      </c>
      <c r="E721" s="195">
        <v>5.0</v>
      </c>
      <c r="F721" s="201">
        <f>COUNTIF('Activity map'!$C:$C, $A721)</f>
        <v>1</v>
      </c>
    </row>
    <row r="722">
      <c r="A722" s="26">
        <v>23191.0</v>
      </c>
      <c r="B722" s="23" t="s">
        <v>1121</v>
      </c>
      <c r="C722" s="200" t="b">
        <f>IF($D722, TRUE, IF(ISERROR('API import'!$A$1), FALSE, COUNTIF('API import'!$A:$A, $A722)&gt;0))</f>
        <v>0</v>
      </c>
      <c r="D722" s="195" t="b">
        <v>0</v>
      </c>
      <c r="E722" s="195">
        <v>6.0</v>
      </c>
      <c r="F722" s="201">
        <f>COUNTIF('Activity map'!$C:$C, $A722)</f>
        <v>1</v>
      </c>
    </row>
    <row r="723">
      <c r="A723" s="26">
        <v>10382.0</v>
      </c>
      <c r="B723" s="23" t="s">
        <v>1122</v>
      </c>
      <c r="C723" s="202" t="b">
        <f>IF($D723, TRUE, IF(ISERROR('API import'!$A$1), FALSE, COUNTIF('API import'!$A:$A, $A723)&gt;0))</f>
        <v>0</v>
      </c>
      <c r="D723" s="195" t="b">
        <v>0</v>
      </c>
      <c r="E723" s="195">
        <v>5.0</v>
      </c>
      <c r="F723" s="201">
        <f>COUNTIF('Activity map'!$C:$C, $A723)</f>
        <v>1</v>
      </c>
    </row>
    <row r="724">
      <c r="A724" s="26">
        <v>10378.0</v>
      </c>
      <c r="B724" s="23" t="s">
        <v>1123</v>
      </c>
      <c r="C724" s="200" t="b">
        <f>IF($D724, TRUE, IF(ISERROR('API import'!$A$1), FALSE, COUNTIF('API import'!$A:$A, $A724)&gt;0))</f>
        <v>0</v>
      </c>
      <c r="D724" s="195" t="b">
        <v>0</v>
      </c>
      <c r="E724" s="195">
        <v>5.0</v>
      </c>
      <c r="F724" s="201">
        <f>COUNTIF('Activity map'!$C:$C, $A724)</f>
        <v>1</v>
      </c>
    </row>
    <row r="725">
      <c r="A725" s="26">
        <v>10380.0</v>
      </c>
      <c r="B725" s="23" t="s">
        <v>1124</v>
      </c>
      <c r="C725" s="200" t="b">
        <f>IF($D725, TRUE, IF(ISERROR('API import'!$A$1), FALSE, COUNTIF('API import'!$A:$A, $A725)&gt;0))</f>
        <v>0</v>
      </c>
      <c r="D725" s="195" t="b">
        <v>0</v>
      </c>
      <c r="E725" s="195">
        <v>5.0</v>
      </c>
      <c r="F725" s="201">
        <f>COUNTIF('Activity map'!$C:$C, $A725)</f>
        <v>1</v>
      </c>
    </row>
    <row r="726">
      <c r="A726" s="26">
        <v>10376.0</v>
      </c>
      <c r="B726" s="23" t="s">
        <v>1125</v>
      </c>
      <c r="C726" s="200" t="b">
        <f>IF($D726, TRUE, IF(ISERROR('API import'!$A$1), FALSE, COUNTIF('API import'!$A:$A, $A726)&gt;0))</f>
        <v>0</v>
      </c>
      <c r="D726" s="195" t="b">
        <v>0</v>
      </c>
      <c r="E726" s="195">
        <v>5.0</v>
      </c>
      <c r="F726" s="201">
        <f>COUNTIF('Activity map'!$C:$C, $A726)</f>
        <v>1</v>
      </c>
    </row>
    <row r="727">
      <c r="A727" s="26">
        <v>19927.0</v>
      </c>
      <c r="B727" s="23" t="s">
        <v>1126</v>
      </c>
      <c r="C727" s="200" t="b">
        <f>IF($D727, TRUE, IF(ISERROR('API import'!$A$1), FALSE, COUNTIF('API import'!$A:$A, $A727)&gt;0))</f>
        <v>0</v>
      </c>
      <c r="D727" s="195" t="b">
        <v>0</v>
      </c>
      <c r="E727" s="195">
        <v>5.0</v>
      </c>
      <c r="F727" s="201">
        <f>COUNTIF('Activity map'!$C:$C, $A727)</f>
        <v>1</v>
      </c>
    </row>
    <row r="728">
      <c r="A728" s="26">
        <v>23188.0</v>
      </c>
      <c r="B728" s="23" t="s">
        <v>1127</v>
      </c>
      <c r="C728" s="200" t="b">
        <f>IF($D728, TRUE, IF(ISERROR('API import'!$A$1), FALSE, COUNTIF('API import'!$A:$A, $A728)&gt;0))</f>
        <v>0</v>
      </c>
      <c r="D728" s="195" t="b">
        <v>0</v>
      </c>
      <c r="E728" s="195">
        <v>6.0</v>
      </c>
      <c r="F728" s="201">
        <f>COUNTIF('Activity map'!$C:$C, $A728)</f>
        <v>1</v>
      </c>
    </row>
    <row r="729">
      <c r="A729" s="26">
        <v>10374.0</v>
      </c>
      <c r="B729" s="23" t="s">
        <v>1128</v>
      </c>
      <c r="C729" s="200" t="b">
        <f>IF($D729, TRUE, IF(ISERROR('API import'!$A$1), FALSE, COUNTIF('API import'!$A:$A, $A729)&gt;0))</f>
        <v>0</v>
      </c>
      <c r="D729" s="195" t="b">
        <v>0</v>
      </c>
      <c r="E729" s="195">
        <v>5.0</v>
      </c>
      <c r="F729" s="201">
        <f>COUNTIF('Activity map'!$C:$C, $A729)</f>
        <v>1</v>
      </c>
    </row>
    <row r="730">
      <c r="A730" s="26">
        <v>10370.0</v>
      </c>
      <c r="B730" s="23" t="s">
        <v>1129</v>
      </c>
      <c r="C730" s="200" t="b">
        <f>IF($D730, TRUE, IF(ISERROR('API import'!$A$1), FALSE, COUNTIF('API import'!$A:$A, $A730)&gt;0))</f>
        <v>0</v>
      </c>
      <c r="D730" s="195" t="b">
        <v>0</v>
      </c>
      <c r="E730" s="195">
        <v>5.0</v>
      </c>
      <c r="F730" s="201">
        <f>COUNTIF('Activity map'!$C:$C, $A730)</f>
        <v>1</v>
      </c>
    </row>
    <row r="731">
      <c r="A731" s="26">
        <v>10372.0</v>
      </c>
      <c r="B731" s="23" t="s">
        <v>1130</v>
      </c>
      <c r="C731" s="200" t="b">
        <f>IF($D731, TRUE, IF(ISERROR('API import'!$A$1), FALSE, COUNTIF('API import'!$A:$A, $A731)&gt;0))</f>
        <v>0</v>
      </c>
      <c r="D731" s="195" t="b">
        <v>0</v>
      </c>
      <c r="E731" s="195">
        <v>5.0</v>
      </c>
      <c r="F731" s="201">
        <f>COUNTIF('Activity map'!$C:$C, $A731)</f>
        <v>1</v>
      </c>
    </row>
    <row r="732">
      <c r="A732" s="26">
        <v>10368.0</v>
      </c>
      <c r="B732" s="23" t="s">
        <v>1131</v>
      </c>
      <c r="C732" s="202" t="b">
        <f>IF($D732, TRUE, IF(ISERROR('API import'!$A$1), FALSE, COUNTIF('API import'!$A:$A, $A732)&gt;0))</f>
        <v>0</v>
      </c>
      <c r="D732" s="195" t="b">
        <v>0</v>
      </c>
      <c r="E732" s="195">
        <v>5.0</v>
      </c>
      <c r="F732" s="201">
        <f>COUNTIF('Activity map'!$C:$C, $A732)</f>
        <v>1</v>
      </c>
    </row>
    <row r="733">
      <c r="A733" s="26">
        <v>19936.0</v>
      </c>
      <c r="B733" s="23" t="s">
        <v>1132</v>
      </c>
      <c r="C733" s="202" t="b">
        <f>IF($D733, TRUE, IF(ISERROR('API import'!$A$1), FALSE, COUNTIF('API import'!$A:$A, $A733)&gt;0))</f>
        <v>0</v>
      </c>
      <c r="D733" s="195" t="b">
        <v>0</v>
      </c>
      <c r="E733" s="195">
        <v>5.0</v>
      </c>
      <c r="F733" s="201">
        <f>COUNTIF('Activity map'!$C:$C, $A733)</f>
        <v>1</v>
      </c>
    </row>
    <row r="734">
      <c r="A734" s="26">
        <v>23194.0</v>
      </c>
      <c r="B734" s="23" t="s">
        <v>1133</v>
      </c>
      <c r="C734" s="200" t="b">
        <f>IF($D734, TRUE, IF(ISERROR('API import'!$A$1), FALSE, COUNTIF('API import'!$A:$A, $A734)&gt;0))</f>
        <v>0</v>
      </c>
      <c r="D734" s="195" t="b">
        <v>0</v>
      </c>
      <c r="E734" s="195">
        <v>6.0</v>
      </c>
      <c r="F734" s="201">
        <f>COUNTIF('Activity map'!$C:$C, $A734)</f>
        <v>1</v>
      </c>
    </row>
    <row r="735">
      <c r="A735" s="26">
        <v>12504.0</v>
      </c>
      <c r="B735" s="23" t="s">
        <v>1134</v>
      </c>
      <c r="C735" s="202" t="b">
        <f>IF($D735, TRUE, IF(ISERROR('API import'!$A$1), FALSE, COUNTIF('API import'!$A:$A, $A735)&gt;0))</f>
        <v>0</v>
      </c>
      <c r="D735" s="195" t="b">
        <v>0</v>
      </c>
      <c r="E735" s="195">
        <v>5.0</v>
      </c>
      <c r="F735" s="201">
        <f>COUNTIF('Activity map'!$C:$C, $A735)</f>
        <v>1</v>
      </c>
    </row>
    <row r="736">
      <c r="A736" s="26">
        <v>12500.0</v>
      </c>
      <c r="B736" s="23" t="s">
        <v>1135</v>
      </c>
      <c r="C736" s="200" t="b">
        <f>IF($D736, TRUE, IF(ISERROR('API import'!$A$1), FALSE, COUNTIF('API import'!$A:$A, $A736)&gt;0))</f>
        <v>0</v>
      </c>
      <c r="D736" s="195" t="b">
        <v>0</v>
      </c>
      <c r="E736" s="195">
        <v>5.0</v>
      </c>
      <c r="F736" s="201">
        <f>COUNTIF('Activity map'!$C:$C, $A736)</f>
        <v>1</v>
      </c>
    </row>
    <row r="737">
      <c r="A737" s="26">
        <v>12502.0</v>
      </c>
      <c r="B737" s="23" t="s">
        <v>1136</v>
      </c>
      <c r="C737" s="200" t="b">
        <f>IF($D737, TRUE, IF(ISERROR('API import'!$A$1), FALSE, COUNTIF('API import'!$A:$A, $A737)&gt;0))</f>
        <v>0</v>
      </c>
      <c r="D737" s="195" t="b">
        <v>0</v>
      </c>
      <c r="E737" s="195">
        <v>5.0</v>
      </c>
      <c r="F737" s="201">
        <f>COUNTIF('Activity map'!$C:$C, $A737)</f>
        <v>1</v>
      </c>
    </row>
    <row r="738">
      <c r="A738" s="26">
        <v>12498.0</v>
      </c>
      <c r="B738" s="23" t="s">
        <v>1137</v>
      </c>
      <c r="C738" s="202" t="b">
        <f>IF($D738, TRUE, IF(ISERROR('API import'!$A$1), FALSE, COUNTIF('API import'!$A:$A, $A738)&gt;0))</f>
        <v>0</v>
      </c>
      <c r="D738" s="195" t="b">
        <v>0</v>
      </c>
      <c r="E738" s="195">
        <v>5.0</v>
      </c>
      <c r="F738" s="201">
        <f>COUNTIF('Activity map'!$C:$C, $A738)</f>
        <v>1</v>
      </c>
    </row>
    <row r="739">
      <c r="A739" s="26">
        <v>19924.0</v>
      </c>
      <c r="B739" s="23" t="s">
        <v>1138</v>
      </c>
      <c r="C739" s="200" t="b">
        <f>IF($D739, TRUE, IF(ISERROR('API import'!$A$1), FALSE, COUNTIF('API import'!$A:$A, $A739)&gt;0))</f>
        <v>0</v>
      </c>
      <c r="D739" s="195" t="b">
        <v>0</v>
      </c>
      <c r="E739" s="195">
        <v>5.0</v>
      </c>
      <c r="F739" s="201">
        <f>COUNTIF('Activity map'!$C:$C, $A739)</f>
        <v>1</v>
      </c>
    </row>
    <row r="740">
      <c r="A740" s="26">
        <v>23203.0</v>
      </c>
      <c r="B740" s="23" t="s">
        <v>1139</v>
      </c>
      <c r="C740" s="200" t="b">
        <f>IF($D740, TRUE, IF(ISERROR('API import'!$A$1), FALSE, COUNTIF('API import'!$A:$A, $A740)&gt;0))</f>
        <v>0</v>
      </c>
      <c r="D740" s="195" t="b">
        <v>0</v>
      </c>
      <c r="E740" s="195">
        <v>6.0</v>
      </c>
      <c r="F740" s="201">
        <f>COUNTIF('Activity map'!$C:$C, $A740)</f>
        <v>1</v>
      </c>
    </row>
    <row r="741">
      <c r="A741" s="26">
        <v>12512.0</v>
      </c>
      <c r="B741" s="23" t="s">
        <v>1140</v>
      </c>
      <c r="C741" s="200" t="b">
        <f>IF($D741, TRUE, IF(ISERROR('API import'!$A$1), FALSE, COUNTIF('API import'!$A:$A, $A741)&gt;0))</f>
        <v>0</v>
      </c>
      <c r="D741" s="195" t="b">
        <v>0</v>
      </c>
      <c r="E741" s="195">
        <v>5.0</v>
      </c>
      <c r="F741" s="201">
        <f>COUNTIF('Activity map'!$C:$C, $A741)</f>
        <v>1</v>
      </c>
    </row>
    <row r="742">
      <c r="A742" s="26">
        <v>12508.0</v>
      </c>
      <c r="B742" s="23" t="s">
        <v>1141</v>
      </c>
      <c r="C742" s="200" t="b">
        <f>IF($D742, TRUE, IF(ISERROR('API import'!$A$1), FALSE, COUNTIF('API import'!$A:$A, $A742)&gt;0))</f>
        <v>0</v>
      </c>
      <c r="D742" s="195" t="b">
        <v>0</v>
      </c>
      <c r="E742" s="195">
        <v>5.0</v>
      </c>
      <c r="F742" s="201">
        <f>COUNTIF('Activity map'!$C:$C, $A742)</f>
        <v>1</v>
      </c>
    </row>
    <row r="743">
      <c r="A743" s="26">
        <v>12510.0</v>
      </c>
      <c r="B743" s="23" t="s">
        <v>1142</v>
      </c>
      <c r="C743" s="202" t="b">
        <f>IF($D743, TRUE, IF(ISERROR('API import'!$A$1), FALSE, COUNTIF('API import'!$A:$A, $A743)&gt;0))</f>
        <v>0</v>
      </c>
      <c r="D743" s="195" t="b">
        <v>0</v>
      </c>
      <c r="E743" s="195">
        <v>5.0</v>
      </c>
      <c r="F743" s="201">
        <f>COUNTIF('Activity map'!$C:$C, $A743)</f>
        <v>1</v>
      </c>
    </row>
    <row r="744">
      <c r="A744" s="26">
        <v>12506.0</v>
      </c>
      <c r="B744" s="23" t="s">
        <v>1143</v>
      </c>
      <c r="C744" s="202" t="b">
        <f>IF($D744, TRUE, IF(ISERROR('API import'!$A$1), FALSE, COUNTIF('API import'!$A:$A, $A744)&gt;0))</f>
        <v>0</v>
      </c>
      <c r="D744" s="195" t="b">
        <v>0</v>
      </c>
      <c r="E744" s="195">
        <v>5.0</v>
      </c>
      <c r="F744" s="201">
        <f>COUNTIF('Activity map'!$C:$C, $A744)</f>
        <v>1</v>
      </c>
    </row>
    <row r="745">
      <c r="A745" s="26">
        <v>19930.0</v>
      </c>
      <c r="B745" s="23" t="s">
        <v>1144</v>
      </c>
      <c r="C745" s="200" t="b">
        <f>IF($D745, TRUE, IF(ISERROR('API import'!$A$1), FALSE, COUNTIF('API import'!$A:$A, $A745)&gt;0))</f>
        <v>0</v>
      </c>
      <c r="D745" s="195" t="b">
        <v>0</v>
      </c>
      <c r="E745" s="195">
        <v>5.0</v>
      </c>
      <c r="F745" s="201">
        <f>COUNTIF('Activity map'!$C:$C, $A745)</f>
        <v>1</v>
      </c>
    </row>
    <row r="746">
      <c r="A746" s="26">
        <v>23200.0</v>
      </c>
      <c r="B746" s="23" t="s">
        <v>1145</v>
      </c>
      <c r="C746" s="200" t="b">
        <f>IF($D746, TRUE, IF(ISERROR('API import'!$A$1), FALSE, COUNTIF('API import'!$A:$A, $A746)&gt;0))</f>
        <v>0</v>
      </c>
      <c r="D746" s="195" t="b">
        <v>0</v>
      </c>
      <c r="E746" s="195">
        <v>6.0</v>
      </c>
      <c r="F746" s="201">
        <f>COUNTIF('Activity map'!$C:$C, $A746)</f>
        <v>1</v>
      </c>
    </row>
    <row r="747">
      <c r="A747" s="26">
        <v>12496.0</v>
      </c>
      <c r="B747" s="23" t="s">
        <v>1146</v>
      </c>
      <c r="C747" s="200" t="b">
        <f>IF($D747, TRUE, IF(ISERROR('API import'!$A$1), FALSE, COUNTIF('API import'!$A:$A, $A747)&gt;0))</f>
        <v>0</v>
      </c>
      <c r="D747" s="195" t="b">
        <v>0</v>
      </c>
      <c r="E747" s="195">
        <v>5.0</v>
      </c>
      <c r="F747" s="201">
        <f>COUNTIF('Activity map'!$C:$C, $A747)</f>
        <v>1</v>
      </c>
    </row>
    <row r="748">
      <c r="A748" s="26">
        <v>12492.0</v>
      </c>
      <c r="B748" s="23" t="s">
        <v>1147</v>
      </c>
      <c r="C748" s="200" t="b">
        <f>IF($D748, TRUE, IF(ISERROR('API import'!$A$1), FALSE, COUNTIF('API import'!$A:$A, $A748)&gt;0))</f>
        <v>0</v>
      </c>
      <c r="D748" s="195" t="b">
        <v>0</v>
      </c>
      <c r="E748" s="195">
        <v>5.0</v>
      </c>
      <c r="F748" s="201">
        <f>COUNTIF('Activity map'!$C:$C, $A748)</f>
        <v>1</v>
      </c>
    </row>
    <row r="749">
      <c r="A749" s="26">
        <v>12494.0</v>
      </c>
      <c r="B749" s="23" t="s">
        <v>1148</v>
      </c>
      <c r="C749" s="202" t="b">
        <f>IF($D749, TRUE, IF(ISERROR('API import'!$A$1), FALSE, COUNTIF('API import'!$A:$A, $A749)&gt;0))</f>
        <v>0</v>
      </c>
      <c r="D749" s="195" t="b">
        <v>0</v>
      </c>
      <c r="E749" s="195">
        <v>5.0</v>
      </c>
      <c r="F749" s="201">
        <f>COUNTIF('Activity map'!$C:$C, $A749)</f>
        <v>1</v>
      </c>
    </row>
    <row r="750">
      <c r="A750" s="26">
        <v>12490.0</v>
      </c>
      <c r="B750" s="23" t="s">
        <v>1149</v>
      </c>
      <c r="C750" s="202" t="b">
        <f>IF($D750, TRUE, IF(ISERROR('API import'!$A$1), FALSE, COUNTIF('API import'!$A:$A, $A750)&gt;0))</f>
        <v>0</v>
      </c>
      <c r="D750" s="195" t="b">
        <v>0</v>
      </c>
      <c r="E750" s="195">
        <v>5.0</v>
      </c>
      <c r="F750" s="201">
        <f>COUNTIF('Activity map'!$C:$C, $A750)</f>
        <v>1</v>
      </c>
    </row>
    <row r="751">
      <c r="A751" s="26">
        <v>19921.0</v>
      </c>
      <c r="B751" s="23" t="s">
        <v>1150</v>
      </c>
      <c r="C751" s="200" t="b">
        <f>IF($D751, TRUE, IF(ISERROR('API import'!$A$1), FALSE, COUNTIF('API import'!$A:$A, $A751)&gt;0))</f>
        <v>0</v>
      </c>
      <c r="D751" s="195" t="b">
        <v>0</v>
      </c>
      <c r="E751" s="195">
        <v>5.0</v>
      </c>
      <c r="F751" s="201">
        <f>COUNTIF('Activity map'!$C:$C, $A751)</f>
        <v>1</v>
      </c>
    </row>
    <row r="752">
      <c r="A752" s="26">
        <v>23197.0</v>
      </c>
      <c r="B752" s="23" t="s">
        <v>1151</v>
      </c>
      <c r="C752" s="200" t="b">
        <f>IF($D752, TRUE, IF(ISERROR('API import'!$A$1), FALSE, COUNTIF('API import'!$A:$A, $A752)&gt;0))</f>
        <v>0</v>
      </c>
      <c r="D752" s="195" t="b">
        <v>0</v>
      </c>
      <c r="E752" s="195">
        <v>6.0</v>
      </c>
      <c r="F752" s="201">
        <f>COUNTIF('Activity map'!$C:$C, $A752)</f>
        <v>1</v>
      </c>
    </row>
    <row r="753">
      <c r="A753" s="26">
        <v>12331.0</v>
      </c>
      <c r="B753" s="23" t="s">
        <v>1152</v>
      </c>
      <c r="C753" s="200" t="b">
        <f>IF($D753, TRUE, IF(ISERROR('API import'!$A$1), FALSE, COUNTIF('API import'!$A:$A, $A753)&gt;0))</f>
        <v>0</v>
      </c>
      <c r="D753" s="195" t="b">
        <v>0</v>
      </c>
      <c r="E753" s="195">
        <v>5.0</v>
      </c>
      <c r="F753" s="201">
        <f>COUNTIF('Activity map'!$C:$C, $A753)</f>
        <v>1</v>
      </c>
    </row>
    <row r="754">
      <c r="A754" s="26">
        <v>12333.0</v>
      </c>
      <c r="B754" s="23" t="s">
        <v>1153</v>
      </c>
      <c r="C754" s="202" t="b">
        <f>IF($D754, TRUE, IF(ISERROR('API import'!$A$1), FALSE, COUNTIF('API import'!$A:$A, $A754)&gt;0))</f>
        <v>0</v>
      </c>
      <c r="D754" s="195" t="b">
        <v>0</v>
      </c>
      <c r="E754" s="195">
        <v>5.0</v>
      </c>
      <c r="F754" s="201">
        <f>COUNTIF('Activity map'!$C:$C, $A754)</f>
        <v>1</v>
      </c>
    </row>
    <row r="755">
      <c r="A755" s="26">
        <v>12327.0</v>
      </c>
      <c r="B755" s="23" t="s">
        <v>1154</v>
      </c>
      <c r="C755" s="200" t="b">
        <f>IF($D755, TRUE, IF(ISERROR('API import'!$A$1), FALSE, COUNTIF('API import'!$A:$A, $A755)&gt;0))</f>
        <v>0</v>
      </c>
      <c r="D755" s="195" t="b">
        <v>0</v>
      </c>
      <c r="E755" s="195">
        <v>5.0</v>
      </c>
      <c r="F755" s="201">
        <f>COUNTIF('Activity map'!$C:$C, $A755)</f>
        <v>1</v>
      </c>
    </row>
    <row r="756">
      <c r="A756" s="26">
        <v>12329.0</v>
      </c>
      <c r="B756" s="23" t="s">
        <v>1155</v>
      </c>
      <c r="C756" s="200" t="b">
        <f>IF($D756, TRUE, IF(ISERROR('API import'!$A$1), FALSE, COUNTIF('API import'!$A:$A, $A756)&gt;0))</f>
        <v>0</v>
      </c>
      <c r="D756" s="195" t="b">
        <v>0</v>
      </c>
      <c r="E756" s="195">
        <v>5.0</v>
      </c>
      <c r="F756" s="201">
        <f>COUNTIF('Activity map'!$C:$C, $A756)</f>
        <v>1</v>
      </c>
    </row>
    <row r="757">
      <c r="A757" s="26">
        <v>7376.0</v>
      </c>
      <c r="B757" s="23" t="s">
        <v>1156</v>
      </c>
      <c r="C757" s="202" t="b">
        <f>IF($D757, TRUE, IF(ISERROR('API import'!$A$1), FALSE, COUNTIF('API import'!$A:$A, $A757)&gt;0))</f>
        <v>0</v>
      </c>
      <c r="D757" s="195" t="b">
        <v>0</v>
      </c>
      <c r="E757" s="195">
        <v>5.0</v>
      </c>
      <c r="F757" s="201">
        <f>COUNTIF('Activity map'!$C:$C, $A757)</f>
        <v>1</v>
      </c>
    </row>
    <row r="758">
      <c r="A758" s="26">
        <v>7384.0</v>
      </c>
      <c r="B758" s="23" t="s">
        <v>1157</v>
      </c>
      <c r="C758" s="202" t="b">
        <f>IF($D758, TRUE, IF(ISERROR('API import'!$A$1), FALSE, COUNTIF('API import'!$A:$A, $A758)&gt;0))</f>
        <v>0</v>
      </c>
      <c r="D758" s="195" t="b">
        <v>0</v>
      </c>
      <c r="E758" s="195">
        <v>5.0</v>
      </c>
      <c r="F758" s="201">
        <f>COUNTIF('Activity map'!$C:$C, $A758)</f>
        <v>1</v>
      </c>
    </row>
    <row r="759">
      <c r="A759" s="26">
        <v>7374.0</v>
      </c>
      <c r="B759" s="23" t="s">
        <v>1158</v>
      </c>
      <c r="C759" s="200" t="b">
        <f>IF($D759, TRUE, IF(ISERROR('API import'!$A$1), FALSE, COUNTIF('API import'!$A:$A, $A759)&gt;0))</f>
        <v>0</v>
      </c>
      <c r="D759" s="195" t="b">
        <v>0</v>
      </c>
      <c r="E759" s="195">
        <v>5.0</v>
      </c>
      <c r="F759" s="201">
        <f>COUNTIF('Activity map'!$C:$C, $A759)</f>
        <v>1</v>
      </c>
    </row>
    <row r="760">
      <c r="A760" s="26">
        <v>7382.0</v>
      </c>
      <c r="B760" s="23" t="s">
        <v>1159</v>
      </c>
      <c r="C760" s="200" t="b">
        <f>IF($D760, TRUE, IF(ISERROR('API import'!$A$1), FALSE, COUNTIF('API import'!$A:$A, $A760)&gt;0))</f>
        <v>0</v>
      </c>
      <c r="D760" s="195" t="b">
        <v>0</v>
      </c>
      <c r="E760" s="195">
        <v>5.0</v>
      </c>
      <c r="F760" s="201">
        <f>COUNTIF('Activity map'!$C:$C, $A760)</f>
        <v>1</v>
      </c>
    </row>
    <row r="761">
      <c r="A761" s="26">
        <v>7400.0</v>
      </c>
      <c r="B761" s="23" t="s">
        <v>1160</v>
      </c>
      <c r="C761" s="200" t="b">
        <f>IF($D761, TRUE, IF(ISERROR('API import'!$A$1), FALSE, COUNTIF('API import'!$A:$A, $A761)&gt;0))</f>
        <v>0</v>
      </c>
      <c r="D761" s="195" t="b">
        <v>0</v>
      </c>
      <c r="E761" s="195">
        <v>5.0</v>
      </c>
      <c r="F761" s="201">
        <f>COUNTIF('Activity map'!$C:$C, $A761)</f>
        <v>1</v>
      </c>
    </row>
    <row r="762">
      <c r="A762" s="26">
        <v>7399.0</v>
      </c>
      <c r="B762" s="23" t="s">
        <v>1161</v>
      </c>
      <c r="C762" s="202" t="b">
        <f>IF($D762, TRUE, IF(ISERROR('API import'!$A$1), FALSE, COUNTIF('API import'!$A:$A, $A762)&gt;0))</f>
        <v>0</v>
      </c>
      <c r="D762" s="195" t="b">
        <v>0</v>
      </c>
      <c r="E762" s="195">
        <v>5.0</v>
      </c>
      <c r="F762" s="201">
        <f>COUNTIF('Activity map'!$C:$C, $A762)</f>
        <v>1</v>
      </c>
    </row>
    <row r="763">
      <c r="A763" s="26">
        <v>7398.0</v>
      </c>
      <c r="B763" s="23" t="s">
        <v>1162</v>
      </c>
      <c r="C763" s="200" t="b">
        <f>IF($D763, TRUE, IF(ISERROR('API import'!$A$1), FALSE, COUNTIF('API import'!$A:$A, $A763)&gt;0))</f>
        <v>0</v>
      </c>
      <c r="D763" s="195" t="b">
        <v>0</v>
      </c>
      <c r="E763" s="195">
        <v>5.0</v>
      </c>
      <c r="F763" s="201">
        <f>COUNTIF('Activity map'!$C:$C, $A763)</f>
        <v>1</v>
      </c>
    </row>
    <row r="764">
      <c r="A764" s="26">
        <v>10470.0</v>
      </c>
      <c r="B764" s="23" t="s">
        <v>1163</v>
      </c>
      <c r="C764" s="202" t="b">
        <f>IF($D764, TRUE, IF(ISERROR('API import'!$A$1), FALSE, COUNTIF('API import'!$A:$A, $A764)&gt;0))</f>
        <v>0</v>
      </c>
      <c r="D764" s="195" t="b">
        <v>0</v>
      </c>
      <c r="E764" s="195">
        <v>5.0</v>
      </c>
      <c r="F764" s="201">
        <f>COUNTIF('Activity map'!$C:$C, $A764)</f>
        <v>1</v>
      </c>
    </row>
    <row r="765">
      <c r="A765" s="26">
        <v>10440.0</v>
      </c>
      <c r="B765" s="23" t="s">
        <v>1164</v>
      </c>
      <c r="C765" s="200" t="b">
        <f>IF($D765, TRUE, IF(ISERROR('API import'!$A$1), FALSE, COUNTIF('API import'!$A:$A, $A765)&gt;0))</f>
        <v>0</v>
      </c>
      <c r="D765" s="195" t="b">
        <v>0</v>
      </c>
      <c r="E765" s="195">
        <v>5.0</v>
      </c>
      <c r="F765" s="201">
        <f>COUNTIF('Activity map'!$C:$C, $A765)</f>
        <v>1</v>
      </c>
    </row>
    <row r="766">
      <c r="A766" s="26">
        <v>10472.0</v>
      </c>
      <c r="B766" s="23" t="s">
        <v>1165</v>
      </c>
      <c r="C766" s="200" t="b">
        <f>IF($D766, TRUE, IF(ISERROR('API import'!$A$1), FALSE, COUNTIF('API import'!$A:$A, $A766)&gt;0))</f>
        <v>0</v>
      </c>
      <c r="D766" s="195" t="b">
        <v>0</v>
      </c>
      <c r="E766" s="195">
        <v>5.0</v>
      </c>
      <c r="F766" s="201">
        <f>COUNTIF('Activity map'!$C:$C, $A766)</f>
        <v>1</v>
      </c>
    </row>
    <row r="767">
      <c r="A767" s="26">
        <v>10442.0</v>
      </c>
      <c r="B767" s="23" t="s">
        <v>1166</v>
      </c>
      <c r="C767" s="202" t="b">
        <f>IF($D767, TRUE, IF(ISERROR('API import'!$A$1), FALSE, COUNTIF('API import'!$A:$A, $A767)&gt;0))</f>
        <v>0</v>
      </c>
      <c r="D767" s="195" t="b">
        <v>0</v>
      </c>
      <c r="E767" s="195">
        <v>5.0</v>
      </c>
      <c r="F767" s="201">
        <f>COUNTIF('Activity map'!$C:$C, $A767)</f>
        <v>1</v>
      </c>
    </row>
    <row r="768">
      <c r="A768" s="26">
        <v>10474.0</v>
      </c>
      <c r="B768" s="23" t="s">
        <v>1167</v>
      </c>
      <c r="C768" s="202" t="b">
        <f>IF($D768, TRUE, IF(ISERROR('API import'!$A$1), FALSE, COUNTIF('API import'!$A:$A, $A768)&gt;0))</f>
        <v>0</v>
      </c>
      <c r="D768" s="195" t="b">
        <v>0</v>
      </c>
      <c r="E768" s="195">
        <v>5.0</v>
      </c>
      <c r="F768" s="201">
        <f>COUNTIF('Activity map'!$C:$C, $A768)</f>
        <v>1</v>
      </c>
    </row>
    <row r="769">
      <c r="A769" s="26">
        <v>10444.0</v>
      </c>
      <c r="B769" s="23" t="s">
        <v>1168</v>
      </c>
      <c r="C769" s="200" t="b">
        <f>IF($D769, TRUE, IF(ISERROR('API import'!$A$1), FALSE, COUNTIF('API import'!$A:$A, $A769)&gt;0))</f>
        <v>0</v>
      </c>
      <c r="D769" s="195" t="b">
        <v>0</v>
      </c>
      <c r="E769" s="195">
        <v>5.0</v>
      </c>
      <c r="F769" s="201">
        <f>COUNTIF('Activity map'!$C:$C, $A769)</f>
        <v>1</v>
      </c>
    </row>
    <row r="770">
      <c r="A770" s="26">
        <v>19912.0</v>
      </c>
      <c r="B770" s="23" t="s">
        <v>1169</v>
      </c>
      <c r="C770" s="200" t="b">
        <f>IF($D770, TRUE, IF(ISERROR('API import'!$A$1), FALSE, COUNTIF('API import'!$A:$A, $A770)&gt;0))</f>
        <v>0</v>
      </c>
      <c r="D770" s="195" t="b">
        <v>0</v>
      </c>
      <c r="E770" s="195">
        <v>5.0</v>
      </c>
      <c r="F770" s="201">
        <f>COUNTIF('Activity map'!$C:$C, $A770)</f>
        <v>1</v>
      </c>
    </row>
    <row r="771">
      <c r="A771" s="26">
        <v>19915.0</v>
      </c>
      <c r="B771" s="23" t="s">
        <v>1170</v>
      </c>
      <c r="C771" s="200" t="b">
        <f>IF($D771, TRUE, IF(ISERROR('API import'!$A$1), FALSE, COUNTIF('API import'!$A:$A, $A771)&gt;0))</f>
        <v>0</v>
      </c>
      <c r="D771" s="195" t="b">
        <v>0</v>
      </c>
      <c r="E771" s="195">
        <v>5.0</v>
      </c>
      <c r="F771" s="201">
        <f>COUNTIF('Activity map'!$C:$C, $A771)</f>
        <v>1</v>
      </c>
    </row>
    <row r="772">
      <c r="A772" s="26">
        <v>2651.0</v>
      </c>
      <c r="B772" s="23" t="s">
        <v>1171</v>
      </c>
      <c r="C772" s="200" t="b">
        <f>IF($D772, TRUE, IF(ISERROR('API import'!$A$1), FALSE, COUNTIF('API import'!$A:$A, $A772)&gt;0))</f>
        <v>0</v>
      </c>
      <c r="D772" s="195" t="b">
        <v>0</v>
      </c>
      <c r="E772" s="195">
        <v>5.0</v>
      </c>
      <c r="F772" s="201">
        <f>COUNTIF('Activity map'!$C:$C, $A772)</f>
        <v>1</v>
      </c>
    </row>
    <row r="773">
      <c r="A773" s="26">
        <v>12323.0</v>
      </c>
      <c r="B773" s="23" t="s">
        <v>1172</v>
      </c>
      <c r="C773" s="200" t="b">
        <f>IF($D773, TRUE, IF(ISERROR('API import'!$A$1), FALSE, COUNTIF('API import'!$A:$A, $A773)&gt;0))</f>
        <v>0</v>
      </c>
      <c r="D773" s="195" t="b">
        <v>0</v>
      </c>
      <c r="E773" s="195">
        <v>5.0</v>
      </c>
      <c r="F773" s="201">
        <f>COUNTIF('Activity map'!$C:$C, $A773)</f>
        <v>1</v>
      </c>
    </row>
    <row r="774">
      <c r="A774" s="26">
        <v>12321.0</v>
      </c>
      <c r="B774" s="23" t="s">
        <v>1173</v>
      </c>
      <c r="C774" s="200" t="b">
        <f>IF($D774, TRUE, IF(ISERROR('API import'!$A$1), FALSE, COUNTIF('API import'!$A:$A, $A774)&gt;0))</f>
        <v>0</v>
      </c>
      <c r="D774" s="195" t="b">
        <v>0</v>
      </c>
      <c r="E774" s="195">
        <v>5.0</v>
      </c>
      <c r="F774" s="201">
        <f>COUNTIF('Activity map'!$C:$C, $A774)</f>
        <v>1</v>
      </c>
    </row>
    <row r="775">
      <c r="A775" s="26">
        <v>12325.0</v>
      </c>
      <c r="B775" s="23" t="s">
        <v>1174</v>
      </c>
      <c r="C775" s="200" t="b">
        <f>IF($D775, TRUE, IF(ISERROR('API import'!$A$1), FALSE, COUNTIF('API import'!$A:$A, $A775)&gt;0))</f>
        <v>0</v>
      </c>
      <c r="D775" s="195" t="b">
        <v>0</v>
      </c>
      <c r="E775" s="195">
        <v>5.0</v>
      </c>
      <c r="F775" s="201">
        <f>COUNTIF('Activity map'!$C:$C, $A775)</f>
        <v>1</v>
      </c>
    </row>
    <row r="776">
      <c r="A776" s="26">
        <v>2639.0</v>
      </c>
      <c r="B776" s="23" t="s">
        <v>1175</v>
      </c>
      <c r="C776" s="200" t="b">
        <f>IF($D776, TRUE, IF(ISERROR('API import'!$A$1), FALSE, COUNTIF('API import'!$A:$A, $A776)&gt;0))</f>
        <v>0</v>
      </c>
      <c r="D776" s="195" t="b">
        <v>0</v>
      </c>
      <c r="E776" s="195">
        <v>5.0</v>
      </c>
      <c r="F776" s="201">
        <f>COUNTIF('Activity map'!$C:$C, $A776)</f>
        <v>1</v>
      </c>
    </row>
    <row r="777">
      <c r="A777" s="26">
        <v>2641.0</v>
      </c>
      <c r="B777" s="23" t="s">
        <v>1176</v>
      </c>
      <c r="C777" s="202" t="b">
        <f>IF($D777, TRUE, IF(ISERROR('API import'!$A$1), FALSE, COUNTIF('API import'!$A:$A, $A777)&gt;0))</f>
        <v>0</v>
      </c>
      <c r="D777" s="195" t="b">
        <v>0</v>
      </c>
      <c r="E777" s="195">
        <v>5.0</v>
      </c>
      <c r="F777" s="201">
        <f>COUNTIF('Activity map'!$C:$C, $A777)</f>
        <v>1</v>
      </c>
    </row>
    <row r="778">
      <c r="A778" s="26">
        <v>2643.0</v>
      </c>
      <c r="B778" s="23" t="s">
        <v>1177</v>
      </c>
      <c r="C778" s="200" t="b">
        <f>IF($D778, TRUE, IF(ISERROR('API import'!$A$1), FALSE, COUNTIF('API import'!$A:$A, $A778)&gt;0))</f>
        <v>0</v>
      </c>
      <c r="D778" s="195" t="b">
        <v>0</v>
      </c>
      <c r="E778" s="195">
        <v>5.0</v>
      </c>
      <c r="F778" s="201">
        <f>COUNTIF('Activity map'!$C:$C, $A778)</f>
        <v>1</v>
      </c>
    </row>
    <row r="779">
      <c r="A779" s="26">
        <v>12516.0</v>
      </c>
      <c r="B779" s="23" t="s">
        <v>1178</v>
      </c>
      <c r="C779" s="202" t="b">
        <f>IF($D779, TRUE, IF(ISERROR('API import'!$A$1), FALSE, COUNTIF('API import'!$A:$A, $A779)&gt;0))</f>
        <v>0</v>
      </c>
      <c r="D779" s="195" t="b">
        <v>0</v>
      </c>
      <c r="E779" s="195">
        <v>5.0</v>
      </c>
      <c r="F779" s="201">
        <f>COUNTIF('Activity map'!$C:$C, $A779)</f>
        <v>1</v>
      </c>
    </row>
    <row r="780">
      <c r="A780" s="26">
        <v>12514.0</v>
      </c>
      <c r="B780" s="23" t="s">
        <v>1179</v>
      </c>
      <c r="C780" s="200" t="b">
        <f>IF($D780, TRUE, IF(ISERROR('API import'!$A$1), FALSE, COUNTIF('API import'!$A:$A, $A780)&gt;0))</f>
        <v>0</v>
      </c>
      <c r="D780" s="195" t="b">
        <v>0</v>
      </c>
      <c r="E780" s="195">
        <v>5.0</v>
      </c>
      <c r="F780" s="201">
        <f>COUNTIF('Activity map'!$C:$C, $A780)</f>
        <v>1</v>
      </c>
    </row>
    <row r="781">
      <c r="A781" s="26">
        <v>23224.0</v>
      </c>
      <c r="B781" s="23" t="s">
        <v>1180</v>
      </c>
      <c r="C781" s="200" t="b">
        <f>IF($D781, TRUE, IF(ISERROR('API import'!$A$1), FALSE, COUNTIF('API import'!$A:$A, $A781)&gt;0))</f>
        <v>0</v>
      </c>
      <c r="D781" s="195" t="b">
        <v>0</v>
      </c>
      <c r="E781" s="195">
        <v>5.0</v>
      </c>
      <c r="F781" s="201">
        <f>COUNTIF('Activity map'!$C:$C, $A781)</f>
        <v>1</v>
      </c>
    </row>
    <row r="782">
      <c r="A782" s="26">
        <v>12518.0</v>
      </c>
      <c r="B782" s="23" t="s">
        <v>1181</v>
      </c>
      <c r="C782" s="200" t="b">
        <f>IF($D782, TRUE, IF(ISERROR('API import'!$A$1), FALSE, COUNTIF('API import'!$A:$A, $A782)&gt;0))</f>
        <v>0</v>
      </c>
      <c r="D782" s="195" t="b">
        <v>0</v>
      </c>
      <c r="E782" s="195">
        <v>5.0</v>
      </c>
      <c r="F782" s="201">
        <f>COUNTIF('Activity map'!$C:$C, $A782)</f>
        <v>1</v>
      </c>
    </row>
    <row r="783">
      <c r="A783" s="26">
        <v>12520.0</v>
      </c>
      <c r="B783" s="23" t="s">
        <v>1182</v>
      </c>
      <c r="C783" s="202" t="b">
        <f>IF($D783, TRUE, IF(ISERROR('API import'!$A$1), FALSE, COUNTIF('API import'!$A:$A, $A783)&gt;0))</f>
        <v>0</v>
      </c>
      <c r="D783" s="195" t="b">
        <v>0</v>
      </c>
      <c r="E783" s="195">
        <v>5.0</v>
      </c>
      <c r="F783" s="201">
        <f>COUNTIF('Activity map'!$C:$C, $A783)</f>
        <v>1</v>
      </c>
    </row>
    <row r="784">
      <c r="A784" s="26">
        <v>12522.0</v>
      </c>
      <c r="B784" s="23" t="s">
        <v>1183</v>
      </c>
      <c r="C784" s="202" t="b">
        <f>IF($D784, TRUE, IF(ISERROR('API import'!$A$1), FALSE, COUNTIF('API import'!$A:$A, $A784)&gt;0))</f>
        <v>0</v>
      </c>
      <c r="D784" s="195" t="b">
        <v>0</v>
      </c>
      <c r="E784" s="195">
        <v>5.0</v>
      </c>
      <c r="F784" s="201">
        <f>COUNTIF('Activity map'!$C:$C, $A784)</f>
        <v>1</v>
      </c>
    </row>
    <row r="785">
      <c r="A785" s="26">
        <v>12524.0</v>
      </c>
      <c r="B785" s="23" t="s">
        <v>1184</v>
      </c>
      <c r="C785" s="202" t="b">
        <f>IF($D785, TRUE, IF(ISERROR('API import'!$A$1), FALSE, COUNTIF('API import'!$A:$A, $A785)&gt;0))</f>
        <v>0</v>
      </c>
      <c r="D785" s="195" t="b">
        <v>0</v>
      </c>
      <c r="E785" s="195">
        <v>5.0</v>
      </c>
      <c r="F785" s="201">
        <f>COUNTIF('Activity map'!$C:$C, $A785)</f>
        <v>1</v>
      </c>
    </row>
    <row r="786">
      <c r="A786" s="26">
        <v>19918.0</v>
      </c>
      <c r="B786" s="23" t="s">
        <v>1185</v>
      </c>
      <c r="C786" s="200" t="b">
        <f>IF($D786, TRUE, IF(ISERROR('API import'!$A$1), FALSE, COUNTIF('API import'!$A:$A, $A786)&gt;0))</f>
        <v>0</v>
      </c>
      <c r="D786" s="195" t="b">
        <v>0</v>
      </c>
      <c r="E786" s="195">
        <v>5.0</v>
      </c>
      <c r="F786" s="201">
        <f>COUNTIF('Activity map'!$C:$C, $A786)</f>
        <v>1</v>
      </c>
    </row>
    <row r="787">
      <c r="A787" s="26">
        <v>23206.0</v>
      </c>
      <c r="B787" s="23" t="s">
        <v>1186</v>
      </c>
      <c r="C787" s="200" t="b">
        <f>IF($D787, TRUE, IF(ISERROR('API import'!$A$1), FALSE, COUNTIF('API import'!$A:$A, $A787)&gt;0))</f>
        <v>0</v>
      </c>
      <c r="D787" s="195" t="b">
        <v>0</v>
      </c>
      <c r="E787" s="195">
        <v>5.0</v>
      </c>
      <c r="F787" s="201">
        <f>COUNTIF('Activity map'!$C:$C, $A787)</f>
        <v>1</v>
      </c>
    </row>
    <row r="788">
      <c r="A788" s="26">
        <v>12379.0</v>
      </c>
      <c r="B788" s="23" t="s">
        <v>1187</v>
      </c>
      <c r="C788" s="200" t="b">
        <f>IF($D788, TRUE, IF(ISERROR('API import'!$A$1), FALSE, COUNTIF('API import'!$A:$A, $A788)&gt;0))</f>
        <v>0</v>
      </c>
      <c r="D788" s="195" t="b">
        <v>0</v>
      </c>
      <c r="E788" s="195">
        <v>5.0</v>
      </c>
      <c r="F788" s="201">
        <f>COUNTIF('Activity map'!$C:$C, $A788)</f>
        <v>1</v>
      </c>
    </row>
    <row r="789">
      <c r="A789" s="26">
        <v>10354.0</v>
      </c>
      <c r="B789" s="23" t="s">
        <v>1188</v>
      </c>
      <c r="C789" s="202" t="b">
        <f>IF($D789, TRUE, IF(ISERROR('API import'!$A$1), FALSE, COUNTIF('API import'!$A:$A, $A789)&gt;0))</f>
        <v>0</v>
      </c>
      <c r="D789" s="195" t="b">
        <v>0</v>
      </c>
      <c r="E789" s="195">
        <v>5.0</v>
      </c>
      <c r="F789" s="201">
        <f>COUNTIF('Activity map'!$C:$C, $A789)</f>
        <v>1</v>
      </c>
    </row>
    <row r="790">
      <c r="A790" s="26">
        <v>10284.0</v>
      </c>
      <c r="B790" s="23" t="s">
        <v>1189</v>
      </c>
      <c r="C790" s="202" t="b">
        <f>IF($D790, TRUE, IF(ISERROR('API import'!$A$1), FALSE, COUNTIF('API import'!$A:$A, $A790)&gt;0))</f>
        <v>0</v>
      </c>
      <c r="D790" s="195" t="b">
        <v>0</v>
      </c>
      <c r="E790" s="195">
        <v>5.0</v>
      </c>
      <c r="F790" s="201">
        <f>COUNTIF('Activity map'!$C:$C, $A790)</f>
        <v>1</v>
      </c>
    </row>
    <row r="791">
      <c r="A791" s="26">
        <v>23185.0</v>
      </c>
      <c r="B791" s="23" t="s">
        <v>1190</v>
      </c>
      <c r="C791" s="200" t="b">
        <f>IF($D791, TRUE, IF(ISERROR('API import'!$A$1), FALSE, COUNTIF('API import'!$A:$A, $A791)&gt;0))</f>
        <v>0</v>
      </c>
      <c r="D791" s="195" t="b">
        <v>0</v>
      </c>
      <c r="E791" s="195">
        <v>7.0</v>
      </c>
      <c r="F791" s="203">
        <f>COUNTIF('Activity map'!$C:$C, $A791)</f>
        <v>2</v>
      </c>
    </row>
    <row r="792">
      <c r="A792" s="26">
        <v>12526.0</v>
      </c>
      <c r="B792" s="23" t="s">
        <v>1191</v>
      </c>
      <c r="C792" s="200" t="b">
        <f>IF($D792, TRUE, IF(ISERROR('API import'!$A$1), FALSE, COUNTIF('API import'!$A:$A, $A792)&gt;0))</f>
        <v>0</v>
      </c>
      <c r="D792" s="195" t="b">
        <v>0</v>
      </c>
      <c r="E792" s="195">
        <v>6.0</v>
      </c>
      <c r="F792" s="201">
        <f>COUNTIF('Activity map'!$C:$C, $A792)</f>
        <v>1</v>
      </c>
    </row>
    <row r="793">
      <c r="A793" s="26">
        <v>12534.0</v>
      </c>
      <c r="B793" s="23" t="s">
        <v>1192</v>
      </c>
      <c r="C793" s="202" t="b">
        <f>IF($D793, TRUE, IF(ISERROR('API import'!$A$1), FALSE, COUNTIF('API import'!$A:$A, $A793)&gt;0))</f>
        <v>0</v>
      </c>
      <c r="D793" s="195" t="b">
        <v>0</v>
      </c>
      <c r="E793" s="195">
        <v>6.0</v>
      </c>
      <c r="F793" s="201">
        <f>COUNTIF('Activity map'!$C:$C, $A793)</f>
        <v>1</v>
      </c>
    </row>
    <row r="794">
      <c r="A794" s="26">
        <v>12536.0</v>
      </c>
      <c r="B794" s="23" t="s">
        <v>1193</v>
      </c>
      <c r="C794" s="200" t="b">
        <f>IF($D794, TRUE, IF(ISERROR('API import'!$A$1), FALSE, COUNTIF('API import'!$A:$A, $A794)&gt;0))</f>
        <v>0</v>
      </c>
      <c r="D794" s="195" t="b">
        <v>0</v>
      </c>
      <c r="E794" s="195">
        <v>6.0</v>
      </c>
      <c r="F794" s="201">
        <f>COUNTIF('Activity map'!$C:$C, $A794)</f>
        <v>1</v>
      </c>
    </row>
    <row r="795">
      <c r="A795" s="26">
        <v>12532.0</v>
      </c>
      <c r="B795" s="23" t="s">
        <v>1194</v>
      </c>
      <c r="C795" s="200" t="b">
        <f>IF($D795, TRUE, IF(ISERROR('API import'!$A$1), FALSE, COUNTIF('API import'!$A:$A, $A795)&gt;0))</f>
        <v>0</v>
      </c>
      <c r="D795" s="195" t="b">
        <v>0</v>
      </c>
      <c r="E795" s="195">
        <v>6.0</v>
      </c>
      <c r="F795" s="201">
        <f>COUNTIF('Activity map'!$C:$C, $A795)</f>
        <v>1</v>
      </c>
    </row>
    <row r="796">
      <c r="A796" s="26">
        <v>12538.0</v>
      </c>
      <c r="B796" s="23" t="s">
        <v>1195</v>
      </c>
      <c r="C796" s="200" t="b">
        <f>IF($D796, TRUE, IF(ISERROR('API import'!$A$1), FALSE, COUNTIF('API import'!$A:$A, $A796)&gt;0))</f>
        <v>0</v>
      </c>
      <c r="D796" s="195" t="b">
        <v>0</v>
      </c>
      <c r="E796" s="195">
        <v>6.0</v>
      </c>
      <c r="F796" s="201">
        <f>COUNTIF('Activity map'!$C:$C, $A796)</f>
        <v>1</v>
      </c>
    </row>
    <row r="797">
      <c r="A797" s="26">
        <v>20002.0</v>
      </c>
      <c r="B797" s="23" t="s">
        <v>1196</v>
      </c>
      <c r="C797" s="200" t="b">
        <f>IF($D797, TRUE, IF(ISERROR('API import'!$A$1), FALSE, COUNTIF('API import'!$A:$A, $A797)&gt;0))</f>
        <v>0</v>
      </c>
      <c r="D797" s="195" t="b">
        <v>0</v>
      </c>
      <c r="E797" s="195">
        <v>6.0</v>
      </c>
      <c r="F797" s="201">
        <f>COUNTIF('Activity map'!$C:$C, $A797)</f>
        <v>1</v>
      </c>
    </row>
    <row r="798">
      <c r="A798" s="26">
        <v>12530.0</v>
      </c>
      <c r="B798" s="23" t="s">
        <v>1197</v>
      </c>
      <c r="C798" s="200" t="b">
        <f>IF($D798, TRUE, IF(ISERROR('API import'!$A$1), FALSE, COUNTIF('API import'!$A:$A, $A798)&gt;0))</f>
        <v>0</v>
      </c>
      <c r="D798" s="195" t="b">
        <v>0</v>
      </c>
      <c r="E798" s="195">
        <v>6.0</v>
      </c>
      <c r="F798" s="201">
        <f>COUNTIF('Activity map'!$C:$C, $A798)</f>
        <v>1</v>
      </c>
    </row>
    <row r="799">
      <c r="A799" s="26">
        <v>12528.0</v>
      </c>
      <c r="B799" s="23" t="s">
        <v>1198</v>
      </c>
      <c r="C799" s="200" t="b">
        <f>IF($D799, TRUE, IF(ISERROR('API import'!$A$1), FALSE, COUNTIF('API import'!$A:$A, $A799)&gt;0))</f>
        <v>0</v>
      </c>
      <c r="D799" s="195" t="b">
        <v>0</v>
      </c>
      <c r="E799" s="195">
        <v>6.0</v>
      </c>
      <c r="F799" s="201">
        <f>COUNTIF('Activity map'!$C:$C, $A799)</f>
        <v>1</v>
      </c>
    </row>
    <row r="800">
      <c r="A800" s="26">
        <v>19997.0</v>
      </c>
      <c r="B800" s="23" t="s">
        <v>1199</v>
      </c>
      <c r="C800" s="200" t="b">
        <f>IF($D800, TRUE, IF(ISERROR('API import'!$A$1), FALSE, COUNTIF('API import'!$A:$A, $A800)&gt;0))</f>
        <v>0</v>
      </c>
      <c r="D800" s="195" t="b">
        <v>0</v>
      </c>
      <c r="E800" s="195">
        <v>6.0</v>
      </c>
      <c r="F800" s="201">
        <f>COUNTIF('Activity map'!$C:$C, $A800)</f>
        <v>1</v>
      </c>
    </row>
    <row r="801">
      <c r="A801" s="26">
        <v>19994.0</v>
      </c>
      <c r="B801" s="23" t="s">
        <v>1200</v>
      </c>
      <c r="C801" s="200" t="b">
        <f>IF($D801, TRUE, IF(ISERROR('API import'!$A$1), FALSE, COUNTIF('API import'!$A:$A, $A801)&gt;0))</f>
        <v>0</v>
      </c>
      <c r="D801" s="195" t="b">
        <v>0</v>
      </c>
      <c r="E801" s="195">
        <v>6.0</v>
      </c>
      <c r="F801" s="201">
        <f>COUNTIF('Activity map'!$C:$C, $A801)</f>
        <v>1</v>
      </c>
    </row>
    <row r="802">
      <c r="A802" s="26">
        <v>12596.0</v>
      </c>
      <c r="B802" s="23" t="s">
        <v>1201</v>
      </c>
      <c r="C802" s="200" t="b">
        <f>IF($D802, TRUE, IF(ISERROR('API import'!$A$1), FALSE, COUNTIF('API import'!$A:$A, $A802)&gt;0))</f>
        <v>0</v>
      </c>
      <c r="D802" s="195" t="b">
        <v>0</v>
      </c>
      <c r="E802" s="195">
        <v>6.0</v>
      </c>
      <c r="F802" s="201">
        <f>COUNTIF('Activity map'!$C:$C, $A802)</f>
        <v>1</v>
      </c>
    </row>
    <row r="803">
      <c r="A803" s="26">
        <v>23249.0</v>
      </c>
      <c r="B803" s="23" t="s">
        <v>1202</v>
      </c>
      <c r="C803" s="202" t="b">
        <f>IF($D803, TRUE, IF(ISERROR('API import'!$A$1), FALSE, COUNTIF('API import'!$A:$A, $A803)&gt;0))</f>
        <v>0</v>
      </c>
      <c r="D803" s="195" t="b">
        <v>0</v>
      </c>
      <c r="E803" s="195">
        <v>6.0</v>
      </c>
      <c r="F803" s="201">
        <f>COUNTIF('Activity map'!$C:$C, $A803)</f>
        <v>1</v>
      </c>
    </row>
    <row r="804">
      <c r="A804" s="26">
        <v>12381.0</v>
      </c>
      <c r="B804" s="23" t="s">
        <v>1203</v>
      </c>
      <c r="C804" s="200" t="b">
        <f>IF($D804, TRUE, IF(ISERROR('API import'!$A$1), FALSE, COUNTIF('API import'!$A:$A, $A804)&gt;0))</f>
        <v>0</v>
      </c>
      <c r="D804" s="195" t="b">
        <v>0</v>
      </c>
      <c r="E804" s="195">
        <v>6.0</v>
      </c>
      <c r="F804" s="201">
        <f>COUNTIF('Activity map'!$C:$C, $A804)</f>
        <v>1</v>
      </c>
    </row>
    <row r="805">
      <c r="A805" s="26">
        <v>12383.0</v>
      </c>
      <c r="B805" s="23" t="s">
        <v>1204</v>
      </c>
      <c r="C805" s="200" t="b">
        <f>IF($D805, TRUE, IF(ISERROR('API import'!$A$1), FALSE, COUNTIF('API import'!$A:$A, $A805)&gt;0))</f>
        <v>0</v>
      </c>
      <c r="D805" s="195" t="b">
        <v>0</v>
      </c>
      <c r="E805" s="195">
        <v>6.0</v>
      </c>
      <c r="F805" s="201">
        <f>COUNTIF('Activity map'!$C:$C, $A805)</f>
        <v>1</v>
      </c>
    </row>
    <row r="806">
      <c r="A806" s="26">
        <v>12385.0</v>
      </c>
      <c r="B806" s="23" t="s">
        <v>1205</v>
      </c>
      <c r="C806" s="200" t="b">
        <f>IF($D806, TRUE, IF(ISERROR('API import'!$A$1), FALSE, COUNTIF('API import'!$A:$A, $A806)&gt;0))</f>
        <v>0</v>
      </c>
      <c r="D806" s="195" t="b">
        <v>0</v>
      </c>
      <c r="E806" s="195">
        <v>6.0</v>
      </c>
      <c r="F806" s="201">
        <f>COUNTIF('Activity map'!$C:$C, $A806)</f>
        <v>1</v>
      </c>
    </row>
    <row r="807">
      <c r="A807" s="26">
        <v>12387.0</v>
      </c>
      <c r="B807" s="23" t="s">
        <v>1206</v>
      </c>
      <c r="C807" s="200" t="b">
        <f>IF($D807, TRUE, IF(ISERROR('API import'!$A$1), FALSE, COUNTIF('API import'!$A:$A, $A807)&gt;0))</f>
        <v>0</v>
      </c>
      <c r="D807" s="195" t="b">
        <v>0</v>
      </c>
      <c r="E807" s="195">
        <v>6.0</v>
      </c>
      <c r="F807" s="201">
        <f>COUNTIF('Activity map'!$C:$C, $A807)</f>
        <v>1</v>
      </c>
    </row>
    <row r="808">
      <c r="A808" s="26">
        <v>12397.0</v>
      </c>
      <c r="B808" s="23" t="s">
        <v>1207</v>
      </c>
      <c r="C808" s="200" t="b">
        <f>IF($D808, TRUE, IF(ISERROR('API import'!$A$1), FALSE, COUNTIF('API import'!$A:$A, $A808)&gt;0))</f>
        <v>0</v>
      </c>
      <c r="D808" s="195" t="b">
        <v>0</v>
      </c>
      <c r="E808" s="195">
        <v>6.0</v>
      </c>
      <c r="F808" s="201">
        <f>COUNTIF('Activity map'!$C:$C, $A808)</f>
        <v>1</v>
      </c>
    </row>
    <row r="809">
      <c r="A809" s="26">
        <v>12439.0</v>
      </c>
      <c r="B809" s="23" t="s">
        <v>1208</v>
      </c>
      <c r="C809" s="200" t="b">
        <f>IF($D809, TRUE, IF(ISERROR('API import'!$A$1), FALSE, COUNTIF('API import'!$A:$A, $A809)&gt;0))</f>
        <v>0</v>
      </c>
      <c r="D809" s="195" t="b">
        <v>0</v>
      </c>
      <c r="E809" s="195">
        <v>6.0</v>
      </c>
      <c r="F809" s="201">
        <f>COUNTIF('Activity map'!$C:$C, $A809)</f>
        <v>1</v>
      </c>
    </row>
    <row r="810">
      <c r="A810" s="26">
        <v>12393.0</v>
      </c>
      <c r="B810" s="23" t="s">
        <v>1209</v>
      </c>
      <c r="C810" s="200" t="b">
        <f>IF($D810, TRUE, IF(ISERROR('API import'!$A$1), FALSE, COUNTIF('API import'!$A:$A, $A810)&gt;0))</f>
        <v>0</v>
      </c>
      <c r="D810" s="195" t="b">
        <v>0</v>
      </c>
      <c r="E810" s="195">
        <v>6.0</v>
      </c>
      <c r="F810" s="201">
        <f>COUNTIF('Activity map'!$C:$C, $A810)</f>
        <v>1</v>
      </c>
    </row>
    <row r="811">
      <c r="A811" s="26">
        <v>12395.0</v>
      </c>
      <c r="B811" s="23" t="s">
        <v>1210</v>
      </c>
      <c r="C811" s="200" t="b">
        <f>IF($D811, TRUE, IF(ISERROR('API import'!$A$1), FALSE, COUNTIF('API import'!$A:$A, $A811)&gt;0))</f>
        <v>0</v>
      </c>
      <c r="D811" s="195" t="b">
        <v>0</v>
      </c>
      <c r="E811" s="195">
        <v>6.0</v>
      </c>
      <c r="F811" s="201">
        <f>COUNTIF('Activity map'!$C:$C, $A811)</f>
        <v>1</v>
      </c>
    </row>
    <row r="812">
      <c r="A812" s="26">
        <v>12351.0</v>
      </c>
      <c r="B812" s="23" t="s">
        <v>1211</v>
      </c>
      <c r="C812" s="200" t="b">
        <f>IF($D812, TRUE, IF(ISERROR('API import'!$A$1), FALSE, COUNTIF('API import'!$A:$A, $A812)&gt;0))</f>
        <v>0</v>
      </c>
      <c r="D812" s="195" t="b">
        <v>0</v>
      </c>
      <c r="E812" s="195">
        <v>6.0</v>
      </c>
      <c r="F812" s="201">
        <f>COUNTIF('Activity map'!$C:$C, $A812)</f>
        <v>1</v>
      </c>
    </row>
    <row r="813">
      <c r="A813" s="26">
        <v>12441.0</v>
      </c>
      <c r="B813" s="23" t="s">
        <v>1212</v>
      </c>
      <c r="C813" s="200" t="b">
        <f>IF($D813, TRUE, IF(ISERROR('API import'!$A$1), FALSE, COUNTIF('API import'!$A:$A, $A813)&gt;0))</f>
        <v>0</v>
      </c>
      <c r="D813" s="195" t="b">
        <v>0</v>
      </c>
      <c r="E813" s="195">
        <v>6.0</v>
      </c>
      <c r="F813" s="201">
        <f>COUNTIF('Activity map'!$C:$C, $A813)</f>
        <v>1</v>
      </c>
    </row>
    <row r="814">
      <c r="A814" s="26">
        <v>12443.0</v>
      </c>
      <c r="B814" s="23" t="s">
        <v>1213</v>
      </c>
      <c r="C814" s="200" t="b">
        <f>IF($D814, TRUE, IF(ISERROR('API import'!$A$1), FALSE, COUNTIF('API import'!$A:$A, $A814)&gt;0))</f>
        <v>0</v>
      </c>
      <c r="D814" s="195" t="b">
        <v>0</v>
      </c>
      <c r="E814" s="195">
        <v>6.0</v>
      </c>
      <c r="F814" s="201">
        <f>COUNTIF('Activity map'!$C:$C, $A814)</f>
        <v>1</v>
      </c>
    </row>
    <row r="815">
      <c r="A815" s="26">
        <v>19958.0</v>
      </c>
      <c r="B815" s="23" t="s">
        <v>1214</v>
      </c>
      <c r="C815" s="200" t="b">
        <f>IF($D815, TRUE, IF(ISERROR('API import'!$A$1), FALSE, COUNTIF('API import'!$A:$A, $A815)&gt;0))</f>
        <v>0</v>
      </c>
      <c r="D815" s="195" t="b">
        <v>0</v>
      </c>
      <c r="E815" s="195">
        <v>8.0</v>
      </c>
      <c r="F815" s="201">
        <f>COUNTIF('Activity map'!$C:$C, $A815)</f>
        <v>1</v>
      </c>
    </row>
    <row r="816">
      <c r="A816" s="26">
        <v>19964.0</v>
      </c>
      <c r="B816" s="23" t="s">
        <v>1215</v>
      </c>
      <c r="C816" s="200" t="b">
        <f>IF($D816, TRUE, IF(ISERROR('API import'!$A$1), FALSE, COUNTIF('API import'!$A:$A, $A816)&gt;0))</f>
        <v>0</v>
      </c>
      <c r="D816" s="195" t="b">
        <v>0</v>
      </c>
      <c r="E816" s="195">
        <v>8.0</v>
      </c>
      <c r="F816" s="201">
        <f>COUNTIF('Activity map'!$C:$C, $A816)</f>
        <v>1</v>
      </c>
    </row>
    <row r="817">
      <c r="A817" s="26">
        <v>19967.0</v>
      </c>
      <c r="B817" s="23" t="s">
        <v>1216</v>
      </c>
      <c r="C817" s="200" t="b">
        <f>IF($D817, TRUE, IF(ISERROR('API import'!$A$1), FALSE, COUNTIF('API import'!$A:$A, $A817)&gt;0))</f>
        <v>0</v>
      </c>
      <c r="D817" s="195" t="b">
        <v>0</v>
      </c>
      <c r="E817" s="195">
        <v>8.0</v>
      </c>
      <c r="F817" s="201">
        <f>COUNTIF('Activity map'!$C:$C, $A817)</f>
        <v>1</v>
      </c>
    </row>
    <row r="818">
      <c r="A818" s="26">
        <v>19961.0</v>
      </c>
      <c r="B818" s="23" t="s">
        <v>1217</v>
      </c>
      <c r="C818" s="200" t="b">
        <f>IF($D818, TRUE, IF(ISERROR('API import'!$A$1), FALSE, COUNTIF('API import'!$A:$A, $A818)&gt;0))</f>
        <v>0</v>
      </c>
      <c r="D818" s="195" t="b">
        <v>0</v>
      </c>
      <c r="E818" s="195">
        <v>8.0</v>
      </c>
      <c r="F818" s="201">
        <f>COUNTIF('Activity map'!$C:$C, $A818)</f>
        <v>1</v>
      </c>
    </row>
    <row r="819">
      <c r="A819" s="26">
        <v>19970.0</v>
      </c>
      <c r="B819" s="23" t="s">
        <v>1218</v>
      </c>
      <c r="C819" s="200" t="b">
        <f>IF($D819, TRUE, IF(ISERROR('API import'!$A$1), FALSE, COUNTIF('API import'!$A:$A, $A819)&gt;0))</f>
        <v>0</v>
      </c>
      <c r="D819" s="195" t="b">
        <v>0</v>
      </c>
      <c r="E819" s="195">
        <v>8.0</v>
      </c>
      <c r="F819" s="201">
        <f>COUNTIF('Activity map'!$C:$C, $A819)</f>
        <v>1</v>
      </c>
    </row>
    <row r="820">
      <c r="A820" s="26">
        <v>19973.0</v>
      </c>
      <c r="B820" s="23" t="s">
        <v>1219</v>
      </c>
      <c r="C820" s="200" t="b">
        <f>IF($D820, TRUE, IF(ISERROR('API import'!$A$1), FALSE, COUNTIF('API import'!$A:$A, $A820)&gt;0))</f>
        <v>0</v>
      </c>
      <c r="D820" s="195" t="b">
        <v>0</v>
      </c>
      <c r="E820" s="195">
        <v>8.0</v>
      </c>
      <c r="F820" s="201">
        <f>COUNTIF('Activity map'!$C:$C, $A820)</f>
        <v>1</v>
      </c>
    </row>
    <row r="821">
      <c r="A821" s="26">
        <v>19979.0</v>
      </c>
      <c r="B821" s="23" t="s">
        <v>1220</v>
      </c>
      <c r="C821" s="200" t="b">
        <f>IF($D821, TRUE, IF(ISERROR('API import'!$A$1), FALSE, COUNTIF('API import'!$A:$A, $A821)&gt;0))</f>
        <v>0</v>
      </c>
      <c r="D821" s="195" t="b">
        <v>0</v>
      </c>
      <c r="E821" s="195">
        <v>8.0</v>
      </c>
      <c r="F821" s="201">
        <f>COUNTIF('Activity map'!$C:$C, $A821)</f>
        <v>1</v>
      </c>
    </row>
    <row r="822">
      <c r="A822" s="26">
        <v>19982.0</v>
      </c>
      <c r="B822" s="23" t="s">
        <v>1221</v>
      </c>
      <c r="C822" s="200" t="b">
        <f>IF($D822, TRUE, IF(ISERROR('API import'!$A$1), FALSE, COUNTIF('API import'!$A:$A, $A822)&gt;0))</f>
        <v>0</v>
      </c>
      <c r="D822" s="195" t="b">
        <v>0</v>
      </c>
      <c r="E822" s="195">
        <v>8.0</v>
      </c>
      <c r="F822" s="201">
        <f>COUNTIF('Activity map'!$C:$C, $A822)</f>
        <v>1</v>
      </c>
    </row>
    <row r="823">
      <c r="A823" s="26">
        <v>19976.0</v>
      </c>
      <c r="B823" s="23" t="s">
        <v>1222</v>
      </c>
      <c r="C823" s="200" t="b">
        <f>IF($D823, TRUE, IF(ISERROR('API import'!$A$1), FALSE, COUNTIF('API import'!$A:$A, $A823)&gt;0))</f>
        <v>0</v>
      </c>
      <c r="D823" s="195" t="b">
        <v>0</v>
      </c>
      <c r="E823" s="195">
        <v>8.0</v>
      </c>
      <c r="F823" s="201">
        <f>COUNTIF('Activity map'!$C:$C, $A823)</f>
        <v>1</v>
      </c>
    </row>
    <row r="824">
      <c r="A824" s="26">
        <v>19985.0</v>
      </c>
      <c r="B824" s="23" t="s">
        <v>1223</v>
      </c>
      <c r="C824" s="200" t="b">
        <f>IF($D824, TRUE, IF(ISERROR('API import'!$A$1), FALSE, COUNTIF('API import'!$A:$A, $A824)&gt;0))</f>
        <v>0</v>
      </c>
      <c r="D824" s="195" t="b">
        <v>0</v>
      </c>
      <c r="E824" s="195">
        <v>8.0</v>
      </c>
      <c r="F824" s="201">
        <f>COUNTIF('Activity map'!$C:$C, $A824)</f>
        <v>1</v>
      </c>
    </row>
    <row r="825">
      <c r="A825" s="26">
        <v>19943.0</v>
      </c>
      <c r="B825" s="23" t="s">
        <v>1224</v>
      </c>
      <c r="C825" s="200" t="b">
        <f>IF($D825, TRUE, IF(ISERROR('API import'!$A$1), FALSE, COUNTIF('API import'!$A:$A, $A825)&gt;0))</f>
        <v>0</v>
      </c>
      <c r="D825" s="195" t="b">
        <v>0</v>
      </c>
      <c r="E825" s="195">
        <v>6.0</v>
      </c>
      <c r="F825" s="201">
        <f>COUNTIF('Activity map'!$C:$C, $A825)</f>
        <v>1</v>
      </c>
    </row>
    <row r="826">
      <c r="A826" s="26">
        <v>19946.0</v>
      </c>
      <c r="B826" s="23" t="s">
        <v>1225</v>
      </c>
      <c r="C826" s="200" t="b">
        <f>IF($D826, TRUE, IF(ISERROR('API import'!$A$1), FALSE, COUNTIF('API import'!$A:$A, $A826)&gt;0))</f>
        <v>0</v>
      </c>
      <c r="D826" s="195" t="b">
        <v>0</v>
      </c>
      <c r="E826" s="195">
        <v>6.0</v>
      </c>
      <c r="F826" s="201">
        <f>COUNTIF('Activity map'!$C:$C, $A826)</f>
        <v>1</v>
      </c>
    </row>
    <row r="827">
      <c r="A827" s="26">
        <v>19952.0</v>
      </c>
      <c r="B827" s="23" t="s">
        <v>1226</v>
      </c>
      <c r="C827" s="200" t="b">
        <f>IF($D827, TRUE, IF(ISERROR('API import'!$A$1), FALSE, COUNTIF('API import'!$A:$A, $A827)&gt;0))</f>
        <v>0</v>
      </c>
      <c r="D827" s="195" t="b">
        <v>0</v>
      </c>
      <c r="E827" s="195">
        <v>6.0</v>
      </c>
      <c r="F827" s="201">
        <f>COUNTIF('Activity map'!$C:$C, $A827)</f>
        <v>1</v>
      </c>
    </row>
    <row r="828">
      <c r="A828" s="26">
        <v>19955.0</v>
      </c>
      <c r="B828" s="23" t="s">
        <v>1227</v>
      </c>
      <c r="C828" s="200" t="b">
        <f>IF($D828, TRUE, IF(ISERROR('API import'!$A$1), FALSE, COUNTIF('API import'!$A:$A, $A828)&gt;0))</f>
        <v>0</v>
      </c>
      <c r="D828" s="195" t="b">
        <v>0</v>
      </c>
      <c r="E828" s="195">
        <v>6.0</v>
      </c>
      <c r="F828" s="201">
        <f>COUNTIF('Activity map'!$C:$C, $A828)</f>
        <v>1</v>
      </c>
    </row>
    <row r="829">
      <c r="A829" s="26">
        <v>19949.0</v>
      </c>
      <c r="B829" s="23" t="s">
        <v>1228</v>
      </c>
      <c r="C829" s="200" t="b">
        <f>IF($D829, TRUE, IF(ISERROR('API import'!$A$1), FALSE, COUNTIF('API import'!$A:$A, $A829)&gt;0))</f>
        <v>0</v>
      </c>
      <c r="D829" s="195" t="b">
        <v>0</v>
      </c>
      <c r="E829" s="195">
        <v>6.0</v>
      </c>
      <c r="F829" s="201">
        <f>COUNTIF('Activity map'!$C:$C, $A829)</f>
        <v>1</v>
      </c>
    </row>
    <row r="830">
      <c r="A830" s="26">
        <v>12363.0</v>
      </c>
      <c r="B830" s="23" t="s">
        <v>1229</v>
      </c>
      <c r="C830" s="200" t="b">
        <f>IF($D830, TRUE, IF(ISERROR('API import'!$A$1), FALSE, COUNTIF('API import'!$A:$A, $A830)&gt;0))</f>
        <v>0</v>
      </c>
      <c r="D830" s="195" t="b">
        <v>0</v>
      </c>
      <c r="E830" s="195">
        <v>6.0</v>
      </c>
      <c r="F830" s="201">
        <f>COUNTIF('Activity map'!$C:$C, $A830)</f>
        <v>1</v>
      </c>
    </row>
    <row r="831">
      <c r="A831" s="26">
        <v>12365.0</v>
      </c>
      <c r="B831" s="23" t="s">
        <v>1230</v>
      </c>
      <c r="C831" s="200" t="b">
        <f>IF($D831, TRUE, IF(ISERROR('API import'!$A$1), FALSE, COUNTIF('API import'!$A:$A, $A831)&gt;0))</f>
        <v>0</v>
      </c>
      <c r="D831" s="195" t="b">
        <v>0</v>
      </c>
      <c r="E831" s="195">
        <v>6.0</v>
      </c>
      <c r="F831" s="201">
        <f>COUNTIF('Activity map'!$C:$C, $A831)</f>
        <v>1</v>
      </c>
    </row>
    <row r="832">
      <c r="A832" s="26">
        <v>12367.0</v>
      </c>
      <c r="B832" s="23" t="s">
        <v>1231</v>
      </c>
      <c r="C832" s="200" t="b">
        <f>IF($D832, TRUE, IF(ISERROR('API import'!$A$1), FALSE, COUNTIF('API import'!$A:$A, $A832)&gt;0))</f>
        <v>0</v>
      </c>
      <c r="D832" s="195" t="b">
        <v>0</v>
      </c>
      <c r="E832" s="195">
        <v>6.0</v>
      </c>
      <c r="F832" s="201">
        <f>COUNTIF('Activity map'!$C:$C, $A832)</f>
        <v>1</v>
      </c>
    </row>
    <row r="833">
      <c r="A833" s="26">
        <v>12369.0</v>
      </c>
      <c r="B833" s="23" t="s">
        <v>1232</v>
      </c>
      <c r="C833" s="200" t="b">
        <f>IF($D833, TRUE, IF(ISERROR('API import'!$A$1), FALSE, COUNTIF('API import'!$A:$A, $A833)&gt;0))</f>
        <v>0</v>
      </c>
      <c r="D833" s="195" t="b">
        <v>0</v>
      </c>
      <c r="E833" s="195">
        <v>6.0</v>
      </c>
      <c r="F833" s="201">
        <f>COUNTIF('Activity map'!$C:$C, $A833)</f>
        <v>1</v>
      </c>
    </row>
    <row r="834">
      <c r="A834" s="26">
        <v>23270.0</v>
      </c>
      <c r="B834" s="23" t="s">
        <v>1233</v>
      </c>
      <c r="C834" s="200" t="b">
        <f>IF($D834, TRUE, IF(ISERROR('API import'!$A$1), FALSE, COUNTIF('API import'!$A:$A, $A834)&gt;0))</f>
        <v>0</v>
      </c>
      <c r="D834" s="195" t="b">
        <v>0</v>
      </c>
      <c r="E834" s="195">
        <v>6.0</v>
      </c>
      <c r="F834" s="201">
        <f>COUNTIF('Activity map'!$C:$C, $A834)</f>
        <v>1</v>
      </c>
    </row>
    <row r="835">
      <c r="A835" s="26">
        <v>23273.0</v>
      </c>
      <c r="B835" s="23" t="s">
        <v>1234</v>
      </c>
      <c r="C835" s="200" t="b">
        <f>IF($D835, TRUE, IF(ISERROR('API import'!$A$1), FALSE, COUNTIF('API import'!$A:$A, $A835)&gt;0))</f>
        <v>0</v>
      </c>
      <c r="D835" s="195" t="b">
        <v>0</v>
      </c>
      <c r="E835" s="195">
        <v>6.0</v>
      </c>
      <c r="F835" s="201">
        <f>COUNTIF('Activity map'!$C:$C, $A835)</f>
        <v>1</v>
      </c>
    </row>
    <row r="836">
      <c r="A836" s="26">
        <v>12357.0</v>
      </c>
      <c r="B836" s="23" t="s">
        <v>1235</v>
      </c>
      <c r="C836" s="202" t="b">
        <f>IF($D836, TRUE, IF(ISERROR('API import'!$A$1), FALSE, COUNTIF('API import'!$A:$A, $A836)&gt;0))</f>
        <v>0</v>
      </c>
      <c r="D836" s="195" t="b">
        <v>0</v>
      </c>
      <c r="E836" s="195">
        <v>6.0</v>
      </c>
      <c r="F836" s="201">
        <f>COUNTIF('Activity map'!$C:$C, $A836)</f>
        <v>1</v>
      </c>
    </row>
    <row r="837">
      <c r="A837" s="26">
        <v>12373.0</v>
      </c>
      <c r="B837" s="23" t="s">
        <v>1236</v>
      </c>
      <c r="C837" s="200" t="b">
        <f>IF($D837, TRUE, IF(ISERROR('API import'!$A$1), FALSE, COUNTIF('API import'!$A:$A, $A837)&gt;0))</f>
        <v>0</v>
      </c>
      <c r="D837" s="195" t="b">
        <v>0</v>
      </c>
      <c r="E837" s="195">
        <v>6.0</v>
      </c>
      <c r="F837" s="201">
        <f>COUNTIF('Activity map'!$C:$C, $A837)</f>
        <v>1</v>
      </c>
    </row>
    <row r="838">
      <c r="A838" s="26">
        <v>12335.0</v>
      </c>
      <c r="B838" s="23" t="s">
        <v>1237</v>
      </c>
      <c r="C838" s="200" t="b">
        <f>IF($D838, TRUE, IF(ISERROR('API import'!$A$1), FALSE, COUNTIF('API import'!$A:$A, $A838)&gt;0))</f>
        <v>0</v>
      </c>
      <c r="D838" s="195" t="b">
        <v>0</v>
      </c>
      <c r="E838" s="195">
        <v>6.0</v>
      </c>
      <c r="F838" s="201">
        <f>COUNTIF('Activity map'!$C:$C, $A838)</f>
        <v>1</v>
      </c>
    </row>
    <row r="839">
      <c r="A839" s="26">
        <v>19991.0</v>
      </c>
      <c r="B839" s="23" t="s">
        <v>1238</v>
      </c>
      <c r="C839" s="200" t="b">
        <f>IF($D839, TRUE, IF(ISERROR('API import'!$A$1), FALSE, COUNTIF('API import'!$A:$A, $A839)&gt;0))</f>
        <v>0</v>
      </c>
      <c r="D839" s="195" t="b">
        <v>0</v>
      </c>
      <c r="E839" s="195">
        <v>6.0</v>
      </c>
      <c r="F839" s="201">
        <f>COUNTIF('Activity map'!$C:$C, $A839)</f>
        <v>1</v>
      </c>
    </row>
    <row r="840">
      <c r="A840" s="26">
        <v>19988.0</v>
      </c>
      <c r="B840" s="23" t="s">
        <v>1239</v>
      </c>
      <c r="C840" s="200" t="b">
        <f>IF($D840, TRUE, IF(ISERROR('API import'!$A$1), FALSE, COUNTIF('API import'!$A:$A, $A840)&gt;0))</f>
        <v>0</v>
      </c>
      <c r="D840" s="195" t="b">
        <v>0</v>
      </c>
      <c r="E840" s="195">
        <v>6.0</v>
      </c>
      <c r="F840" s="201">
        <f>COUNTIF('Activity map'!$C:$C, $A840)</f>
        <v>1</v>
      </c>
    </row>
    <row r="841">
      <c r="A841" s="26">
        <v>12540.0</v>
      </c>
      <c r="B841" s="23" t="s">
        <v>1240</v>
      </c>
      <c r="C841" s="200" t="b">
        <f>IF($D841, TRUE, IF(ISERROR('API import'!$A$1), FALSE, COUNTIF('API import'!$A:$A, $A841)&gt;0))</f>
        <v>0</v>
      </c>
      <c r="D841" s="195" t="b">
        <v>0</v>
      </c>
      <c r="E841" s="195">
        <v>6.0</v>
      </c>
      <c r="F841" s="201">
        <f>COUNTIF('Activity map'!$C:$C, $A841)</f>
        <v>1</v>
      </c>
    </row>
    <row r="842">
      <c r="A842" s="26">
        <v>12430.0</v>
      </c>
      <c r="B842" s="23" t="s">
        <v>1241</v>
      </c>
      <c r="C842" s="200" t="b">
        <f>IF($D842, TRUE, IF(ISERROR('API import'!$A$1), FALSE, COUNTIF('API import'!$A:$A, $A842)&gt;0))</f>
        <v>0</v>
      </c>
      <c r="D842" s="195" t="b">
        <v>0</v>
      </c>
      <c r="E842" s="195">
        <v>6.0</v>
      </c>
      <c r="F842" s="201">
        <f>COUNTIF('Activity map'!$C:$C, $A842)</f>
        <v>1</v>
      </c>
    </row>
    <row r="843">
      <c r="A843" s="26">
        <v>12355.0</v>
      </c>
      <c r="B843" s="23" t="s">
        <v>1242</v>
      </c>
      <c r="C843" s="200" t="b">
        <f>IF($D843, TRUE, IF(ISERROR('API import'!$A$1), FALSE, COUNTIF('API import'!$A:$A, $A843)&gt;0))</f>
        <v>0</v>
      </c>
      <c r="D843" s="195" t="b">
        <v>0</v>
      </c>
      <c r="E843" s="195">
        <v>6.0</v>
      </c>
      <c r="F843" s="201">
        <f>COUNTIF('Activity map'!$C:$C, $A843)</f>
        <v>1</v>
      </c>
    </row>
    <row r="844">
      <c r="A844" s="26">
        <v>12432.0</v>
      </c>
      <c r="B844" s="23" t="s">
        <v>1243</v>
      </c>
      <c r="C844" s="200" t="b">
        <f>IF($D844, TRUE, IF(ISERROR('API import'!$A$1), FALSE, COUNTIF('API import'!$A:$A, $A844)&gt;0))</f>
        <v>0</v>
      </c>
      <c r="D844" s="195" t="b">
        <v>0</v>
      </c>
      <c r="E844" s="195">
        <v>6.0</v>
      </c>
      <c r="F844" s="201">
        <f>COUNTIF('Activity map'!$C:$C, $A844)</f>
        <v>1</v>
      </c>
    </row>
    <row r="845">
      <c r="A845" s="26">
        <v>12353.0</v>
      </c>
      <c r="B845" s="23" t="s">
        <v>1244</v>
      </c>
      <c r="C845" s="200" t="b">
        <f>IF($D845, TRUE, IF(ISERROR('API import'!$A$1), FALSE, COUNTIF('API import'!$A:$A, $A845)&gt;0))</f>
        <v>0</v>
      </c>
      <c r="D845" s="195" t="b">
        <v>0</v>
      </c>
      <c r="E845" s="195">
        <v>6.0</v>
      </c>
      <c r="F845" s="201">
        <f>COUNTIF('Activity map'!$C:$C, $A845)</f>
        <v>1</v>
      </c>
    </row>
    <row r="846">
      <c r="A846" s="26">
        <v>12337.0</v>
      </c>
      <c r="B846" s="23" t="s">
        <v>1245</v>
      </c>
      <c r="C846" s="200" t="b">
        <f>IF($D846, TRUE, IF(ISERROR('API import'!$A$1), FALSE, COUNTIF('API import'!$A:$A, $A846)&gt;0))</f>
        <v>0</v>
      </c>
      <c r="D846" s="195" t="b">
        <v>0</v>
      </c>
      <c r="E846" s="195">
        <v>6.0</v>
      </c>
      <c r="F846" s="201">
        <f>COUNTIF('Activity map'!$C:$C, $A846)</f>
        <v>1</v>
      </c>
    </row>
    <row r="847">
      <c r="A847" s="26">
        <v>23246.0</v>
      </c>
      <c r="B847" s="23" t="s">
        <v>1246</v>
      </c>
      <c r="C847" s="200" t="b">
        <f>IF($D847, TRUE, IF(ISERROR('API import'!$A$1), FALSE, COUNTIF('API import'!$A:$A, $A847)&gt;0))</f>
        <v>0</v>
      </c>
      <c r="D847" s="195" t="b">
        <v>0</v>
      </c>
      <c r="E847" s="195">
        <v>6.0</v>
      </c>
      <c r="F847" s="201">
        <f>COUNTIF('Activity map'!$C:$C, $A847)</f>
        <v>1</v>
      </c>
    </row>
    <row r="848">
      <c r="A848" s="26">
        <v>23252.0</v>
      </c>
      <c r="B848" s="23" t="s">
        <v>1247</v>
      </c>
      <c r="C848" s="200" t="b">
        <f>IF($D848, TRUE, IF(ISERROR('API import'!$A$1), FALSE, COUNTIF('API import'!$A:$A, $A848)&gt;0))</f>
        <v>0</v>
      </c>
      <c r="D848" s="195" t="b">
        <v>0</v>
      </c>
      <c r="E848" s="195">
        <v>6.0</v>
      </c>
      <c r="F848" s="201">
        <f>COUNTIF('Activity map'!$C:$C, $A848)</f>
        <v>1</v>
      </c>
    </row>
    <row r="849">
      <c r="A849" s="26">
        <v>23255.0</v>
      </c>
      <c r="B849" s="23" t="s">
        <v>1248</v>
      </c>
      <c r="C849" s="200" t="b">
        <f>IF($D849, TRUE, IF(ISERROR('API import'!$A$1), FALSE, COUNTIF('API import'!$A:$A, $A849)&gt;0))</f>
        <v>0</v>
      </c>
      <c r="D849" s="195" t="b">
        <v>0</v>
      </c>
      <c r="E849" s="195">
        <v>6.0</v>
      </c>
      <c r="F849" s="201">
        <f>COUNTIF('Activity map'!$C:$C, $A849)</f>
        <v>1</v>
      </c>
    </row>
    <row r="850">
      <c r="A850" s="26">
        <v>19730.0</v>
      </c>
      <c r="B850" s="23" t="s">
        <v>1249</v>
      </c>
      <c r="C850" s="200" t="b">
        <f>IF($D850, TRUE, IF(ISERROR('API import'!$A$1), FALSE, COUNTIF('API import'!$A:$A, $A850)&gt;0))</f>
        <v>0</v>
      </c>
      <c r="D850" s="195" t="b">
        <v>0</v>
      </c>
      <c r="E850" s="195">
        <v>8.0</v>
      </c>
      <c r="F850" s="201">
        <f>COUNTIF('Activity map'!$C:$C, $A850)</f>
        <v>1</v>
      </c>
    </row>
    <row r="851">
      <c r="A851" s="26">
        <v>20068.0</v>
      </c>
      <c r="B851" s="23" t="s">
        <v>1250</v>
      </c>
      <c r="C851" s="200" t="b">
        <f>IF($D851, TRUE, IF(ISERROR('API import'!$A$1), FALSE, COUNTIF('API import'!$A:$A, $A851)&gt;0))</f>
        <v>0</v>
      </c>
      <c r="D851" s="195" t="b">
        <v>0</v>
      </c>
      <c r="E851" s="195">
        <v>8.0</v>
      </c>
      <c r="F851" s="201">
        <f>COUNTIF('Activity map'!$C:$C, $A851)</f>
        <v>1</v>
      </c>
    </row>
    <row r="852">
      <c r="A852" s="26">
        <v>20071.0</v>
      </c>
      <c r="B852" s="23" t="s">
        <v>1251</v>
      </c>
      <c r="C852" s="200" t="b">
        <f>IF($D852, TRUE, IF(ISERROR('API import'!$A$1), FALSE, COUNTIF('API import'!$A:$A, $A852)&gt;0))</f>
        <v>0</v>
      </c>
      <c r="D852" s="195" t="b">
        <v>0</v>
      </c>
      <c r="E852" s="195">
        <v>8.0</v>
      </c>
      <c r="F852" s="201">
        <f>COUNTIF('Activity map'!$C:$C, $A852)</f>
        <v>1</v>
      </c>
    </row>
    <row r="853">
      <c r="A853" s="26">
        <v>20074.0</v>
      </c>
      <c r="B853" s="23" t="s">
        <v>1252</v>
      </c>
      <c r="C853" s="202" t="b">
        <f>IF($D853, TRUE, IF(ISERROR('API import'!$A$1), FALSE, COUNTIF('API import'!$A:$A, $A853)&gt;0))</f>
        <v>0</v>
      </c>
      <c r="D853" s="195" t="b">
        <v>0</v>
      </c>
      <c r="E853" s="195">
        <v>8.0</v>
      </c>
      <c r="F853" s="201">
        <f>COUNTIF('Activity map'!$C:$C, $A853)</f>
        <v>1</v>
      </c>
    </row>
    <row r="854">
      <c r="A854" s="26">
        <v>20077.0</v>
      </c>
      <c r="B854" s="23" t="s">
        <v>1253</v>
      </c>
      <c r="C854" s="200" t="b">
        <f>IF($D854, TRUE, IF(ISERROR('API import'!$A$1), FALSE, COUNTIF('API import'!$A:$A, $A854)&gt;0))</f>
        <v>0</v>
      </c>
      <c r="D854" s="195" t="b">
        <v>0</v>
      </c>
      <c r="E854" s="195">
        <v>8.0</v>
      </c>
      <c r="F854" s="201">
        <f>COUNTIF('Activity map'!$C:$C, $A854)</f>
        <v>1</v>
      </c>
    </row>
    <row r="855">
      <c r="A855" s="26">
        <v>20065.0</v>
      </c>
      <c r="B855" s="23" t="s">
        <v>1254</v>
      </c>
      <c r="C855" s="200" t="b">
        <f>IF($D855, TRUE, IF(ISERROR('API import'!$A$1), FALSE, COUNTIF('API import'!$A:$A, $A855)&gt;0))</f>
        <v>0</v>
      </c>
      <c r="D855" s="195" t="b">
        <v>0</v>
      </c>
      <c r="E855" s="195">
        <v>7.0</v>
      </c>
      <c r="F855" s="201">
        <f>COUNTIF('Activity map'!$C:$C, $A855)</f>
        <v>1</v>
      </c>
    </row>
    <row r="856">
      <c r="A856" s="26">
        <v>20062.0</v>
      </c>
      <c r="B856" s="23" t="s">
        <v>1255</v>
      </c>
      <c r="C856" s="202" t="b">
        <f>IF($D856, TRUE, IF(ISERROR('API import'!$A$1), FALSE, COUNTIF('API import'!$A:$A, $A856)&gt;0))</f>
        <v>0</v>
      </c>
      <c r="D856" s="195" t="b">
        <v>0</v>
      </c>
      <c r="E856" s="195">
        <v>7.0</v>
      </c>
      <c r="F856" s="201">
        <f>COUNTIF('Activity map'!$C:$C, $A856)</f>
        <v>1</v>
      </c>
    </row>
    <row r="857">
      <c r="A857" s="26">
        <v>22246.0</v>
      </c>
      <c r="B857" s="23" t="s">
        <v>1256</v>
      </c>
      <c r="C857" s="200" t="b">
        <f>IF($D857, TRUE, IF(ISERROR('API import'!$A$1), FALSE, COUNTIF('API import'!$A:$A, $A857)&gt;0))</f>
        <v>0</v>
      </c>
      <c r="D857" s="195" t="b">
        <v>0</v>
      </c>
      <c r="E857" s="195">
        <v>7.0</v>
      </c>
      <c r="F857" s="201">
        <f>COUNTIF('Activity map'!$C:$C, $A857)</f>
        <v>1</v>
      </c>
    </row>
    <row r="858">
      <c r="A858" s="26">
        <v>20143.0</v>
      </c>
      <c r="B858" s="23" t="s">
        <v>1257</v>
      </c>
      <c r="C858" s="202" t="b">
        <f>IF($D858, TRUE, IF(ISERROR('API import'!$A$1), FALSE, COUNTIF('API import'!$A:$A, $A858)&gt;0))</f>
        <v>0</v>
      </c>
      <c r="D858" s="195" t="b">
        <v>0</v>
      </c>
      <c r="E858" s="195">
        <v>7.0</v>
      </c>
      <c r="F858" s="201">
        <f>COUNTIF('Activity map'!$C:$C, $A858)</f>
        <v>1</v>
      </c>
    </row>
    <row r="859">
      <c r="A859" s="26">
        <v>22239.0</v>
      </c>
      <c r="B859" s="23" t="s">
        <v>1258</v>
      </c>
      <c r="C859" s="200" t="b">
        <f>IF($D859, TRUE, IF(ISERROR('API import'!$A$1), FALSE, COUNTIF('API import'!$A:$A, $A859)&gt;0))</f>
        <v>0</v>
      </c>
      <c r="D859" s="195" t="b">
        <v>0</v>
      </c>
      <c r="E859" s="195">
        <v>8.0</v>
      </c>
      <c r="F859" s="201">
        <f>COUNTIF('Activity map'!$C:$C, $A859)</f>
        <v>1</v>
      </c>
    </row>
    <row r="860">
      <c r="A860" s="26">
        <v>22236.0</v>
      </c>
      <c r="B860" s="23" t="s">
        <v>1259</v>
      </c>
      <c r="C860" s="200" t="b">
        <f>IF($D860, TRUE, IF(ISERROR('API import'!$A$1), FALSE, COUNTIF('API import'!$A:$A, $A860)&gt;0))</f>
        <v>0</v>
      </c>
      <c r="D860" s="195" t="b">
        <v>0</v>
      </c>
      <c r="E860" s="195">
        <v>8.0</v>
      </c>
      <c r="F860" s="201">
        <f>COUNTIF('Activity map'!$C:$C, $A860)</f>
        <v>1</v>
      </c>
    </row>
    <row r="861">
      <c r="A861" s="26">
        <v>23348.0</v>
      </c>
      <c r="B861" s="23" t="s">
        <v>1260</v>
      </c>
      <c r="C861" s="200" t="b">
        <f>IF($D861, TRUE, IF(ISERROR('API import'!$A$1), FALSE, COUNTIF('API import'!$A:$A, $A861)&gt;0))</f>
        <v>0</v>
      </c>
      <c r="D861" s="195" t="b">
        <v>0</v>
      </c>
      <c r="E861" s="195">
        <v>7.0</v>
      </c>
      <c r="F861" s="201">
        <f>COUNTIF('Activity map'!$C:$C, $A861)</f>
        <v>1</v>
      </c>
    </row>
    <row r="862">
      <c r="A862" s="26">
        <v>20128.0</v>
      </c>
      <c r="B862" s="23" t="s">
        <v>1261</v>
      </c>
      <c r="C862" s="202" t="b">
        <f>IF($D862, TRUE, IF(ISERROR('API import'!$A$1), FALSE, COUNTIF('API import'!$A:$A, $A862)&gt;0))</f>
        <v>0</v>
      </c>
      <c r="D862" s="195" t="b">
        <v>0</v>
      </c>
      <c r="E862" s="195">
        <v>7.0</v>
      </c>
      <c r="F862" s="201">
        <f>COUNTIF('Activity map'!$C:$C, $A862)</f>
        <v>1</v>
      </c>
    </row>
    <row r="863">
      <c r="A863" s="26">
        <v>20131.0</v>
      </c>
      <c r="B863" s="23" t="s">
        <v>1262</v>
      </c>
      <c r="C863" s="200" t="b">
        <f>IF($D863, TRUE, IF(ISERROR('API import'!$A$1), FALSE, COUNTIF('API import'!$A:$A, $A863)&gt;0))</f>
        <v>0</v>
      </c>
      <c r="D863" s="195" t="b">
        <v>0</v>
      </c>
      <c r="E863" s="195">
        <v>7.0</v>
      </c>
      <c r="F863" s="201">
        <f>COUNTIF('Activity map'!$C:$C, $A863)</f>
        <v>1</v>
      </c>
    </row>
    <row r="864">
      <c r="A864" s="26">
        <v>20137.0</v>
      </c>
      <c r="B864" s="23" t="s">
        <v>1263</v>
      </c>
      <c r="C864" s="200" t="b">
        <f>IF($D864, TRUE, IF(ISERROR('API import'!$A$1), FALSE, COUNTIF('API import'!$A:$A, $A864)&gt;0))</f>
        <v>0</v>
      </c>
      <c r="D864" s="195" t="b">
        <v>0</v>
      </c>
      <c r="E864" s="195">
        <v>7.0</v>
      </c>
      <c r="F864" s="201">
        <f>COUNTIF('Activity map'!$C:$C, $A864)</f>
        <v>1</v>
      </c>
    </row>
    <row r="865">
      <c r="A865" s="26">
        <v>20134.0</v>
      </c>
      <c r="B865" s="23" t="s">
        <v>1264</v>
      </c>
      <c r="C865" s="200" t="b">
        <f>IF($D865, TRUE, IF(ISERROR('API import'!$A$1), FALSE, COUNTIF('API import'!$A:$A, $A865)&gt;0))</f>
        <v>0</v>
      </c>
      <c r="D865" s="195" t="b">
        <v>0</v>
      </c>
      <c r="E865" s="195">
        <v>7.0</v>
      </c>
      <c r="F865" s="201">
        <f>COUNTIF('Activity map'!$C:$C, $A865)</f>
        <v>1</v>
      </c>
    </row>
    <row r="866">
      <c r="A866" s="26">
        <v>20140.0</v>
      </c>
      <c r="B866" s="23" t="s">
        <v>1265</v>
      </c>
      <c r="C866" s="200" t="b">
        <f>IF($D866, TRUE, IF(ISERROR('API import'!$A$1), FALSE, COUNTIF('API import'!$A:$A, $A866)&gt;0))</f>
        <v>0</v>
      </c>
      <c r="D866" s="195" t="b">
        <v>0</v>
      </c>
      <c r="E866" s="195">
        <v>7.0</v>
      </c>
      <c r="F866" s="201">
        <f>COUNTIF('Activity map'!$C:$C, $A866)</f>
        <v>1</v>
      </c>
    </row>
    <row r="867">
      <c r="A867" s="26">
        <v>20035.0</v>
      </c>
      <c r="B867" s="23" t="s">
        <v>1266</v>
      </c>
      <c r="C867" s="200" t="b">
        <f>IF($D867, TRUE, IF(ISERROR('API import'!$A$1), FALSE, COUNTIF('API import'!$A:$A, $A867)&gt;0))</f>
        <v>0</v>
      </c>
      <c r="D867" s="195" t="b">
        <v>0</v>
      </c>
      <c r="E867" s="195">
        <v>7.0</v>
      </c>
      <c r="F867" s="201">
        <f>COUNTIF('Activity map'!$C:$C, $A867)</f>
        <v>1</v>
      </c>
    </row>
    <row r="868">
      <c r="A868" s="26">
        <v>20038.0</v>
      </c>
      <c r="B868" s="23" t="s">
        <v>1267</v>
      </c>
      <c r="C868" s="200" t="b">
        <f>IF($D868, TRUE, IF(ISERROR('API import'!$A$1), FALSE, COUNTIF('API import'!$A:$A, $A868)&gt;0))</f>
        <v>0</v>
      </c>
      <c r="D868" s="195" t="b">
        <v>0</v>
      </c>
      <c r="E868" s="195">
        <v>7.0</v>
      </c>
      <c r="F868" s="201">
        <f>COUNTIF('Activity map'!$C:$C, $A868)</f>
        <v>1</v>
      </c>
    </row>
    <row r="869">
      <c r="A869" s="26">
        <v>20044.0</v>
      </c>
      <c r="B869" s="23" t="s">
        <v>1268</v>
      </c>
      <c r="C869" s="200" t="b">
        <f>IF($D869, TRUE, IF(ISERROR('API import'!$A$1), FALSE, COUNTIF('API import'!$A:$A, $A869)&gt;0))</f>
        <v>0</v>
      </c>
      <c r="D869" s="195" t="b">
        <v>0</v>
      </c>
      <c r="E869" s="195">
        <v>7.0</v>
      </c>
      <c r="F869" s="201">
        <f>COUNTIF('Activity map'!$C:$C, $A869)</f>
        <v>1</v>
      </c>
    </row>
    <row r="870">
      <c r="A870" s="26">
        <v>20047.0</v>
      </c>
      <c r="B870" s="23" t="s">
        <v>1269</v>
      </c>
      <c r="C870" s="200" t="b">
        <f>IF($D870, TRUE, IF(ISERROR('API import'!$A$1), FALSE, COUNTIF('API import'!$A:$A, $A870)&gt;0))</f>
        <v>0</v>
      </c>
      <c r="D870" s="195" t="b">
        <v>0</v>
      </c>
      <c r="E870" s="195">
        <v>7.0</v>
      </c>
      <c r="F870" s="201">
        <f>COUNTIF('Activity map'!$C:$C, $A870)</f>
        <v>1</v>
      </c>
    </row>
    <row r="871">
      <c r="A871" s="26">
        <v>20041.0</v>
      </c>
      <c r="B871" s="23" t="s">
        <v>1270</v>
      </c>
      <c r="C871" s="200" t="b">
        <f>IF($D871, TRUE, IF(ISERROR('API import'!$A$1), FALSE, COUNTIF('API import'!$A:$A, $A871)&gt;0))</f>
        <v>0</v>
      </c>
      <c r="D871" s="195" t="b">
        <v>0</v>
      </c>
      <c r="E871" s="195">
        <v>7.0</v>
      </c>
      <c r="F871" s="201">
        <f>COUNTIF('Activity map'!$C:$C, $A871)</f>
        <v>1</v>
      </c>
    </row>
    <row r="872">
      <c r="A872" s="26">
        <v>20095.0</v>
      </c>
      <c r="B872" s="23" t="s">
        <v>1271</v>
      </c>
      <c r="C872" s="200" t="b">
        <f>IF($D872, TRUE, IF(ISERROR('API import'!$A$1), FALSE, COUNTIF('API import'!$A:$A, $A872)&gt;0))</f>
        <v>0</v>
      </c>
      <c r="D872" s="195" t="b">
        <v>0</v>
      </c>
      <c r="E872" s="195">
        <v>8.0</v>
      </c>
      <c r="F872" s="201">
        <f>COUNTIF('Activity map'!$C:$C, $A872)</f>
        <v>1</v>
      </c>
    </row>
    <row r="873">
      <c r="A873" s="26">
        <v>20098.0</v>
      </c>
      <c r="B873" s="23" t="s">
        <v>1272</v>
      </c>
      <c r="C873" s="200" t="b">
        <f>IF($D873, TRUE, IF(ISERROR('API import'!$A$1), FALSE, COUNTIF('API import'!$A:$A, $A873)&gt;0))</f>
        <v>0</v>
      </c>
      <c r="D873" s="195" t="b">
        <v>0</v>
      </c>
      <c r="E873" s="195">
        <v>8.0</v>
      </c>
      <c r="F873" s="201">
        <f>COUNTIF('Activity map'!$C:$C, $A873)</f>
        <v>1</v>
      </c>
    </row>
    <row r="874">
      <c r="A874" s="26">
        <v>20101.0</v>
      </c>
      <c r="B874" s="23" t="s">
        <v>1273</v>
      </c>
      <c r="C874" s="200" t="b">
        <f>IF($D874, TRUE, IF(ISERROR('API import'!$A$1), FALSE, COUNTIF('API import'!$A:$A, $A874)&gt;0))</f>
        <v>0</v>
      </c>
      <c r="D874" s="195" t="b">
        <v>0</v>
      </c>
      <c r="E874" s="195">
        <v>8.0</v>
      </c>
      <c r="F874" s="201">
        <f>COUNTIF('Activity map'!$C:$C, $A874)</f>
        <v>1</v>
      </c>
    </row>
    <row r="875">
      <c r="A875" s="26">
        <v>20107.0</v>
      </c>
      <c r="B875" s="23" t="s">
        <v>1274</v>
      </c>
      <c r="C875" s="200" t="b">
        <f>IF($D875, TRUE, IF(ISERROR('API import'!$A$1), FALSE, COUNTIF('API import'!$A:$A, $A875)&gt;0))</f>
        <v>0</v>
      </c>
      <c r="D875" s="195" t="b">
        <v>0</v>
      </c>
      <c r="E875" s="195">
        <v>8.0</v>
      </c>
      <c r="F875" s="201">
        <f>COUNTIF('Activity map'!$C:$C, $A875)</f>
        <v>1</v>
      </c>
    </row>
    <row r="876">
      <c r="A876" s="26">
        <v>20104.0</v>
      </c>
      <c r="B876" s="23" t="s">
        <v>1275</v>
      </c>
      <c r="C876" s="200" t="b">
        <f>IF($D876, TRUE, IF(ISERROR('API import'!$A$1), FALSE, COUNTIF('API import'!$A:$A, $A876)&gt;0))</f>
        <v>0</v>
      </c>
      <c r="D876" s="195" t="b">
        <v>0</v>
      </c>
      <c r="E876" s="195">
        <v>8.0</v>
      </c>
      <c r="F876" s="201">
        <f>COUNTIF('Activity map'!$C:$C, $A876)</f>
        <v>1</v>
      </c>
    </row>
    <row r="877">
      <c r="A877" s="26">
        <v>20080.0</v>
      </c>
      <c r="B877" s="23" t="s">
        <v>1276</v>
      </c>
      <c r="C877" s="200" t="b">
        <f>IF($D877, TRUE, IF(ISERROR('API import'!$A$1), FALSE, COUNTIF('API import'!$A:$A, $A877)&gt;0))</f>
        <v>0</v>
      </c>
      <c r="D877" s="195" t="b">
        <v>0</v>
      </c>
      <c r="E877" s="195">
        <v>8.0</v>
      </c>
      <c r="F877" s="201">
        <f>COUNTIF('Activity map'!$C:$C, $A877)</f>
        <v>1</v>
      </c>
    </row>
    <row r="878">
      <c r="A878" s="26">
        <v>20092.0</v>
      </c>
      <c r="B878" s="23" t="s">
        <v>1277</v>
      </c>
      <c r="C878" s="200" t="b">
        <f>IF($D878, TRUE, IF(ISERROR('API import'!$A$1), FALSE, COUNTIF('API import'!$A:$A, $A878)&gt;0))</f>
        <v>0</v>
      </c>
      <c r="D878" s="195" t="b">
        <v>0</v>
      </c>
      <c r="E878" s="195">
        <v>8.0</v>
      </c>
      <c r="F878" s="201">
        <f>COUNTIF('Activity map'!$C:$C, $A878)</f>
        <v>1</v>
      </c>
    </row>
    <row r="879">
      <c r="A879" s="26">
        <v>20086.0</v>
      </c>
      <c r="B879" s="23" t="s">
        <v>1278</v>
      </c>
      <c r="C879" s="200" t="b">
        <f>IF($D879, TRUE, IF(ISERROR('API import'!$A$1), FALSE, COUNTIF('API import'!$A:$A, $A879)&gt;0))</f>
        <v>0</v>
      </c>
      <c r="D879" s="195" t="b">
        <v>0</v>
      </c>
      <c r="E879" s="195">
        <v>8.0</v>
      </c>
      <c r="F879" s="201">
        <f>COUNTIF('Activity map'!$C:$C, $A879)</f>
        <v>1</v>
      </c>
    </row>
    <row r="880">
      <c r="A880" s="26">
        <v>20089.0</v>
      </c>
      <c r="B880" s="23" t="s">
        <v>1279</v>
      </c>
      <c r="C880" s="200" t="b">
        <f>IF($D880, TRUE, IF(ISERROR('API import'!$A$1), FALSE, COUNTIF('API import'!$A:$A, $A880)&gt;0))</f>
        <v>0</v>
      </c>
      <c r="D880" s="195" t="b">
        <v>0</v>
      </c>
      <c r="E880" s="195">
        <v>8.0</v>
      </c>
      <c r="F880" s="201">
        <f>COUNTIF('Activity map'!$C:$C, $A880)</f>
        <v>1</v>
      </c>
    </row>
    <row r="881">
      <c r="A881" s="26">
        <v>20083.0</v>
      </c>
      <c r="B881" s="23" t="s">
        <v>1280</v>
      </c>
      <c r="C881" s="200" t="b">
        <f>IF($D881, TRUE, IF(ISERROR('API import'!$A$1), FALSE, COUNTIF('API import'!$A:$A, $A881)&gt;0))</f>
        <v>0</v>
      </c>
      <c r="D881" s="195" t="b">
        <v>0</v>
      </c>
      <c r="E881" s="195">
        <v>8.0</v>
      </c>
      <c r="F881" s="201">
        <f>COUNTIF('Activity map'!$C:$C, $A881)</f>
        <v>1</v>
      </c>
    </row>
    <row r="882">
      <c r="A882" s="26">
        <v>20125.0</v>
      </c>
      <c r="B882" s="23" t="s">
        <v>1281</v>
      </c>
      <c r="C882" s="200" t="b">
        <f>IF($D882, TRUE, IF(ISERROR('API import'!$A$1), FALSE, COUNTIF('API import'!$A:$A, $A882)&gt;0))</f>
        <v>0</v>
      </c>
      <c r="D882" s="195" t="b">
        <v>0</v>
      </c>
      <c r="E882" s="195">
        <v>7.0</v>
      </c>
      <c r="F882" s="201">
        <f>COUNTIF('Activity map'!$C:$C, $A882)</f>
        <v>1</v>
      </c>
    </row>
    <row r="883">
      <c r="A883" s="26">
        <v>20116.0</v>
      </c>
      <c r="B883" s="23" t="s">
        <v>1282</v>
      </c>
      <c r="C883" s="200" t="b">
        <f>IF($D883, TRUE, IF(ISERROR('API import'!$A$1), FALSE, COUNTIF('API import'!$A:$A, $A883)&gt;0))</f>
        <v>0</v>
      </c>
      <c r="D883" s="195" t="b">
        <v>0</v>
      </c>
      <c r="E883" s="195">
        <v>7.0</v>
      </c>
      <c r="F883" s="201">
        <f>COUNTIF('Activity map'!$C:$C, $A883)</f>
        <v>1</v>
      </c>
    </row>
    <row r="884">
      <c r="A884" s="26">
        <v>20113.0</v>
      </c>
      <c r="B884" s="23" t="s">
        <v>1283</v>
      </c>
      <c r="C884" s="200" t="b">
        <f>IF($D884, TRUE, IF(ISERROR('API import'!$A$1), FALSE, COUNTIF('API import'!$A:$A, $A884)&gt;0))</f>
        <v>0</v>
      </c>
      <c r="D884" s="195" t="b">
        <v>0</v>
      </c>
      <c r="E884" s="195">
        <v>7.0</v>
      </c>
      <c r="F884" s="201">
        <f>COUNTIF('Activity map'!$C:$C, $A884)</f>
        <v>1</v>
      </c>
    </row>
    <row r="885">
      <c r="A885" s="26">
        <v>20122.0</v>
      </c>
      <c r="B885" s="23" t="s">
        <v>1284</v>
      </c>
      <c r="C885" s="202" t="b">
        <f>IF($D885, TRUE, IF(ISERROR('API import'!$A$1), FALSE, COUNTIF('API import'!$A:$A, $A885)&gt;0))</f>
        <v>0</v>
      </c>
      <c r="D885" s="195" t="b">
        <v>0</v>
      </c>
      <c r="E885" s="195">
        <v>7.0</v>
      </c>
      <c r="F885" s="201">
        <f>COUNTIF('Activity map'!$C:$C, $A885)</f>
        <v>1</v>
      </c>
    </row>
    <row r="886">
      <c r="A886" s="26">
        <v>20119.0</v>
      </c>
      <c r="B886" s="23" t="s">
        <v>1285</v>
      </c>
      <c r="C886" s="200" t="b">
        <f>IF($D886, TRUE, IF(ISERROR('API import'!$A$1), FALSE, COUNTIF('API import'!$A:$A, $A886)&gt;0))</f>
        <v>0</v>
      </c>
      <c r="D886" s="195" t="b">
        <v>0</v>
      </c>
      <c r="E886" s="195">
        <v>7.0</v>
      </c>
      <c r="F886" s="201">
        <f>COUNTIF('Activity map'!$C:$C, $A886)</f>
        <v>1</v>
      </c>
    </row>
    <row r="887">
      <c r="A887" s="26">
        <v>20020.0</v>
      </c>
      <c r="B887" s="23" t="s">
        <v>1286</v>
      </c>
      <c r="C887" s="200" t="b">
        <f>IF($D887, TRUE, IF(ISERROR('API import'!$A$1), FALSE, COUNTIF('API import'!$A:$A, $A887)&gt;0))</f>
        <v>0</v>
      </c>
      <c r="D887" s="195" t="b">
        <v>0</v>
      </c>
      <c r="E887" s="195">
        <v>7.0</v>
      </c>
      <c r="F887" s="201">
        <f>COUNTIF('Activity map'!$C:$C, $A887)</f>
        <v>1</v>
      </c>
    </row>
    <row r="888">
      <c r="A888" s="26">
        <v>20023.0</v>
      </c>
      <c r="B888" s="23" t="s">
        <v>1287</v>
      </c>
      <c r="C888" s="202" t="b">
        <f>IF($D888, TRUE, IF(ISERROR('API import'!$A$1), FALSE, COUNTIF('API import'!$A:$A, $A888)&gt;0))</f>
        <v>0</v>
      </c>
      <c r="D888" s="195" t="b">
        <v>0</v>
      </c>
      <c r="E888" s="195">
        <v>7.0</v>
      </c>
      <c r="F888" s="201">
        <f>COUNTIF('Activity map'!$C:$C, $A888)</f>
        <v>1</v>
      </c>
    </row>
    <row r="889">
      <c r="A889" s="26">
        <v>20026.0</v>
      </c>
      <c r="B889" s="23" t="s">
        <v>1288</v>
      </c>
      <c r="C889" s="202" t="b">
        <f>IF($D889, TRUE, IF(ISERROR('API import'!$A$1), FALSE, COUNTIF('API import'!$A:$A, $A889)&gt;0))</f>
        <v>0</v>
      </c>
      <c r="D889" s="195" t="b">
        <v>0</v>
      </c>
      <c r="E889" s="195">
        <v>7.0</v>
      </c>
      <c r="F889" s="201">
        <f>COUNTIF('Activity map'!$C:$C, $A889)</f>
        <v>1</v>
      </c>
    </row>
    <row r="890">
      <c r="A890" s="26">
        <v>20032.0</v>
      </c>
      <c r="B890" s="23" t="s">
        <v>1289</v>
      </c>
      <c r="C890" s="200" t="b">
        <f>IF($D890, TRUE, IF(ISERROR('API import'!$A$1), FALSE, COUNTIF('API import'!$A:$A, $A890)&gt;0))</f>
        <v>0</v>
      </c>
      <c r="D890" s="195" t="b">
        <v>0</v>
      </c>
      <c r="E890" s="195">
        <v>7.0</v>
      </c>
      <c r="F890" s="201">
        <f>COUNTIF('Activity map'!$C:$C, $A890)</f>
        <v>1</v>
      </c>
    </row>
    <row r="891">
      <c r="A891" s="26">
        <v>20029.0</v>
      </c>
      <c r="B891" s="23" t="s">
        <v>1290</v>
      </c>
      <c r="C891" s="200" t="b">
        <f>IF($D891, TRUE, IF(ISERROR('API import'!$A$1), FALSE, COUNTIF('API import'!$A:$A, $A891)&gt;0))</f>
        <v>0</v>
      </c>
      <c r="D891" s="195" t="b">
        <v>0</v>
      </c>
      <c r="E891" s="195">
        <v>7.0</v>
      </c>
      <c r="F891" s="201">
        <f>COUNTIF('Activity map'!$C:$C, $A891)</f>
        <v>1</v>
      </c>
    </row>
    <row r="892">
      <c r="A892" s="26">
        <v>19724.0</v>
      </c>
      <c r="B892" s="23" t="s">
        <v>1291</v>
      </c>
      <c r="C892" s="200" t="b">
        <f>IF($D892, TRUE, IF(ISERROR('API import'!$A$1), FALSE, COUNTIF('API import'!$A:$A, $A892)&gt;0))</f>
        <v>0</v>
      </c>
      <c r="D892" s="195" t="b">
        <v>0</v>
      </c>
      <c r="E892" s="195">
        <v>7.0</v>
      </c>
      <c r="F892" s="201">
        <f>COUNTIF('Activity map'!$C:$C, $A892)</f>
        <v>1</v>
      </c>
    </row>
    <row r="893">
      <c r="A893" s="26">
        <v>20110.0</v>
      </c>
      <c r="B893" s="23" t="s">
        <v>1292</v>
      </c>
      <c r="C893" s="200" t="b">
        <f>IF($D893, TRUE, IF(ISERROR('API import'!$A$1), FALSE, COUNTIF('API import'!$A:$A, $A893)&gt;0))</f>
        <v>0</v>
      </c>
      <c r="D893" s="195" t="b">
        <v>0</v>
      </c>
      <c r="E893" s="195">
        <v>7.0</v>
      </c>
      <c r="F893" s="201">
        <f>COUNTIF('Activity map'!$C:$C, $A893)</f>
        <v>1</v>
      </c>
    </row>
    <row r="894">
      <c r="A894" s="26">
        <v>20056.0</v>
      </c>
      <c r="B894" s="23" t="s">
        <v>1293</v>
      </c>
      <c r="C894" s="200" t="b">
        <f>IF($D894, TRUE, IF(ISERROR('API import'!$A$1), FALSE, COUNTIF('API import'!$A:$A, $A894)&gt;0))</f>
        <v>0</v>
      </c>
      <c r="D894" s="195" t="b">
        <v>0</v>
      </c>
      <c r="E894" s="195">
        <v>7.0</v>
      </c>
      <c r="F894" s="201">
        <f>COUNTIF('Activity map'!$C:$C, $A894)</f>
        <v>1</v>
      </c>
    </row>
    <row r="895">
      <c r="A895" s="26">
        <v>20050.0</v>
      </c>
      <c r="B895" s="23" t="s">
        <v>1294</v>
      </c>
      <c r="C895" s="200" t="b">
        <f>IF($D895, TRUE, IF(ISERROR('API import'!$A$1), FALSE, COUNTIF('API import'!$A:$A, $A895)&gt;0))</f>
        <v>0</v>
      </c>
      <c r="D895" s="195" t="b">
        <v>0</v>
      </c>
      <c r="E895" s="195">
        <v>7.0</v>
      </c>
      <c r="F895" s="201">
        <f>COUNTIF('Activity map'!$C:$C, $A895)</f>
        <v>1</v>
      </c>
    </row>
    <row r="896">
      <c r="A896" s="26">
        <v>20053.0</v>
      </c>
      <c r="B896" s="23" t="s">
        <v>1295</v>
      </c>
      <c r="C896" s="200" t="b">
        <f>IF($D896, TRUE, IF(ISERROR('API import'!$A$1), FALSE, COUNTIF('API import'!$A:$A, $A896)&gt;0))</f>
        <v>0</v>
      </c>
      <c r="D896" s="195" t="b">
        <v>0</v>
      </c>
      <c r="E896" s="195">
        <v>7.0</v>
      </c>
      <c r="F896" s="201">
        <f>COUNTIF('Activity map'!$C:$C, $A896)</f>
        <v>1</v>
      </c>
    </row>
    <row r="897">
      <c r="A897" s="26">
        <v>20008.0</v>
      </c>
      <c r="B897" s="23" t="s">
        <v>1296</v>
      </c>
      <c r="C897" s="200" t="b">
        <f>IF($D897, TRUE, IF(ISERROR('API import'!$A$1), FALSE, COUNTIF('API import'!$A:$A, $A897)&gt;0))</f>
        <v>0</v>
      </c>
      <c r="D897" s="195" t="b">
        <v>0</v>
      </c>
      <c r="E897" s="195">
        <v>7.0</v>
      </c>
      <c r="F897" s="201">
        <f>COUNTIF('Activity map'!$C:$C, $A897)</f>
        <v>1</v>
      </c>
    </row>
    <row r="898">
      <c r="A898" s="26">
        <v>20005.0</v>
      </c>
      <c r="B898" s="23" t="s">
        <v>1297</v>
      </c>
      <c r="C898" s="200" t="b">
        <f>IF($D898, TRUE, IF(ISERROR('API import'!$A$1), FALSE, COUNTIF('API import'!$A:$A, $A898)&gt;0))</f>
        <v>0</v>
      </c>
      <c r="D898" s="195" t="b">
        <v>0</v>
      </c>
      <c r="E898" s="195">
        <v>9.0</v>
      </c>
      <c r="F898" s="201">
        <f>COUNTIF('Activity map'!$C:$C, $A898)</f>
        <v>1</v>
      </c>
    </row>
    <row r="899">
      <c r="A899" s="26">
        <v>12371.0</v>
      </c>
      <c r="B899" s="23" t="s">
        <v>1298</v>
      </c>
      <c r="C899" s="200" t="b">
        <f>IF($D899, TRUE, IF(ISERROR('API import'!$A$1), FALSE, COUNTIF('API import'!$A:$A, $A899)&gt;0))</f>
        <v>0</v>
      </c>
      <c r="D899" s="195" t="b">
        <v>0</v>
      </c>
      <c r="E899" s="195">
        <v>9.0</v>
      </c>
      <c r="F899" s="201">
        <f>COUNTIF('Activity map'!$C:$C, $A899)</f>
        <v>1</v>
      </c>
    </row>
    <row r="900">
      <c r="A900" s="26">
        <v>20014.0</v>
      </c>
      <c r="B900" s="23" t="s">
        <v>1299</v>
      </c>
      <c r="C900" s="200" t="b">
        <f>IF($D900, TRUE, IF(ISERROR('API import'!$A$1), FALSE, COUNTIF('API import'!$A:$A, $A900)&gt;0))</f>
        <v>0</v>
      </c>
      <c r="D900" s="195" t="b">
        <v>0</v>
      </c>
      <c r="E900" s="195">
        <v>10.0</v>
      </c>
      <c r="F900" s="203">
        <f>COUNTIF('Activity map'!$C:$C, $A900)</f>
        <v>2</v>
      </c>
    </row>
    <row r="901">
      <c r="A901" s="26">
        <v>20011.0</v>
      </c>
      <c r="B901" s="23" t="s">
        <v>1300</v>
      </c>
      <c r="C901" s="200" t="b">
        <f>IF($D901, TRUE, IF(ISERROR('API import'!$A$1), FALSE, COUNTIF('API import'!$A:$A, $A901)&gt;0))</f>
        <v>0</v>
      </c>
      <c r="D901" s="195" t="b">
        <v>0</v>
      </c>
      <c r="E901" s="195">
        <v>10.0</v>
      </c>
      <c r="F901" s="203">
        <f>COUNTIF('Activity map'!$C:$C, $A901)</f>
        <v>2</v>
      </c>
    </row>
    <row r="902">
      <c r="A902" s="26">
        <v>12426.0</v>
      </c>
      <c r="B902" s="23" t="s">
        <v>1301</v>
      </c>
      <c r="C902" s="200" t="b">
        <f>IF($D902, TRUE, IF(ISERROR('API import'!$A$1), FALSE, COUNTIF('API import'!$A:$A, $A902)&gt;0))</f>
        <v>0</v>
      </c>
      <c r="D902" s="195" t="b">
        <v>0</v>
      </c>
      <c r="E902" s="195">
        <v>10.0</v>
      </c>
      <c r="F902" s="203">
        <f>COUNTIF('Activity map'!$C:$C, $A902)</f>
        <v>2</v>
      </c>
    </row>
    <row r="903">
      <c r="A903" s="26">
        <v>12422.0</v>
      </c>
      <c r="B903" s="23" t="s">
        <v>1302</v>
      </c>
      <c r="C903" s="200" t="b">
        <f>IF($D903, TRUE, IF(ISERROR('API import'!$A$1), FALSE, COUNTIF('API import'!$A:$A, $A903)&gt;0))</f>
        <v>0</v>
      </c>
      <c r="D903" s="195" t="b">
        <v>0</v>
      </c>
      <c r="E903" s="195">
        <v>10.0</v>
      </c>
      <c r="F903" s="203">
        <f>COUNTIF('Activity map'!$C:$C, $A903)</f>
        <v>2</v>
      </c>
    </row>
    <row r="904">
      <c r="A904" s="26">
        <v>12437.0</v>
      </c>
      <c r="B904" s="23" t="s">
        <v>1303</v>
      </c>
      <c r="C904" s="200" t="b">
        <f>IF($D904, TRUE, IF(ISERROR('API import'!$A$1), FALSE, COUNTIF('API import'!$A:$A, $A904)&gt;0))</f>
        <v>0</v>
      </c>
      <c r="D904" s="195" t="b">
        <v>0</v>
      </c>
      <c r="E904" s="195">
        <v>10.0</v>
      </c>
      <c r="F904" s="203">
        <f>COUNTIF('Activity map'!$C:$C, $A904)</f>
        <v>2</v>
      </c>
    </row>
    <row r="905">
      <c r="A905" s="26">
        <v>12424.0</v>
      </c>
      <c r="B905" s="23" t="s">
        <v>1304</v>
      </c>
      <c r="C905" s="200" t="b">
        <f>IF($D905, TRUE, IF(ISERROR('API import'!$A$1), FALSE, COUNTIF('API import'!$A:$A, $A905)&gt;0))</f>
        <v>0</v>
      </c>
      <c r="D905" s="195" t="b">
        <v>0</v>
      </c>
      <c r="E905" s="195">
        <v>10.0</v>
      </c>
      <c r="F905" s="203">
        <f>COUNTIF('Activity map'!$C:$C, $A905)</f>
        <v>2</v>
      </c>
    </row>
    <row r="906">
      <c r="A906" s="26">
        <v>10334.0</v>
      </c>
      <c r="B906" s="23" t="s">
        <v>1305</v>
      </c>
      <c r="C906" s="200" t="b">
        <f>IF($D906, TRUE, IF(ISERROR('API import'!$A$1), FALSE, COUNTIF('API import'!$A:$A, $A906)&gt;0))</f>
        <v>0</v>
      </c>
      <c r="D906" s="195" t="b">
        <v>0</v>
      </c>
      <c r="E906" s="195">
        <v>10.0</v>
      </c>
      <c r="F906" s="203">
        <f>COUNTIF('Activity map'!$C:$C, $A906)</f>
        <v>3</v>
      </c>
    </row>
    <row r="907">
      <c r="A907" s="26">
        <v>10330.0</v>
      </c>
      <c r="B907" s="23" t="s">
        <v>1306</v>
      </c>
      <c r="C907" s="200" t="b">
        <f>IF($D907, TRUE, IF(ISERROR('API import'!$A$1), FALSE, COUNTIF('API import'!$A:$A, $A907)&gt;0))</f>
        <v>0</v>
      </c>
      <c r="D907" s="195" t="b">
        <v>0</v>
      </c>
      <c r="E907" s="195">
        <v>10.0</v>
      </c>
      <c r="F907" s="203">
        <f>COUNTIF('Activity map'!$C:$C, $A907)</f>
        <v>3</v>
      </c>
    </row>
    <row r="908">
      <c r="A908" s="26">
        <v>10332.0</v>
      </c>
      <c r="B908" s="23" t="s">
        <v>1307</v>
      </c>
      <c r="C908" s="200" t="b">
        <f>IF($D908, TRUE, IF(ISERROR('API import'!$A$1), FALSE, COUNTIF('API import'!$A:$A, $A908)&gt;0))</f>
        <v>0</v>
      </c>
      <c r="D908" s="195" t="b">
        <v>0</v>
      </c>
      <c r="E908" s="195">
        <v>10.0</v>
      </c>
      <c r="F908" s="203">
        <f>COUNTIF('Activity map'!$C:$C, $A908)</f>
        <v>3</v>
      </c>
    </row>
    <row r="909">
      <c r="A909" s="26">
        <v>10336.0</v>
      </c>
      <c r="B909" s="23" t="s">
        <v>1308</v>
      </c>
      <c r="C909" s="200" t="b">
        <f>IF($D909, TRUE, IF(ISERROR('API import'!$A$1), FALSE, COUNTIF('API import'!$A:$A, $A909)&gt;0))</f>
        <v>0</v>
      </c>
      <c r="D909" s="195" t="b">
        <v>0</v>
      </c>
      <c r="E909" s="195">
        <v>10.0</v>
      </c>
      <c r="F909" s="203">
        <f>COUNTIF('Activity map'!$C:$C, $A909)</f>
        <v>3</v>
      </c>
    </row>
    <row r="910">
      <c r="A910" s="26">
        <v>10338.0</v>
      </c>
      <c r="B910" s="23" t="s">
        <v>1309</v>
      </c>
      <c r="C910" s="200" t="b">
        <f>IF($D910, TRUE, IF(ISERROR('API import'!$A$1), FALSE, COUNTIF('API import'!$A:$A, $A910)&gt;0))</f>
        <v>0</v>
      </c>
      <c r="D910" s="195" t="b">
        <v>0</v>
      </c>
      <c r="E910" s="195">
        <v>10.0</v>
      </c>
      <c r="F910" s="203">
        <f>COUNTIF('Activity map'!$C:$C, $A910)</f>
        <v>3</v>
      </c>
    </row>
    <row r="911">
      <c r="A911" s="26">
        <v>10340.0</v>
      </c>
      <c r="B911" s="23" t="s">
        <v>1310</v>
      </c>
      <c r="C911" s="200" t="b">
        <f>IF($D911, TRUE, IF(ISERROR('API import'!$A$1), FALSE, COUNTIF('API import'!$A:$A, $A911)&gt;0))</f>
        <v>0</v>
      </c>
      <c r="D911" s="195" t="b">
        <v>0</v>
      </c>
      <c r="E911" s="195">
        <v>10.0</v>
      </c>
      <c r="F911" s="203">
        <f>COUNTIF('Activity map'!$C:$C, $A911)</f>
        <v>3</v>
      </c>
    </row>
    <row r="912">
      <c r="A912" s="26">
        <v>10342.0</v>
      </c>
      <c r="B912" s="23" t="s">
        <v>1311</v>
      </c>
      <c r="C912" s="200" t="b">
        <f>IF($D912, TRUE, IF(ISERROR('API import'!$A$1), FALSE, COUNTIF('API import'!$A:$A, $A912)&gt;0))</f>
        <v>0</v>
      </c>
      <c r="D912" s="195" t="b">
        <v>0</v>
      </c>
      <c r="E912" s="195">
        <v>10.0</v>
      </c>
      <c r="F912" s="203">
        <f>COUNTIF('Activity map'!$C:$C, $A912)</f>
        <v>3</v>
      </c>
    </row>
    <row r="913">
      <c r="A913" s="26">
        <v>10344.0</v>
      </c>
      <c r="B913" s="23" t="s">
        <v>1312</v>
      </c>
      <c r="C913" s="200" t="b">
        <f>IF($D913, TRUE, IF(ISERROR('API import'!$A$1), FALSE, COUNTIF('API import'!$A:$A, $A913)&gt;0))</f>
        <v>0</v>
      </c>
      <c r="D913" s="195" t="b">
        <v>0</v>
      </c>
      <c r="E913" s="195">
        <v>10.0</v>
      </c>
      <c r="F913" s="203">
        <f>COUNTIF('Activity map'!$C:$C, $A913)</f>
        <v>3</v>
      </c>
    </row>
    <row r="914">
      <c r="A914" s="26">
        <v>23242.0</v>
      </c>
      <c r="B914" s="23" t="s">
        <v>1313</v>
      </c>
      <c r="C914" s="200" t="b">
        <f>IF($D914, TRUE, IF(ISERROR('API import'!$A$1), FALSE, COUNTIF('API import'!$A:$A, $A914)&gt;0))</f>
        <v>0</v>
      </c>
      <c r="D914" s="195" t="b">
        <v>0</v>
      </c>
      <c r="E914" s="195">
        <v>10.0</v>
      </c>
      <c r="F914" s="203">
        <f>COUNTIF('Activity map'!$C:$C, $A914)</f>
        <v>3</v>
      </c>
    </row>
    <row r="915">
      <c r="A915" s="26">
        <v>10346.0</v>
      </c>
      <c r="B915" s="23" t="s">
        <v>1314</v>
      </c>
      <c r="C915" s="200" t="b">
        <f>IF($D915, TRUE, IF(ISERROR('API import'!$A$1), FALSE, COUNTIF('API import'!$A:$A, $A915)&gt;0))</f>
        <v>0</v>
      </c>
      <c r="D915" s="195" t="b">
        <v>0</v>
      </c>
      <c r="E915" s="195">
        <v>10.0</v>
      </c>
      <c r="F915" s="203">
        <f>COUNTIF('Activity map'!$C:$C, $A915)</f>
        <v>3</v>
      </c>
    </row>
    <row r="916">
      <c r="A916" s="26">
        <v>10348.0</v>
      </c>
      <c r="B916" s="23" t="s">
        <v>1315</v>
      </c>
      <c r="C916" s="200" t="b">
        <f>IF($D916, TRUE, IF(ISERROR('API import'!$A$1), FALSE, COUNTIF('API import'!$A:$A, $A916)&gt;0))</f>
        <v>0</v>
      </c>
      <c r="D916" s="195" t="b">
        <v>0</v>
      </c>
      <c r="E916" s="195">
        <v>10.0</v>
      </c>
      <c r="F916" s="203">
        <f>COUNTIF('Activity map'!$C:$C, $A916)</f>
        <v>3</v>
      </c>
    </row>
    <row r="917">
      <c r="A917" s="26">
        <v>10350.0</v>
      </c>
      <c r="B917" s="23" t="s">
        <v>1316</v>
      </c>
      <c r="C917" s="200" t="b">
        <f>IF($D917, TRUE, IF(ISERROR('API import'!$A$1), FALSE, COUNTIF('API import'!$A:$A, $A917)&gt;0))</f>
        <v>0</v>
      </c>
      <c r="D917" s="195" t="b">
        <v>0</v>
      </c>
      <c r="E917" s="195">
        <v>10.0</v>
      </c>
      <c r="F917" s="203">
        <f>COUNTIF('Activity map'!$C:$C, $A917)</f>
        <v>3</v>
      </c>
    </row>
    <row r="918">
      <c r="A918" s="26">
        <v>10352.0</v>
      </c>
      <c r="B918" s="23" t="s">
        <v>1317</v>
      </c>
      <c r="C918" s="200" t="b">
        <f>IF($D918, TRUE, IF(ISERROR('API import'!$A$1), FALSE, COUNTIF('API import'!$A:$A, $A918)&gt;0))</f>
        <v>0</v>
      </c>
      <c r="D918" s="195" t="b">
        <v>0</v>
      </c>
      <c r="E918" s="195">
        <v>10.0</v>
      </c>
      <c r="F918" s="203">
        <f>COUNTIF('Activity map'!$C:$C, $A918)</f>
        <v>3</v>
      </c>
    </row>
    <row r="919">
      <c r="A919" s="26">
        <v>23339.0</v>
      </c>
      <c r="B919" s="23" t="s">
        <v>1318</v>
      </c>
      <c r="C919" s="200" t="b">
        <f>IF($D919, TRUE, IF(ISERROR('API import'!$A$1), FALSE, COUNTIF('API import'!$A:$A, $A919)&gt;0))</f>
        <v>0</v>
      </c>
      <c r="D919" s="195" t="b">
        <v>0</v>
      </c>
      <c r="E919" s="195">
        <v>10.0</v>
      </c>
      <c r="F919" s="203">
        <f>COUNTIF('Activity map'!$C:$C, $A919)</f>
        <v>2</v>
      </c>
    </row>
    <row r="920">
      <c r="A920" s="26">
        <v>23336.0</v>
      </c>
      <c r="B920" s="23" t="s">
        <v>1319</v>
      </c>
      <c r="C920" s="200" t="b">
        <f>IF($D920, TRUE, IF(ISERROR('API import'!$A$1), FALSE, COUNTIF('API import'!$A:$A, $A920)&gt;0))</f>
        <v>0</v>
      </c>
      <c r="D920" s="195" t="b">
        <v>0</v>
      </c>
      <c r="E920" s="195">
        <v>10.0</v>
      </c>
      <c r="F920" s="203">
        <f>COUNTIF('Activity map'!$C:$C, $A920)</f>
        <v>2</v>
      </c>
    </row>
    <row r="921">
      <c r="A921" s="26">
        <v>23342.0</v>
      </c>
      <c r="B921" s="23" t="s">
        <v>1320</v>
      </c>
      <c r="C921" s="200" t="b">
        <f>IF($D921, TRUE, IF(ISERROR('API import'!$A$1), FALSE, COUNTIF('API import'!$A:$A, $A921)&gt;0))</f>
        <v>0</v>
      </c>
      <c r="D921" s="195" t="b">
        <v>0</v>
      </c>
      <c r="E921" s="195">
        <v>10.0</v>
      </c>
      <c r="F921" s="203">
        <f>COUNTIF('Activity map'!$C:$C, $A921)</f>
        <v>2</v>
      </c>
    </row>
    <row r="922">
      <c r="A922" s="26">
        <v>23345.0</v>
      </c>
      <c r="B922" s="23" t="s">
        <v>1321</v>
      </c>
      <c r="C922" s="200" t="b">
        <f>IF($D922, TRUE, IF(ISERROR('API import'!$A$1), FALSE, COUNTIF('API import'!$A:$A, $A922)&gt;0))</f>
        <v>0</v>
      </c>
      <c r="D922" s="195" t="b">
        <v>0</v>
      </c>
      <c r="E922" s="195">
        <v>10.0</v>
      </c>
      <c r="F922" s="203">
        <f>COUNTIF('Activity map'!$C:$C, $A922)</f>
        <v>2</v>
      </c>
    </row>
    <row r="923">
      <c r="A923" s="26">
        <v>12389.0</v>
      </c>
      <c r="B923" s="23" t="s">
        <v>1322</v>
      </c>
      <c r="C923" s="200" t="b">
        <f>IF($D923, TRUE, IF(ISERROR('API import'!$A$1), FALSE, COUNTIF('API import'!$A:$A, $A923)&gt;0))</f>
        <v>0</v>
      </c>
      <c r="D923" s="195" t="b">
        <v>0</v>
      </c>
      <c r="E923" s="195">
        <v>9.0</v>
      </c>
      <c r="F923" s="203">
        <f>COUNTIF('Activity map'!$C:$C, $A923)</f>
        <v>2</v>
      </c>
    </row>
    <row r="924">
      <c r="A924" s="26">
        <v>12391.0</v>
      </c>
      <c r="B924" s="23" t="s">
        <v>1323</v>
      </c>
      <c r="C924" s="200" t="b">
        <f>IF($D924, TRUE, IF(ISERROR('API import'!$A$1), FALSE, COUNTIF('API import'!$A:$A, $A924)&gt;0))</f>
        <v>0</v>
      </c>
      <c r="D924" s="195" t="b">
        <v>0</v>
      </c>
      <c r="E924" s="195">
        <v>9.0</v>
      </c>
      <c r="F924" s="203">
        <f>COUNTIF('Activity map'!$C:$C, $A924)</f>
        <v>2</v>
      </c>
    </row>
    <row r="925">
      <c r="A925" s="26">
        <v>3481.0</v>
      </c>
      <c r="B925" s="23" t="s">
        <v>1324</v>
      </c>
      <c r="C925" s="200" t="b">
        <f>IF($D925, TRUE, IF(ISERROR('API import'!$A$1), FALSE, COUNTIF('API import'!$A:$A, $A925)&gt;0))</f>
        <v>0</v>
      </c>
      <c r="D925" s="195" t="b">
        <v>0</v>
      </c>
      <c r="E925" s="195">
        <v>9.0</v>
      </c>
      <c r="F925" s="203">
        <f>COUNTIF('Activity map'!$C:$C, $A925)</f>
        <v>3</v>
      </c>
    </row>
    <row r="926">
      <c r="A926" s="26">
        <v>3483.0</v>
      </c>
      <c r="B926" s="23" t="s">
        <v>1325</v>
      </c>
      <c r="C926" s="202" t="b">
        <f>IF($D926, TRUE, IF(ISERROR('API import'!$A$1), FALSE, COUNTIF('API import'!$A:$A, $A926)&gt;0))</f>
        <v>0</v>
      </c>
      <c r="D926" s="195" t="b">
        <v>0</v>
      </c>
      <c r="E926" s="195">
        <v>9.0</v>
      </c>
      <c r="F926" s="203">
        <f>COUNTIF('Activity map'!$C:$C, $A926)</f>
        <v>3</v>
      </c>
    </row>
    <row r="927">
      <c r="A927" s="26">
        <v>3485.0</v>
      </c>
      <c r="B927" s="23" t="s">
        <v>1326</v>
      </c>
      <c r="C927" s="200" t="b">
        <f>IF($D927, TRUE, IF(ISERROR('API import'!$A$1), FALSE, COUNTIF('API import'!$A:$A, $A927)&gt;0))</f>
        <v>0</v>
      </c>
      <c r="D927" s="195" t="b">
        <v>0</v>
      </c>
      <c r="E927" s="195">
        <v>9.0</v>
      </c>
      <c r="F927" s="203">
        <f>COUNTIF('Activity map'!$C:$C, $A927)</f>
        <v>3</v>
      </c>
    </row>
    <row r="928">
      <c r="A928" s="26">
        <v>3486.0</v>
      </c>
      <c r="B928" s="23" t="s">
        <v>1327</v>
      </c>
      <c r="C928" s="200" t="b">
        <f>IF($D928, TRUE, IF(ISERROR('API import'!$A$1), FALSE, COUNTIF('API import'!$A:$A, $A928)&gt;0))</f>
        <v>0</v>
      </c>
      <c r="D928" s="195" t="b">
        <v>0</v>
      </c>
      <c r="E928" s="195">
        <v>9.0</v>
      </c>
      <c r="F928" s="203">
        <f>COUNTIF('Activity map'!$C:$C, $A928)</f>
        <v>3</v>
      </c>
    </row>
    <row r="929">
      <c r="A929" s="26">
        <v>3488.0</v>
      </c>
      <c r="B929" s="23" t="s">
        <v>1328</v>
      </c>
      <c r="C929" s="200" t="b">
        <f>IF($D929, TRUE, IF(ISERROR('API import'!$A$1), FALSE, COUNTIF('API import'!$A:$A, $A929)&gt;0))</f>
        <v>0</v>
      </c>
      <c r="D929" s="195" t="b">
        <v>0</v>
      </c>
      <c r="E929" s="195">
        <v>9.0</v>
      </c>
      <c r="F929" s="203">
        <f>COUNTIF('Activity map'!$C:$C, $A929)</f>
        <v>3</v>
      </c>
    </row>
    <row r="930">
      <c r="A930" s="26">
        <v>20146.0</v>
      </c>
      <c r="B930" s="23" t="s">
        <v>1329</v>
      </c>
      <c r="C930" s="200" t="b">
        <f>IF($D930, TRUE, IF(ISERROR('API import'!$A$1), FALSE, COUNTIF('API import'!$A:$A, $A930)&gt;0))</f>
        <v>0</v>
      </c>
      <c r="D930" s="195" t="b">
        <v>0</v>
      </c>
      <c r="E930" s="195">
        <v>9.0</v>
      </c>
      <c r="F930" s="203">
        <f>COUNTIF('Activity map'!$C:$C, $A930)</f>
        <v>3</v>
      </c>
    </row>
    <row r="931">
      <c r="A931" s="26">
        <v>20149.0</v>
      </c>
      <c r="B931" s="23" t="s">
        <v>1330</v>
      </c>
      <c r="C931" s="200" t="b">
        <f>IF($D931, TRUE, IF(ISERROR('API import'!$A$1), FALSE, COUNTIF('API import'!$A:$A, $A931)&gt;0))</f>
        <v>0</v>
      </c>
      <c r="D931" s="195" t="b">
        <v>0</v>
      </c>
      <c r="E931" s="195">
        <v>9.0</v>
      </c>
      <c r="F931" s="203">
        <f>COUNTIF('Activity map'!$C:$C, $A931)</f>
        <v>3</v>
      </c>
    </row>
    <row r="932">
      <c r="A932" s="26">
        <v>20152.0</v>
      </c>
      <c r="B932" s="23" t="s">
        <v>1331</v>
      </c>
      <c r="C932" s="200" t="b">
        <f>IF($D932, TRUE, IF(ISERROR('API import'!$A$1), FALSE, COUNTIF('API import'!$A:$A, $A932)&gt;0))</f>
        <v>0</v>
      </c>
      <c r="D932" s="195" t="b">
        <v>0</v>
      </c>
      <c r="E932" s="195">
        <v>9.0</v>
      </c>
      <c r="F932" s="203">
        <f>COUNTIF('Activity map'!$C:$C, $A932)</f>
        <v>3</v>
      </c>
    </row>
    <row r="933">
      <c r="A933" s="26">
        <v>20155.0</v>
      </c>
      <c r="B933" s="23" t="s">
        <v>1332</v>
      </c>
      <c r="C933" s="200" t="b">
        <f>IF($D933, TRUE, IF(ISERROR('API import'!$A$1), FALSE, COUNTIF('API import'!$A:$A, $A933)&gt;0))</f>
        <v>0</v>
      </c>
      <c r="D933" s="195" t="b">
        <v>0</v>
      </c>
      <c r="E933" s="195">
        <v>9.0</v>
      </c>
      <c r="F933" s="203">
        <f>COUNTIF('Activity map'!$C:$C, $A933)</f>
        <v>3</v>
      </c>
    </row>
    <row r="934">
      <c r="A934" s="26">
        <v>20158.0</v>
      </c>
      <c r="B934" s="23" t="s">
        <v>1333</v>
      </c>
      <c r="C934" s="200" t="b">
        <f>IF($D934, TRUE, IF(ISERROR('API import'!$A$1), FALSE, COUNTIF('API import'!$A:$A, $A934)&gt;0))</f>
        <v>0</v>
      </c>
      <c r="D934" s="195" t="b">
        <v>0</v>
      </c>
      <c r="E934" s="195">
        <v>9.0</v>
      </c>
      <c r="F934" s="203">
        <f>COUNTIF('Activity map'!$C:$C, $A934)</f>
        <v>3</v>
      </c>
    </row>
    <row r="935">
      <c r="A935" s="26">
        <v>20161.0</v>
      </c>
      <c r="B935" s="23" t="s">
        <v>1334</v>
      </c>
      <c r="C935" s="202" t="b">
        <f>IF($D935, TRUE, IF(ISERROR('API import'!$A$1), FALSE, COUNTIF('API import'!$A:$A, $A935)&gt;0))</f>
        <v>0</v>
      </c>
      <c r="D935" s="195" t="b">
        <v>0</v>
      </c>
      <c r="E935" s="195">
        <v>9.0</v>
      </c>
      <c r="F935" s="203">
        <f>COUNTIF('Activity map'!$C:$C, $A935)</f>
        <v>3</v>
      </c>
    </row>
    <row r="936">
      <c r="A936" s="26">
        <v>23258.0</v>
      </c>
      <c r="B936" s="23" t="s">
        <v>1335</v>
      </c>
      <c r="C936" s="200" t="b">
        <f>IF($D936, TRUE, IF(ISERROR('API import'!$A$1), FALSE, COUNTIF('API import'!$A:$A, $A936)&gt;0))</f>
        <v>0</v>
      </c>
      <c r="D936" s="195" t="b">
        <v>0</v>
      </c>
      <c r="E936" s="195">
        <v>9.0</v>
      </c>
      <c r="F936" s="203">
        <f>COUNTIF('Activity map'!$C:$C, $A936)</f>
        <v>2</v>
      </c>
    </row>
    <row r="937">
      <c r="A937" s="26">
        <v>23261.0</v>
      </c>
      <c r="B937" s="23" t="s">
        <v>1336</v>
      </c>
      <c r="C937" s="200" t="b">
        <f>IF($D937, TRUE, IF(ISERROR('API import'!$A$1), FALSE, COUNTIF('API import'!$A:$A, $A937)&gt;0))</f>
        <v>0</v>
      </c>
      <c r="D937" s="195" t="b">
        <v>0</v>
      </c>
      <c r="E937" s="195">
        <v>9.0</v>
      </c>
      <c r="F937" s="203">
        <f>COUNTIF('Activity map'!$C:$C, $A937)</f>
        <v>2</v>
      </c>
    </row>
    <row r="938">
      <c r="A938" s="26">
        <v>23264.0</v>
      </c>
      <c r="B938" s="23" t="s">
        <v>1337</v>
      </c>
      <c r="C938" s="200" t="b">
        <f>IF($D938, TRUE, IF(ISERROR('API import'!$A$1), FALSE, COUNTIF('API import'!$A:$A, $A938)&gt;0))</f>
        <v>0</v>
      </c>
      <c r="D938" s="195" t="b">
        <v>0</v>
      </c>
      <c r="E938" s="195">
        <v>9.0</v>
      </c>
      <c r="F938" s="203">
        <f>COUNTIF('Activity map'!$C:$C, $A938)</f>
        <v>2</v>
      </c>
    </row>
    <row r="939">
      <c r="A939" s="26">
        <v>23267.0</v>
      </c>
      <c r="B939" s="23" t="s">
        <v>1338</v>
      </c>
      <c r="C939" s="200" t="b">
        <f>IF($D939, TRUE, IF(ISERROR('API import'!$A$1), FALSE, COUNTIF('API import'!$A:$A, $A939)&gt;0))</f>
        <v>0</v>
      </c>
      <c r="D939" s="195" t="b">
        <v>0</v>
      </c>
      <c r="E939" s="195">
        <v>9.0</v>
      </c>
      <c r="F939" s="203">
        <f>COUNTIF('Activity map'!$C:$C, $A939)</f>
        <v>2</v>
      </c>
    </row>
    <row r="940">
      <c r="A940" s="26">
        <v>23276.0</v>
      </c>
      <c r="B940" s="23" t="s">
        <v>1339</v>
      </c>
      <c r="C940" s="200" t="b">
        <f>IF($D940, TRUE, IF(ISERROR('API import'!$A$1), FALSE, COUNTIF('API import'!$A:$A, $A940)&gt;0))</f>
        <v>0</v>
      </c>
      <c r="D940" s="195" t="b">
        <v>0</v>
      </c>
      <c r="E940" s="195">
        <v>9.0</v>
      </c>
      <c r="F940" s="203">
        <f>COUNTIF('Activity map'!$C:$C, $A940)</f>
        <v>2</v>
      </c>
    </row>
    <row r="941">
      <c r="A941" s="26">
        <v>23279.0</v>
      </c>
      <c r="B941" s="23" t="s">
        <v>1340</v>
      </c>
      <c r="C941" s="200" t="b">
        <f>IF($D941, TRUE, IF(ISERROR('API import'!$A$1), FALSE, COUNTIF('API import'!$A:$A, $A941)&gt;0))</f>
        <v>0</v>
      </c>
      <c r="D941" s="195" t="b">
        <v>0</v>
      </c>
      <c r="E941" s="195">
        <v>9.0</v>
      </c>
      <c r="F941" s="203">
        <f>COUNTIF('Activity map'!$C:$C, $A941)</f>
        <v>2</v>
      </c>
    </row>
    <row r="942">
      <c r="A942" s="26">
        <v>23282.0</v>
      </c>
      <c r="B942" s="23" t="s">
        <v>1341</v>
      </c>
      <c r="C942" s="200" t="b">
        <f>IF($D942, TRUE, IF(ISERROR('API import'!$A$1), FALSE, COUNTIF('API import'!$A:$A, $A942)&gt;0))</f>
        <v>0</v>
      </c>
      <c r="D942" s="195" t="b">
        <v>0</v>
      </c>
      <c r="E942" s="195">
        <v>9.0</v>
      </c>
      <c r="F942" s="203">
        <f>COUNTIF('Activity map'!$C:$C, $A942)</f>
        <v>2</v>
      </c>
    </row>
    <row r="943">
      <c r="A943" s="26">
        <v>20059.0</v>
      </c>
      <c r="B943" s="23" t="s">
        <v>1342</v>
      </c>
      <c r="C943" s="200" t="b">
        <f>IF($D943, TRUE, IF(ISERROR('API import'!$A$1), FALSE, COUNTIF('API import'!$A:$A, $A943)&gt;0))</f>
        <v>0</v>
      </c>
      <c r="D943" s="195" t="b">
        <v>0</v>
      </c>
      <c r="E943" s="195">
        <v>9.0</v>
      </c>
      <c r="F943" s="201">
        <f>COUNTIF('Activity map'!$C:$C, $A943)</f>
        <v>1</v>
      </c>
    </row>
    <row r="944">
      <c r="A944" s="26">
        <v>20017.0</v>
      </c>
      <c r="B944" s="23" t="s">
        <v>1343</v>
      </c>
      <c r="C944" s="200" t="b">
        <f>IF($D944, TRUE, IF(ISERROR('API import'!$A$1), FALSE, COUNTIF('API import'!$A:$A, $A944)&gt;0))</f>
        <v>0</v>
      </c>
      <c r="D944" s="195" t="b">
        <v>0</v>
      </c>
      <c r="E944" s="195">
        <v>9.0</v>
      </c>
      <c r="F944" s="201">
        <f>COUNTIF('Activity map'!$C:$C, $A944)</f>
        <v>1</v>
      </c>
    </row>
    <row r="945">
      <c r="A945" s="26">
        <v>3827.0</v>
      </c>
      <c r="B945" s="23" t="s">
        <v>1344</v>
      </c>
      <c r="C945" s="202" t="b">
        <f>IF($D945, TRUE, IF(ISERROR('API import'!$A$1), FALSE, COUNTIF('API import'!$A:$A, $A945)&gt;0))</f>
        <v>0</v>
      </c>
      <c r="D945" s="195" t="b">
        <v>0</v>
      </c>
      <c r="E945" s="195">
        <v>2.0</v>
      </c>
      <c r="F945" s="203">
        <f>COUNTIF('Activity map'!$C:$C, $A945)</f>
        <v>5</v>
      </c>
    </row>
    <row r="946">
      <c r="A946" s="26">
        <v>3831.0</v>
      </c>
      <c r="B946" s="23" t="s">
        <v>1345</v>
      </c>
      <c r="C946" s="202" t="b">
        <f>IF($D946, TRUE, IF(ISERROR('API import'!$A$1), FALSE, COUNTIF('API import'!$A:$A, $A946)&gt;0))</f>
        <v>0</v>
      </c>
      <c r="D946" s="195" t="b">
        <v>0</v>
      </c>
      <c r="E946" s="195">
        <v>2.0</v>
      </c>
      <c r="F946" s="203">
        <f>COUNTIF('Activity map'!$C:$C, $A946)</f>
        <v>5</v>
      </c>
    </row>
    <row r="947">
      <c r="A947" s="26">
        <v>3835.0</v>
      </c>
      <c r="B947" s="23" t="s">
        <v>1346</v>
      </c>
      <c r="C947" s="202" t="b">
        <f>IF($D947, TRUE, IF(ISERROR('API import'!$A$1), FALSE, COUNTIF('API import'!$A:$A, $A947)&gt;0))</f>
        <v>0</v>
      </c>
      <c r="D947" s="195" t="b">
        <v>0</v>
      </c>
      <c r="E947" s="195">
        <v>2.0</v>
      </c>
      <c r="F947" s="203">
        <f>COUNTIF('Activity map'!$C:$C, $A947)</f>
        <v>5</v>
      </c>
    </row>
    <row r="948">
      <c r="A948" s="26">
        <v>12613.0</v>
      </c>
      <c r="B948" s="23" t="s">
        <v>1347</v>
      </c>
      <c r="C948" s="202" t="b">
        <f>IF($D948, TRUE, IF(ISERROR('API import'!$A$1), FALSE, COUNTIF('API import'!$A:$A, $A948)&gt;0))</f>
        <v>0</v>
      </c>
      <c r="D948" s="195" t="b">
        <v>0</v>
      </c>
      <c r="E948" s="195">
        <v>2.0</v>
      </c>
      <c r="F948" s="203">
        <f>COUNTIF('Activity map'!$C:$C, $A948)</f>
        <v>5</v>
      </c>
    </row>
    <row r="949">
      <c r="A949" s="26">
        <v>12617.0</v>
      </c>
      <c r="B949" s="23" t="s">
        <v>1348</v>
      </c>
      <c r="C949" s="202" t="b">
        <f>IF($D949, TRUE, IF(ISERROR('API import'!$A$1), FALSE, COUNTIF('API import'!$A:$A, $A949)&gt;0))</f>
        <v>0</v>
      </c>
      <c r="D949" s="195" t="b">
        <v>0</v>
      </c>
      <c r="E949" s="195">
        <v>2.0</v>
      </c>
      <c r="F949" s="203">
        <f>COUNTIF('Activity map'!$C:$C, $A949)</f>
        <v>5</v>
      </c>
    </row>
    <row r="950">
      <c r="A950" s="26">
        <v>12621.0</v>
      </c>
      <c r="B950" s="23" t="s">
        <v>1349</v>
      </c>
      <c r="C950" s="202" t="b">
        <f>IF($D950, TRUE, IF(ISERROR('API import'!$A$1), FALSE, COUNTIF('API import'!$A:$A, $A950)&gt;0))</f>
        <v>0</v>
      </c>
      <c r="D950" s="195" t="b">
        <v>0</v>
      </c>
      <c r="E950" s="195">
        <v>2.0</v>
      </c>
      <c r="F950" s="203">
        <f>COUNTIF('Activity map'!$C:$C, $A950)</f>
        <v>5</v>
      </c>
    </row>
    <row r="951">
      <c r="A951" s="26">
        <v>3828.0</v>
      </c>
      <c r="B951" s="23" t="s">
        <v>1350</v>
      </c>
      <c r="C951" s="202" t="b">
        <f>IF($D951, TRUE, IF(ISERROR('API import'!$A$1), FALSE, COUNTIF('API import'!$A:$A, $A951)&gt;0))</f>
        <v>0</v>
      </c>
      <c r="D951" s="195" t="b">
        <v>0</v>
      </c>
      <c r="E951" s="195">
        <v>2.0</v>
      </c>
      <c r="F951" s="203">
        <f>COUNTIF('Activity map'!$C:$C, $A951)</f>
        <v>5</v>
      </c>
    </row>
    <row r="952">
      <c r="A952" s="26">
        <v>3832.0</v>
      </c>
      <c r="B952" s="23" t="s">
        <v>1351</v>
      </c>
      <c r="C952" s="202" t="b">
        <f>IF($D952, TRUE, IF(ISERROR('API import'!$A$1), FALSE, COUNTIF('API import'!$A:$A, $A952)&gt;0))</f>
        <v>0</v>
      </c>
      <c r="D952" s="195" t="b">
        <v>0</v>
      </c>
      <c r="E952" s="195">
        <v>2.0</v>
      </c>
      <c r="F952" s="203">
        <f>COUNTIF('Activity map'!$C:$C, $A952)</f>
        <v>5</v>
      </c>
    </row>
    <row r="953">
      <c r="A953" s="26">
        <v>3836.0</v>
      </c>
      <c r="B953" s="23" t="s">
        <v>1352</v>
      </c>
      <c r="C953" s="200" t="b">
        <f>IF($D953, TRUE, IF(ISERROR('API import'!$A$1), FALSE, COUNTIF('API import'!$A:$A, $A953)&gt;0))</f>
        <v>0</v>
      </c>
      <c r="D953" s="195" t="b">
        <v>0</v>
      </c>
      <c r="E953" s="195">
        <v>2.0</v>
      </c>
      <c r="F953" s="203">
        <f>COUNTIF('Activity map'!$C:$C, $A953)</f>
        <v>5</v>
      </c>
    </row>
    <row r="954">
      <c r="A954" s="26">
        <v>12614.0</v>
      </c>
      <c r="B954" s="23" t="s">
        <v>1353</v>
      </c>
      <c r="C954" s="202" t="b">
        <f>IF($D954, TRUE, IF(ISERROR('API import'!$A$1), FALSE, COUNTIF('API import'!$A:$A, $A954)&gt;0))</f>
        <v>0</v>
      </c>
      <c r="D954" s="195" t="b">
        <v>0</v>
      </c>
      <c r="E954" s="195">
        <v>2.0</v>
      </c>
      <c r="F954" s="203">
        <f>COUNTIF('Activity map'!$C:$C, $A954)</f>
        <v>5</v>
      </c>
    </row>
    <row r="955">
      <c r="A955" s="26">
        <v>12618.0</v>
      </c>
      <c r="B955" s="23" t="s">
        <v>1354</v>
      </c>
      <c r="C955" s="202" t="b">
        <f>IF($D955, TRUE, IF(ISERROR('API import'!$A$1), FALSE, COUNTIF('API import'!$A:$A, $A955)&gt;0))</f>
        <v>0</v>
      </c>
      <c r="D955" s="195" t="b">
        <v>0</v>
      </c>
      <c r="E955" s="195">
        <v>2.0</v>
      </c>
      <c r="F955" s="203">
        <f>COUNTIF('Activity map'!$C:$C, $A955)</f>
        <v>5</v>
      </c>
    </row>
    <row r="956">
      <c r="A956" s="26">
        <v>12622.0</v>
      </c>
      <c r="B956" s="23" t="s">
        <v>1355</v>
      </c>
      <c r="C956" s="202" t="b">
        <f>IF($D956, TRUE, IF(ISERROR('API import'!$A$1), FALSE, COUNTIF('API import'!$A:$A, $A956)&gt;0))</f>
        <v>0</v>
      </c>
      <c r="D956" s="195" t="b">
        <v>0</v>
      </c>
      <c r="E956" s="195">
        <v>2.0</v>
      </c>
      <c r="F956" s="203">
        <f>COUNTIF('Activity map'!$C:$C, $A956)</f>
        <v>5</v>
      </c>
    </row>
    <row r="957">
      <c r="A957" s="26">
        <v>3829.0</v>
      </c>
      <c r="B957" s="23" t="s">
        <v>1356</v>
      </c>
      <c r="C957" s="202" t="b">
        <f>IF($D957, TRUE, IF(ISERROR('API import'!$A$1), FALSE, COUNTIF('API import'!$A:$A, $A957)&gt;0))</f>
        <v>0</v>
      </c>
      <c r="D957" s="195" t="b">
        <v>0</v>
      </c>
      <c r="E957" s="195">
        <v>2.0</v>
      </c>
      <c r="F957" s="203">
        <f>COUNTIF('Activity map'!$C:$C, $A957)</f>
        <v>5</v>
      </c>
    </row>
    <row r="958">
      <c r="A958" s="26">
        <v>3833.0</v>
      </c>
      <c r="B958" s="23" t="s">
        <v>1357</v>
      </c>
      <c r="C958" s="202" t="b">
        <f>IF($D958, TRUE, IF(ISERROR('API import'!$A$1), FALSE, COUNTIF('API import'!$A:$A, $A958)&gt;0))</f>
        <v>0</v>
      </c>
      <c r="D958" s="195" t="b">
        <v>0</v>
      </c>
      <c r="E958" s="195">
        <v>2.0</v>
      </c>
      <c r="F958" s="203">
        <f>COUNTIF('Activity map'!$C:$C, $A958)</f>
        <v>5</v>
      </c>
    </row>
    <row r="959">
      <c r="A959" s="26">
        <v>3837.0</v>
      </c>
      <c r="B959" s="23" t="s">
        <v>1358</v>
      </c>
      <c r="C959" s="202" t="b">
        <f>IF($D959, TRUE, IF(ISERROR('API import'!$A$1), FALSE, COUNTIF('API import'!$A:$A, $A959)&gt;0))</f>
        <v>0</v>
      </c>
      <c r="D959" s="195" t="b">
        <v>0</v>
      </c>
      <c r="E959" s="195">
        <v>2.0</v>
      </c>
      <c r="F959" s="203">
        <f>COUNTIF('Activity map'!$C:$C, $A959)</f>
        <v>5</v>
      </c>
    </row>
    <row r="960">
      <c r="A960" s="26">
        <v>12615.0</v>
      </c>
      <c r="B960" s="23" t="s">
        <v>1359</v>
      </c>
      <c r="C960" s="202" t="b">
        <f>IF($D960, TRUE, IF(ISERROR('API import'!$A$1), FALSE, COUNTIF('API import'!$A:$A, $A960)&gt;0))</f>
        <v>0</v>
      </c>
      <c r="D960" s="195" t="b">
        <v>0</v>
      </c>
      <c r="E960" s="195">
        <v>2.0</v>
      </c>
      <c r="F960" s="203">
        <f>COUNTIF('Activity map'!$C:$C, $A960)</f>
        <v>5</v>
      </c>
    </row>
    <row r="961">
      <c r="A961" s="26">
        <v>12619.0</v>
      </c>
      <c r="B961" s="23" t="s">
        <v>1360</v>
      </c>
      <c r="C961" s="202" t="b">
        <f>IF($D961, TRUE, IF(ISERROR('API import'!$A$1), FALSE, COUNTIF('API import'!$A:$A, $A961)&gt;0))</f>
        <v>0</v>
      </c>
      <c r="D961" s="195" t="b">
        <v>0</v>
      </c>
      <c r="E961" s="195">
        <v>2.0</v>
      </c>
      <c r="F961" s="203">
        <f>COUNTIF('Activity map'!$C:$C, $A961)</f>
        <v>5</v>
      </c>
    </row>
    <row r="962">
      <c r="A962" s="26">
        <v>12623.0</v>
      </c>
      <c r="B962" s="23" t="s">
        <v>1361</v>
      </c>
      <c r="C962" s="202" t="b">
        <f>IF($D962, TRUE, IF(ISERROR('API import'!$A$1), FALSE, COUNTIF('API import'!$A:$A, $A962)&gt;0))</f>
        <v>0</v>
      </c>
      <c r="D962" s="195" t="b">
        <v>0</v>
      </c>
      <c r="E962" s="195">
        <v>2.0</v>
      </c>
      <c r="F962" s="203">
        <f>COUNTIF('Activity map'!$C:$C, $A962)</f>
        <v>5</v>
      </c>
    </row>
    <row r="963">
      <c r="A963" s="26">
        <v>3830.0</v>
      </c>
      <c r="B963" s="23" t="s">
        <v>1362</v>
      </c>
      <c r="C963" s="202" t="b">
        <f>IF($D963, TRUE, IF(ISERROR('API import'!$A$1), FALSE, COUNTIF('API import'!$A:$A, $A963)&gt;0))</f>
        <v>0</v>
      </c>
      <c r="D963" s="195" t="b">
        <v>0</v>
      </c>
      <c r="E963" s="195">
        <v>2.0</v>
      </c>
      <c r="F963" s="203">
        <f>COUNTIF('Activity map'!$C:$C, $A963)</f>
        <v>5</v>
      </c>
    </row>
    <row r="964">
      <c r="A964" s="26">
        <v>3834.0</v>
      </c>
      <c r="B964" s="23" t="s">
        <v>1363</v>
      </c>
      <c r="C964" s="202" t="b">
        <f>IF($D964, TRUE, IF(ISERROR('API import'!$A$1), FALSE, COUNTIF('API import'!$A:$A, $A964)&gt;0))</f>
        <v>0</v>
      </c>
      <c r="D964" s="195" t="b">
        <v>0</v>
      </c>
      <c r="E964" s="195">
        <v>2.0</v>
      </c>
      <c r="F964" s="203">
        <f>COUNTIF('Activity map'!$C:$C, $A964)</f>
        <v>5</v>
      </c>
    </row>
    <row r="965">
      <c r="A965" s="26">
        <v>3838.0</v>
      </c>
      <c r="B965" s="23" t="s">
        <v>1364</v>
      </c>
      <c r="C965" s="200" t="b">
        <f>IF($D965, TRUE, IF(ISERROR('API import'!$A$1), FALSE, COUNTIF('API import'!$A:$A, $A965)&gt;0))</f>
        <v>0</v>
      </c>
      <c r="D965" s="195" t="b">
        <v>0</v>
      </c>
      <c r="E965" s="195">
        <v>2.0</v>
      </c>
      <c r="F965" s="203">
        <f>COUNTIF('Activity map'!$C:$C, $A965)</f>
        <v>5</v>
      </c>
    </row>
    <row r="966">
      <c r="A966" s="26">
        <v>12616.0</v>
      </c>
      <c r="B966" s="23" t="s">
        <v>1365</v>
      </c>
      <c r="C966" s="202" t="b">
        <f>IF($D966, TRUE, IF(ISERROR('API import'!$A$1), FALSE, COUNTIF('API import'!$A:$A, $A966)&gt;0))</f>
        <v>0</v>
      </c>
      <c r="D966" s="195" t="b">
        <v>0</v>
      </c>
      <c r="E966" s="195">
        <v>2.0</v>
      </c>
      <c r="F966" s="203">
        <f>COUNTIF('Activity map'!$C:$C, $A966)</f>
        <v>5</v>
      </c>
    </row>
    <row r="967">
      <c r="A967" s="26">
        <v>12620.0</v>
      </c>
      <c r="B967" s="23" t="s">
        <v>1366</v>
      </c>
      <c r="C967" s="202" t="b">
        <f>IF($D967, TRUE, IF(ISERROR('API import'!$A$1), FALSE, COUNTIF('API import'!$A:$A, $A967)&gt;0))</f>
        <v>0</v>
      </c>
      <c r="D967" s="195" t="b">
        <v>0</v>
      </c>
      <c r="E967" s="195">
        <v>2.0</v>
      </c>
      <c r="F967" s="203">
        <f>COUNTIF('Activity map'!$C:$C, $A967)</f>
        <v>5</v>
      </c>
    </row>
    <row r="968">
      <c r="A968" s="26">
        <v>12624.0</v>
      </c>
      <c r="B968" s="23" t="s">
        <v>1367</v>
      </c>
      <c r="C968" s="202" t="b">
        <f>IF($D968, TRUE, IF(ISERROR('API import'!$A$1), FALSE, COUNTIF('API import'!$A:$A, $A968)&gt;0))</f>
        <v>0</v>
      </c>
      <c r="D968" s="195" t="b">
        <v>0</v>
      </c>
      <c r="E968" s="195">
        <v>2.0</v>
      </c>
      <c r="F968" s="203">
        <f>COUNTIF('Activity map'!$C:$C, $A968)</f>
        <v>5</v>
      </c>
    </row>
    <row r="969">
      <c r="A969" s="26">
        <v>20220.0</v>
      </c>
      <c r="B969" s="23" t="s">
        <v>1368</v>
      </c>
      <c r="C969" s="202" t="b">
        <f>IF($D969, TRUE, IF(ISERROR('API import'!$A$1), FALSE, COUNTIF('API import'!$A:$A, $A969)&gt;0))</f>
        <v>0</v>
      </c>
      <c r="D969" s="195" t="b">
        <v>0</v>
      </c>
      <c r="E969" s="195">
        <v>2.0</v>
      </c>
      <c r="F969" s="203">
        <f>COUNTIF('Activity map'!$C:$C, $A969)</f>
        <v>5</v>
      </c>
    </row>
    <row r="970">
      <c r="A970" s="26">
        <v>20223.0</v>
      </c>
      <c r="B970" s="23" t="s">
        <v>1369</v>
      </c>
      <c r="C970" s="202" t="b">
        <f>IF($D970, TRUE, IF(ISERROR('API import'!$A$1), FALSE, COUNTIF('API import'!$A:$A, $A970)&gt;0))</f>
        <v>0</v>
      </c>
      <c r="D970" s="195" t="b">
        <v>0</v>
      </c>
      <c r="E970" s="195">
        <v>2.0</v>
      </c>
      <c r="F970" s="203">
        <f>COUNTIF('Activity map'!$C:$C, $A970)</f>
        <v>5</v>
      </c>
    </row>
    <row r="971">
      <c r="A971" s="26">
        <v>20226.0</v>
      </c>
      <c r="B971" s="23" t="s">
        <v>1370</v>
      </c>
      <c r="C971" s="202" t="b">
        <f>IF($D971, TRUE, IF(ISERROR('API import'!$A$1), FALSE, COUNTIF('API import'!$A:$A, $A971)&gt;0))</f>
        <v>0</v>
      </c>
      <c r="D971" s="195" t="b">
        <v>0</v>
      </c>
      <c r="E971" s="195">
        <v>2.0</v>
      </c>
      <c r="F971" s="203">
        <f>COUNTIF('Activity map'!$C:$C, $A971)</f>
        <v>5</v>
      </c>
    </row>
    <row r="972">
      <c r="A972" s="26">
        <v>20232.0</v>
      </c>
      <c r="B972" s="23" t="s">
        <v>1371</v>
      </c>
      <c r="C972" s="202" t="b">
        <f>IF($D972, TRUE, IF(ISERROR('API import'!$A$1), FALSE, COUNTIF('API import'!$A:$A, $A972)&gt;0))</f>
        <v>0</v>
      </c>
      <c r="D972" s="195" t="b">
        <v>0</v>
      </c>
      <c r="E972" s="195">
        <v>2.0</v>
      </c>
      <c r="F972" s="203">
        <f>COUNTIF('Activity map'!$C:$C, $A972)</f>
        <v>5</v>
      </c>
    </row>
    <row r="973">
      <c r="A973" s="26">
        <v>20229.0</v>
      </c>
      <c r="B973" s="23" t="s">
        <v>1372</v>
      </c>
      <c r="C973" s="202" t="b">
        <f>IF($D973, TRUE, IF(ISERROR('API import'!$A$1), FALSE, COUNTIF('API import'!$A:$A, $A973)&gt;0))</f>
        <v>0</v>
      </c>
      <c r="D973" s="195" t="b">
        <v>0</v>
      </c>
      <c r="E973" s="195">
        <v>2.0</v>
      </c>
      <c r="F973" s="203">
        <f>COUNTIF('Activity map'!$C:$C, $A973)</f>
        <v>5</v>
      </c>
    </row>
    <row r="974">
      <c r="A974" s="26">
        <v>20235.0</v>
      </c>
      <c r="B974" s="23" t="s">
        <v>1373</v>
      </c>
      <c r="C974" s="202" t="b">
        <f>IF($D974, TRUE, IF(ISERROR('API import'!$A$1), FALSE, COUNTIF('API import'!$A:$A, $A974)&gt;0))</f>
        <v>0</v>
      </c>
      <c r="D974" s="195" t="b">
        <v>0</v>
      </c>
      <c r="E974" s="195">
        <v>2.0</v>
      </c>
      <c r="F974" s="203">
        <f>COUNTIF('Activity map'!$C:$C, $A974)</f>
        <v>5</v>
      </c>
    </row>
    <row r="975">
      <c r="A975" s="26">
        <v>12402.0</v>
      </c>
      <c r="B975" s="23" t="s">
        <v>1374</v>
      </c>
      <c r="C975" s="202" t="b">
        <f>IF($D975, TRUE, IF(ISERROR('API import'!$A$1), FALSE, COUNTIF('API import'!$A:$A, $A975)&gt;0))</f>
        <v>0</v>
      </c>
      <c r="D975" s="195" t="b">
        <v>0</v>
      </c>
      <c r="E975" s="195">
        <v>2.0</v>
      </c>
      <c r="F975" s="203">
        <f>COUNTIF('Activity map'!$C:$C, $A975)</f>
        <v>5</v>
      </c>
    </row>
    <row r="976">
      <c r="A976" s="26">
        <v>12411.0</v>
      </c>
      <c r="B976" s="23" t="s">
        <v>1375</v>
      </c>
      <c r="C976" s="202" t="b">
        <f>IF($D976, TRUE, IF(ISERROR('API import'!$A$1), FALSE, COUNTIF('API import'!$A:$A, $A976)&gt;0))</f>
        <v>0</v>
      </c>
      <c r="D976" s="195" t="b">
        <v>0</v>
      </c>
      <c r="E976" s="195">
        <v>2.0</v>
      </c>
      <c r="F976" s="203">
        <f>COUNTIF('Activity map'!$C:$C, $A976)</f>
        <v>5</v>
      </c>
    </row>
    <row r="977">
      <c r="A977" s="26">
        <v>12406.0</v>
      </c>
      <c r="B977" s="23" t="s">
        <v>1376</v>
      </c>
      <c r="C977" s="202" t="b">
        <f>IF($D977, TRUE, IF(ISERROR('API import'!$A$1), FALSE, COUNTIF('API import'!$A:$A, $A977)&gt;0))</f>
        <v>0</v>
      </c>
      <c r="D977" s="195" t="b">
        <v>0</v>
      </c>
      <c r="E977" s="195">
        <v>2.0</v>
      </c>
      <c r="F977" s="203">
        <f>COUNTIF('Activity map'!$C:$C, $A977)</f>
        <v>5</v>
      </c>
    </row>
    <row r="978">
      <c r="A978" s="26">
        <v>12404.0</v>
      </c>
      <c r="B978" s="23" t="s">
        <v>1377</v>
      </c>
      <c r="C978" s="202" t="b">
        <f>IF($D978, TRUE, IF(ISERROR('API import'!$A$1), FALSE, COUNTIF('API import'!$A:$A, $A978)&gt;0))</f>
        <v>0</v>
      </c>
      <c r="D978" s="195" t="b">
        <v>0</v>
      </c>
      <c r="E978" s="195">
        <v>2.0</v>
      </c>
      <c r="F978" s="203">
        <f>COUNTIF('Activity map'!$C:$C, $A978)</f>
        <v>5</v>
      </c>
    </row>
    <row r="979">
      <c r="A979" s="26">
        <v>12405.0</v>
      </c>
      <c r="B979" s="23" t="s">
        <v>1378</v>
      </c>
      <c r="C979" s="202" t="b">
        <f>IF($D979, TRUE, IF(ISERROR('API import'!$A$1), FALSE, COUNTIF('API import'!$A:$A, $A979)&gt;0))</f>
        <v>0</v>
      </c>
      <c r="D979" s="195" t="b">
        <v>0</v>
      </c>
      <c r="E979" s="195">
        <v>2.0</v>
      </c>
      <c r="F979" s="203">
        <f>COUNTIF('Activity map'!$C:$C, $A979)</f>
        <v>5</v>
      </c>
    </row>
    <row r="980">
      <c r="A980" s="26">
        <v>12403.0</v>
      </c>
      <c r="B980" s="23" t="s">
        <v>1379</v>
      </c>
      <c r="C980" s="202" t="b">
        <f>IF($D980, TRUE, IF(ISERROR('API import'!$A$1), FALSE, COUNTIF('API import'!$A:$A, $A980)&gt;0))</f>
        <v>0</v>
      </c>
      <c r="D980" s="195" t="b">
        <v>0</v>
      </c>
      <c r="E980" s="195">
        <v>2.0</v>
      </c>
      <c r="F980" s="203">
        <f>COUNTIF('Activity map'!$C:$C, $A980)</f>
        <v>5</v>
      </c>
    </row>
    <row r="981">
      <c r="A981" s="26">
        <v>12408.0</v>
      </c>
      <c r="B981" s="23" t="s">
        <v>1380</v>
      </c>
      <c r="C981" s="202" t="b">
        <f>IF($D981, TRUE, IF(ISERROR('API import'!$A$1), FALSE, COUNTIF('API import'!$A:$A, $A981)&gt;0))</f>
        <v>0</v>
      </c>
      <c r="D981" s="195" t="b">
        <v>0</v>
      </c>
      <c r="E981" s="195">
        <v>2.0</v>
      </c>
      <c r="F981" s="203">
        <f>COUNTIF('Activity map'!$C:$C, $A981)</f>
        <v>5</v>
      </c>
    </row>
    <row r="982">
      <c r="A982" s="26">
        <v>12407.0</v>
      </c>
      <c r="B982" s="23" t="s">
        <v>1381</v>
      </c>
      <c r="C982" s="202" t="b">
        <f>IF($D982, TRUE, IF(ISERROR('API import'!$A$1), FALSE, COUNTIF('API import'!$A:$A, $A982)&gt;0))</f>
        <v>0</v>
      </c>
      <c r="D982" s="195" t="b">
        <v>0</v>
      </c>
      <c r="E982" s="195">
        <v>2.0</v>
      </c>
      <c r="F982" s="203">
        <f>COUNTIF('Activity map'!$C:$C, $A982)</f>
        <v>5</v>
      </c>
    </row>
    <row r="983">
      <c r="A983" s="26">
        <v>12409.0</v>
      </c>
      <c r="B983" s="23" t="s">
        <v>1382</v>
      </c>
      <c r="C983" s="202" t="b">
        <f>IF($D983, TRUE, IF(ISERROR('API import'!$A$1), FALSE, COUNTIF('API import'!$A:$A, $A983)&gt;0))</f>
        <v>0</v>
      </c>
      <c r="D983" s="195" t="b">
        <v>0</v>
      </c>
      <c r="E983" s="195">
        <v>2.0</v>
      </c>
      <c r="F983" s="203">
        <f>COUNTIF('Activity map'!$C:$C, $A983)</f>
        <v>5</v>
      </c>
    </row>
    <row r="984">
      <c r="A984" s="26">
        <v>12642.0</v>
      </c>
      <c r="B984" s="23" t="s">
        <v>1383</v>
      </c>
      <c r="C984" s="202" t="b">
        <f>IF($D984, TRUE, IF(ISERROR('API import'!$A$1), FALSE, COUNTIF('API import'!$A:$A, $A984)&gt;0))</f>
        <v>0</v>
      </c>
      <c r="D984" s="195" t="b">
        <v>0</v>
      </c>
      <c r="E984" s="195">
        <v>2.0</v>
      </c>
      <c r="F984" s="203">
        <f>COUNTIF('Activity map'!$C:$C, $A984)</f>
        <v>5</v>
      </c>
    </row>
    <row r="985">
      <c r="A985" s="26">
        <v>12410.0</v>
      </c>
      <c r="B985" s="23" t="s">
        <v>1384</v>
      </c>
      <c r="C985" s="202" t="b">
        <f>IF($D985, TRUE, IF(ISERROR('API import'!$A$1), FALSE, COUNTIF('API import'!$A:$A, $A985)&gt;0))</f>
        <v>0</v>
      </c>
      <c r="D985" s="195" t="b">
        <v>0</v>
      </c>
      <c r="E985" s="195">
        <v>2.0</v>
      </c>
      <c r="F985" s="203">
        <f>COUNTIF('Activity map'!$C:$C, $A985)</f>
        <v>5</v>
      </c>
    </row>
    <row r="986">
      <c r="A986" s="26">
        <v>21387.0</v>
      </c>
      <c r="B986" s="23" t="s">
        <v>1385</v>
      </c>
      <c r="C986" s="202" t="b">
        <f>IF($D986, TRUE, IF(ISERROR('API import'!$A$1), FALSE, COUNTIF('API import'!$A:$A, $A986)&gt;0))</f>
        <v>0</v>
      </c>
      <c r="D986" s="195" t="b">
        <v>0</v>
      </c>
      <c r="E986" s="195">
        <v>2.0</v>
      </c>
      <c r="F986" s="203">
        <f>COUNTIF('Activity map'!$C:$C, $A986)</f>
        <v>5</v>
      </c>
    </row>
    <row r="987">
      <c r="A987" s="26">
        <v>7329.0</v>
      </c>
      <c r="B987" s="23" t="s">
        <v>1386</v>
      </c>
      <c r="C987" s="202" t="b">
        <f>IF($D987, TRUE, IF(ISERROR('API import'!$A$1), FALSE, COUNTIF('API import'!$A:$A, $A987)&gt;0))</f>
        <v>0</v>
      </c>
      <c r="D987" s="195" t="b">
        <v>0</v>
      </c>
      <c r="E987" s="195">
        <v>2.0</v>
      </c>
      <c r="F987" s="203">
        <f>COUNTIF('Activity map'!$C:$C, $A987)</f>
        <v>5</v>
      </c>
    </row>
    <row r="988">
      <c r="A988" s="26">
        <v>7330.0</v>
      </c>
      <c r="B988" s="23" t="s">
        <v>1387</v>
      </c>
      <c r="C988" s="202" t="b">
        <f>IF($D988, TRUE, IF(ISERROR('API import'!$A$1), FALSE, COUNTIF('API import'!$A:$A, $A988)&gt;0))</f>
        <v>0</v>
      </c>
      <c r="D988" s="195" t="b">
        <v>0</v>
      </c>
      <c r="E988" s="195">
        <v>2.0</v>
      </c>
      <c r="F988" s="203">
        <f>COUNTIF('Activity map'!$C:$C, $A988)</f>
        <v>5</v>
      </c>
    </row>
    <row r="989">
      <c r="A989" s="26">
        <v>7331.0</v>
      </c>
      <c r="B989" s="23" t="s">
        <v>1388</v>
      </c>
      <c r="C989" s="202" t="b">
        <f>IF($D989, TRUE, IF(ISERROR('API import'!$A$1), FALSE, COUNTIF('API import'!$A:$A, $A989)&gt;0))</f>
        <v>0</v>
      </c>
      <c r="D989" s="195" t="b">
        <v>0</v>
      </c>
      <c r="E989" s="195">
        <v>2.0</v>
      </c>
      <c r="F989" s="203">
        <f>COUNTIF('Activity map'!$C:$C, $A989)</f>
        <v>5</v>
      </c>
    </row>
    <row r="990">
      <c r="A990" s="26">
        <v>10326.0</v>
      </c>
      <c r="B990" s="23" t="s">
        <v>1389</v>
      </c>
      <c r="C990" s="202" t="b">
        <f>IF($D990, TRUE, IF(ISERROR('API import'!$A$1), FALSE, COUNTIF('API import'!$A:$A, $A990)&gt;0))</f>
        <v>0</v>
      </c>
      <c r="D990" s="195" t="b">
        <v>0</v>
      </c>
      <c r="E990" s="195">
        <v>2.0</v>
      </c>
      <c r="F990" s="203">
        <f>COUNTIF('Activity map'!$C:$C, $A990)</f>
        <v>5</v>
      </c>
    </row>
    <row r="991">
      <c r="A991" s="26">
        <v>10327.0</v>
      </c>
      <c r="B991" s="23" t="s">
        <v>1390</v>
      </c>
      <c r="C991" s="202" t="b">
        <f>IF($D991, TRUE, IF(ISERROR('API import'!$A$1), FALSE, COUNTIF('API import'!$A:$A, $A991)&gt;0))</f>
        <v>0</v>
      </c>
      <c r="D991" s="195" t="b">
        <v>0</v>
      </c>
      <c r="E991" s="195">
        <v>2.0</v>
      </c>
      <c r="F991" s="203">
        <f>COUNTIF('Activity map'!$C:$C, $A991)</f>
        <v>5</v>
      </c>
    </row>
    <row r="992">
      <c r="A992" s="26">
        <v>20238.0</v>
      </c>
      <c r="B992" s="23" t="s">
        <v>1391</v>
      </c>
      <c r="C992" s="202" t="b">
        <f>IF($D992, TRUE, IF(ISERROR('API import'!$A$1), FALSE, COUNTIF('API import'!$A:$A, $A992)&gt;0))</f>
        <v>0</v>
      </c>
      <c r="D992" s="195" t="b">
        <v>0</v>
      </c>
      <c r="E992" s="195">
        <v>2.0</v>
      </c>
      <c r="F992" s="203">
        <f>COUNTIF('Activity map'!$C:$C, $A992)</f>
        <v>5</v>
      </c>
    </row>
    <row r="993">
      <c r="A993" s="26">
        <v>10476.0</v>
      </c>
      <c r="B993" s="23" t="s">
        <v>1392</v>
      </c>
      <c r="C993" s="202" t="b">
        <f>IF($D993, TRUE, IF(ISERROR('API import'!$A$1), FALSE, COUNTIF('API import'!$A:$A, $A993)&gt;0))</f>
        <v>0</v>
      </c>
      <c r="D993" s="195" t="b">
        <v>0</v>
      </c>
      <c r="E993" s="195">
        <v>2.0</v>
      </c>
      <c r="F993" s="203">
        <f>COUNTIF('Activity map'!$C:$C, $A993)</f>
        <v>5</v>
      </c>
    </row>
    <row r="994">
      <c r="A994" s="26">
        <v>30902.0</v>
      </c>
      <c r="B994" s="23" t="s">
        <v>1393</v>
      </c>
      <c r="C994" s="202" t="b">
        <f>IF($D994, TRUE, IF(ISERROR('API import'!$A$1), FALSE, COUNTIF('API import'!$A:$A, $A994)&gt;0))</f>
        <v>0</v>
      </c>
      <c r="D994" s="195" t="b">
        <v>0</v>
      </c>
      <c r="E994" s="195">
        <v>3.0</v>
      </c>
      <c r="F994" s="201">
        <f>COUNTIF('Activity map'!$C:$C, $A994)</f>
        <v>1</v>
      </c>
    </row>
    <row r="995">
      <c r="A995" s="26">
        <v>30904.0</v>
      </c>
      <c r="B995" s="23" t="s">
        <v>1394</v>
      </c>
      <c r="C995" s="202" t="b">
        <f>IF($D995, TRUE, IF(ISERROR('API import'!$A$1), FALSE, COUNTIF('API import'!$A:$A, $A995)&gt;0))</f>
        <v>0</v>
      </c>
      <c r="D995" s="195" t="b">
        <v>0</v>
      </c>
      <c r="E995" s="195">
        <v>4.0</v>
      </c>
      <c r="F995" s="201">
        <f>COUNTIF('Activity map'!$C:$C, $A995)</f>
        <v>1</v>
      </c>
    </row>
    <row r="996">
      <c r="A996" s="26">
        <v>30906.0</v>
      </c>
      <c r="B996" s="23" t="s">
        <v>1395</v>
      </c>
      <c r="C996" s="202" t="b">
        <f>IF($D996, TRUE, IF(ISERROR('API import'!$A$1), FALSE, COUNTIF('API import'!$A:$A, $A996)&gt;0))</f>
        <v>0</v>
      </c>
      <c r="D996" s="195" t="b">
        <v>0</v>
      </c>
      <c r="E996" s="195">
        <v>4.0</v>
      </c>
      <c r="F996" s="201">
        <f>COUNTIF('Activity map'!$C:$C, $A996)</f>
        <v>1</v>
      </c>
    </row>
    <row r="997">
      <c r="A997" s="26">
        <v>30908.0</v>
      </c>
      <c r="B997" s="23" t="s">
        <v>1396</v>
      </c>
      <c r="C997" s="200" t="b">
        <f>IF($D997, TRUE, IF(ISERROR('API import'!$A$1), FALSE, COUNTIF('API import'!$A:$A, $A997)&gt;0))</f>
        <v>0</v>
      </c>
      <c r="D997" s="195" t="b">
        <v>0</v>
      </c>
      <c r="E997" s="195">
        <v>5.0</v>
      </c>
      <c r="F997" s="201">
        <f>COUNTIF('Activity map'!$C:$C, $A997)</f>
        <v>1</v>
      </c>
    </row>
    <row r="998">
      <c r="A998" s="26">
        <v>30910.0</v>
      </c>
      <c r="B998" s="23" t="s">
        <v>1397</v>
      </c>
      <c r="C998" s="200" t="b">
        <f>IF($D998, TRUE, IF(ISERROR('API import'!$A$1), FALSE, COUNTIF('API import'!$A:$A, $A998)&gt;0))</f>
        <v>0</v>
      </c>
      <c r="D998" s="195" t="b">
        <v>0</v>
      </c>
      <c r="E998" s="195">
        <v>4.0</v>
      </c>
      <c r="F998" s="201">
        <f>COUNTIF('Activity map'!$C:$C, $A998)</f>
        <v>1</v>
      </c>
    </row>
    <row r="999">
      <c r="A999" s="26">
        <v>30912.0</v>
      </c>
      <c r="B999" s="23" t="s">
        <v>1398</v>
      </c>
      <c r="C999" s="200" t="b">
        <f>IF($D999, TRUE, IF(ISERROR('API import'!$A$1), FALSE, COUNTIF('API import'!$A:$A, $A999)&gt;0))</f>
        <v>0</v>
      </c>
      <c r="D999" s="195" t="b">
        <v>0</v>
      </c>
      <c r="E999" s="195">
        <v>5.0</v>
      </c>
      <c r="F999" s="201">
        <f>COUNTIF('Activity map'!$C:$C, $A999)</f>
        <v>1</v>
      </c>
    </row>
    <row r="1000">
      <c r="A1000" s="26">
        <v>30914.0</v>
      </c>
      <c r="B1000" s="23" t="s">
        <v>1399</v>
      </c>
      <c r="C1000" s="202" t="b">
        <f>IF($D1000, TRUE, IF(ISERROR('API import'!$A$1), FALSE, COUNTIF('API import'!$A:$A, $A1000)&gt;0))</f>
        <v>0</v>
      </c>
      <c r="D1000" s="195" t="b">
        <v>0</v>
      </c>
      <c r="E1000" s="195">
        <v>5.0</v>
      </c>
      <c r="F1000" s="201">
        <f>COUNTIF('Activity map'!$C:$C, $A1000)</f>
        <v>1</v>
      </c>
    </row>
    <row r="1001">
      <c r="A1001" s="26">
        <v>30916.0</v>
      </c>
      <c r="B1001" s="23" t="s">
        <v>1400</v>
      </c>
      <c r="C1001" s="202" t="b">
        <f>IF($D1001, TRUE, IF(ISERROR('API import'!$A$1), FALSE, COUNTIF('API import'!$A:$A, $A1001)&gt;0))</f>
        <v>0</v>
      </c>
      <c r="D1001" s="195" t="b">
        <v>0</v>
      </c>
      <c r="E1001" s="195">
        <v>6.0</v>
      </c>
      <c r="F1001" s="201">
        <f>COUNTIF('Activity map'!$C:$C, $A1001)</f>
        <v>1</v>
      </c>
    </row>
    <row r="1002">
      <c r="A1002" s="26">
        <v>30918.0</v>
      </c>
      <c r="B1002" s="23" t="s">
        <v>1401</v>
      </c>
      <c r="C1002" s="200" t="b">
        <f>IF($D1002, TRUE, IF(ISERROR('API import'!$A$1), FALSE, COUNTIF('API import'!$A:$A, $A1002)&gt;0))</f>
        <v>0</v>
      </c>
      <c r="D1002" s="195" t="b">
        <v>0</v>
      </c>
      <c r="E1002" s="195">
        <v>5.0</v>
      </c>
      <c r="F1002" s="201">
        <f>COUNTIF('Activity map'!$C:$C, $A1002)</f>
        <v>1</v>
      </c>
    </row>
    <row r="1003">
      <c r="A1003" s="26">
        <v>30920.0</v>
      </c>
      <c r="B1003" s="23" t="s">
        <v>1402</v>
      </c>
      <c r="C1003" s="200" t="b">
        <f>IF($D1003, TRUE, IF(ISERROR('API import'!$A$1), FALSE, COUNTIF('API import'!$A:$A, $A1003)&gt;0))</f>
        <v>0</v>
      </c>
      <c r="D1003" s="195" t="b">
        <v>0</v>
      </c>
      <c r="E1003" s="195">
        <v>6.0</v>
      </c>
      <c r="F1003" s="201">
        <f>COUNTIF('Activity map'!$C:$C, $A1003)</f>
        <v>1</v>
      </c>
    </row>
    <row r="1004">
      <c r="A1004" s="26">
        <v>30922.0</v>
      </c>
      <c r="B1004" s="23" t="s">
        <v>1403</v>
      </c>
      <c r="C1004" s="202" t="b">
        <f>IF($D1004, TRUE, IF(ISERROR('API import'!$A$1), FALSE, COUNTIF('API import'!$A:$A, $A1004)&gt;0))</f>
        <v>0</v>
      </c>
      <c r="D1004" s="195" t="b">
        <v>0</v>
      </c>
      <c r="E1004" s="195">
        <v>6.0</v>
      </c>
      <c r="F1004" s="201">
        <f>COUNTIF('Activity map'!$C:$C, $A1004)</f>
        <v>1</v>
      </c>
    </row>
    <row r="1005">
      <c r="A1005" s="26">
        <v>30924.0</v>
      </c>
      <c r="B1005" s="23" t="s">
        <v>1404</v>
      </c>
      <c r="C1005" s="200" t="b">
        <f>IF($D1005, TRUE, IF(ISERROR('API import'!$A$1), FALSE, COUNTIF('API import'!$A:$A, $A1005)&gt;0))</f>
        <v>0</v>
      </c>
      <c r="D1005" s="195" t="b">
        <v>0</v>
      </c>
      <c r="E1005" s="195">
        <v>7.0</v>
      </c>
      <c r="F1005" s="201">
        <f>COUNTIF('Activity map'!$C:$C, $A1005)</f>
        <v>1</v>
      </c>
    </row>
    <row r="1006">
      <c r="A1006" s="26">
        <v>30926.0</v>
      </c>
      <c r="B1006" s="23" t="s">
        <v>1405</v>
      </c>
      <c r="C1006" s="202" t="b">
        <f>IF($D1006, TRUE, IF(ISERROR('API import'!$A$1), FALSE, COUNTIF('API import'!$A:$A, $A1006)&gt;0))</f>
        <v>0</v>
      </c>
      <c r="D1006" s="195" t="b">
        <v>0</v>
      </c>
      <c r="E1006" s="195">
        <v>5.0</v>
      </c>
      <c r="F1006" s="203">
        <f>COUNTIF('Activity map'!$C:$C, $A1006)</f>
        <v>2</v>
      </c>
    </row>
    <row r="1007">
      <c r="A1007" s="26">
        <v>12703.0</v>
      </c>
      <c r="B1007" s="23" t="s">
        <v>1406</v>
      </c>
      <c r="C1007" s="200" t="b">
        <f>IF($D1007, TRUE, IF(ISERROR('API import'!$A$1), FALSE, COUNTIF('API import'!$A:$A, $A1007)&gt;0))</f>
        <v>0</v>
      </c>
      <c r="D1007" s="195" t="b">
        <v>0</v>
      </c>
      <c r="E1007" s="195">
        <v>8.0</v>
      </c>
      <c r="F1007" s="201">
        <f>COUNTIF('Activity map'!$C:$C, $A1007)</f>
        <v>1</v>
      </c>
    </row>
    <row r="1008">
      <c r="A1008" s="25">
        <v>10548.0</v>
      </c>
      <c r="B1008" s="23" t="s">
        <v>1407</v>
      </c>
      <c r="C1008" s="200" t="b">
        <f>IF($D1008, TRUE, IF(ISERROR('API import'!$A$1), FALSE, COUNTIF('API import'!$A:$A, $A1008)&gt;0))</f>
        <v>0</v>
      </c>
      <c r="D1008" s="195" t="b">
        <v>0</v>
      </c>
      <c r="E1008" s="195">
        <v>2.0</v>
      </c>
      <c r="F1008" s="201">
        <f>COUNTIF('Activity map'!$C:$C, $A1008)</f>
        <v>1</v>
      </c>
    </row>
    <row r="1009">
      <c r="A1009" s="26">
        <v>10550.0</v>
      </c>
      <c r="B1009" s="23" t="s">
        <v>1408</v>
      </c>
      <c r="C1009" s="202" t="b">
        <f>IF($D1009, TRUE, IF(ISERROR('API import'!$A$1), FALSE, COUNTIF('API import'!$A:$A, $A1009)&gt;0))</f>
        <v>0</v>
      </c>
      <c r="D1009" s="195" t="b">
        <v>0</v>
      </c>
      <c r="E1009" s="195">
        <v>2.0</v>
      </c>
      <c r="F1009" s="201">
        <f>COUNTIF('Activity map'!$C:$C, $A1009)</f>
        <v>1</v>
      </c>
    </row>
    <row r="1010">
      <c r="A1010" s="26">
        <v>10549.0</v>
      </c>
      <c r="B1010" s="23" t="s">
        <v>1409</v>
      </c>
      <c r="C1010" s="200" t="b">
        <f>IF($D1010, TRUE, IF(ISERROR('API import'!$A$1), FALSE, COUNTIF('API import'!$A:$A, $A1010)&gt;0))</f>
        <v>0</v>
      </c>
      <c r="D1010" s="195" t="b">
        <v>0</v>
      </c>
      <c r="E1010" s="195">
        <v>2.0</v>
      </c>
      <c r="F1010" s="201">
        <f>COUNTIF('Activity map'!$C:$C, $A1010)</f>
        <v>1</v>
      </c>
    </row>
    <row r="1011">
      <c r="A1011" s="26">
        <v>10547.0</v>
      </c>
      <c r="B1011" s="23" t="s">
        <v>1410</v>
      </c>
      <c r="C1011" s="202" t="b">
        <f>IF($D1011, TRUE, IF(ISERROR('API import'!$A$1), FALSE, COUNTIF('API import'!$A:$A, $A1011)&gt;0))</f>
        <v>0</v>
      </c>
      <c r="D1011" s="195" t="b">
        <v>0</v>
      </c>
      <c r="E1011" s="195">
        <v>2.0</v>
      </c>
      <c r="F1011" s="201">
        <f>COUNTIF('Activity map'!$C:$C, $A1011)</f>
        <v>1</v>
      </c>
    </row>
    <row r="1012">
      <c r="A1012" s="26">
        <v>10551.0</v>
      </c>
      <c r="B1012" s="23" t="s">
        <v>1411</v>
      </c>
      <c r="C1012" s="202" t="b">
        <f>IF($D1012, TRUE, IF(ISERROR('API import'!$A$1), FALSE, COUNTIF('API import'!$A:$A, $A1012)&gt;0))</f>
        <v>0</v>
      </c>
      <c r="D1012" s="195" t="b">
        <v>0</v>
      </c>
      <c r="E1012" s="195">
        <v>2.0</v>
      </c>
      <c r="F1012" s="201">
        <f>COUNTIF('Activity map'!$C:$C, $A1012)</f>
        <v>1</v>
      </c>
    </row>
    <row r="1013">
      <c r="A1013" s="26">
        <v>10555.0</v>
      </c>
      <c r="B1013" s="23" t="s">
        <v>1412</v>
      </c>
      <c r="C1013" s="202" t="b">
        <f>IF($D1013, TRUE, IF(ISERROR('API import'!$A$1), FALSE, COUNTIF('API import'!$A:$A, $A1013)&gt;0))</f>
        <v>0</v>
      </c>
      <c r="D1013" s="195" t="b">
        <v>0</v>
      </c>
      <c r="E1013" s="195">
        <v>2.0</v>
      </c>
      <c r="F1013" s="201">
        <f>COUNTIF('Activity map'!$C:$C, $A1013)</f>
        <v>1</v>
      </c>
    </row>
    <row r="1014">
      <c r="A1014" s="26">
        <v>10552.0</v>
      </c>
      <c r="B1014" s="23" t="s">
        <v>1413</v>
      </c>
      <c r="C1014" s="202" t="b">
        <f>IF($D1014, TRUE, IF(ISERROR('API import'!$A$1), FALSE, COUNTIF('API import'!$A:$A, $A1014)&gt;0))</f>
        <v>0</v>
      </c>
      <c r="D1014" s="195" t="b">
        <v>0</v>
      </c>
      <c r="E1014" s="195">
        <v>2.0</v>
      </c>
      <c r="F1014" s="201">
        <f>COUNTIF('Activity map'!$C:$C, $A1014)</f>
        <v>1</v>
      </c>
    </row>
    <row r="1015">
      <c r="A1015" s="26">
        <v>10553.0</v>
      </c>
      <c r="B1015" s="23" t="s">
        <v>1414</v>
      </c>
      <c r="C1015" s="202" t="b">
        <f>IF($D1015, TRUE, IF(ISERROR('API import'!$A$1), FALSE, COUNTIF('API import'!$A:$A, $A1015)&gt;0))</f>
        <v>0</v>
      </c>
      <c r="D1015" s="195" t="b">
        <v>0</v>
      </c>
      <c r="E1015" s="195">
        <v>2.0</v>
      </c>
      <c r="F1015" s="201">
        <f>COUNTIF('Activity map'!$C:$C, $A1015)</f>
        <v>1</v>
      </c>
    </row>
    <row r="1016">
      <c r="A1016" s="26">
        <v>10589.0</v>
      </c>
      <c r="B1016" s="23" t="s">
        <v>1415</v>
      </c>
      <c r="C1016" s="202" t="b">
        <f>IF($D1016, TRUE, IF(ISERROR('API import'!$A$1), FALSE, COUNTIF('API import'!$A:$A, $A1016)&gt;0))</f>
        <v>0</v>
      </c>
      <c r="D1016" s="195" t="b">
        <v>0</v>
      </c>
      <c r="E1016" s="195">
        <v>3.0</v>
      </c>
      <c r="F1016" s="203">
        <f>COUNTIF('Activity map'!$C:$C, $A1016)</f>
        <v>2</v>
      </c>
    </row>
    <row r="1017">
      <c r="A1017" s="26">
        <v>10564.0</v>
      </c>
      <c r="B1017" s="23" t="s">
        <v>1416</v>
      </c>
      <c r="C1017" s="202" t="b">
        <f>IF($D1017, TRUE, IF(ISERROR('API import'!$A$1), FALSE, COUNTIF('API import'!$A:$A, $A1017)&gt;0))</f>
        <v>0</v>
      </c>
      <c r="D1017" s="195" t="b">
        <v>0</v>
      </c>
      <c r="E1017" s="195">
        <v>2.0</v>
      </c>
      <c r="F1017" s="201">
        <f>COUNTIF('Activity map'!$C:$C, $A1017)</f>
        <v>1</v>
      </c>
    </row>
    <row r="1018">
      <c r="A1018" s="26">
        <v>31732.0</v>
      </c>
      <c r="B1018" s="23" t="s">
        <v>1417</v>
      </c>
      <c r="C1018" s="202" t="b">
        <f>IF($D1018, TRUE, IF(ISERROR('API import'!$A$1), FALSE, COUNTIF('API import'!$A:$A, $A1018)&gt;0))</f>
        <v>0</v>
      </c>
      <c r="D1018" s="195" t="b">
        <v>0</v>
      </c>
      <c r="E1018" s="195">
        <v>3.0</v>
      </c>
      <c r="F1018" s="201">
        <f>COUNTIF('Activity map'!$C:$C, $A1018)</f>
        <v>1</v>
      </c>
    </row>
    <row r="1019">
      <c r="A1019" s="26">
        <v>31733.0</v>
      </c>
      <c r="B1019" s="23" t="s">
        <v>1418</v>
      </c>
      <c r="C1019" s="202" t="b">
        <f>IF($D1019, TRUE, IF(ISERROR('API import'!$A$1), FALSE, COUNTIF('API import'!$A:$A, $A1019)&gt;0))</f>
        <v>0</v>
      </c>
      <c r="D1019" s="195" t="b">
        <v>0</v>
      </c>
      <c r="E1019" s="195">
        <v>3.0</v>
      </c>
      <c r="F1019" s="201">
        <f>COUNTIF('Activity map'!$C:$C, $A1019)</f>
        <v>1</v>
      </c>
    </row>
    <row r="1020">
      <c r="A1020" s="26">
        <v>31734.0</v>
      </c>
      <c r="B1020" s="23" t="s">
        <v>1419</v>
      </c>
      <c r="C1020" s="202" t="b">
        <f>IF($D1020, TRUE, IF(ISERROR('API import'!$A$1), FALSE, COUNTIF('API import'!$A:$A, $A1020)&gt;0))</f>
        <v>0</v>
      </c>
      <c r="D1020" s="195" t="b">
        <v>0</v>
      </c>
      <c r="E1020" s="195">
        <v>3.0</v>
      </c>
      <c r="F1020" s="201">
        <f>COUNTIF('Activity map'!$C:$C, $A1020)</f>
        <v>1</v>
      </c>
    </row>
    <row r="1021">
      <c r="A1021" s="26">
        <v>31744.0</v>
      </c>
      <c r="B1021" s="23" t="s">
        <v>1420</v>
      </c>
      <c r="C1021" s="202" t="b">
        <f>IF($D1021, TRUE, IF(ISERROR('API import'!$A$1), FALSE, COUNTIF('API import'!$A:$A, $A1021)&gt;0))</f>
        <v>0</v>
      </c>
      <c r="D1021" s="195" t="b">
        <v>0</v>
      </c>
      <c r="E1021" s="195">
        <v>4.0</v>
      </c>
      <c r="F1021" s="201">
        <f>COUNTIF('Activity map'!$C:$C, $A1021)</f>
        <v>1</v>
      </c>
    </row>
    <row r="1022">
      <c r="A1022" s="26">
        <v>31745.0</v>
      </c>
      <c r="B1022" s="23" t="s">
        <v>1421</v>
      </c>
      <c r="C1022" s="202" t="b">
        <f>IF($D1022, TRUE, IF(ISERROR('API import'!$A$1), FALSE, COUNTIF('API import'!$A:$A, $A1022)&gt;0))</f>
        <v>0</v>
      </c>
      <c r="D1022" s="195" t="b">
        <v>0</v>
      </c>
      <c r="E1022" s="195">
        <v>4.0</v>
      </c>
      <c r="F1022" s="201">
        <f>COUNTIF('Activity map'!$C:$C, $A1022)</f>
        <v>1</v>
      </c>
    </row>
    <row r="1023">
      <c r="A1023" s="26">
        <v>31746.0</v>
      </c>
      <c r="B1023" s="23" t="s">
        <v>1422</v>
      </c>
      <c r="C1023" s="202" t="b">
        <f>IF($D1023, TRUE, IF(ISERROR('API import'!$A$1), FALSE, COUNTIF('API import'!$A:$A, $A1023)&gt;0))</f>
        <v>0</v>
      </c>
      <c r="D1023" s="195" t="b">
        <v>0</v>
      </c>
      <c r="E1023" s="195">
        <v>4.0</v>
      </c>
      <c r="F1023" s="201">
        <f>COUNTIF('Activity map'!$C:$C, $A1023)</f>
        <v>1</v>
      </c>
    </row>
    <row r="1024">
      <c r="A1024" s="26">
        <v>31756.0</v>
      </c>
      <c r="B1024" s="23" t="s">
        <v>1423</v>
      </c>
      <c r="C1024" s="202" t="b">
        <f>IF($D1024, TRUE, IF(ISERROR('API import'!$A$1), FALSE, COUNTIF('API import'!$A:$A, $A1024)&gt;0))</f>
        <v>0</v>
      </c>
      <c r="D1024" s="195" t="b">
        <v>0</v>
      </c>
      <c r="E1024" s="195">
        <v>5.0</v>
      </c>
      <c r="F1024" s="201">
        <f>COUNTIF('Activity map'!$C:$C, $A1024)</f>
        <v>1</v>
      </c>
    </row>
    <row r="1025">
      <c r="A1025" s="26">
        <v>31757.0</v>
      </c>
      <c r="B1025" s="23" t="s">
        <v>1424</v>
      </c>
      <c r="C1025" s="202" t="b">
        <f>IF($D1025, TRUE, IF(ISERROR('API import'!$A$1), FALSE, COUNTIF('API import'!$A:$A, $A1025)&gt;0))</f>
        <v>0</v>
      </c>
      <c r="D1025" s="195" t="b">
        <v>0</v>
      </c>
      <c r="E1025" s="195">
        <v>5.0</v>
      </c>
      <c r="F1025" s="201">
        <f>COUNTIF('Activity map'!$C:$C, $A1025)</f>
        <v>1</v>
      </c>
    </row>
    <row r="1026">
      <c r="A1026" s="26">
        <v>31758.0</v>
      </c>
      <c r="B1026" s="23" t="s">
        <v>1425</v>
      </c>
      <c r="C1026" s="202" t="b">
        <f>IF($D1026, TRUE, IF(ISERROR('API import'!$A$1), FALSE, COUNTIF('API import'!$A:$A, $A1026)&gt;0))</f>
        <v>0</v>
      </c>
      <c r="D1026" s="195" t="b">
        <v>0</v>
      </c>
      <c r="E1026" s="195">
        <v>5.0</v>
      </c>
      <c r="F1026" s="201">
        <f>COUNTIF('Activity map'!$C:$C, $A1026)</f>
        <v>1</v>
      </c>
    </row>
    <row r="1027">
      <c r="A1027" s="26">
        <v>2996.0</v>
      </c>
      <c r="B1027" s="23" t="s">
        <v>1426</v>
      </c>
      <c r="C1027" s="202" t="b">
        <f>IF($D1027, TRUE, IF(ISERROR('API import'!$A$1), FALSE, COUNTIF('API import'!$A:$A, $A1027)&gt;0))</f>
        <v>0</v>
      </c>
      <c r="D1027" s="195" t="b">
        <v>0</v>
      </c>
      <c r="E1027" s="195">
        <v>1.0</v>
      </c>
      <c r="F1027" s="201">
        <f>COUNTIF('Activity map'!$C:$C, $A1027)</f>
        <v>1</v>
      </c>
    </row>
    <row r="1028">
      <c r="A1028" s="26">
        <v>29482.0</v>
      </c>
      <c r="B1028" s="23" t="s">
        <v>1427</v>
      </c>
      <c r="C1028" s="200" t="b">
        <f>IF($D1028, TRUE, IF(ISERROR('API import'!$A$1), FALSE, COUNTIF('API import'!$A:$A, $A1028)&gt;0))</f>
        <v>0</v>
      </c>
      <c r="D1028" s="195" t="b">
        <v>0</v>
      </c>
      <c r="E1028" s="195">
        <v>1.0</v>
      </c>
      <c r="F1028" s="201">
        <f>COUNTIF('Activity map'!$C:$C, $A1028)</f>
        <v>1</v>
      </c>
    </row>
    <row r="1029">
      <c r="A1029" s="26">
        <v>2997.0</v>
      </c>
      <c r="B1029" s="23" t="s">
        <v>1428</v>
      </c>
      <c r="C1029" s="200" t="b">
        <f>IF($D1029, TRUE, IF(ISERROR('API import'!$A$1), FALSE, COUNTIF('API import'!$A:$A, $A1029)&gt;0))</f>
        <v>0</v>
      </c>
      <c r="D1029" s="195" t="b">
        <v>0</v>
      </c>
      <c r="E1029" s="195">
        <v>4.0</v>
      </c>
      <c r="F1029" s="201">
        <f>COUNTIF('Activity map'!$C:$C, $A1029)</f>
        <v>1</v>
      </c>
    </row>
    <row r="1030">
      <c r="A1030" s="26">
        <v>21061.0</v>
      </c>
      <c r="B1030" s="23" t="s">
        <v>1429</v>
      </c>
      <c r="C1030" s="200" t="b">
        <f>IF($D1030, TRUE, IF(ISERROR('API import'!$A$1), FALSE, COUNTIF('API import'!$A:$A, $A1030)&gt;0))</f>
        <v>0</v>
      </c>
      <c r="D1030" s="195" t="b">
        <v>0</v>
      </c>
      <c r="E1030" s="195">
        <v>3.0</v>
      </c>
      <c r="F1030" s="201">
        <f>COUNTIF('Activity map'!$C:$C, $A1030)</f>
        <v>1</v>
      </c>
    </row>
    <row r="1031">
      <c r="A1031" s="26">
        <v>21067.0</v>
      </c>
      <c r="B1031" s="23" t="s">
        <v>1430</v>
      </c>
      <c r="C1031" s="200" t="b">
        <f>IF($D1031, TRUE, IF(ISERROR('API import'!$A$1), FALSE, COUNTIF('API import'!$A:$A, $A1031)&gt;0))</f>
        <v>0</v>
      </c>
      <c r="D1031" s="195" t="b">
        <v>0</v>
      </c>
      <c r="E1031" s="195">
        <v>3.0</v>
      </c>
      <c r="F1031" s="201">
        <f>COUNTIF('Activity map'!$C:$C, $A1031)</f>
        <v>1</v>
      </c>
    </row>
    <row r="1032">
      <c r="A1032" s="26">
        <v>21070.0</v>
      </c>
      <c r="B1032" s="23" t="s">
        <v>1431</v>
      </c>
      <c r="C1032" s="200" t="b">
        <f>IF($D1032, TRUE, IF(ISERROR('API import'!$A$1), FALSE, COUNTIF('API import'!$A:$A, $A1032)&gt;0))</f>
        <v>0</v>
      </c>
      <c r="D1032" s="195" t="b">
        <v>0</v>
      </c>
      <c r="E1032" s="195">
        <v>3.0</v>
      </c>
      <c r="F1032" s="201">
        <f>COUNTIF('Activity map'!$C:$C, $A1032)</f>
        <v>1</v>
      </c>
    </row>
    <row r="1033">
      <c r="A1033" s="26">
        <v>21073.0</v>
      </c>
      <c r="B1033" s="23" t="s">
        <v>1432</v>
      </c>
      <c r="C1033" s="200" t="b">
        <f>IF($D1033, TRUE, IF(ISERROR('API import'!$A$1), FALSE, COUNTIF('API import'!$A:$A, $A1033)&gt;0))</f>
        <v>0</v>
      </c>
      <c r="D1033" s="195" t="b">
        <v>0</v>
      </c>
      <c r="E1033" s="195">
        <v>3.0</v>
      </c>
      <c r="F1033" s="201">
        <f>COUNTIF('Activity map'!$C:$C, $A1033)</f>
        <v>1</v>
      </c>
    </row>
    <row r="1034">
      <c r="A1034" s="26">
        <v>21076.0</v>
      </c>
      <c r="B1034" s="23" t="s">
        <v>1433</v>
      </c>
      <c r="C1034" s="200" t="b">
        <f>IF($D1034, TRUE, IF(ISERROR('API import'!$A$1), FALSE, COUNTIF('API import'!$A:$A, $A1034)&gt;0))</f>
        <v>0</v>
      </c>
      <c r="D1034" s="195" t="b">
        <v>0</v>
      </c>
      <c r="E1034" s="195">
        <v>3.0</v>
      </c>
      <c r="F1034" s="201">
        <f>COUNTIF('Activity map'!$C:$C, $A1034)</f>
        <v>1</v>
      </c>
    </row>
    <row r="1035">
      <c r="A1035" s="26">
        <v>21064.0</v>
      </c>
      <c r="B1035" s="23" t="s">
        <v>1434</v>
      </c>
      <c r="C1035" s="200" t="b">
        <f>IF($D1035, TRUE, IF(ISERROR('API import'!$A$1), FALSE, COUNTIF('API import'!$A:$A, $A1035)&gt;0))</f>
        <v>0</v>
      </c>
      <c r="D1035" s="195" t="b">
        <v>0</v>
      </c>
      <c r="E1035" s="195">
        <v>3.0</v>
      </c>
      <c r="F1035" s="201">
        <f>COUNTIF('Activity map'!$C:$C, $A1035)</f>
        <v>1</v>
      </c>
    </row>
    <row r="1036">
      <c r="A1036" s="26">
        <v>4071.0</v>
      </c>
      <c r="B1036" s="23" t="s">
        <v>1435</v>
      </c>
      <c r="C1036" s="202" t="b">
        <f>IF($D1036, TRUE, IF(ISERROR('API import'!$A$1), FALSE, COUNTIF('API import'!$A:$A, $A1036)&gt;0))</f>
        <v>0</v>
      </c>
      <c r="D1036" s="195" t="b">
        <v>0</v>
      </c>
      <c r="E1036" s="195">
        <v>1.0</v>
      </c>
      <c r="F1036" s="201">
        <f>COUNTIF('Activity map'!$C:$C, $A1036)</f>
        <v>1</v>
      </c>
    </row>
    <row r="1037">
      <c r="A1037" s="26">
        <v>25165.0</v>
      </c>
      <c r="B1037" s="23" t="s">
        <v>1436</v>
      </c>
      <c r="C1037" s="202" t="b">
        <f>IF($D1037, TRUE, IF(ISERROR('API import'!$A$1), FALSE, COUNTIF('API import'!$A:$A, $A1037)&gt;0))</f>
        <v>0</v>
      </c>
      <c r="D1037" s="195" t="b">
        <v>0</v>
      </c>
      <c r="E1037" s="195">
        <v>1.0</v>
      </c>
      <c r="F1037" s="201">
        <f>COUNTIF('Activity map'!$C:$C, $A1037)</f>
        <v>1</v>
      </c>
    </row>
    <row r="1038">
      <c r="A1038" s="26">
        <v>4069.0</v>
      </c>
      <c r="B1038" s="23" t="s">
        <v>1437</v>
      </c>
      <c r="C1038" s="202" t="b">
        <f>IF($D1038, TRUE, IF(ISERROR('API import'!$A$1), FALSE, COUNTIF('API import'!$A:$A, $A1038)&gt;0))</f>
        <v>0</v>
      </c>
      <c r="D1038" s="195" t="b">
        <v>0</v>
      </c>
      <c r="E1038" s="195">
        <v>1.0</v>
      </c>
      <c r="F1038" s="201">
        <f>COUNTIF('Activity map'!$C:$C, $A1038)</f>
        <v>1</v>
      </c>
    </row>
    <row r="1039">
      <c r="A1039" s="26">
        <v>4068.0</v>
      </c>
      <c r="B1039" s="23" t="s">
        <v>1438</v>
      </c>
      <c r="C1039" s="202" t="b">
        <f>IF($D1039, TRUE, IF(ISERROR('API import'!$A$1), FALSE, COUNTIF('API import'!$A:$A, $A1039)&gt;0))</f>
        <v>0</v>
      </c>
      <c r="D1039" s="195" t="b">
        <v>0</v>
      </c>
      <c r="E1039" s="195">
        <v>1.0</v>
      </c>
      <c r="F1039" s="201">
        <f>COUNTIF('Activity map'!$C:$C, $A1039)</f>
        <v>1</v>
      </c>
    </row>
    <row r="1040">
      <c r="A1040" s="26">
        <v>4072.0</v>
      </c>
      <c r="B1040" s="23" t="s">
        <v>1439</v>
      </c>
      <c r="C1040" s="202" t="b">
        <f>IF($D1040, TRUE, IF(ISERROR('API import'!$A$1), FALSE, COUNTIF('API import'!$A:$A, $A1040)&gt;0))</f>
        <v>0</v>
      </c>
      <c r="D1040" s="195" t="b">
        <v>0</v>
      </c>
      <c r="E1040" s="195">
        <v>1.0</v>
      </c>
      <c r="F1040" s="201">
        <f>COUNTIF('Activity map'!$C:$C, $A1040)</f>
        <v>1</v>
      </c>
    </row>
    <row r="1041">
      <c r="A1041" s="26">
        <v>4070.0</v>
      </c>
      <c r="B1041" s="23" t="s">
        <v>1437</v>
      </c>
      <c r="C1041" s="202" t="b">
        <f>IF($D1041, TRUE, IF(ISERROR('API import'!$A$1), FALSE, COUNTIF('API import'!$A:$A, $A1041)&gt;0))</f>
        <v>0</v>
      </c>
      <c r="D1041" s="195" t="b">
        <v>0</v>
      </c>
      <c r="E1041" s="195">
        <v>1.0</v>
      </c>
      <c r="F1041" s="201">
        <f>COUNTIF('Activity map'!$C:$C, $A1041)</f>
        <v>1</v>
      </c>
    </row>
    <row r="1042">
      <c r="A1042" s="26">
        <v>11893.0</v>
      </c>
      <c r="B1042" s="23" t="s">
        <v>1437</v>
      </c>
      <c r="C1042" s="202" t="b">
        <f>IF($D1042, TRUE, IF(ISERROR('API import'!$A$1), FALSE, COUNTIF('API import'!$A:$A, $A1042)&gt;0))</f>
        <v>0</v>
      </c>
      <c r="D1042" s="195" t="b">
        <v>0</v>
      </c>
      <c r="E1042" s="195">
        <v>1.0</v>
      </c>
      <c r="F1042" s="201">
        <f>COUNTIF('Activity map'!$C:$C, $A1042)</f>
        <v>1</v>
      </c>
    </row>
    <row r="1043">
      <c r="A1043" s="26">
        <v>25163.0</v>
      </c>
      <c r="B1043" s="23" t="s">
        <v>1440</v>
      </c>
      <c r="C1043" s="202" t="b">
        <f>IF($D1043, TRUE, IF(ISERROR('API import'!$A$1), FALSE, COUNTIF('API import'!$A:$A, $A1043)&gt;0))</f>
        <v>0</v>
      </c>
      <c r="D1043" s="195" t="b">
        <v>0</v>
      </c>
      <c r="E1043" s="195">
        <v>1.0</v>
      </c>
      <c r="F1043" s="201">
        <f>COUNTIF('Activity map'!$C:$C, $A1043)</f>
        <v>1</v>
      </c>
    </row>
    <row r="1044">
      <c r="A1044" s="26">
        <v>4506.0</v>
      </c>
      <c r="B1044" s="23" t="s">
        <v>1435</v>
      </c>
      <c r="C1044" s="202" t="b">
        <f>IF($D1044, TRUE, IF(ISERROR('API import'!$A$1), FALSE, COUNTIF('API import'!$A:$A, $A1044)&gt;0))</f>
        <v>0</v>
      </c>
      <c r="D1044" s="195" t="b">
        <v>0</v>
      </c>
      <c r="E1044" s="195">
        <v>2.0</v>
      </c>
      <c r="F1044" s="201">
        <f>COUNTIF('Activity map'!$C:$C, $A1044)</f>
        <v>1</v>
      </c>
    </row>
    <row r="1045">
      <c r="A1045" s="26">
        <v>25169.0</v>
      </c>
      <c r="B1045" s="23" t="s">
        <v>1436</v>
      </c>
      <c r="C1045" s="202" t="b">
        <f>IF($D1045, TRUE, IF(ISERROR('API import'!$A$1), FALSE, COUNTIF('API import'!$A:$A, $A1045)&gt;0))</f>
        <v>0</v>
      </c>
      <c r="D1045" s="195" t="b">
        <v>0</v>
      </c>
      <c r="E1045" s="195">
        <v>2.0</v>
      </c>
      <c r="F1045" s="201">
        <f>COUNTIF('Activity map'!$C:$C, $A1045)</f>
        <v>1</v>
      </c>
    </row>
    <row r="1046">
      <c r="A1046" s="26">
        <v>4504.0</v>
      </c>
      <c r="B1046" s="23" t="s">
        <v>1437</v>
      </c>
      <c r="C1046" s="202" t="b">
        <f>IF($D1046, TRUE, IF(ISERROR('API import'!$A$1), FALSE, COUNTIF('API import'!$A:$A, $A1046)&gt;0))</f>
        <v>0</v>
      </c>
      <c r="D1046" s="195" t="b">
        <v>0</v>
      </c>
      <c r="E1046" s="195">
        <v>2.0</v>
      </c>
      <c r="F1046" s="201">
        <f>COUNTIF('Activity map'!$C:$C, $A1046)</f>
        <v>1</v>
      </c>
    </row>
    <row r="1047">
      <c r="A1047" s="26">
        <v>4503.0</v>
      </c>
      <c r="B1047" s="23" t="s">
        <v>1438</v>
      </c>
      <c r="C1047" s="202" t="b">
        <f>IF($D1047, TRUE, IF(ISERROR('API import'!$A$1), FALSE, COUNTIF('API import'!$A:$A, $A1047)&gt;0))</f>
        <v>0</v>
      </c>
      <c r="D1047" s="195" t="b">
        <v>0</v>
      </c>
      <c r="E1047" s="195">
        <v>2.0</v>
      </c>
      <c r="F1047" s="201">
        <f>COUNTIF('Activity map'!$C:$C, $A1047)</f>
        <v>1</v>
      </c>
    </row>
    <row r="1048">
      <c r="A1048" s="26">
        <v>4507.0</v>
      </c>
      <c r="B1048" s="23" t="s">
        <v>1439</v>
      </c>
      <c r="C1048" s="202" t="b">
        <f>IF($D1048, TRUE, IF(ISERROR('API import'!$A$1), FALSE, COUNTIF('API import'!$A:$A, $A1048)&gt;0))</f>
        <v>0</v>
      </c>
      <c r="D1048" s="195" t="b">
        <v>0</v>
      </c>
      <c r="E1048" s="195">
        <v>2.0</v>
      </c>
      <c r="F1048" s="201">
        <f>COUNTIF('Activity map'!$C:$C, $A1048)</f>
        <v>1</v>
      </c>
    </row>
    <row r="1049">
      <c r="A1049" s="26">
        <v>4505.0</v>
      </c>
      <c r="B1049" s="23" t="s">
        <v>1437</v>
      </c>
      <c r="C1049" s="202" t="b">
        <f>IF($D1049, TRUE, IF(ISERROR('API import'!$A$1), FALSE, COUNTIF('API import'!$A:$A, $A1049)&gt;0))</f>
        <v>0</v>
      </c>
      <c r="D1049" s="195" t="b">
        <v>0</v>
      </c>
      <c r="E1049" s="195">
        <v>2.0</v>
      </c>
      <c r="F1049" s="201">
        <f>COUNTIF('Activity map'!$C:$C, $A1049)</f>
        <v>1</v>
      </c>
    </row>
    <row r="1050">
      <c r="A1050" s="26">
        <v>11894.0</v>
      </c>
      <c r="B1050" s="23" t="s">
        <v>1437</v>
      </c>
      <c r="C1050" s="202" t="b">
        <f>IF($D1050, TRUE, IF(ISERROR('API import'!$A$1), FALSE, COUNTIF('API import'!$A:$A, $A1050)&gt;0))</f>
        <v>0</v>
      </c>
      <c r="D1050" s="195" t="b">
        <v>0</v>
      </c>
      <c r="E1050" s="195">
        <v>2.0</v>
      </c>
      <c r="F1050" s="201">
        <f>COUNTIF('Activity map'!$C:$C, $A1050)</f>
        <v>1</v>
      </c>
    </row>
    <row r="1051">
      <c r="A1051" s="26">
        <v>25167.0</v>
      </c>
      <c r="B1051" s="23" t="s">
        <v>1440</v>
      </c>
      <c r="C1051" s="202" t="b">
        <f>IF($D1051, TRUE, IF(ISERROR('API import'!$A$1), FALSE, COUNTIF('API import'!$A:$A, $A1051)&gt;0))</f>
        <v>0</v>
      </c>
      <c r="D1051" s="195" t="b">
        <v>0</v>
      </c>
      <c r="E1051" s="195">
        <v>2.0</v>
      </c>
      <c r="F1051" s="201">
        <f>COUNTIF('Activity map'!$C:$C, $A1051)</f>
        <v>1</v>
      </c>
    </row>
    <row r="1052">
      <c r="A1052" s="26">
        <v>4511.0</v>
      </c>
      <c r="B1052" s="23" t="s">
        <v>1435</v>
      </c>
      <c r="C1052" s="200" t="b">
        <f>IF($D1052, TRUE, IF(ISERROR('API import'!$A$1), FALSE, COUNTIF('API import'!$A:$A, $A1052)&gt;0))</f>
        <v>0</v>
      </c>
      <c r="D1052" s="195" t="b">
        <v>0</v>
      </c>
      <c r="E1052" s="195">
        <v>4.0</v>
      </c>
      <c r="F1052" s="201">
        <f>COUNTIF('Activity map'!$C:$C, $A1052)</f>
        <v>1</v>
      </c>
    </row>
    <row r="1053">
      <c r="A1053" s="26">
        <v>25174.0</v>
      </c>
      <c r="B1053" s="23" t="s">
        <v>1436</v>
      </c>
      <c r="C1053" s="200" t="b">
        <f>IF($D1053, TRUE, IF(ISERROR('API import'!$A$1), FALSE, COUNTIF('API import'!$A:$A, $A1053)&gt;0))</f>
        <v>0</v>
      </c>
      <c r="D1053" s="195" t="b">
        <v>0</v>
      </c>
      <c r="E1053" s="195">
        <v>4.0</v>
      </c>
      <c r="F1053" s="201">
        <f>COUNTIF('Activity map'!$C:$C, $A1053)</f>
        <v>1</v>
      </c>
    </row>
    <row r="1054">
      <c r="A1054" s="26">
        <v>4509.0</v>
      </c>
      <c r="B1054" s="23" t="s">
        <v>1437</v>
      </c>
      <c r="C1054" s="200" t="b">
        <f>IF($D1054, TRUE, IF(ISERROR('API import'!$A$1), FALSE, COUNTIF('API import'!$A:$A, $A1054)&gt;0))</f>
        <v>0</v>
      </c>
      <c r="D1054" s="195" t="b">
        <v>0</v>
      </c>
      <c r="E1054" s="195">
        <v>4.0</v>
      </c>
      <c r="F1054" s="201">
        <f>COUNTIF('Activity map'!$C:$C, $A1054)</f>
        <v>1</v>
      </c>
    </row>
    <row r="1055">
      <c r="A1055" s="26">
        <v>4508.0</v>
      </c>
      <c r="B1055" s="23" t="s">
        <v>1438</v>
      </c>
      <c r="C1055" s="200" t="b">
        <f>IF($D1055, TRUE, IF(ISERROR('API import'!$A$1), FALSE, COUNTIF('API import'!$A:$A, $A1055)&gt;0))</f>
        <v>0</v>
      </c>
      <c r="D1055" s="195" t="b">
        <v>0</v>
      </c>
      <c r="E1055" s="195">
        <v>4.0</v>
      </c>
      <c r="F1055" s="201">
        <f>COUNTIF('Activity map'!$C:$C, $A1055)</f>
        <v>1</v>
      </c>
    </row>
    <row r="1056">
      <c r="A1056" s="26">
        <v>4512.0</v>
      </c>
      <c r="B1056" s="23" t="s">
        <v>1439</v>
      </c>
      <c r="C1056" s="200" t="b">
        <f>IF($D1056, TRUE, IF(ISERROR('API import'!$A$1), FALSE, COUNTIF('API import'!$A:$A, $A1056)&gt;0))</f>
        <v>0</v>
      </c>
      <c r="D1056" s="195" t="b">
        <v>0</v>
      </c>
      <c r="E1056" s="195">
        <v>4.0</v>
      </c>
      <c r="F1056" s="201">
        <f>COUNTIF('Activity map'!$C:$C, $A1056)</f>
        <v>1</v>
      </c>
    </row>
    <row r="1057">
      <c r="A1057" s="26">
        <v>4510.0</v>
      </c>
      <c r="B1057" s="23" t="s">
        <v>1437</v>
      </c>
      <c r="C1057" s="200" t="b">
        <f>IF($D1057, TRUE, IF(ISERROR('API import'!$A$1), FALSE, COUNTIF('API import'!$A:$A, $A1057)&gt;0))</f>
        <v>0</v>
      </c>
      <c r="D1057" s="195" t="b">
        <v>0</v>
      </c>
      <c r="E1057" s="195">
        <v>4.0</v>
      </c>
      <c r="F1057" s="201">
        <f>COUNTIF('Activity map'!$C:$C, $A1057)</f>
        <v>1</v>
      </c>
    </row>
    <row r="1058">
      <c r="A1058" s="26">
        <v>11895.0</v>
      </c>
      <c r="B1058" s="23" t="s">
        <v>1437</v>
      </c>
      <c r="C1058" s="200" t="b">
        <f>IF($D1058, TRUE, IF(ISERROR('API import'!$A$1), FALSE, COUNTIF('API import'!$A:$A, $A1058)&gt;0))</f>
        <v>0</v>
      </c>
      <c r="D1058" s="195" t="b">
        <v>0</v>
      </c>
      <c r="E1058" s="195">
        <v>4.0</v>
      </c>
      <c r="F1058" s="201">
        <f>COUNTIF('Activity map'!$C:$C, $A1058)</f>
        <v>1</v>
      </c>
    </row>
    <row r="1059">
      <c r="A1059" s="26">
        <v>25171.0</v>
      </c>
      <c r="B1059" s="23" t="s">
        <v>1440</v>
      </c>
      <c r="C1059" s="200" t="b">
        <f>IF($D1059, TRUE, IF(ISERROR('API import'!$A$1), FALSE, COUNTIF('API import'!$A:$A, $A1059)&gt;0))</f>
        <v>0</v>
      </c>
      <c r="D1059" s="195" t="b">
        <v>0</v>
      </c>
      <c r="E1059" s="195">
        <v>4.0</v>
      </c>
      <c r="F1059" s="201">
        <f>COUNTIF('Activity map'!$C:$C, $A1059)</f>
        <v>1</v>
      </c>
    </row>
    <row r="1060">
      <c r="A1060" s="26">
        <v>4513.0</v>
      </c>
      <c r="B1060" s="23" t="s">
        <v>1441</v>
      </c>
      <c r="C1060" s="202" t="b">
        <f>IF($D1060, TRUE, IF(ISERROR('API import'!$A$1), FALSE, COUNTIF('API import'!$A:$A, $A1060)&gt;0))</f>
        <v>0</v>
      </c>
      <c r="D1060" s="195" t="b">
        <v>0</v>
      </c>
      <c r="E1060" s="195">
        <v>1.0</v>
      </c>
      <c r="F1060" s="201">
        <f>COUNTIF('Activity map'!$C:$C, $A1060)</f>
        <v>1</v>
      </c>
    </row>
    <row r="1061">
      <c r="A1061" s="26">
        <v>4514.0</v>
      </c>
      <c r="B1061" s="23" t="s">
        <v>1442</v>
      </c>
      <c r="C1061" s="202" t="b">
        <f>IF($D1061, TRUE, IF(ISERROR('API import'!$A$1), FALSE, COUNTIF('API import'!$A:$A, $A1061)&gt;0))</f>
        <v>0</v>
      </c>
      <c r="D1061" s="195" t="b">
        <v>0</v>
      </c>
      <c r="E1061" s="195">
        <v>1.0</v>
      </c>
      <c r="F1061" s="201">
        <f>COUNTIF('Activity map'!$C:$C, $A1061)</f>
        <v>1</v>
      </c>
    </row>
    <row r="1062">
      <c r="A1062" s="26">
        <v>4515.0</v>
      </c>
      <c r="B1062" s="23" t="s">
        <v>1441</v>
      </c>
      <c r="C1062" s="202" t="b">
        <f>IF($D1062, TRUE, IF(ISERROR('API import'!$A$1), FALSE, COUNTIF('API import'!$A:$A, $A1062)&gt;0))</f>
        <v>0</v>
      </c>
      <c r="D1062" s="195" t="b">
        <v>0</v>
      </c>
      <c r="E1062" s="195">
        <v>1.0</v>
      </c>
      <c r="F1062" s="201">
        <f>COUNTIF('Activity map'!$C:$C, $A1062)</f>
        <v>1</v>
      </c>
    </row>
    <row r="1063">
      <c r="A1063" s="26">
        <v>4516.0</v>
      </c>
      <c r="B1063" s="23" t="s">
        <v>1442</v>
      </c>
      <c r="C1063" s="202" t="b">
        <f>IF($D1063, TRUE, IF(ISERROR('API import'!$A$1), FALSE, COUNTIF('API import'!$A:$A, $A1063)&gt;0))</f>
        <v>0</v>
      </c>
      <c r="D1063" s="195" t="b">
        <v>0</v>
      </c>
      <c r="E1063" s="195">
        <v>1.0</v>
      </c>
      <c r="F1063" s="201">
        <f>COUNTIF('Activity map'!$C:$C, $A1063)</f>
        <v>1</v>
      </c>
    </row>
    <row r="1064">
      <c r="A1064" s="26">
        <v>11891.0</v>
      </c>
      <c r="B1064" s="23" t="s">
        <v>1443</v>
      </c>
      <c r="C1064" s="202" t="b">
        <f>IF($D1064, TRUE, IF(ISERROR('API import'!$A$1), FALSE, COUNTIF('API import'!$A:$A, $A1064)&gt;0))</f>
        <v>0</v>
      </c>
      <c r="D1064" s="195" t="b">
        <v>0</v>
      </c>
      <c r="E1064" s="195">
        <v>2.0</v>
      </c>
      <c r="F1064" s="201">
        <f>COUNTIF('Activity map'!$C:$C, $A1064)</f>
        <v>1</v>
      </c>
    </row>
    <row r="1065">
      <c r="A1065" s="26">
        <v>11892.0</v>
      </c>
      <c r="B1065" s="23" t="s">
        <v>1444</v>
      </c>
      <c r="C1065" s="202" t="b">
        <f>IF($D1065, TRUE, IF(ISERROR('API import'!$A$1), FALSE, COUNTIF('API import'!$A:$A, $A1065)&gt;0))</f>
        <v>0</v>
      </c>
      <c r="D1065" s="195" t="b">
        <v>0</v>
      </c>
      <c r="E1065" s="195">
        <v>2.0</v>
      </c>
      <c r="F1065" s="201">
        <f>COUNTIF('Activity map'!$C:$C, $A1065)</f>
        <v>1</v>
      </c>
    </row>
    <row r="1066">
      <c r="A1066" s="26">
        <v>11898.0</v>
      </c>
      <c r="B1066" s="23" t="s">
        <v>1437</v>
      </c>
      <c r="C1066" s="202" t="b">
        <f>IF($D1066, TRUE, IF(ISERROR('API import'!$A$1), FALSE, COUNTIF('API import'!$A:$A, $A1066)&gt;0))</f>
        <v>0</v>
      </c>
      <c r="D1066" s="195" t="b">
        <v>0</v>
      </c>
      <c r="E1066" s="195">
        <v>2.0</v>
      </c>
      <c r="F1066" s="201">
        <f>COUNTIF('Activity map'!$C:$C, $A1066)</f>
        <v>1</v>
      </c>
    </row>
    <row r="1067">
      <c r="A1067" s="26">
        <v>11896.0</v>
      </c>
      <c r="B1067" s="23" t="s">
        <v>1437</v>
      </c>
      <c r="C1067" s="202" t="b">
        <f>IF($D1067, TRUE, IF(ISERROR('API import'!$A$1), FALSE, COUNTIF('API import'!$A:$A, $A1067)&gt;0))</f>
        <v>0</v>
      </c>
      <c r="D1067" s="195" t="b">
        <v>0</v>
      </c>
      <c r="E1067" s="195">
        <v>2.0</v>
      </c>
      <c r="F1067" s="201">
        <f>COUNTIF('Activity map'!$C:$C, $A1067)</f>
        <v>1</v>
      </c>
    </row>
    <row r="1068">
      <c r="A1068" s="26">
        <v>11897.0</v>
      </c>
      <c r="B1068" s="23" t="s">
        <v>1437</v>
      </c>
      <c r="C1068" s="202" t="b">
        <f>IF($D1068, TRUE, IF(ISERROR('API import'!$A$1), FALSE, COUNTIF('API import'!$A:$A, $A1068)&gt;0))</f>
        <v>0</v>
      </c>
      <c r="D1068" s="195" t="b">
        <v>0</v>
      </c>
      <c r="E1068" s="195">
        <v>2.0</v>
      </c>
      <c r="F1068" s="201">
        <f>COUNTIF('Activity map'!$C:$C, $A1068)</f>
        <v>1</v>
      </c>
    </row>
    <row r="1069">
      <c r="A1069" s="26">
        <v>11899.0</v>
      </c>
      <c r="B1069" s="23" t="s">
        <v>1437</v>
      </c>
      <c r="C1069" s="202" t="b">
        <f>IF($D1069, TRUE, IF(ISERROR('API import'!$A$1), FALSE, COUNTIF('API import'!$A:$A, $A1069)&gt;0))</f>
        <v>0</v>
      </c>
      <c r="D1069" s="195" t="b">
        <v>0</v>
      </c>
      <c r="E1069" s="195">
        <v>2.0</v>
      </c>
      <c r="F1069" s="201">
        <f>COUNTIF('Activity map'!$C:$C, $A1069)</f>
        <v>1</v>
      </c>
    </row>
    <row r="1070">
      <c r="A1070" s="26">
        <v>11900.0</v>
      </c>
      <c r="B1070" s="23" t="s">
        <v>1437</v>
      </c>
      <c r="C1070" s="202" t="b">
        <f>IF($D1070, TRUE, IF(ISERROR('API import'!$A$1), FALSE, COUNTIF('API import'!$A:$A, $A1070)&gt;0))</f>
        <v>0</v>
      </c>
      <c r="D1070" s="195" t="b">
        <v>0</v>
      </c>
      <c r="E1070" s="195">
        <v>2.0</v>
      </c>
      <c r="F1070" s="201">
        <f>COUNTIF('Activity map'!$C:$C, $A1070)</f>
        <v>1</v>
      </c>
    </row>
    <row r="1071">
      <c r="A1071" s="26">
        <v>11901.0</v>
      </c>
      <c r="B1071" s="23" t="s">
        <v>1437</v>
      </c>
      <c r="C1071" s="202" t="b">
        <f>IF($D1071, TRUE, IF(ISERROR('API import'!$A$1), FALSE, COUNTIF('API import'!$A:$A, $A1071)&gt;0))</f>
        <v>0</v>
      </c>
      <c r="D1071" s="195" t="b">
        <v>0</v>
      </c>
      <c r="E1071" s="195">
        <v>2.0</v>
      </c>
      <c r="F1071" s="201">
        <f>COUNTIF('Activity map'!$C:$C, $A1071)</f>
        <v>1</v>
      </c>
    </row>
    <row r="1072">
      <c r="A1072" s="26">
        <v>12637.0</v>
      </c>
      <c r="B1072" s="23" t="s">
        <v>1445</v>
      </c>
      <c r="C1072" s="202" t="b">
        <f>IF($D1072, TRUE, IF(ISERROR('API import'!$A$1), FALSE, COUNTIF('API import'!$A:$A, $A1072)&gt;0))</f>
        <v>0</v>
      </c>
      <c r="D1072" s="195" t="b">
        <v>0</v>
      </c>
      <c r="E1072" s="195">
        <v>2.0</v>
      </c>
      <c r="F1072" s="201">
        <f>COUNTIF('Activity map'!$C:$C, $A1072)</f>
        <v>1</v>
      </c>
    </row>
    <row r="1073">
      <c r="A1073" s="26">
        <v>12638.0</v>
      </c>
      <c r="B1073" s="23" t="s">
        <v>1446</v>
      </c>
      <c r="C1073" s="202" t="b">
        <f>IF($D1073, TRUE, IF(ISERROR('API import'!$A$1), FALSE, COUNTIF('API import'!$A:$A, $A1073)&gt;0))</f>
        <v>0</v>
      </c>
      <c r="D1073" s="195" t="b">
        <v>0</v>
      </c>
      <c r="E1073" s="195">
        <v>2.0</v>
      </c>
      <c r="F1073" s="201">
        <f>COUNTIF('Activity map'!$C:$C, $A1073)</f>
        <v>1</v>
      </c>
    </row>
    <row r="1074">
      <c r="A1074" s="26">
        <v>12639.0</v>
      </c>
      <c r="B1074" s="23" t="s">
        <v>1447</v>
      </c>
      <c r="C1074" s="202" t="b">
        <f>IF($D1074, TRUE, IF(ISERROR('API import'!$A$1), FALSE, COUNTIF('API import'!$A:$A, $A1074)&gt;0))</f>
        <v>0</v>
      </c>
      <c r="D1074" s="195" t="b">
        <v>0</v>
      </c>
      <c r="E1074" s="195">
        <v>2.0</v>
      </c>
      <c r="F1074" s="201">
        <f>COUNTIF('Activity map'!$C:$C, $A1074)</f>
        <v>1</v>
      </c>
    </row>
    <row r="1075">
      <c r="A1075" s="26">
        <v>13258.0</v>
      </c>
      <c r="B1075" s="23" t="s">
        <v>1448</v>
      </c>
      <c r="C1075" s="202" t="b">
        <f>IF($D1075, TRUE, IF(ISERROR('API import'!$A$1), FALSE, COUNTIF('API import'!$A:$A, $A1075)&gt;0))</f>
        <v>0</v>
      </c>
      <c r="D1075" s="195" t="b">
        <v>0</v>
      </c>
      <c r="E1075" s="195">
        <v>2.0</v>
      </c>
      <c r="F1075" s="203">
        <f>COUNTIF('Activity map'!$C:$C, $A1075)</f>
        <v>2</v>
      </c>
    </row>
    <row r="1076">
      <c r="A1076" s="26">
        <v>13259.0</v>
      </c>
      <c r="B1076" s="23" t="s">
        <v>1449</v>
      </c>
      <c r="C1076" s="202" t="b">
        <f>IF($D1076, TRUE, IF(ISERROR('API import'!$A$1), FALSE, COUNTIF('API import'!$A:$A, $A1076)&gt;0))</f>
        <v>0</v>
      </c>
      <c r="D1076" s="195" t="b">
        <v>0</v>
      </c>
      <c r="E1076" s="195">
        <v>2.0</v>
      </c>
      <c r="F1076" s="203">
        <f>COUNTIF('Activity map'!$C:$C, $A1076)</f>
        <v>2</v>
      </c>
    </row>
    <row r="1077">
      <c r="A1077" s="26">
        <v>13260.0</v>
      </c>
      <c r="B1077" s="23" t="s">
        <v>1450</v>
      </c>
      <c r="C1077" s="202" t="b">
        <f>IF($D1077, TRUE, IF(ISERROR('API import'!$A$1), FALSE, COUNTIF('API import'!$A:$A, $A1077)&gt;0))</f>
        <v>0</v>
      </c>
      <c r="D1077" s="195" t="b">
        <v>0</v>
      </c>
      <c r="E1077" s="195">
        <v>2.0</v>
      </c>
      <c r="F1077" s="203">
        <f>COUNTIF('Activity map'!$C:$C, $A1077)</f>
        <v>2</v>
      </c>
    </row>
    <row r="1078">
      <c r="A1078" s="26">
        <v>13261.0</v>
      </c>
      <c r="B1078" s="23" t="s">
        <v>1451</v>
      </c>
      <c r="C1078" s="202" t="b">
        <f>IF($D1078, TRUE, IF(ISERROR('API import'!$A$1), FALSE, COUNTIF('API import'!$A:$A, $A1078)&gt;0))</f>
        <v>0</v>
      </c>
      <c r="D1078" s="195" t="b">
        <v>0</v>
      </c>
      <c r="E1078" s="195">
        <v>2.0</v>
      </c>
      <c r="F1078" s="203">
        <f>COUNTIF('Activity map'!$C:$C, $A1078)</f>
        <v>2</v>
      </c>
    </row>
    <row r="1079">
      <c r="A1079" s="26">
        <v>27023.0</v>
      </c>
      <c r="B1079" s="23" t="s">
        <v>1452</v>
      </c>
      <c r="C1079" s="202" t="b">
        <f>IF($D1079, TRUE, IF(ISERROR('API import'!$A$1), FALSE, COUNTIF('API import'!$A:$A, $A1079)&gt;0))</f>
        <v>0</v>
      </c>
      <c r="D1079" s="195" t="b">
        <v>0</v>
      </c>
      <c r="E1079" s="195">
        <v>2.0</v>
      </c>
      <c r="F1079" s="201">
        <f>COUNTIF('Activity map'!$C:$C, $A1079)</f>
        <v>1</v>
      </c>
    </row>
    <row r="1080">
      <c r="A1080" s="26">
        <v>27025.0</v>
      </c>
      <c r="B1080" s="23" t="s">
        <v>1453</v>
      </c>
      <c r="C1080" s="202" t="b">
        <f>IF($D1080, TRUE, IF(ISERROR('API import'!$A$1), FALSE, COUNTIF('API import'!$A:$A, $A1080)&gt;0))</f>
        <v>0</v>
      </c>
      <c r="D1080" s="195" t="b">
        <v>0</v>
      </c>
      <c r="E1080" s="195">
        <v>2.0</v>
      </c>
      <c r="F1080" s="201">
        <f>COUNTIF('Activity map'!$C:$C, $A1080)</f>
        <v>1</v>
      </c>
    </row>
    <row r="1081">
      <c r="A1081" s="26">
        <v>27027.0</v>
      </c>
      <c r="B1081" s="23" t="s">
        <v>1454</v>
      </c>
      <c r="C1081" s="202" t="b">
        <f>IF($D1081, TRUE, IF(ISERROR('API import'!$A$1), FALSE, COUNTIF('API import'!$A:$A, $A1081)&gt;0))</f>
        <v>0</v>
      </c>
      <c r="D1081" s="195" t="b">
        <v>0</v>
      </c>
      <c r="E1081" s="195">
        <v>2.0</v>
      </c>
      <c r="F1081" s="201">
        <f>COUNTIF('Activity map'!$C:$C, $A1081)</f>
        <v>1</v>
      </c>
    </row>
    <row r="1082">
      <c r="A1082" s="26">
        <v>27029.0</v>
      </c>
      <c r="B1082" s="23" t="s">
        <v>1455</v>
      </c>
      <c r="C1082" s="202" t="b">
        <f>IF($D1082, TRUE, IF(ISERROR('API import'!$A$1), FALSE, COUNTIF('API import'!$A:$A, $A1082)&gt;0))</f>
        <v>0</v>
      </c>
      <c r="D1082" s="195" t="b">
        <v>0</v>
      </c>
      <c r="E1082" s="195">
        <v>2.0</v>
      </c>
      <c r="F1082" s="201">
        <f>COUNTIF('Activity map'!$C:$C, $A1082)</f>
        <v>1</v>
      </c>
    </row>
    <row r="1083">
      <c r="A1083" s="26">
        <v>27021.0</v>
      </c>
      <c r="B1083" s="23" t="s">
        <v>1456</v>
      </c>
      <c r="C1083" s="202" t="b">
        <f>IF($D1083, TRUE, IF(ISERROR('API import'!$A$1), FALSE, COUNTIF('API import'!$A:$A, $A1083)&gt;0))</f>
        <v>0</v>
      </c>
      <c r="D1083" s="195" t="b">
        <v>0</v>
      </c>
      <c r="E1083" s="195">
        <v>3.0</v>
      </c>
      <c r="F1083" s="201">
        <f>COUNTIF('Activity map'!$C:$C, $A1083)</f>
        <v>1</v>
      </c>
    </row>
    <row r="1084">
      <c r="A1084" s="26">
        <v>27012.0</v>
      </c>
      <c r="B1084" s="23" t="s">
        <v>1457</v>
      </c>
      <c r="C1084" s="202" t="b">
        <f>IF($D1084, TRUE, IF(ISERROR('API import'!$A$1), FALSE, COUNTIF('API import'!$A:$A, $A1084)&gt;0))</f>
        <v>0</v>
      </c>
      <c r="D1084" s="195" t="b">
        <v>0</v>
      </c>
      <c r="E1084" s="195">
        <v>2.0</v>
      </c>
      <c r="F1084" s="201">
        <f>COUNTIF('Activity map'!$C:$C, $A1084)</f>
        <v>1</v>
      </c>
    </row>
    <row r="1085">
      <c r="A1085" s="26">
        <v>27014.0</v>
      </c>
      <c r="B1085" s="23" t="s">
        <v>1458</v>
      </c>
      <c r="C1085" s="202" t="b">
        <f>IF($D1085, TRUE, IF(ISERROR('API import'!$A$1), FALSE, COUNTIF('API import'!$A:$A, $A1085)&gt;0))</f>
        <v>0</v>
      </c>
      <c r="D1085" s="195" t="b">
        <v>0</v>
      </c>
      <c r="E1085" s="195">
        <v>1.0</v>
      </c>
      <c r="F1085" s="201">
        <f>COUNTIF('Activity map'!$C:$C, $A1085)</f>
        <v>1</v>
      </c>
    </row>
    <row r="1086">
      <c r="A1086" s="26">
        <v>27017.0</v>
      </c>
      <c r="B1086" s="23" t="s">
        <v>1459</v>
      </c>
      <c r="C1086" s="202" t="b">
        <f>IF($D1086, TRUE, IF(ISERROR('API import'!$A$1), FALSE, COUNTIF('API import'!$A:$A, $A1086)&gt;0))</f>
        <v>0</v>
      </c>
      <c r="D1086" s="195" t="b">
        <v>0</v>
      </c>
      <c r="E1086" s="195">
        <v>1.0</v>
      </c>
      <c r="F1086" s="201">
        <f>COUNTIF('Activity map'!$C:$C, $A1086)</f>
        <v>1</v>
      </c>
    </row>
    <row r="1087">
      <c r="A1087" s="26">
        <v>27019.0</v>
      </c>
      <c r="B1087" s="23" t="s">
        <v>1460</v>
      </c>
      <c r="C1087" s="202" t="b">
        <f>IF($D1087, TRUE, IF(ISERROR('API import'!$A$1), FALSE, COUNTIF('API import'!$A:$A, $A1087)&gt;0))</f>
        <v>0</v>
      </c>
      <c r="D1087" s="195" t="b">
        <v>0</v>
      </c>
      <c r="E1087" s="195">
        <v>1.0</v>
      </c>
      <c r="F1087" s="201">
        <f>COUNTIF('Activity map'!$C:$C, $A1087)</f>
        <v>1</v>
      </c>
    </row>
    <row r="1088">
      <c r="A1088" s="26">
        <v>9469.0</v>
      </c>
      <c r="B1088" s="23" t="s">
        <v>1461</v>
      </c>
      <c r="C1088" s="202" t="b">
        <f>IF($D1088, TRUE, IF(ISERROR('API import'!$A$1), FALSE, COUNTIF('API import'!$A:$A, $A1088)&gt;0))</f>
        <v>0</v>
      </c>
      <c r="D1088" s="195" t="b">
        <v>0</v>
      </c>
      <c r="E1088" s="195">
        <v>2.0</v>
      </c>
      <c r="F1088" s="201">
        <f>COUNTIF('Activity map'!$C:$C, $A1088)</f>
        <v>1</v>
      </c>
    </row>
    <row r="1089">
      <c r="A1089" s="26">
        <v>9470.0</v>
      </c>
      <c r="B1089" s="23" t="s">
        <v>1462</v>
      </c>
      <c r="C1089" s="202" t="b">
        <f>IF($D1089, TRUE, IF(ISERROR('API import'!$A$1), FALSE, COUNTIF('API import'!$A:$A, $A1089)&gt;0))</f>
        <v>0</v>
      </c>
      <c r="D1089" s="195" t="b">
        <v>0</v>
      </c>
      <c r="E1089" s="195">
        <v>2.0</v>
      </c>
      <c r="F1089" s="201">
        <f>COUNTIF('Activity map'!$C:$C, $A1089)</f>
        <v>1</v>
      </c>
    </row>
    <row r="1090">
      <c r="A1090" s="26">
        <v>9472.0</v>
      </c>
      <c r="B1090" s="23" t="s">
        <v>1463</v>
      </c>
      <c r="C1090" s="202" t="b">
        <f>IF($D1090, TRUE, IF(ISERROR('API import'!$A$1), FALSE, COUNTIF('API import'!$A:$A, $A1090)&gt;0))</f>
        <v>0</v>
      </c>
      <c r="D1090" s="195" t="b">
        <v>0</v>
      </c>
      <c r="E1090" s="195">
        <v>2.0</v>
      </c>
      <c r="F1090" s="201">
        <f>COUNTIF('Activity map'!$C:$C, $A1090)</f>
        <v>1</v>
      </c>
    </row>
    <row r="1091">
      <c r="A1091" s="26">
        <v>9475.0</v>
      </c>
      <c r="B1091" s="23" t="s">
        <v>1464</v>
      </c>
      <c r="C1091" s="202" t="b">
        <f>IF($D1091, TRUE, IF(ISERROR('API import'!$A$1), FALSE, COUNTIF('API import'!$A:$A, $A1091)&gt;0))</f>
        <v>0</v>
      </c>
      <c r="D1091" s="195" t="b">
        <v>0</v>
      </c>
      <c r="E1091" s="195">
        <v>2.0</v>
      </c>
      <c r="F1091" s="201">
        <f>COUNTIF('Activity map'!$C:$C, $A1091)</f>
        <v>1</v>
      </c>
    </row>
    <row r="1092">
      <c r="A1092" s="26">
        <v>26901.0</v>
      </c>
      <c r="B1092" s="23" t="s">
        <v>1465</v>
      </c>
      <c r="C1092" s="200" t="b">
        <f>IF($D1092, TRUE, IF(ISERROR('API import'!$A$1), FALSE, COUNTIF('API import'!$A:$A, $A1092)&gt;0))</f>
        <v>0</v>
      </c>
      <c r="D1092" s="195" t="b">
        <v>0</v>
      </c>
      <c r="E1092" s="195">
        <v>6.0</v>
      </c>
      <c r="F1092" s="201">
        <f>COUNTIF('Activity map'!$C:$C, $A1092)</f>
        <v>1</v>
      </c>
    </row>
    <row r="1093">
      <c r="A1093" s="26">
        <v>26792.0</v>
      </c>
      <c r="B1093" s="23" t="s">
        <v>1466</v>
      </c>
      <c r="C1093" s="202" t="b">
        <f>IF($D1093, TRUE, IF(ISERROR('API import'!$A$1), FALSE, COUNTIF('API import'!$A:$A, $A1093)&gt;0))</f>
        <v>0</v>
      </c>
      <c r="D1093" s="195" t="b">
        <v>0</v>
      </c>
      <c r="E1093" s="195">
        <v>2.0</v>
      </c>
      <c r="F1093" s="201">
        <f>COUNTIF('Activity map'!$C:$C, $A1093)</f>
        <v>1</v>
      </c>
    </row>
    <row r="1094">
      <c r="A1094" s="26">
        <v>26798.0</v>
      </c>
      <c r="B1094" s="23" t="s">
        <v>1467</v>
      </c>
      <c r="C1094" s="202" t="b">
        <f>IF($D1094, TRUE, IF(ISERROR('API import'!$A$1), FALSE, COUNTIF('API import'!$A:$A, $A1094)&gt;0))</f>
        <v>0</v>
      </c>
      <c r="D1094" s="195" t="b">
        <v>0</v>
      </c>
      <c r="E1094" s="195">
        <v>3.0</v>
      </c>
      <c r="F1094" s="201">
        <f>COUNTIF('Activity map'!$C:$C, $A1094)</f>
        <v>1</v>
      </c>
    </row>
    <row r="1095">
      <c r="A1095" s="26">
        <v>26813.0</v>
      </c>
      <c r="B1095" s="23" t="s">
        <v>1468</v>
      </c>
      <c r="C1095" s="202" t="b">
        <f>IF($D1095, TRUE, IF(ISERROR('API import'!$A$1), FALSE, COUNTIF('API import'!$A:$A, $A1095)&gt;0))</f>
        <v>0</v>
      </c>
      <c r="D1095" s="195" t="b">
        <v>0</v>
      </c>
      <c r="E1095" s="195">
        <v>3.0</v>
      </c>
      <c r="F1095" s="201">
        <f>COUNTIF('Activity map'!$C:$C, $A1095)</f>
        <v>1</v>
      </c>
    </row>
    <row r="1096">
      <c r="A1096" s="26">
        <v>26807.0</v>
      </c>
      <c r="B1096" s="23" t="s">
        <v>1469</v>
      </c>
      <c r="C1096" s="202" t="b">
        <f>IF($D1096, TRUE, IF(ISERROR('API import'!$A$1), FALSE, COUNTIF('API import'!$A:$A, $A1096)&gt;0))</f>
        <v>0</v>
      </c>
      <c r="D1096" s="195" t="b">
        <v>0</v>
      </c>
      <c r="E1096" s="195">
        <v>5.0</v>
      </c>
      <c r="F1096" s="201">
        <f>COUNTIF('Activity map'!$C:$C, $A1096)</f>
        <v>1</v>
      </c>
    </row>
    <row r="1097">
      <c r="A1097" s="26">
        <v>26809.0</v>
      </c>
      <c r="B1097" s="23" t="s">
        <v>1470</v>
      </c>
      <c r="C1097" s="202" t="b">
        <f>IF($D1097, TRUE, IF(ISERROR('API import'!$A$1), FALSE, COUNTIF('API import'!$A:$A, $A1097)&gt;0))</f>
        <v>0</v>
      </c>
      <c r="D1097" s="195" t="b">
        <v>0</v>
      </c>
      <c r="E1097" s="195">
        <v>5.0</v>
      </c>
      <c r="F1097" s="201">
        <f>COUNTIF('Activity map'!$C:$C, $A1097)</f>
        <v>1</v>
      </c>
    </row>
    <row r="1098">
      <c r="A1098" s="26">
        <v>26811.0</v>
      </c>
      <c r="B1098" s="23" t="s">
        <v>1471</v>
      </c>
      <c r="C1098" s="200" t="b">
        <f>IF($D1098, TRUE, IF(ISERROR('API import'!$A$1), FALSE, COUNTIF('API import'!$A:$A, $A1098)&gt;0))</f>
        <v>0</v>
      </c>
      <c r="D1098" s="195" t="b">
        <v>0</v>
      </c>
      <c r="E1098" s="195">
        <v>5.0</v>
      </c>
      <c r="F1098" s="201">
        <f>COUNTIF('Activity map'!$C:$C, $A1098)</f>
        <v>1</v>
      </c>
    </row>
    <row r="1099">
      <c r="A1099" s="26">
        <v>26850.0</v>
      </c>
      <c r="B1099" s="23" t="s">
        <v>1472</v>
      </c>
      <c r="C1099" s="202" t="b">
        <f>IF($D1099, TRUE, IF(ISERROR('API import'!$A$1), FALSE, COUNTIF('API import'!$A:$A, $A1099)&gt;0))</f>
        <v>0</v>
      </c>
      <c r="D1099" s="195" t="b">
        <v>0</v>
      </c>
      <c r="E1099" s="195">
        <v>3.0</v>
      </c>
      <c r="F1099" s="201">
        <f>COUNTIF('Activity map'!$C:$C, $A1099)</f>
        <v>1</v>
      </c>
    </row>
    <row r="1100">
      <c r="A1100" s="26">
        <v>26852.0</v>
      </c>
      <c r="B1100" s="23" t="s">
        <v>1473</v>
      </c>
      <c r="C1100" s="202" t="b">
        <f>IF($D1100, TRUE, IF(ISERROR('API import'!$A$1), FALSE, COUNTIF('API import'!$A:$A, $A1100)&gt;0))</f>
        <v>0</v>
      </c>
      <c r="D1100" s="195" t="b">
        <v>0</v>
      </c>
      <c r="E1100" s="195">
        <v>3.0</v>
      </c>
      <c r="F1100" s="201">
        <f>COUNTIF('Activity map'!$C:$C, $A1100)</f>
        <v>1</v>
      </c>
    </row>
    <row r="1101">
      <c r="A1101" s="26">
        <v>26854.0</v>
      </c>
      <c r="B1101" s="23" t="s">
        <v>1474</v>
      </c>
      <c r="C1101" s="202" t="b">
        <f>IF($D1101, TRUE, IF(ISERROR('API import'!$A$1), FALSE, COUNTIF('API import'!$A:$A, $A1101)&gt;0))</f>
        <v>0</v>
      </c>
      <c r="D1101" s="195" t="b">
        <v>0</v>
      </c>
      <c r="E1101" s="195">
        <v>3.0</v>
      </c>
      <c r="F1101" s="201">
        <f>COUNTIF('Activity map'!$C:$C, $A1101)</f>
        <v>1</v>
      </c>
    </row>
    <row r="1102">
      <c r="A1102" s="26">
        <v>26856.0</v>
      </c>
      <c r="B1102" s="23" t="s">
        <v>1475</v>
      </c>
      <c r="C1102" s="202" t="b">
        <f>IF($D1102, TRUE, IF(ISERROR('API import'!$A$1), FALSE, COUNTIF('API import'!$A:$A, $A1102)&gt;0))</f>
        <v>0</v>
      </c>
      <c r="D1102" s="195" t="b">
        <v>0</v>
      </c>
      <c r="E1102" s="195">
        <v>3.0</v>
      </c>
      <c r="F1102" s="201">
        <f>COUNTIF('Activity map'!$C:$C, $A1102)</f>
        <v>1</v>
      </c>
    </row>
    <row r="1103">
      <c r="A1103" s="26">
        <v>26815.0</v>
      </c>
      <c r="B1103" s="23" t="s">
        <v>1476</v>
      </c>
      <c r="C1103" s="200" t="b">
        <f>IF($D1103, TRUE, IF(ISERROR('API import'!$A$1), FALSE, COUNTIF('API import'!$A:$A, $A1103)&gt;0))</f>
        <v>0</v>
      </c>
      <c r="D1103" s="195" t="b">
        <v>0</v>
      </c>
      <c r="E1103" s="195">
        <v>3.0</v>
      </c>
      <c r="F1103" s="201">
        <f>COUNTIF('Activity map'!$C:$C, $A1103)</f>
        <v>1</v>
      </c>
    </row>
    <row r="1104">
      <c r="A1104" s="26">
        <v>26822.0</v>
      </c>
      <c r="B1104" s="23" t="s">
        <v>1477</v>
      </c>
      <c r="C1104" s="202" t="b">
        <f>IF($D1104, TRUE, IF(ISERROR('API import'!$A$1), FALSE, COUNTIF('API import'!$A:$A, $A1104)&gt;0))</f>
        <v>0</v>
      </c>
      <c r="D1104" s="195" t="b">
        <v>0</v>
      </c>
      <c r="E1104" s="195">
        <v>3.0</v>
      </c>
      <c r="F1104" s="201">
        <f>COUNTIF('Activity map'!$C:$C, $A1104)</f>
        <v>1</v>
      </c>
    </row>
    <row r="1105">
      <c r="A1105" s="26">
        <v>26820.0</v>
      </c>
      <c r="B1105" s="23" t="s">
        <v>1478</v>
      </c>
      <c r="C1105" s="200" t="b">
        <f>IF($D1105, TRUE, IF(ISERROR('API import'!$A$1), FALSE, COUNTIF('API import'!$A:$A, $A1105)&gt;0))</f>
        <v>0</v>
      </c>
      <c r="D1105" s="195" t="b">
        <v>0</v>
      </c>
      <c r="E1105" s="195">
        <v>5.0</v>
      </c>
      <c r="F1105" s="201">
        <f>COUNTIF('Activity map'!$C:$C, $A1105)</f>
        <v>1</v>
      </c>
    </row>
    <row r="1106">
      <c r="A1106" s="26">
        <v>26908.0</v>
      </c>
      <c r="B1106" s="23" t="s">
        <v>1479</v>
      </c>
      <c r="C1106" s="202" t="b">
        <f>IF($D1106, TRUE, IF(ISERROR('API import'!$A$1), FALSE, COUNTIF('API import'!$A:$A, $A1106)&gt;0))</f>
        <v>0</v>
      </c>
      <c r="D1106" s="195" t="b">
        <v>0</v>
      </c>
      <c r="E1106" s="195">
        <v>3.0</v>
      </c>
      <c r="F1106" s="201">
        <f>COUNTIF('Activity map'!$C:$C, $A1106)</f>
        <v>1</v>
      </c>
    </row>
    <row r="1107">
      <c r="A1107" s="26">
        <v>26912.0</v>
      </c>
      <c r="B1107" s="23" t="s">
        <v>1480</v>
      </c>
      <c r="C1107" s="202" t="b">
        <f>IF($D1107, TRUE, IF(ISERROR('API import'!$A$1), FALSE, COUNTIF('API import'!$A:$A, $A1107)&gt;0))</f>
        <v>0</v>
      </c>
      <c r="D1107" s="195" t="b">
        <v>0</v>
      </c>
      <c r="E1107" s="195">
        <v>5.0</v>
      </c>
      <c r="F1107" s="201">
        <f>COUNTIF('Activity map'!$C:$C, $A1107)</f>
        <v>1</v>
      </c>
    </row>
    <row r="1108">
      <c r="A1108" s="26">
        <v>26910.0</v>
      </c>
      <c r="B1108" s="23" t="s">
        <v>1481</v>
      </c>
      <c r="C1108" s="202" t="b">
        <f>IF($D1108, TRUE, IF(ISERROR('API import'!$A$1), FALSE, COUNTIF('API import'!$A:$A, $A1108)&gt;0))</f>
        <v>0</v>
      </c>
      <c r="D1108" s="195" t="b">
        <v>0</v>
      </c>
      <c r="E1108" s="195">
        <v>5.0</v>
      </c>
      <c r="F1108" s="201">
        <f>COUNTIF('Activity map'!$C:$C, $A1108)</f>
        <v>1</v>
      </c>
    </row>
    <row r="1109">
      <c r="A1109" s="26">
        <v>24711.0</v>
      </c>
      <c r="B1109" s="23" t="s">
        <v>1482</v>
      </c>
      <c r="C1109" s="202" t="b">
        <f>IF($D1109, TRUE, IF(ISERROR('API import'!$A$1), FALSE, COUNTIF('API import'!$A:$A, $A1109)&gt;0))</f>
        <v>0</v>
      </c>
      <c r="D1109" s="195" t="b">
        <v>0</v>
      </c>
      <c r="E1109" s="195">
        <v>4.0</v>
      </c>
      <c r="F1109" s="201">
        <f>COUNTIF('Activity map'!$C:$C, $A1109)</f>
        <v>1</v>
      </c>
    </row>
    <row r="1110">
      <c r="A1110" s="26">
        <v>24719.0</v>
      </c>
      <c r="B1110" s="23" t="s">
        <v>1483</v>
      </c>
      <c r="C1110" s="202" t="b">
        <f>IF($D1110, TRUE, IF(ISERROR('API import'!$A$1), FALSE, COUNTIF('API import'!$A:$A, $A1110)&gt;0))</f>
        <v>0</v>
      </c>
      <c r="D1110" s="195" t="b">
        <v>0</v>
      </c>
      <c r="E1110" s="195">
        <v>4.0</v>
      </c>
      <c r="F1110" s="201">
        <f>COUNTIF('Activity map'!$C:$C, $A1110)</f>
        <v>1</v>
      </c>
    </row>
    <row r="1111">
      <c r="A1111" s="26">
        <v>24721.0</v>
      </c>
      <c r="B1111" s="23" t="s">
        <v>1484</v>
      </c>
      <c r="C1111" s="200" t="b">
        <f>IF($D1111, TRUE, IF(ISERROR('API import'!$A$1), FALSE, COUNTIF('API import'!$A:$A, $A1111)&gt;0))</f>
        <v>0</v>
      </c>
      <c r="D1111" s="195" t="b">
        <v>0</v>
      </c>
      <c r="E1111" s="195">
        <v>4.0</v>
      </c>
      <c r="F1111" s="201">
        <f>COUNTIF('Activity map'!$C:$C, $A1111)</f>
        <v>1</v>
      </c>
    </row>
    <row r="1112">
      <c r="A1112" s="26">
        <v>24723.0</v>
      </c>
      <c r="B1112" s="23" t="s">
        <v>1485</v>
      </c>
      <c r="C1112" s="200" t="b">
        <f>IF($D1112, TRUE, IF(ISERROR('API import'!$A$1), FALSE, COUNTIF('API import'!$A:$A, $A1112)&gt;0))</f>
        <v>0</v>
      </c>
      <c r="D1112" s="195" t="b">
        <v>0</v>
      </c>
      <c r="E1112" s="195">
        <v>4.0</v>
      </c>
      <c r="F1112" s="201">
        <f>COUNTIF('Activity map'!$C:$C, $A1112)</f>
        <v>1</v>
      </c>
    </row>
    <row r="1113">
      <c r="A1113" s="26">
        <v>24725.0</v>
      </c>
      <c r="B1113" s="23" t="s">
        <v>1486</v>
      </c>
      <c r="C1113" s="200" t="b">
        <f>IF($D1113, TRUE, IF(ISERROR('API import'!$A$1), FALSE, COUNTIF('API import'!$A:$A, $A1113)&gt;0))</f>
        <v>0</v>
      </c>
      <c r="D1113" s="195" t="b">
        <v>0</v>
      </c>
      <c r="E1113" s="195">
        <v>4.0</v>
      </c>
      <c r="F1113" s="201">
        <f>COUNTIF('Activity map'!$C:$C, $A1113)</f>
        <v>1</v>
      </c>
    </row>
    <row r="1114">
      <c r="A1114" s="26">
        <v>24727.0</v>
      </c>
      <c r="B1114" s="23" t="s">
        <v>1487</v>
      </c>
      <c r="C1114" s="200" t="b">
        <f>IF($D1114, TRUE, IF(ISERROR('API import'!$A$1), FALSE, COUNTIF('API import'!$A:$A, $A1114)&gt;0))</f>
        <v>0</v>
      </c>
      <c r="D1114" s="195" t="b">
        <v>0</v>
      </c>
      <c r="E1114" s="195">
        <v>4.0</v>
      </c>
      <c r="F1114" s="201">
        <f>COUNTIF('Activity map'!$C:$C, $A1114)</f>
        <v>1</v>
      </c>
    </row>
    <row r="1115">
      <c r="A1115" s="26">
        <v>24731.0</v>
      </c>
      <c r="B1115" s="23" t="s">
        <v>1488</v>
      </c>
      <c r="C1115" s="200" t="b">
        <f>IF($D1115, TRUE, IF(ISERROR('API import'!$A$1), FALSE, COUNTIF('API import'!$A:$A, $A1115)&gt;0))</f>
        <v>0</v>
      </c>
      <c r="D1115" s="195" t="b">
        <v>0</v>
      </c>
      <c r="E1115" s="195">
        <v>4.0</v>
      </c>
      <c r="F1115" s="201">
        <f>COUNTIF('Activity map'!$C:$C, $A1115)</f>
        <v>1</v>
      </c>
    </row>
    <row r="1116">
      <c r="A1116" s="26">
        <v>24729.0</v>
      </c>
      <c r="B1116" s="23" t="s">
        <v>1489</v>
      </c>
      <c r="C1116" s="200" t="b">
        <f>IF($D1116, TRUE, IF(ISERROR('API import'!$A$1), FALSE, COUNTIF('API import'!$A:$A, $A1116)&gt;0))</f>
        <v>0</v>
      </c>
      <c r="D1116" s="195" t="b">
        <v>0</v>
      </c>
      <c r="E1116" s="195">
        <v>4.0</v>
      </c>
      <c r="F1116" s="201">
        <f>COUNTIF('Activity map'!$C:$C, $A1116)</f>
        <v>1</v>
      </c>
    </row>
    <row r="1117">
      <c r="A1117" s="26">
        <v>24733.0</v>
      </c>
      <c r="B1117" s="23" t="s">
        <v>1490</v>
      </c>
      <c r="C1117" s="200" t="b">
        <f>IF($D1117, TRUE, IF(ISERROR('API import'!$A$1), FALSE, COUNTIF('API import'!$A:$A, $A1117)&gt;0))</f>
        <v>0</v>
      </c>
      <c r="D1117" s="195" t="b">
        <v>0</v>
      </c>
      <c r="E1117" s="195">
        <v>6.0</v>
      </c>
      <c r="F1117" s="201">
        <f>COUNTIF('Activity map'!$C:$C, $A1117)</f>
        <v>1</v>
      </c>
    </row>
    <row r="1118">
      <c r="A1118" s="26">
        <v>24740.0</v>
      </c>
      <c r="B1118" s="23" t="s">
        <v>1491</v>
      </c>
      <c r="C1118" s="202" t="b">
        <f>IF($D1118, TRUE, IF(ISERROR('API import'!$A$1), FALSE, COUNTIF('API import'!$A:$A, $A1118)&gt;0))</f>
        <v>0</v>
      </c>
      <c r="D1118" s="195" t="b">
        <v>0</v>
      </c>
      <c r="E1118" s="195">
        <v>4.0</v>
      </c>
      <c r="F1118" s="201">
        <f>COUNTIF('Activity map'!$C:$C, $A1118)</f>
        <v>1</v>
      </c>
    </row>
    <row r="1119">
      <c r="A1119" s="26">
        <v>24844.0</v>
      </c>
      <c r="B1119" s="23" t="s">
        <v>1492</v>
      </c>
      <c r="C1119" s="200" t="b">
        <f>IF($D1119, TRUE, IF(ISERROR('API import'!$A$1), FALSE, COUNTIF('API import'!$A:$A, $A1119)&gt;0))</f>
        <v>0</v>
      </c>
      <c r="D1119" s="195" t="b">
        <v>0</v>
      </c>
      <c r="E1119" s="195">
        <v>7.0</v>
      </c>
      <c r="F1119" s="201">
        <f>COUNTIF('Activity map'!$C:$C, $A1119)</f>
        <v>1</v>
      </c>
    </row>
    <row r="1120">
      <c r="A1120" s="26">
        <v>24763.0</v>
      </c>
      <c r="B1120" s="23" t="s">
        <v>1493</v>
      </c>
      <c r="C1120" s="200" t="b">
        <f>IF($D1120, TRUE, IF(ISERROR('API import'!$A$1), FALSE, COUNTIF('API import'!$A:$A, $A1120)&gt;0))</f>
        <v>0</v>
      </c>
      <c r="D1120" s="195" t="b">
        <v>0</v>
      </c>
      <c r="E1120" s="195">
        <v>4.0</v>
      </c>
      <c r="F1120" s="201">
        <f>COUNTIF('Activity map'!$C:$C, $A1120)</f>
        <v>1</v>
      </c>
    </row>
    <row r="1121">
      <c r="A1121" s="26">
        <v>24765.0</v>
      </c>
      <c r="B1121" s="23" t="s">
        <v>1493</v>
      </c>
      <c r="C1121" s="202" t="b">
        <f>IF($D1121, TRUE, IF(ISERROR('API import'!$A$1), FALSE, COUNTIF('API import'!$A:$A, $A1121)&gt;0))</f>
        <v>0</v>
      </c>
      <c r="D1121" s="195" t="b">
        <v>0</v>
      </c>
      <c r="E1121" s="195">
        <v>4.0</v>
      </c>
      <c r="F1121" s="201">
        <f>COUNTIF('Activity map'!$C:$C, $A1121)</f>
        <v>1</v>
      </c>
    </row>
    <row r="1122">
      <c r="A1122" s="26">
        <v>24767.0</v>
      </c>
      <c r="B1122" s="23" t="s">
        <v>1493</v>
      </c>
      <c r="C1122" s="200" t="b">
        <f>IF($D1122, TRUE, IF(ISERROR('API import'!$A$1), FALSE, COUNTIF('API import'!$A:$A, $A1122)&gt;0))</f>
        <v>0</v>
      </c>
      <c r="D1122" s="195" t="b">
        <v>0</v>
      </c>
      <c r="E1122" s="195">
        <v>5.0</v>
      </c>
      <c r="F1122" s="201">
        <f>COUNTIF('Activity map'!$C:$C, $A1122)</f>
        <v>1</v>
      </c>
    </row>
    <row r="1123">
      <c r="A1123" s="26">
        <v>24769.0</v>
      </c>
      <c r="B1123" s="23" t="s">
        <v>1493</v>
      </c>
      <c r="C1123" s="200" t="b">
        <f>IF($D1123, TRUE, IF(ISERROR('API import'!$A$1), FALSE, COUNTIF('API import'!$A:$A, $A1123)&gt;0))</f>
        <v>0</v>
      </c>
      <c r="D1123" s="195" t="b">
        <v>0</v>
      </c>
      <c r="E1123" s="195">
        <v>5.0</v>
      </c>
      <c r="F1123" s="201">
        <f>COUNTIF('Activity map'!$C:$C, $A1123)</f>
        <v>1</v>
      </c>
    </row>
    <row r="1124">
      <c r="A1124" s="26">
        <v>24771.0</v>
      </c>
      <c r="B1124" s="23" t="s">
        <v>1493</v>
      </c>
      <c r="C1124" s="200" t="b">
        <f>IF($D1124, TRUE, IF(ISERROR('API import'!$A$1), FALSE, COUNTIF('API import'!$A:$A, $A1124)&gt;0))</f>
        <v>0</v>
      </c>
      <c r="D1124" s="195" t="b">
        <v>0</v>
      </c>
      <c r="E1124" s="195">
        <v>5.0</v>
      </c>
      <c r="F1124" s="201">
        <f>COUNTIF('Activity map'!$C:$C, $A1124)</f>
        <v>1</v>
      </c>
    </row>
    <row r="1125">
      <c r="A1125" s="26">
        <v>24189.0</v>
      </c>
      <c r="B1125" s="23" t="s">
        <v>1494</v>
      </c>
      <c r="C1125" s="200" t="b">
        <f>IF($D1125, TRUE, IF(ISERROR('API import'!$A$1), FALSE, COUNTIF('API import'!$A:$A, $A1125)&gt;0))</f>
        <v>0</v>
      </c>
      <c r="D1125" s="195" t="b">
        <v>0</v>
      </c>
      <c r="E1125" s="195">
        <v>5.0</v>
      </c>
      <c r="F1125" s="201">
        <f>COUNTIF('Activity map'!$C:$C, $A1125)</f>
        <v>1</v>
      </c>
    </row>
    <row r="1126">
      <c r="A1126" s="26">
        <v>24190.0</v>
      </c>
      <c r="B1126" s="23" t="s">
        <v>1495</v>
      </c>
      <c r="C1126" s="200" t="b">
        <f>IF($D1126, TRUE, IF(ISERROR('API import'!$A$1), FALSE, COUNTIF('API import'!$A:$A, $A1126)&gt;0))</f>
        <v>0</v>
      </c>
      <c r="D1126" s="195" t="b">
        <v>0</v>
      </c>
      <c r="E1126" s="195">
        <v>5.0</v>
      </c>
      <c r="F1126" s="201">
        <f>COUNTIF('Activity map'!$C:$C, $A1126)</f>
        <v>1</v>
      </c>
    </row>
    <row r="1127">
      <c r="A1127" s="26">
        <v>24191.0</v>
      </c>
      <c r="B1127" s="23" t="s">
        <v>1496</v>
      </c>
      <c r="C1127" s="200" t="b">
        <f>IF($D1127, TRUE, IF(ISERROR('API import'!$A$1), FALSE, COUNTIF('API import'!$A:$A, $A1127)&gt;0))</f>
        <v>0</v>
      </c>
      <c r="D1127" s="195" t="b">
        <v>0</v>
      </c>
      <c r="E1127" s="195">
        <v>5.0</v>
      </c>
      <c r="F1127" s="201">
        <f>COUNTIF('Activity map'!$C:$C, $A1127)</f>
        <v>1</v>
      </c>
    </row>
    <row r="1128">
      <c r="A1128" s="26">
        <v>24192.0</v>
      </c>
      <c r="B1128" s="23" t="s">
        <v>1497</v>
      </c>
      <c r="C1128" s="200" t="b">
        <f>IF($D1128, TRUE, IF(ISERROR('API import'!$A$1), FALSE, COUNTIF('API import'!$A:$A, $A1128)&gt;0))</f>
        <v>0</v>
      </c>
      <c r="D1128" s="195" t="b">
        <v>0</v>
      </c>
      <c r="E1128" s="195">
        <v>5.0</v>
      </c>
      <c r="F1128" s="201">
        <f>COUNTIF('Activity map'!$C:$C, $A1128)</f>
        <v>1</v>
      </c>
    </row>
    <row r="1129">
      <c r="A1129" s="26">
        <v>24195.0</v>
      </c>
      <c r="B1129" s="23" t="s">
        <v>1498</v>
      </c>
      <c r="C1129" s="200" t="b">
        <f>IF($D1129, TRUE, IF(ISERROR('API import'!$A$1), FALSE, COUNTIF('API import'!$A:$A, $A1129)&gt;0))</f>
        <v>0</v>
      </c>
      <c r="D1129" s="195" t="b">
        <v>0</v>
      </c>
      <c r="E1129" s="195">
        <v>5.0</v>
      </c>
      <c r="F1129" s="201">
        <f>COUNTIF('Activity map'!$C:$C, $A1129)</f>
        <v>1</v>
      </c>
    </row>
    <row r="1130">
      <c r="A1130" s="26">
        <v>24198.0</v>
      </c>
      <c r="B1130" s="23" t="s">
        <v>1499</v>
      </c>
      <c r="C1130" s="200" t="b">
        <f>IF($D1130, TRUE, IF(ISERROR('API import'!$A$1), FALSE, COUNTIF('API import'!$A:$A, $A1130)&gt;0))</f>
        <v>0</v>
      </c>
      <c r="D1130" s="195" t="b">
        <v>0</v>
      </c>
      <c r="E1130" s="195">
        <v>5.0</v>
      </c>
      <c r="F1130" s="201">
        <f>COUNTIF('Activity map'!$C:$C, $A1130)</f>
        <v>1</v>
      </c>
    </row>
    <row r="1131">
      <c r="A1131" s="26">
        <v>24201.0</v>
      </c>
      <c r="B1131" s="23" t="s">
        <v>1500</v>
      </c>
      <c r="C1131" s="200" t="b">
        <f>IF($D1131, TRUE, IF(ISERROR('API import'!$A$1), FALSE, COUNTIF('API import'!$A:$A, $A1131)&gt;0))</f>
        <v>0</v>
      </c>
      <c r="D1131" s="195" t="b">
        <v>0</v>
      </c>
      <c r="E1131" s="195">
        <v>5.0</v>
      </c>
      <c r="F1131" s="201">
        <f>COUNTIF('Activity map'!$C:$C, $A1131)</f>
        <v>1</v>
      </c>
    </row>
    <row r="1132">
      <c r="A1132" s="26">
        <v>24204.0</v>
      </c>
      <c r="B1132" s="23" t="s">
        <v>1501</v>
      </c>
      <c r="C1132" s="200" t="b">
        <f>IF($D1132, TRUE, IF(ISERROR('API import'!$A$1), FALSE, COUNTIF('API import'!$A:$A, $A1132)&gt;0))</f>
        <v>0</v>
      </c>
      <c r="D1132" s="195" t="b">
        <v>0</v>
      </c>
      <c r="E1132" s="195">
        <v>5.0</v>
      </c>
      <c r="F1132" s="201">
        <f>COUNTIF('Activity map'!$C:$C, $A1132)</f>
        <v>1</v>
      </c>
    </row>
    <row r="1133">
      <c r="A1133" s="26">
        <v>24868.0</v>
      </c>
      <c r="B1133" s="23" t="s">
        <v>1502</v>
      </c>
      <c r="C1133" s="200" t="b">
        <f>IF($D1133, TRUE, IF(ISERROR('API import'!$A$1), FALSE, COUNTIF('API import'!$A:$A, $A1133)&gt;0))</f>
        <v>0</v>
      </c>
      <c r="D1133" s="195" t="b">
        <v>0</v>
      </c>
      <c r="E1133" s="195">
        <v>4.0</v>
      </c>
      <c r="F1133" s="201">
        <f>COUNTIF('Activity map'!$C:$C, $A1133)</f>
        <v>1</v>
      </c>
    </row>
    <row r="1134">
      <c r="A1134" s="26">
        <v>24869.0</v>
      </c>
      <c r="B1134" s="23" t="s">
        <v>1503</v>
      </c>
      <c r="C1134" s="200" t="b">
        <f>IF($D1134, TRUE, IF(ISERROR('API import'!$A$1), FALSE, COUNTIF('API import'!$A:$A, $A1134)&gt;0))</f>
        <v>0</v>
      </c>
      <c r="D1134" s="195" t="b">
        <v>0</v>
      </c>
      <c r="E1134" s="195">
        <v>4.0</v>
      </c>
      <c r="F1134" s="201">
        <f>COUNTIF('Activity map'!$C:$C, $A1134)</f>
        <v>1</v>
      </c>
    </row>
    <row r="1135">
      <c r="A1135" s="26">
        <v>24870.0</v>
      </c>
      <c r="B1135" s="23" t="s">
        <v>1504</v>
      </c>
      <c r="C1135" s="200" t="b">
        <f>IF($D1135, TRUE, IF(ISERROR('API import'!$A$1), FALSE, COUNTIF('API import'!$A:$A, $A1135)&gt;0))</f>
        <v>0</v>
      </c>
      <c r="D1135" s="195" t="b">
        <v>0</v>
      </c>
      <c r="E1135" s="195">
        <v>4.0</v>
      </c>
      <c r="F1135" s="201">
        <f>COUNTIF('Activity map'!$C:$C, $A1135)</f>
        <v>1</v>
      </c>
    </row>
    <row r="1136">
      <c r="A1136" s="26">
        <v>24871.0</v>
      </c>
      <c r="B1136" s="23" t="s">
        <v>1505</v>
      </c>
      <c r="C1136" s="200" t="b">
        <f>IF($D1136, TRUE, IF(ISERROR('API import'!$A$1), FALSE, COUNTIF('API import'!$A:$A, $A1136)&gt;0))</f>
        <v>0</v>
      </c>
      <c r="D1136" s="195" t="b">
        <v>0</v>
      </c>
      <c r="E1136" s="195">
        <v>4.0</v>
      </c>
      <c r="F1136" s="201">
        <f>COUNTIF('Activity map'!$C:$C, $A1136)</f>
        <v>1</v>
      </c>
    </row>
    <row r="1137">
      <c r="A1137" s="26">
        <v>24207.0</v>
      </c>
      <c r="B1137" s="23" t="s">
        <v>1506</v>
      </c>
      <c r="C1137" s="200" t="b">
        <f>IF($D1137, TRUE, IF(ISERROR('API import'!$A$1), FALSE, COUNTIF('API import'!$A:$A, $A1137)&gt;0))</f>
        <v>0</v>
      </c>
      <c r="D1137" s="195" t="b">
        <v>0</v>
      </c>
      <c r="E1137" s="195">
        <v>3.0</v>
      </c>
      <c r="F1137" s="201">
        <f>COUNTIF('Activity map'!$C:$C, $A1137)</f>
        <v>1</v>
      </c>
    </row>
    <row r="1138">
      <c r="A1138" s="26">
        <v>24209.0</v>
      </c>
      <c r="B1138" s="23" t="s">
        <v>1507</v>
      </c>
      <c r="C1138" s="200" t="b">
        <f>IF($D1138, TRUE, IF(ISERROR('API import'!$A$1), FALSE, COUNTIF('API import'!$A:$A, $A1138)&gt;0))</f>
        <v>0</v>
      </c>
      <c r="D1138" s="195" t="b">
        <v>0</v>
      </c>
      <c r="E1138" s="195">
        <v>3.0</v>
      </c>
      <c r="F1138" s="201">
        <f>COUNTIF('Activity map'!$C:$C, $A1138)</f>
        <v>1</v>
      </c>
    </row>
    <row r="1139">
      <c r="A1139" s="26">
        <v>24211.0</v>
      </c>
      <c r="B1139" s="23" t="s">
        <v>1508</v>
      </c>
      <c r="C1139" s="200" t="b">
        <f>IF($D1139, TRUE, IF(ISERROR('API import'!$A$1), FALSE, COUNTIF('API import'!$A:$A, $A1139)&gt;0))</f>
        <v>0</v>
      </c>
      <c r="D1139" s="195" t="b">
        <v>0</v>
      </c>
      <c r="E1139" s="195">
        <v>5.0</v>
      </c>
      <c r="F1139" s="201">
        <f>COUNTIF('Activity map'!$C:$C, $A1139)</f>
        <v>1</v>
      </c>
    </row>
    <row r="1140">
      <c r="A1140" s="26">
        <v>24213.0</v>
      </c>
      <c r="B1140" s="23" t="s">
        <v>1509</v>
      </c>
      <c r="C1140" s="200" t="b">
        <f>IF($D1140, TRUE, IF(ISERROR('API import'!$A$1), FALSE, COUNTIF('API import'!$A:$A, $A1140)&gt;0))</f>
        <v>0</v>
      </c>
      <c r="D1140" s="195" t="b">
        <v>0</v>
      </c>
      <c r="E1140" s="195">
        <v>6.0</v>
      </c>
      <c r="F1140" s="201">
        <f>COUNTIF('Activity map'!$C:$C, $A1140)</f>
        <v>1</v>
      </c>
    </row>
    <row r="1141">
      <c r="A1141" s="26">
        <v>24215.0</v>
      </c>
      <c r="B1141" s="23" t="s">
        <v>1510</v>
      </c>
      <c r="C1141" s="200" t="b">
        <f>IF($D1141, TRUE, IF(ISERROR('API import'!$A$1), FALSE, COUNTIF('API import'!$A:$A, $A1141)&gt;0))</f>
        <v>0</v>
      </c>
      <c r="D1141" s="195" t="b">
        <v>0</v>
      </c>
      <c r="E1141" s="195">
        <v>8.0</v>
      </c>
      <c r="F1141" s="201">
        <f>COUNTIF('Activity map'!$C:$C, $A1141)</f>
        <v>1</v>
      </c>
    </row>
    <row r="1142">
      <c r="A1142" s="26">
        <v>24520.0</v>
      </c>
      <c r="B1142" s="23" t="s">
        <v>1511</v>
      </c>
      <c r="C1142" s="200" t="b">
        <f>IF($D1142, TRUE, IF(ISERROR('API import'!$A$1), FALSE, COUNTIF('API import'!$A:$A, $A1142)&gt;0))</f>
        <v>0</v>
      </c>
      <c r="D1142" s="195" t="b">
        <v>0</v>
      </c>
      <c r="E1142" s="195">
        <v>9.0</v>
      </c>
      <c r="F1142" s="201">
        <f>COUNTIF('Activity map'!$C:$C, $A1142)</f>
        <v>1</v>
      </c>
    </row>
    <row r="1143">
      <c r="A1143" s="26">
        <v>12849.0</v>
      </c>
      <c r="B1143" s="23" t="s">
        <v>1512</v>
      </c>
      <c r="C1143" s="200" t="b">
        <f>IF($D1143, TRUE, IF(ISERROR('API import'!$A$1), FALSE, COUNTIF('API import'!$A:$A, $A1143)&gt;0))</f>
        <v>0</v>
      </c>
      <c r="D1143" s="195" t="b">
        <v>0</v>
      </c>
      <c r="E1143" s="195">
        <v>3.0</v>
      </c>
      <c r="F1143" s="201">
        <f>COUNTIF('Activity map'!$C:$C, $A1143)</f>
        <v>1</v>
      </c>
    </row>
    <row r="1144">
      <c r="A1144" s="26">
        <v>24229.0</v>
      </c>
      <c r="B1144" s="23" t="s">
        <v>1513</v>
      </c>
      <c r="C1144" s="200" t="b">
        <f>IF($D1144, TRUE, IF(ISERROR('API import'!$A$1), FALSE, COUNTIF('API import'!$A:$A, $A1144)&gt;0))</f>
        <v>0</v>
      </c>
      <c r="D1144" s="195" t="b">
        <v>0</v>
      </c>
      <c r="E1144" s="195">
        <v>3.0</v>
      </c>
      <c r="F1144" s="201">
        <f>COUNTIF('Activity map'!$C:$C, $A1144)</f>
        <v>1</v>
      </c>
    </row>
    <row r="1145">
      <c r="A1145" s="26">
        <v>12798.0</v>
      </c>
      <c r="B1145" s="23" t="s">
        <v>1514</v>
      </c>
      <c r="C1145" s="200" t="b">
        <f>IF($D1145, TRUE, IF(ISERROR('API import'!$A$1), FALSE, COUNTIF('API import'!$A:$A, $A1145)&gt;0))</f>
        <v>0</v>
      </c>
      <c r="D1145" s="195" t="b">
        <v>0</v>
      </c>
      <c r="E1145" s="195">
        <v>3.0</v>
      </c>
      <c r="F1145" s="201">
        <f>COUNTIF('Activity map'!$C:$C, $A1145)</f>
        <v>1</v>
      </c>
    </row>
    <row r="1146">
      <c r="A1146" s="26">
        <v>21202.0</v>
      </c>
      <c r="B1146" s="23" t="s">
        <v>1515</v>
      </c>
      <c r="C1146" s="200" t="b">
        <f>IF($D1146, TRUE, IF(ISERROR('API import'!$A$1), FALSE, COUNTIF('API import'!$A:$A, $A1146)&gt;0))</f>
        <v>0</v>
      </c>
      <c r="D1146" s="195" t="b">
        <v>0</v>
      </c>
      <c r="E1146" s="195">
        <v>3.0</v>
      </c>
      <c r="F1146" s="201">
        <f>COUNTIF('Activity map'!$C:$C, $A1146)</f>
        <v>1</v>
      </c>
    </row>
    <row r="1147">
      <c r="A1147" s="26">
        <v>12800.0</v>
      </c>
      <c r="B1147" s="23" t="s">
        <v>1516</v>
      </c>
      <c r="C1147" s="200" t="b">
        <f>IF($D1147, TRUE, IF(ISERROR('API import'!$A$1), FALSE, COUNTIF('API import'!$A:$A, $A1147)&gt;0))</f>
        <v>0</v>
      </c>
      <c r="D1147" s="195" t="b">
        <v>0</v>
      </c>
      <c r="E1147" s="195">
        <v>3.0</v>
      </c>
      <c r="F1147" s="201">
        <f>COUNTIF('Activity map'!$C:$C, $A1147)</f>
        <v>1</v>
      </c>
    </row>
    <row r="1148">
      <c r="A1148" s="26">
        <v>12802.0</v>
      </c>
      <c r="B1148" s="23" t="s">
        <v>1517</v>
      </c>
      <c r="C1148" s="200" t="b">
        <f>IF($D1148, TRUE, IF(ISERROR('API import'!$A$1), FALSE, COUNTIF('API import'!$A:$A, $A1148)&gt;0))</f>
        <v>0</v>
      </c>
      <c r="D1148" s="195" t="b">
        <v>0</v>
      </c>
      <c r="E1148" s="195">
        <v>3.0</v>
      </c>
      <c r="F1148" s="201">
        <f>COUNTIF('Activity map'!$C:$C, $A1148)</f>
        <v>1</v>
      </c>
    </row>
    <row r="1149">
      <c r="A1149" s="26">
        <v>12759.0</v>
      </c>
      <c r="B1149" s="23" t="s">
        <v>1518</v>
      </c>
      <c r="C1149" s="200" t="b">
        <f>IF($D1149, TRUE, IF(ISERROR('API import'!$A$1), FALSE, COUNTIF('API import'!$A:$A, $A1149)&gt;0))</f>
        <v>0</v>
      </c>
      <c r="D1149" s="195" t="b">
        <v>0</v>
      </c>
      <c r="E1149" s="195">
        <v>3.0</v>
      </c>
      <c r="F1149" s="201">
        <f>COUNTIF('Activity map'!$C:$C, $A1149)</f>
        <v>1</v>
      </c>
    </row>
    <row r="1150">
      <c r="A1150" s="26">
        <v>12761.0</v>
      </c>
      <c r="B1150" s="23" t="s">
        <v>1519</v>
      </c>
      <c r="C1150" s="200" t="b">
        <f>IF($D1150, TRUE, IF(ISERROR('API import'!$A$1), FALSE, COUNTIF('API import'!$A:$A, $A1150)&gt;0))</f>
        <v>0</v>
      </c>
      <c r="D1150" s="195" t="b">
        <v>0</v>
      </c>
      <c r="E1150" s="195">
        <v>3.0</v>
      </c>
      <c r="F1150" s="201">
        <f>COUNTIF('Activity map'!$C:$C, $A1150)</f>
        <v>1</v>
      </c>
    </row>
    <row r="1151">
      <c r="A1151" s="26">
        <v>12763.0</v>
      </c>
      <c r="B1151" s="23" t="s">
        <v>1520</v>
      </c>
      <c r="C1151" s="200" t="b">
        <f>IF($D1151, TRUE, IF(ISERROR('API import'!$A$1), FALSE, COUNTIF('API import'!$A:$A, $A1151)&gt;0))</f>
        <v>0</v>
      </c>
      <c r="D1151" s="195" t="b">
        <v>0</v>
      </c>
      <c r="E1151" s="195">
        <v>3.0</v>
      </c>
      <c r="F1151" s="201">
        <f>COUNTIF('Activity map'!$C:$C, $A1151)</f>
        <v>1</v>
      </c>
    </row>
    <row r="1152">
      <c r="A1152" s="26">
        <v>12757.0</v>
      </c>
      <c r="B1152" s="23" t="s">
        <v>1521</v>
      </c>
      <c r="C1152" s="200" t="b">
        <f>IF($D1152, TRUE, IF(ISERROR('API import'!$A$1), FALSE, COUNTIF('API import'!$A:$A, $A1152)&gt;0))</f>
        <v>0</v>
      </c>
      <c r="D1152" s="195" t="b">
        <v>0</v>
      </c>
      <c r="E1152" s="195">
        <v>3.0</v>
      </c>
      <c r="F1152" s="201">
        <f>COUNTIF('Activity map'!$C:$C, $A1152)</f>
        <v>1</v>
      </c>
    </row>
    <row r="1153">
      <c r="A1153" s="26">
        <v>12771.0</v>
      </c>
      <c r="B1153" s="23" t="s">
        <v>1522</v>
      </c>
      <c r="C1153" s="200" t="b">
        <f>IF($D1153, TRUE, IF(ISERROR('API import'!$A$1), FALSE, COUNTIF('API import'!$A:$A, $A1153)&gt;0))</f>
        <v>0</v>
      </c>
      <c r="D1153" s="195" t="b">
        <v>0</v>
      </c>
      <c r="E1153" s="195">
        <v>3.0</v>
      </c>
      <c r="F1153" s="201">
        <f>COUNTIF('Activity map'!$C:$C, $A1153)</f>
        <v>1</v>
      </c>
    </row>
    <row r="1154">
      <c r="A1154" s="26">
        <v>12769.0</v>
      </c>
      <c r="B1154" s="23" t="s">
        <v>1523</v>
      </c>
      <c r="C1154" s="200" t="b">
        <f>IF($D1154, TRUE, IF(ISERROR('API import'!$A$1), FALSE, COUNTIF('API import'!$A:$A, $A1154)&gt;0))</f>
        <v>0</v>
      </c>
      <c r="D1154" s="195" t="b">
        <v>0</v>
      </c>
      <c r="E1154" s="195">
        <v>3.0</v>
      </c>
      <c r="F1154" s="201">
        <f>COUNTIF('Activity map'!$C:$C, $A1154)</f>
        <v>1</v>
      </c>
    </row>
    <row r="1155">
      <c r="A1155" s="26">
        <v>24217.0</v>
      </c>
      <c r="B1155" s="23" t="s">
        <v>1524</v>
      </c>
      <c r="C1155" s="200" t="b">
        <f>IF($D1155, TRUE, IF(ISERROR('API import'!$A$1), FALSE, COUNTIF('API import'!$A:$A, $A1155)&gt;0))</f>
        <v>0</v>
      </c>
      <c r="D1155" s="195" t="b">
        <v>0</v>
      </c>
      <c r="E1155" s="195">
        <v>5.0</v>
      </c>
      <c r="F1155" s="201">
        <f>COUNTIF('Activity map'!$C:$C, $A1155)</f>
        <v>1</v>
      </c>
    </row>
    <row r="1156">
      <c r="A1156" s="25">
        <v>24219.0</v>
      </c>
      <c r="B1156" s="23" t="s">
        <v>1525</v>
      </c>
      <c r="C1156" s="200" t="b">
        <f>IF($D1156, TRUE, IF(ISERROR('API import'!$A$1), FALSE, COUNTIF('API import'!$A:$A, $A1156)&gt;0))</f>
        <v>0</v>
      </c>
      <c r="D1156" s="195" t="b">
        <v>0</v>
      </c>
      <c r="E1156" s="195">
        <v>5.0</v>
      </c>
      <c r="F1156" s="201">
        <f>COUNTIF('Activity map'!$C:$C, $A1156)</f>
        <v>1</v>
      </c>
    </row>
    <row r="1157">
      <c r="A1157" s="25">
        <v>6908.0</v>
      </c>
      <c r="B1157" s="23" t="s">
        <v>1526</v>
      </c>
      <c r="C1157" s="202" t="b">
        <f>IF($D1157, TRUE, IF(ISERROR('API import'!$A$1), FALSE, COUNTIF('API import'!$A:$A, $A1157)&gt;0))</f>
        <v>0</v>
      </c>
      <c r="D1157" s="195" t="b">
        <v>0</v>
      </c>
      <c r="E1157" s="195">
        <v>2.0</v>
      </c>
      <c r="F1157" s="201">
        <f>COUNTIF('Activity map'!$C:$C, $A1157)</f>
        <v>1</v>
      </c>
    </row>
    <row r="1158">
      <c r="A1158" s="25">
        <v>6910.0</v>
      </c>
      <c r="B1158" s="23" t="s">
        <v>1527</v>
      </c>
      <c r="C1158" s="200" t="b">
        <f>IF($D1158, TRUE, IF(ISERROR('API import'!$A$1), FALSE, COUNTIF('API import'!$A:$A, $A1158)&gt;0))</f>
        <v>0</v>
      </c>
      <c r="D1158" s="195" t="b">
        <v>0</v>
      </c>
      <c r="E1158" s="195">
        <v>2.0</v>
      </c>
      <c r="F1158" s="201">
        <f>COUNTIF('Activity map'!$C:$C, $A1158)</f>
        <v>1</v>
      </c>
    </row>
    <row r="1159">
      <c r="A1159" s="25">
        <v>6912.0</v>
      </c>
      <c r="B1159" s="23" t="s">
        <v>1528</v>
      </c>
      <c r="C1159" s="200" t="b">
        <f>IF($D1159, TRUE, IF(ISERROR('API import'!$A$1), FALSE, COUNTIF('API import'!$A:$A, $A1159)&gt;0))</f>
        <v>0</v>
      </c>
      <c r="D1159" s="195" t="b">
        <v>0</v>
      </c>
      <c r="E1159" s="195">
        <v>2.0</v>
      </c>
      <c r="F1159" s="201">
        <f>COUNTIF('Activity map'!$C:$C, $A1159)</f>
        <v>1</v>
      </c>
    </row>
    <row r="1160">
      <c r="A1160" s="25">
        <v>6914.0</v>
      </c>
      <c r="B1160" s="23" t="s">
        <v>1529</v>
      </c>
      <c r="C1160" s="200" t="b">
        <f>IF($D1160, TRUE, IF(ISERROR('API import'!$A$1), FALSE, COUNTIF('API import'!$A:$A, $A1160)&gt;0))</f>
        <v>0</v>
      </c>
      <c r="D1160" s="195" t="b">
        <v>0</v>
      </c>
      <c r="E1160" s="195">
        <v>3.0</v>
      </c>
      <c r="F1160" s="201">
        <f>COUNTIF('Activity map'!$C:$C, $A1160)</f>
        <v>1</v>
      </c>
    </row>
    <row r="1161">
      <c r="A1161" s="25">
        <v>6918.0</v>
      </c>
      <c r="B1161" s="23" t="s">
        <v>1530</v>
      </c>
      <c r="C1161" s="200" t="b">
        <f>IF($D1161, TRUE, IF(ISERROR('API import'!$A$1), FALSE, COUNTIF('API import'!$A:$A, $A1161)&gt;0))</f>
        <v>0</v>
      </c>
      <c r="D1161" s="195" t="b">
        <v>0</v>
      </c>
      <c r="E1161" s="195">
        <v>3.0</v>
      </c>
      <c r="F1161" s="201">
        <f>COUNTIF('Activity map'!$C:$C, $A1161)</f>
        <v>1</v>
      </c>
    </row>
    <row r="1162">
      <c r="A1162" s="25">
        <v>6916.0</v>
      </c>
      <c r="B1162" s="23" t="s">
        <v>1531</v>
      </c>
      <c r="C1162" s="200" t="b">
        <f>IF($D1162, TRUE, IF(ISERROR('API import'!$A$1), FALSE, COUNTIF('API import'!$A:$A, $A1162)&gt;0))</f>
        <v>0</v>
      </c>
      <c r="D1162" s="195" t="b">
        <v>0</v>
      </c>
      <c r="E1162" s="195">
        <v>3.0</v>
      </c>
      <c r="F1162" s="201">
        <f>COUNTIF('Activity map'!$C:$C, $A1162)</f>
        <v>1</v>
      </c>
    </row>
    <row r="1163">
      <c r="A1163" s="26">
        <v>6924.0</v>
      </c>
      <c r="B1163" s="23" t="s">
        <v>1532</v>
      </c>
      <c r="C1163" s="200" t="b">
        <f>IF($D1163, TRUE, IF(ISERROR('API import'!$A$1), FALSE, COUNTIF('API import'!$A:$A, $A1163)&gt;0))</f>
        <v>0</v>
      </c>
      <c r="D1163" s="195" t="b">
        <v>0</v>
      </c>
      <c r="E1163" s="195">
        <v>3.0</v>
      </c>
      <c r="F1163" s="201">
        <f>COUNTIF('Activity map'!$C:$C, $A1163)</f>
        <v>1</v>
      </c>
    </row>
    <row r="1164">
      <c r="A1164" s="26">
        <v>6920.0</v>
      </c>
      <c r="B1164" s="23" t="s">
        <v>1533</v>
      </c>
      <c r="C1164" s="202" t="b">
        <f>IF($D1164, TRUE, IF(ISERROR('API import'!$A$1), FALSE, COUNTIF('API import'!$A:$A, $A1164)&gt;0))</f>
        <v>0</v>
      </c>
      <c r="D1164" s="195" t="b">
        <v>0</v>
      </c>
      <c r="E1164" s="195">
        <v>2.0</v>
      </c>
      <c r="F1164" s="201">
        <f>COUNTIF('Activity map'!$C:$C, $A1164)</f>
        <v>1</v>
      </c>
    </row>
    <row r="1165">
      <c r="A1165" s="26">
        <v>6922.0</v>
      </c>
      <c r="B1165" s="23" t="s">
        <v>1534</v>
      </c>
      <c r="C1165" s="202" t="b">
        <f>IF($D1165, TRUE, IF(ISERROR('API import'!$A$1), FALSE, COUNTIF('API import'!$A:$A, $A1165)&gt;0))</f>
        <v>0</v>
      </c>
      <c r="D1165" s="195" t="b">
        <v>0</v>
      </c>
      <c r="E1165" s="195">
        <v>2.0</v>
      </c>
      <c r="F1165" s="201">
        <f>COUNTIF('Activity map'!$C:$C, $A1165)</f>
        <v>1</v>
      </c>
    </row>
    <row r="1166">
      <c r="A1166" s="26">
        <v>6889.0</v>
      </c>
      <c r="B1166" s="23" t="s">
        <v>1535</v>
      </c>
      <c r="C1166" s="200" t="b">
        <f>IF($D1166, TRUE, IF(ISERROR('API import'!$A$1), FALSE, COUNTIF('API import'!$A:$A, $A1166)&gt;0))</f>
        <v>0</v>
      </c>
      <c r="D1166" s="195" t="b">
        <v>0</v>
      </c>
      <c r="E1166" s="195">
        <v>3.0</v>
      </c>
      <c r="F1166" s="201">
        <f>COUNTIF('Activity map'!$C:$C, $A1166)</f>
        <v>1</v>
      </c>
    </row>
    <row r="1167">
      <c r="A1167" s="26">
        <v>6926.0</v>
      </c>
      <c r="B1167" s="23" t="s">
        <v>1536</v>
      </c>
      <c r="C1167" s="202" t="b">
        <f>IF($D1167, TRUE, IF(ISERROR('API import'!$A$1), FALSE, COUNTIF('API import'!$A:$A, $A1167)&gt;0))</f>
        <v>0</v>
      </c>
      <c r="D1167" s="195" t="b">
        <v>0</v>
      </c>
      <c r="E1167" s="195">
        <v>2.0</v>
      </c>
      <c r="F1167" s="201">
        <f>COUNTIF('Activity map'!$C:$C, $A1167)</f>
        <v>1</v>
      </c>
    </row>
    <row r="1168">
      <c r="A1168" s="26">
        <v>24884.0</v>
      </c>
      <c r="B1168" s="23" t="s">
        <v>1537</v>
      </c>
      <c r="C1168" s="202" t="b">
        <f>IF($D1168, TRUE, IF(ISERROR('API import'!$A$1), FALSE, COUNTIF('API import'!$A:$A, $A1168)&gt;0))</f>
        <v>0</v>
      </c>
      <c r="D1168" s="195" t="b">
        <v>0</v>
      </c>
      <c r="E1168" s="195">
        <v>3.0</v>
      </c>
      <c r="F1168" s="201">
        <f>COUNTIF('Activity map'!$C:$C, $A1168)</f>
        <v>1</v>
      </c>
    </row>
    <row r="1169">
      <c r="A1169" s="26">
        <v>24872.0</v>
      </c>
      <c r="B1169" s="23" t="s">
        <v>1538</v>
      </c>
      <c r="C1169" s="202" t="b">
        <f>IF($D1169, TRUE, IF(ISERROR('API import'!$A$1), FALSE, COUNTIF('API import'!$A:$A, $A1169)&gt;0))</f>
        <v>0</v>
      </c>
      <c r="D1169" s="195" t="b">
        <v>0</v>
      </c>
      <c r="E1169" s="195">
        <v>4.0</v>
      </c>
      <c r="F1169" s="201">
        <f>COUNTIF('Activity map'!$C:$C, $A1169)</f>
        <v>1</v>
      </c>
    </row>
    <row r="1170">
      <c r="A1170" s="26">
        <v>24874.0</v>
      </c>
      <c r="B1170" s="23" t="s">
        <v>1539</v>
      </c>
      <c r="C1170" s="202" t="b">
        <f>IF($D1170, TRUE, IF(ISERROR('API import'!$A$1), FALSE, COUNTIF('API import'!$A:$A, $A1170)&gt;0))</f>
        <v>0</v>
      </c>
      <c r="D1170" s="195" t="b">
        <v>0</v>
      </c>
      <c r="E1170" s="195">
        <v>4.0</v>
      </c>
      <c r="F1170" s="201">
        <f>COUNTIF('Activity map'!$C:$C, $A1170)</f>
        <v>1</v>
      </c>
    </row>
    <row r="1171">
      <c r="A1171" s="26">
        <v>24876.0</v>
      </c>
      <c r="B1171" s="23" t="s">
        <v>1540</v>
      </c>
      <c r="C1171" s="202" t="b">
        <f>IF($D1171, TRUE, IF(ISERROR('API import'!$A$1), FALSE, COUNTIF('API import'!$A:$A, $A1171)&gt;0))</f>
        <v>0</v>
      </c>
      <c r="D1171" s="195" t="b">
        <v>0</v>
      </c>
      <c r="E1171" s="195">
        <v>4.0</v>
      </c>
      <c r="F1171" s="201">
        <f>COUNTIF('Activity map'!$C:$C, $A1171)</f>
        <v>1</v>
      </c>
    </row>
    <row r="1172">
      <c r="A1172" s="26">
        <v>24878.0</v>
      </c>
      <c r="B1172" s="23" t="s">
        <v>1541</v>
      </c>
      <c r="C1172" s="202" t="b">
        <f>IF($D1172, TRUE, IF(ISERROR('API import'!$A$1), FALSE, COUNTIF('API import'!$A:$A, $A1172)&gt;0))</f>
        <v>0</v>
      </c>
      <c r="D1172" s="195" t="b">
        <v>0</v>
      </c>
      <c r="E1172" s="195">
        <v>4.0</v>
      </c>
      <c r="F1172" s="201">
        <f>COUNTIF('Activity map'!$C:$C, $A1172)</f>
        <v>1</v>
      </c>
    </row>
    <row r="1173">
      <c r="A1173" s="26">
        <v>24880.0</v>
      </c>
      <c r="B1173" s="23" t="s">
        <v>1542</v>
      </c>
      <c r="C1173" s="202" t="b">
        <f>IF($D1173, TRUE, IF(ISERROR('API import'!$A$1), FALSE, COUNTIF('API import'!$A:$A, $A1173)&gt;0))</f>
        <v>0</v>
      </c>
      <c r="D1173" s="195" t="b">
        <v>0</v>
      </c>
      <c r="E1173" s="195">
        <v>4.0</v>
      </c>
      <c r="F1173" s="201">
        <f>COUNTIF('Activity map'!$C:$C, $A1173)</f>
        <v>1</v>
      </c>
    </row>
    <row r="1174">
      <c r="A1174" s="26">
        <v>25629.0</v>
      </c>
      <c r="B1174" s="23" t="s">
        <v>1543</v>
      </c>
      <c r="C1174" s="202" t="b">
        <f>IF($D1174, TRUE, IF(ISERROR('API import'!$A$1), FALSE, COUNTIF('API import'!$A:$A, $A1174)&gt;0))</f>
        <v>0</v>
      </c>
      <c r="D1174" s="195" t="b">
        <v>0</v>
      </c>
      <c r="E1174" s="195">
        <v>4.0</v>
      </c>
      <c r="F1174" s="201">
        <f>COUNTIF('Activity map'!$C:$C, $A1174)</f>
        <v>1</v>
      </c>
    </row>
    <row r="1175">
      <c r="A1175" s="26">
        <v>24885.0</v>
      </c>
      <c r="B1175" s="23" t="s">
        <v>1544</v>
      </c>
      <c r="C1175" s="202" t="b">
        <f>IF($D1175, TRUE, IF(ISERROR('API import'!$A$1), FALSE, COUNTIF('API import'!$A:$A, $A1175)&gt;0))</f>
        <v>0</v>
      </c>
      <c r="D1175" s="195" t="b">
        <v>0</v>
      </c>
      <c r="E1175" s="195">
        <v>5.0</v>
      </c>
      <c r="F1175" s="201">
        <f>COUNTIF('Activity map'!$C:$C, $A1175)</f>
        <v>1</v>
      </c>
    </row>
    <row r="1176">
      <c r="A1176" s="26">
        <v>29974.0</v>
      </c>
      <c r="B1176" s="23" t="s">
        <v>1545</v>
      </c>
      <c r="C1176" s="202" t="b">
        <f>IF($D1176, TRUE, IF(ISERROR('API import'!$A$1), FALSE, COUNTIF('API import'!$A:$A, $A1176)&gt;0))</f>
        <v>0</v>
      </c>
      <c r="D1176" s="195" t="b">
        <v>0</v>
      </c>
      <c r="E1176" s="195">
        <v>4.0</v>
      </c>
      <c r="F1176" s="201">
        <f>COUNTIF('Activity map'!$C:$C, $A1176)</f>
        <v>1</v>
      </c>
    </row>
    <row r="1177">
      <c r="A1177" s="26">
        <v>29978.0</v>
      </c>
      <c r="B1177" s="23" t="s">
        <v>1546</v>
      </c>
      <c r="C1177" s="202" t="b">
        <f>IF($D1177, TRUE, IF(ISERROR('API import'!$A$1), FALSE, COUNTIF('API import'!$A:$A, $A1177)&gt;0))</f>
        <v>0</v>
      </c>
      <c r="D1177" s="195" t="b">
        <v>0</v>
      </c>
      <c r="E1177" s="195">
        <v>4.0</v>
      </c>
      <c r="F1177" s="201">
        <f>COUNTIF('Activity map'!$C:$C, $A1177)</f>
        <v>1</v>
      </c>
    </row>
    <row r="1178">
      <c r="A1178" s="26">
        <v>29982.0</v>
      </c>
      <c r="B1178" s="23" t="s">
        <v>1547</v>
      </c>
      <c r="C1178" s="202" t="b">
        <f>IF($D1178, TRUE, IF(ISERROR('API import'!$A$1), FALSE, COUNTIF('API import'!$A:$A, $A1178)&gt;0))</f>
        <v>0</v>
      </c>
      <c r="D1178" s="195" t="b">
        <v>0</v>
      </c>
      <c r="E1178" s="195">
        <v>4.0</v>
      </c>
      <c r="F1178" s="201">
        <f>COUNTIF('Activity map'!$C:$C, $A1178)</f>
        <v>1</v>
      </c>
    </row>
    <row r="1179">
      <c r="A1179" s="26">
        <v>29986.0</v>
      </c>
      <c r="B1179" s="23" t="s">
        <v>1548</v>
      </c>
      <c r="C1179" s="202" t="b">
        <f>IF($D1179, TRUE, IF(ISERROR('API import'!$A$1), FALSE, COUNTIF('API import'!$A:$A, $A1179)&gt;0))</f>
        <v>0</v>
      </c>
      <c r="D1179" s="195" t="b">
        <v>0</v>
      </c>
      <c r="E1179" s="195">
        <v>4.0</v>
      </c>
      <c r="F1179" s="201">
        <f>COUNTIF('Activity map'!$C:$C, $A1179)</f>
        <v>1</v>
      </c>
    </row>
    <row r="1180">
      <c r="A1180" s="26">
        <v>29992.0</v>
      </c>
      <c r="B1180" s="23" t="s">
        <v>1549</v>
      </c>
      <c r="C1180" s="202" t="b">
        <f>IF($D1180, TRUE, IF(ISERROR('API import'!$A$1), FALSE, COUNTIF('API import'!$A:$A, $A1180)&gt;0))</f>
        <v>0</v>
      </c>
      <c r="D1180" s="195" t="b">
        <v>0</v>
      </c>
      <c r="E1180" s="195">
        <v>4.0</v>
      </c>
      <c r="F1180" s="201">
        <f>COUNTIF('Activity map'!$C:$C, $A1180)</f>
        <v>1</v>
      </c>
    </row>
    <row r="1181">
      <c r="A1181" s="26">
        <v>29996.0</v>
      </c>
      <c r="B1181" s="23" t="s">
        <v>1550</v>
      </c>
      <c r="C1181" s="202" t="b">
        <f>IF($D1181, TRUE, IF(ISERROR('API import'!$A$1), FALSE, COUNTIF('API import'!$A:$A, $A1181)&gt;0))</f>
        <v>0</v>
      </c>
      <c r="D1181" s="195" t="b">
        <v>0</v>
      </c>
      <c r="E1181" s="195">
        <v>4.0</v>
      </c>
      <c r="F1181" s="201">
        <f>COUNTIF('Activity map'!$C:$C, $A1181)</f>
        <v>1</v>
      </c>
    </row>
    <row r="1182">
      <c r="A1182" s="26">
        <v>30002.0</v>
      </c>
      <c r="B1182" s="23" t="s">
        <v>1551</v>
      </c>
      <c r="C1182" s="202" t="b">
        <f>IF($D1182, TRUE, IF(ISERROR('API import'!$A$1), FALSE, COUNTIF('API import'!$A:$A, $A1182)&gt;0))</f>
        <v>0</v>
      </c>
      <c r="D1182" s="195" t="b">
        <v>0</v>
      </c>
      <c r="E1182" s="195">
        <v>5.0</v>
      </c>
      <c r="F1182" s="201">
        <f>COUNTIF('Activity map'!$C:$C, $A1182)</f>
        <v>1</v>
      </c>
    </row>
    <row r="1183">
      <c r="A1183" s="26">
        <v>8841.0</v>
      </c>
      <c r="B1183" s="23" t="s">
        <v>1552</v>
      </c>
      <c r="C1183" s="202" t="b">
        <f>IF($D1183, TRUE, IF(ISERROR('API import'!$A$1), FALSE, COUNTIF('API import'!$A:$A, $A1183)&gt;0))</f>
        <v>0</v>
      </c>
      <c r="D1183" s="195" t="b">
        <v>0</v>
      </c>
      <c r="E1183" s="195">
        <v>4.0</v>
      </c>
      <c r="F1183" s="201">
        <f>COUNTIF('Activity map'!$C:$C, $A1183)</f>
        <v>1</v>
      </c>
    </row>
    <row r="1184">
      <c r="A1184" s="26">
        <v>8839.0</v>
      </c>
      <c r="B1184" s="23" t="s">
        <v>1553</v>
      </c>
      <c r="C1184" s="202" t="b">
        <f>IF($D1184, TRUE, IF(ISERROR('API import'!$A$1), FALSE, COUNTIF('API import'!$A:$A, $A1184)&gt;0))</f>
        <v>0</v>
      </c>
      <c r="D1184" s="195" t="b">
        <v>0</v>
      </c>
      <c r="E1184" s="195">
        <v>3.0</v>
      </c>
      <c r="F1184" s="201">
        <f>COUNTIF('Activity map'!$C:$C, $A1184)</f>
        <v>1</v>
      </c>
    </row>
    <row r="1185">
      <c r="A1185" s="26">
        <v>8840.0</v>
      </c>
      <c r="B1185" s="23" t="s">
        <v>1554</v>
      </c>
      <c r="C1185" s="202" t="b">
        <f>IF($D1185, TRUE, IF(ISERROR('API import'!$A$1), FALSE, COUNTIF('API import'!$A:$A, $A1185)&gt;0))</f>
        <v>0</v>
      </c>
      <c r="D1185" s="195" t="b">
        <v>0</v>
      </c>
      <c r="E1185" s="195">
        <v>3.0</v>
      </c>
      <c r="F1185" s="201">
        <f>COUNTIF('Activity map'!$C:$C, $A1185)</f>
        <v>1</v>
      </c>
    </row>
    <row r="1186">
      <c r="A1186" s="26">
        <v>8842.0</v>
      </c>
      <c r="B1186" s="23" t="s">
        <v>1555</v>
      </c>
      <c r="C1186" s="202" t="b">
        <f>IF($D1186, TRUE, IF(ISERROR('API import'!$A$1), FALSE, COUNTIF('API import'!$A:$A, $A1186)&gt;0))</f>
        <v>0</v>
      </c>
      <c r="D1186" s="195" t="b">
        <v>0</v>
      </c>
      <c r="E1186" s="195">
        <v>3.0</v>
      </c>
      <c r="F1186" s="201">
        <f>COUNTIF('Activity map'!$C:$C, $A1186)</f>
        <v>1</v>
      </c>
    </row>
    <row r="1187">
      <c r="A1187" s="26">
        <v>11663.0</v>
      </c>
      <c r="B1187" s="23" t="s">
        <v>1556</v>
      </c>
      <c r="C1187" s="202" t="b">
        <f>IF($D1187, TRUE, IF(ISERROR('API import'!$A$1), FALSE, COUNTIF('API import'!$A:$A, $A1187)&gt;0))</f>
        <v>0</v>
      </c>
      <c r="D1187" s="195" t="b">
        <v>0</v>
      </c>
      <c r="E1187" s="195">
        <v>3.0</v>
      </c>
      <c r="F1187" s="201">
        <f>COUNTIF('Activity map'!$C:$C, $A1187)</f>
        <v>1</v>
      </c>
    </row>
    <row r="1188">
      <c r="A1188" s="26">
        <v>11665.0</v>
      </c>
      <c r="B1188" s="23" t="s">
        <v>1557</v>
      </c>
      <c r="C1188" s="202" t="b">
        <f>IF($D1188, TRUE, IF(ISERROR('API import'!$A$1), FALSE, COUNTIF('API import'!$A:$A, $A1188)&gt;0))</f>
        <v>0</v>
      </c>
      <c r="D1188" s="195" t="b">
        <v>0</v>
      </c>
      <c r="E1188" s="195">
        <v>3.0</v>
      </c>
      <c r="F1188" s="201">
        <f>COUNTIF('Activity map'!$C:$C, $A1188)</f>
        <v>1</v>
      </c>
    </row>
    <row r="1189">
      <c r="A1189" s="26">
        <v>11664.0</v>
      </c>
      <c r="B1189" s="23" t="s">
        <v>1558</v>
      </c>
      <c r="C1189" s="202" t="b">
        <f>IF($D1189, TRUE, IF(ISERROR('API import'!$A$1), FALSE, COUNTIF('API import'!$A:$A, $A1189)&gt;0))</f>
        <v>0</v>
      </c>
      <c r="D1189" s="195" t="b">
        <v>0</v>
      </c>
      <c r="E1189" s="195">
        <v>3.0</v>
      </c>
      <c r="F1189" s="201">
        <f>COUNTIF('Activity map'!$C:$C, $A1189)</f>
        <v>1</v>
      </c>
    </row>
    <row r="1190">
      <c r="A1190" s="26">
        <v>11666.0</v>
      </c>
      <c r="B1190" s="23" t="s">
        <v>1559</v>
      </c>
      <c r="C1190" s="202" t="b">
        <f>IF($D1190, TRUE, IF(ISERROR('API import'!$A$1), FALSE, COUNTIF('API import'!$A:$A, $A1190)&gt;0))</f>
        <v>0</v>
      </c>
      <c r="D1190" s="195" t="b">
        <v>0</v>
      </c>
      <c r="E1190" s="195">
        <v>2.0</v>
      </c>
      <c r="F1190" s="201">
        <f>COUNTIF('Activity map'!$C:$C, $A1190)</f>
        <v>1</v>
      </c>
    </row>
    <row r="1191">
      <c r="A1191" s="26">
        <v>13072.0</v>
      </c>
      <c r="B1191" s="23" t="s">
        <v>1560</v>
      </c>
      <c r="C1191" s="202" t="b">
        <f>IF($D1191, TRUE, IF(ISERROR('API import'!$A$1), FALSE, COUNTIF('API import'!$A:$A, $A1191)&gt;0))</f>
        <v>0</v>
      </c>
      <c r="D1191" s="195" t="b">
        <v>0</v>
      </c>
      <c r="E1191" s="195">
        <v>5.0</v>
      </c>
      <c r="F1191" s="201">
        <f>COUNTIF('Activity map'!$C:$C, $A1191)</f>
        <v>1</v>
      </c>
    </row>
    <row r="1192">
      <c r="A1192" s="26">
        <v>13073.0</v>
      </c>
      <c r="B1192" s="23" t="s">
        <v>1561</v>
      </c>
      <c r="C1192" s="202" t="b">
        <f>IF($D1192, TRUE, IF(ISERROR('API import'!$A$1), FALSE, COUNTIF('API import'!$A:$A, $A1192)&gt;0))</f>
        <v>0</v>
      </c>
      <c r="D1192" s="195" t="b">
        <v>0</v>
      </c>
      <c r="E1192" s="195">
        <v>5.0</v>
      </c>
      <c r="F1192" s="201">
        <f>COUNTIF('Activity map'!$C:$C, $A1192)</f>
        <v>1</v>
      </c>
    </row>
    <row r="1193">
      <c r="A1193" s="26">
        <v>5554.0</v>
      </c>
      <c r="B1193" s="23" t="s">
        <v>1562</v>
      </c>
      <c r="C1193" s="202" t="b">
        <f>IF($D1193, TRUE, IF(ISERROR('API import'!$A$1), FALSE, COUNTIF('API import'!$A:$A, $A1193)&gt;0))</f>
        <v>0</v>
      </c>
      <c r="D1193" s="195" t="b">
        <v>0</v>
      </c>
      <c r="E1193" s="195">
        <v>2.0</v>
      </c>
      <c r="F1193" s="201">
        <f>COUNTIF('Activity map'!$C:$C, $A1193)</f>
        <v>1</v>
      </c>
    </row>
    <row r="1194">
      <c r="A1194" s="26">
        <v>5553.0</v>
      </c>
      <c r="B1194" s="23" t="s">
        <v>1563</v>
      </c>
      <c r="C1194" s="202" t="b">
        <f>IF($D1194, TRUE, IF(ISERROR('API import'!$A$1), FALSE, COUNTIF('API import'!$A:$A, $A1194)&gt;0))</f>
        <v>0</v>
      </c>
      <c r="D1194" s="195" t="b">
        <v>0</v>
      </c>
      <c r="E1194" s="195">
        <v>2.0</v>
      </c>
      <c r="F1194" s="201">
        <f>COUNTIF('Activity map'!$C:$C, $A1194)</f>
        <v>1</v>
      </c>
    </row>
    <row r="1195">
      <c r="A1195" s="26">
        <v>5555.0</v>
      </c>
      <c r="B1195" s="23" t="s">
        <v>1564</v>
      </c>
      <c r="C1195" s="202" t="b">
        <f>IF($D1195, TRUE, IF(ISERROR('API import'!$A$1), FALSE, COUNTIF('API import'!$A:$A, $A1195)&gt;0))</f>
        <v>0</v>
      </c>
      <c r="D1195" s="195" t="b">
        <v>0</v>
      </c>
      <c r="E1195" s="195">
        <v>2.0</v>
      </c>
      <c r="F1195" s="201">
        <f>COUNTIF('Activity map'!$C:$C, $A1195)</f>
        <v>1</v>
      </c>
    </row>
    <row r="1196">
      <c r="A1196" s="26">
        <v>5557.0</v>
      </c>
      <c r="B1196" s="23" t="s">
        <v>1565</v>
      </c>
      <c r="C1196" s="202" t="b">
        <f>IF($D1196, TRUE, IF(ISERROR('API import'!$A$1), FALSE, COUNTIF('API import'!$A:$A, $A1196)&gt;0))</f>
        <v>0</v>
      </c>
      <c r="D1196" s="195" t="b">
        <v>0</v>
      </c>
      <c r="E1196" s="195">
        <v>2.0</v>
      </c>
      <c r="F1196" s="201">
        <f>COUNTIF('Activity map'!$C:$C, $A1196)</f>
        <v>1</v>
      </c>
    </row>
    <row r="1197">
      <c r="A1197" s="26">
        <v>5556.0</v>
      </c>
      <c r="B1197" s="23" t="s">
        <v>1566</v>
      </c>
      <c r="C1197" s="202" t="b">
        <f>IF($D1197, TRUE, IF(ISERROR('API import'!$A$1), FALSE, COUNTIF('API import'!$A:$A, $A1197)&gt;0))</f>
        <v>0</v>
      </c>
      <c r="D1197" s="195" t="b">
        <v>0</v>
      </c>
      <c r="E1197" s="195">
        <v>2.0</v>
      </c>
      <c r="F1197" s="201">
        <f>COUNTIF('Activity map'!$C:$C, $A1197)</f>
        <v>1</v>
      </c>
    </row>
    <row r="1198">
      <c r="A1198" s="26">
        <v>12851.0</v>
      </c>
      <c r="B1198" s="23" t="s">
        <v>1567</v>
      </c>
      <c r="C1198" s="200" t="b">
        <f>IF($D1198, TRUE, IF(ISERROR('API import'!$A$1), FALSE, COUNTIF('API import'!$A:$A, $A1198)&gt;0))</f>
        <v>0</v>
      </c>
      <c r="D1198" s="195" t="b">
        <v>0</v>
      </c>
      <c r="E1198" s="195">
        <v>4.0</v>
      </c>
      <c r="F1198" s="201">
        <f>COUNTIF('Activity map'!$C:$C, $A1198)</f>
        <v>1</v>
      </c>
    </row>
    <row r="1199">
      <c r="A1199" s="26">
        <v>25630.0</v>
      </c>
      <c r="B1199" s="23" t="s">
        <v>1568</v>
      </c>
      <c r="C1199" s="202" t="b">
        <f>IF($D1199, TRUE, IF(ISERROR('API import'!$A$1), FALSE, COUNTIF('API import'!$A:$A, $A1199)&gt;0))</f>
        <v>0</v>
      </c>
      <c r="D1199" s="195" t="b">
        <v>0</v>
      </c>
      <c r="E1199" s="195">
        <v>2.0</v>
      </c>
      <c r="F1199" s="201">
        <f>COUNTIF('Activity map'!$C:$C, $A1199)</f>
        <v>1</v>
      </c>
    </row>
    <row r="1200">
      <c r="A1200" s="26">
        <v>3470.0</v>
      </c>
      <c r="B1200" s="23" t="s">
        <v>1569</v>
      </c>
      <c r="C1200" s="202" t="b">
        <f>IF($D1200, TRUE, IF(ISERROR('API import'!$A$1), FALSE, COUNTIF('API import'!$A:$A, $A1200)&gt;0))</f>
        <v>0</v>
      </c>
      <c r="D1200" s="195" t="b">
        <v>0</v>
      </c>
      <c r="E1200" s="195">
        <v>3.0</v>
      </c>
      <c r="F1200" s="201">
        <f>COUNTIF('Activity map'!$C:$C, $A1200)</f>
        <v>1</v>
      </c>
    </row>
    <row r="1201">
      <c r="A1201" s="26">
        <v>25442.0</v>
      </c>
      <c r="B1201" s="23" t="s">
        <v>1570</v>
      </c>
      <c r="C1201" s="200" t="b">
        <f>IF($D1201, TRUE, IF(ISERROR('API import'!$A$1), FALSE, COUNTIF('API import'!$A:$A, $A1201)&gt;0))</f>
        <v>0</v>
      </c>
      <c r="D1201" s="195" t="b">
        <v>0</v>
      </c>
      <c r="E1201" s="195">
        <v>2.0</v>
      </c>
      <c r="F1201" s="201">
        <f>COUNTIF('Activity map'!$C:$C, $A1201)</f>
        <v>1</v>
      </c>
    </row>
    <row r="1202">
      <c r="A1202" s="26">
        <v>25445.0</v>
      </c>
      <c r="B1202" s="23" t="s">
        <v>1571</v>
      </c>
      <c r="C1202" s="200" t="b">
        <f>IF($D1202, TRUE, IF(ISERROR('API import'!$A$1), FALSE, COUNTIF('API import'!$A:$A, $A1202)&gt;0))</f>
        <v>0</v>
      </c>
      <c r="D1202" s="195" t="b">
        <v>0</v>
      </c>
      <c r="E1202" s="195">
        <v>3.0</v>
      </c>
      <c r="F1202" s="201">
        <f>COUNTIF('Activity map'!$C:$C, $A1202)</f>
        <v>1</v>
      </c>
    </row>
    <row r="1203">
      <c r="A1203" s="26">
        <v>25448.0</v>
      </c>
      <c r="B1203" s="23" t="s">
        <v>1572</v>
      </c>
      <c r="C1203" s="200" t="b">
        <f>IF($D1203, TRUE, IF(ISERROR('API import'!$A$1), FALSE, COUNTIF('API import'!$A:$A, $A1203)&gt;0))</f>
        <v>0</v>
      </c>
      <c r="D1203" s="195" t="b">
        <v>0</v>
      </c>
      <c r="E1203" s="195">
        <v>3.0</v>
      </c>
      <c r="F1203" s="201">
        <f>COUNTIF('Activity map'!$C:$C, $A1203)</f>
        <v>1</v>
      </c>
    </row>
    <row r="1204">
      <c r="A1204" s="26">
        <v>25451.0</v>
      </c>
      <c r="B1204" s="23" t="s">
        <v>1573</v>
      </c>
      <c r="C1204" s="200" t="b">
        <f>IF($D1204, TRUE, IF(ISERROR('API import'!$A$1), FALSE, COUNTIF('API import'!$A:$A, $A1204)&gt;0))</f>
        <v>0</v>
      </c>
      <c r="D1204" s="195" t="b">
        <v>0</v>
      </c>
      <c r="E1204" s="195">
        <v>4.0</v>
      </c>
      <c r="F1204" s="201">
        <f>COUNTIF('Activity map'!$C:$C, $A1204)</f>
        <v>1</v>
      </c>
    </row>
    <row r="1205">
      <c r="A1205" s="26">
        <v>25454.0</v>
      </c>
      <c r="B1205" s="23" t="s">
        <v>1574</v>
      </c>
      <c r="C1205" s="200" t="b">
        <f>IF($D1205, TRUE, IF(ISERROR('API import'!$A$1), FALSE, COUNTIF('API import'!$A:$A, $A1205)&gt;0))</f>
        <v>0</v>
      </c>
      <c r="D1205" s="195" t="b">
        <v>0</v>
      </c>
      <c r="E1205" s="195">
        <v>5.0</v>
      </c>
      <c r="F1205" s="201">
        <f>COUNTIF('Activity map'!$C:$C, $A1205)</f>
        <v>1</v>
      </c>
    </row>
    <row r="1206">
      <c r="A1206" s="26">
        <v>25438.0</v>
      </c>
      <c r="B1206" s="23" t="s">
        <v>1575</v>
      </c>
      <c r="C1206" s="200" t="b">
        <f>IF($D1206, TRUE, IF(ISERROR('API import'!$A$1), FALSE, COUNTIF('API import'!$A:$A, $A1206)&gt;0))</f>
        <v>0</v>
      </c>
      <c r="D1206" s="195" t="b">
        <v>0</v>
      </c>
      <c r="E1206" s="195">
        <v>5.0</v>
      </c>
      <c r="F1206" s="201">
        <f>COUNTIF('Activity map'!$C:$C, $A1206)</f>
        <v>1</v>
      </c>
    </row>
    <row r="1207">
      <c r="A1207" s="26">
        <v>25434.0</v>
      </c>
      <c r="B1207" s="23" t="s">
        <v>1576</v>
      </c>
      <c r="C1207" s="200" t="b">
        <f>IF($D1207, TRUE, IF(ISERROR('API import'!$A$1), FALSE, COUNTIF('API import'!$A:$A, $A1207)&gt;0))</f>
        <v>0</v>
      </c>
      <c r="D1207" s="195" t="b">
        <v>0</v>
      </c>
      <c r="E1207" s="195">
        <v>5.0</v>
      </c>
      <c r="F1207" s="201">
        <f>COUNTIF('Activity map'!$C:$C, $A1207)</f>
        <v>1</v>
      </c>
    </row>
    <row r="1208">
      <c r="A1208" s="26">
        <v>25436.0</v>
      </c>
      <c r="B1208" s="23" t="s">
        <v>1577</v>
      </c>
      <c r="C1208" s="200" t="b">
        <f>IF($D1208, TRUE, IF(ISERROR('API import'!$A$1), FALSE, COUNTIF('API import'!$A:$A, $A1208)&gt;0))</f>
        <v>0</v>
      </c>
      <c r="D1208" s="195" t="b">
        <v>0</v>
      </c>
      <c r="E1208" s="195">
        <v>5.0</v>
      </c>
      <c r="F1208" s="201">
        <f>COUNTIF('Activity map'!$C:$C, $A1208)</f>
        <v>1</v>
      </c>
    </row>
    <row r="1209">
      <c r="A1209" s="26">
        <v>25440.0</v>
      </c>
      <c r="B1209" s="23" t="s">
        <v>1578</v>
      </c>
      <c r="C1209" s="200" t="b">
        <f>IF($D1209, TRUE, IF(ISERROR('API import'!$A$1), FALSE, COUNTIF('API import'!$A:$A, $A1209)&gt;0))</f>
        <v>0</v>
      </c>
      <c r="D1209" s="195" t="b">
        <v>0</v>
      </c>
      <c r="E1209" s="195">
        <v>5.0</v>
      </c>
      <c r="F1209" s="201">
        <f>COUNTIF('Activity map'!$C:$C, $A1209)</f>
        <v>1</v>
      </c>
    </row>
    <row r="1210">
      <c r="A1210" s="26">
        <v>25474.0</v>
      </c>
      <c r="B1210" s="23" t="s">
        <v>1579</v>
      </c>
      <c r="C1210" s="200" t="b">
        <f>IF($D1210, TRUE, IF(ISERROR('API import'!$A$1), FALSE, COUNTIF('API import'!$A:$A, $A1210)&gt;0))</f>
        <v>0</v>
      </c>
      <c r="D1210" s="195" t="b">
        <v>0</v>
      </c>
      <c r="E1210" s="195">
        <v>4.0</v>
      </c>
      <c r="F1210" s="201">
        <f>COUNTIF('Activity map'!$C:$C, $A1210)</f>
        <v>1</v>
      </c>
    </row>
    <row r="1211">
      <c r="A1211" s="26">
        <v>25476.0</v>
      </c>
      <c r="B1211" s="23" t="s">
        <v>1580</v>
      </c>
      <c r="C1211" s="200" t="b">
        <f>IF($D1211, TRUE, IF(ISERROR('API import'!$A$1), FALSE, COUNTIF('API import'!$A:$A, $A1211)&gt;0))</f>
        <v>0</v>
      </c>
      <c r="D1211" s="195" t="b">
        <v>0</v>
      </c>
      <c r="E1211" s="195">
        <v>4.0</v>
      </c>
      <c r="F1211" s="201">
        <f>COUNTIF('Activity map'!$C:$C, $A1211)</f>
        <v>1</v>
      </c>
    </row>
    <row r="1212">
      <c r="A1212" s="26">
        <v>25348.0</v>
      </c>
      <c r="B1212" s="23" t="s">
        <v>1581</v>
      </c>
      <c r="C1212" s="200" t="b">
        <f>IF($D1212, TRUE, IF(ISERROR('API import'!$A$1), FALSE, COUNTIF('API import'!$A:$A, $A1212)&gt;0))</f>
        <v>0</v>
      </c>
      <c r="D1212" s="195" t="b">
        <v>0</v>
      </c>
      <c r="E1212" s="195">
        <v>6.0</v>
      </c>
      <c r="F1212" s="201">
        <f>COUNTIF('Activity map'!$C:$C, $A1212)</f>
        <v>1</v>
      </c>
    </row>
    <row r="1213">
      <c r="A1213" s="26">
        <v>25346.0</v>
      </c>
      <c r="B1213" s="23" t="s">
        <v>1582</v>
      </c>
      <c r="C1213" s="200" t="b">
        <f>IF($D1213, TRUE, IF(ISERROR('API import'!$A$1), FALSE, COUNTIF('API import'!$A:$A, $A1213)&gt;0))</f>
        <v>0</v>
      </c>
      <c r="D1213" s="195" t="b">
        <v>0</v>
      </c>
      <c r="E1213" s="195">
        <v>3.0</v>
      </c>
      <c r="F1213" s="201">
        <f>COUNTIF('Activity map'!$C:$C, $A1213)</f>
        <v>1</v>
      </c>
    </row>
    <row r="1214">
      <c r="A1214" s="26">
        <v>25340.0</v>
      </c>
      <c r="B1214" s="23" t="s">
        <v>1583</v>
      </c>
      <c r="C1214" s="200" t="b">
        <f>IF($D1214, TRUE, IF(ISERROR('API import'!$A$1), FALSE, COUNTIF('API import'!$A:$A, $A1214)&gt;0))</f>
        <v>0</v>
      </c>
      <c r="D1214" s="195" t="b">
        <v>0</v>
      </c>
      <c r="E1214" s="195">
        <v>3.0</v>
      </c>
      <c r="F1214" s="201">
        <f>COUNTIF('Activity map'!$C:$C, $A1214)</f>
        <v>1</v>
      </c>
    </row>
    <row r="1215">
      <c r="A1215" s="26">
        <v>10941.0</v>
      </c>
      <c r="B1215" s="23" t="s">
        <v>1584</v>
      </c>
      <c r="C1215" s="202" t="b">
        <f>IF($D1215, TRUE, IF(ISERROR('API import'!$A$1), FALSE, COUNTIF('API import'!$A:$A, $A1215)&gt;0))</f>
        <v>0</v>
      </c>
      <c r="D1215" s="195" t="b">
        <v>0</v>
      </c>
      <c r="E1215" s="195">
        <v>2.0</v>
      </c>
      <c r="F1215" s="203">
        <f>COUNTIF('Activity map'!$C:$C, $A1215)</f>
        <v>2</v>
      </c>
    </row>
    <row r="1216">
      <c r="A1216" s="26">
        <v>10939.0</v>
      </c>
      <c r="B1216" s="23" t="s">
        <v>1585</v>
      </c>
      <c r="C1216" s="202" t="b">
        <f>IF($D1216, TRUE, IF(ISERROR('API import'!$A$1), FALSE, COUNTIF('API import'!$A:$A, $A1216)&gt;0))</f>
        <v>0</v>
      </c>
      <c r="D1216" s="195" t="b">
        <v>0</v>
      </c>
      <c r="E1216" s="195">
        <v>2.0</v>
      </c>
      <c r="F1216" s="203">
        <f>COUNTIF('Activity map'!$C:$C, $A1216)</f>
        <v>2</v>
      </c>
    </row>
    <row r="1217">
      <c r="A1217" s="26">
        <v>10940.0</v>
      </c>
      <c r="B1217" s="23" t="s">
        <v>1586</v>
      </c>
      <c r="C1217" s="202" t="b">
        <f>IF($D1217, TRUE, IF(ISERROR('API import'!$A$1), FALSE, COUNTIF('API import'!$A:$A, $A1217)&gt;0))</f>
        <v>0</v>
      </c>
      <c r="D1217" s="195" t="b">
        <v>0</v>
      </c>
      <c r="E1217" s="195">
        <v>2.0</v>
      </c>
      <c r="F1217" s="203">
        <f>COUNTIF('Activity map'!$C:$C, $A1217)</f>
        <v>2</v>
      </c>
    </row>
    <row r="1218">
      <c r="A1218" s="26">
        <v>10933.0</v>
      </c>
      <c r="B1218" s="23" t="s">
        <v>1587</v>
      </c>
      <c r="C1218" s="202" t="b">
        <f>IF($D1218, TRUE, IF(ISERROR('API import'!$A$1), FALSE, COUNTIF('API import'!$A:$A, $A1218)&gt;0))</f>
        <v>0</v>
      </c>
      <c r="D1218" s="195" t="b">
        <v>0</v>
      </c>
      <c r="E1218" s="195">
        <v>2.0</v>
      </c>
      <c r="F1218" s="203">
        <f>COUNTIF('Activity map'!$C:$C, $A1218)</f>
        <v>2</v>
      </c>
    </row>
    <row r="1219">
      <c r="A1219" s="26">
        <v>13646.0</v>
      </c>
      <c r="B1219" s="23" t="s">
        <v>1588</v>
      </c>
      <c r="C1219" s="202" t="b">
        <f>IF($D1219, TRUE, IF(ISERROR('API import'!$A$1), FALSE, COUNTIF('API import'!$A:$A, $A1219)&gt;0))</f>
        <v>0</v>
      </c>
      <c r="D1219" s="195" t="b">
        <v>0</v>
      </c>
      <c r="E1219" s="195">
        <v>3.0</v>
      </c>
      <c r="F1219" s="201">
        <f>COUNTIF('Activity map'!$C:$C, $A1219)</f>
        <v>1</v>
      </c>
    </row>
    <row r="1220">
      <c r="A1220" s="26">
        <v>13642.0</v>
      </c>
      <c r="B1220" s="23" t="s">
        <v>1589</v>
      </c>
      <c r="C1220" s="200" t="b">
        <f>IF($D1220, TRUE, IF(ISERROR('API import'!$A$1), FALSE, COUNTIF('API import'!$A:$A, $A1220)&gt;0))</f>
        <v>0</v>
      </c>
      <c r="D1220" s="195" t="b">
        <v>0</v>
      </c>
      <c r="E1220" s="195">
        <v>3.0</v>
      </c>
      <c r="F1220" s="201">
        <f>COUNTIF('Activity map'!$C:$C, $A1220)</f>
        <v>1</v>
      </c>
    </row>
    <row r="1221">
      <c r="A1221" s="26">
        <v>13640.0</v>
      </c>
      <c r="B1221" s="23" t="s">
        <v>1590</v>
      </c>
      <c r="C1221" s="200" t="b">
        <f>IF($D1221, TRUE, IF(ISERROR('API import'!$A$1), FALSE, COUNTIF('API import'!$A:$A, $A1221)&gt;0))</f>
        <v>0</v>
      </c>
      <c r="D1221" s="195" t="b">
        <v>0</v>
      </c>
      <c r="E1221" s="195">
        <v>3.0</v>
      </c>
      <c r="F1221" s="201">
        <f>COUNTIF('Activity map'!$C:$C, $A1221)</f>
        <v>1</v>
      </c>
    </row>
    <row r="1222">
      <c r="A1222" s="26">
        <v>13644.0</v>
      </c>
      <c r="B1222" s="23" t="s">
        <v>1591</v>
      </c>
      <c r="C1222" s="200" t="b">
        <f>IF($D1222, TRUE, IF(ISERROR('API import'!$A$1), FALSE, COUNTIF('API import'!$A:$A, $A1222)&gt;0))</f>
        <v>0</v>
      </c>
      <c r="D1222" s="195" t="b">
        <v>0</v>
      </c>
      <c r="E1222" s="195">
        <v>3.0</v>
      </c>
      <c r="F1222" s="201">
        <f>COUNTIF('Activity map'!$C:$C, $A1222)</f>
        <v>1</v>
      </c>
    </row>
    <row r="1223">
      <c r="A1223" s="26">
        <v>13639.0</v>
      </c>
      <c r="B1223" s="23" t="s">
        <v>1592</v>
      </c>
      <c r="C1223" s="200" t="b">
        <f>IF($D1223, TRUE, IF(ISERROR('API import'!$A$1), FALSE, COUNTIF('API import'!$A:$A, $A1223)&gt;0))</f>
        <v>0</v>
      </c>
      <c r="D1223" s="195" t="b">
        <v>0</v>
      </c>
      <c r="E1223" s="195">
        <v>3.0</v>
      </c>
      <c r="F1223" s="201">
        <f>COUNTIF('Activity map'!$C:$C, $A1223)</f>
        <v>1</v>
      </c>
    </row>
    <row r="1224">
      <c r="A1224" s="26">
        <v>13353.0</v>
      </c>
      <c r="B1224" s="23" t="s">
        <v>1593</v>
      </c>
      <c r="C1224" s="200" t="b">
        <f>IF($D1224, TRUE, IF(ISERROR('API import'!$A$1), FALSE, COUNTIF('API import'!$A:$A, $A1224)&gt;0))</f>
        <v>0</v>
      </c>
      <c r="D1224" s="195" t="b">
        <v>0</v>
      </c>
      <c r="E1224" s="195">
        <v>3.0</v>
      </c>
      <c r="F1224" s="201">
        <f>COUNTIF('Activity map'!$C:$C, $A1224)</f>
        <v>1</v>
      </c>
    </row>
    <row r="1225">
      <c r="A1225" s="26">
        <v>13226.0</v>
      </c>
      <c r="B1225" s="23" t="s">
        <v>1594</v>
      </c>
      <c r="C1225" s="202" t="b">
        <f>IF($D1225, TRUE, IF(ISERROR('API import'!$A$1), FALSE, COUNTIF('API import'!$A:$A, $A1225)&gt;0))</f>
        <v>0</v>
      </c>
      <c r="D1225" s="195" t="b">
        <v>0</v>
      </c>
      <c r="E1225" s="195">
        <v>3.0</v>
      </c>
      <c r="F1225" s="201">
        <f>COUNTIF('Activity map'!$C:$C, $A1225)</f>
        <v>1</v>
      </c>
    </row>
    <row r="1226">
      <c r="A1226" s="26">
        <v>8952.0</v>
      </c>
      <c r="B1226" s="23" t="s">
        <v>1595</v>
      </c>
      <c r="C1226" s="200" t="b">
        <f>IF($D1226, TRUE, IF(ISERROR('API import'!$A$1), FALSE, COUNTIF('API import'!$A:$A, $A1226)&gt;0))</f>
        <v>0</v>
      </c>
      <c r="D1226" s="195" t="b">
        <v>0</v>
      </c>
      <c r="E1226" s="195">
        <v>3.0</v>
      </c>
      <c r="F1226" s="201">
        <f>COUNTIF('Activity map'!$C:$C, $A1226)</f>
        <v>1</v>
      </c>
    </row>
    <row r="1227">
      <c r="A1227" s="26">
        <v>8959.0</v>
      </c>
      <c r="B1227" s="23" t="s">
        <v>1596</v>
      </c>
      <c r="C1227" s="200" t="b">
        <f>IF($D1227, TRUE, IF(ISERROR('API import'!$A$1), FALSE, COUNTIF('API import'!$A:$A, $A1227)&gt;0))</f>
        <v>0</v>
      </c>
      <c r="D1227" s="195" t="b">
        <v>0</v>
      </c>
      <c r="E1227" s="195">
        <v>3.0</v>
      </c>
      <c r="F1227" s="201">
        <f>COUNTIF('Activity map'!$C:$C, $A1227)</f>
        <v>1</v>
      </c>
    </row>
    <row r="1228">
      <c r="A1228" s="26">
        <v>8991.0</v>
      </c>
      <c r="B1228" s="23" t="s">
        <v>1597</v>
      </c>
      <c r="C1228" s="200" t="b">
        <f>IF($D1228, TRUE, IF(ISERROR('API import'!$A$1), FALSE, COUNTIF('API import'!$A:$A, $A1228)&gt;0))</f>
        <v>0</v>
      </c>
      <c r="D1228" s="195" t="b">
        <v>0</v>
      </c>
      <c r="E1228" s="195">
        <v>3.0</v>
      </c>
      <c r="F1228" s="201">
        <f>COUNTIF('Activity map'!$C:$C, $A1228)</f>
        <v>1</v>
      </c>
    </row>
    <row r="1229">
      <c r="A1229" s="26">
        <v>8953.0</v>
      </c>
      <c r="B1229" s="23" t="s">
        <v>1598</v>
      </c>
      <c r="C1229" s="200" t="b">
        <f>IF($D1229, TRUE, IF(ISERROR('API import'!$A$1), FALSE, COUNTIF('API import'!$A:$A, $A1229)&gt;0))</f>
        <v>0</v>
      </c>
      <c r="D1229" s="195" t="b">
        <v>0</v>
      </c>
      <c r="E1229" s="195">
        <v>3.0</v>
      </c>
      <c r="F1229" s="201">
        <f>COUNTIF('Activity map'!$C:$C, $A1229)</f>
        <v>1</v>
      </c>
    </row>
    <row r="1230">
      <c r="A1230" s="26">
        <v>8960.0</v>
      </c>
      <c r="B1230" s="23" t="s">
        <v>1599</v>
      </c>
      <c r="C1230" s="200" t="b">
        <f>IF($D1230, TRUE, IF(ISERROR('API import'!$A$1), FALSE, COUNTIF('API import'!$A:$A, $A1230)&gt;0))</f>
        <v>0</v>
      </c>
      <c r="D1230" s="195" t="b">
        <v>0</v>
      </c>
      <c r="E1230" s="195">
        <v>3.0</v>
      </c>
      <c r="F1230" s="201">
        <f>COUNTIF('Activity map'!$C:$C, $A1230)</f>
        <v>1</v>
      </c>
    </row>
    <row r="1231">
      <c r="A1231" s="26">
        <v>8992.0</v>
      </c>
      <c r="B1231" s="23" t="s">
        <v>1600</v>
      </c>
      <c r="C1231" s="200" t="b">
        <f>IF($D1231, TRUE, IF(ISERROR('API import'!$A$1), FALSE, COUNTIF('API import'!$A:$A, $A1231)&gt;0))</f>
        <v>0</v>
      </c>
      <c r="D1231" s="195" t="b">
        <v>0</v>
      </c>
      <c r="E1231" s="195">
        <v>3.0</v>
      </c>
      <c r="F1231" s="201">
        <f>COUNTIF('Activity map'!$C:$C, $A1231)</f>
        <v>1</v>
      </c>
    </row>
    <row r="1232">
      <c r="A1232" s="26">
        <v>8954.0</v>
      </c>
      <c r="B1232" s="23" t="s">
        <v>1601</v>
      </c>
      <c r="C1232" s="200" t="b">
        <f>IF($D1232, TRUE, IF(ISERROR('API import'!$A$1), FALSE, COUNTIF('API import'!$A:$A, $A1232)&gt;0))</f>
        <v>0</v>
      </c>
      <c r="D1232" s="195" t="b">
        <v>0</v>
      </c>
      <c r="E1232" s="195">
        <v>3.0</v>
      </c>
      <c r="F1232" s="201">
        <f>COUNTIF('Activity map'!$C:$C, $A1232)</f>
        <v>1</v>
      </c>
    </row>
    <row r="1233">
      <c r="A1233" s="26">
        <v>8961.0</v>
      </c>
      <c r="B1233" s="23" t="s">
        <v>1602</v>
      </c>
      <c r="C1233" s="200" t="b">
        <f>IF($D1233, TRUE, IF(ISERROR('API import'!$A$1), FALSE, COUNTIF('API import'!$A:$A, $A1233)&gt;0))</f>
        <v>0</v>
      </c>
      <c r="D1233" s="195" t="b">
        <v>0</v>
      </c>
      <c r="E1233" s="195">
        <v>3.0</v>
      </c>
      <c r="F1233" s="201">
        <f>COUNTIF('Activity map'!$C:$C, $A1233)</f>
        <v>1</v>
      </c>
    </row>
    <row r="1234">
      <c r="A1234" s="26">
        <v>8993.0</v>
      </c>
      <c r="B1234" s="23" t="s">
        <v>1603</v>
      </c>
      <c r="C1234" s="200" t="b">
        <f>IF($D1234, TRUE, IF(ISERROR('API import'!$A$1), FALSE, COUNTIF('API import'!$A:$A, $A1234)&gt;0))</f>
        <v>0</v>
      </c>
      <c r="D1234" s="195" t="b">
        <v>0</v>
      </c>
      <c r="E1234" s="195">
        <v>3.0</v>
      </c>
      <c r="F1234" s="201">
        <f>COUNTIF('Activity map'!$C:$C, $A1234)</f>
        <v>1</v>
      </c>
    </row>
    <row r="1235">
      <c r="A1235" s="26">
        <v>8955.0</v>
      </c>
      <c r="B1235" s="23" t="s">
        <v>1604</v>
      </c>
      <c r="C1235" s="200" t="b">
        <f>IF($D1235, TRUE, IF(ISERROR('API import'!$A$1), FALSE, COUNTIF('API import'!$A:$A, $A1235)&gt;0))</f>
        <v>0</v>
      </c>
      <c r="D1235" s="195" t="b">
        <v>0</v>
      </c>
      <c r="E1235" s="195">
        <v>3.0</v>
      </c>
      <c r="F1235" s="201">
        <f>COUNTIF('Activity map'!$C:$C, $A1235)</f>
        <v>1</v>
      </c>
    </row>
    <row r="1236">
      <c r="A1236" s="26">
        <v>8962.0</v>
      </c>
      <c r="B1236" s="23" t="s">
        <v>1605</v>
      </c>
      <c r="C1236" s="200" t="b">
        <f>IF($D1236, TRUE, IF(ISERROR('API import'!$A$1), FALSE, COUNTIF('API import'!$A:$A, $A1236)&gt;0))</f>
        <v>0</v>
      </c>
      <c r="D1236" s="195" t="b">
        <v>0</v>
      </c>
      <c r="E1236" s="195">
        <v>3.0</v>
      </c>
      <c r="F1236" s="201">
        <f>COUNTIF('Activity map'!$C:$C, $A1236)</f>
        <v>1</v>
      </c>
    </row>
    <row r="1237">
      <c r="A1237" s="26">
        <v>8994.0</v>
      </c>
      <c r="B1237" s="23" t="s">
        <v>1606</v>
      </c>
      <c r="C1237" s="200" t="b">
        <f>IF($D1237, TRUE, IF(ISERROR('API import'!$A$1), FALSE, COUNTIF('API import'!$A:$A, $A1237)&gt;0))</f>
        <v>0</v>
      </c>
      <c r="D1237" s="195" t="b">
        <v>0</v>
      </c>
      <c r="E1237" s="195">
        <v>3.0</v>
      </c>
      <c r="F1237" s="201">
        <f>COUNTIF('Activity map'!$C:$C, $A1237)</f>
        <v>1</v>
      </c>
    </row>
    <row r="1238">
      <c r="A1238" s="26">
        <v>8956.0</v>
      </c>
      <c r="B1238" s="23" t="s">
        <v>1607</v>
      </c>
      <c r="C1238" s="200" t="b">
        <f>IF($D1238, TRUE, IF(ISERROR('API import'!$A$1), FALSE, COUNTIF('API import'!$A:$A, $A1238)&gt;0))</f>
        <v>0</v>
      </c>
      <c r="D1238" s="195" t="b">
        <v>0</v>
      </c>
      <c r="E1238" s="195">
        <v>3.0</v>
      </c>
      <c r="F1238" s="201">
        <f>COUNTIF('Activity map'!$C:$C, $A1238)</f>
        <v>1</v>
      </c>
    </row>
    <row r="1239">
      <c r="A1239" s="26">
        <v>8963.0</v>
      </c>
      <c r="B1239" s="23" t="s">
        <v>1608</v>
      </c>
      <c r="C1239" s="200" t="b">
        <f>IF($D1239, TRUE, IF(ISERROR('API import'!$A$1), FALSE, COUNTIF('API import'!$A:$A, $A1239)&gt;0))</f>
        <v>0</v>
      </c>
      <c r="D1239" s="195" t="b">
        <v>0</v>
      </c>
      <c r="E1239" s="195">
        <v>3.0</v>
      </c>
      <c r="F1239" s="201">
        <f>COUNTIF('Activity map'!$C:$C, $A1239)</f>
        <v>1</v>
      </c>
    </row>
    <row r="1240">
      <c r="A1240" s="26">
        <v>8995.0</v>
      </c>
      <c r="B1240" s="23" t="s">
        <v>1609</v>
      </c>
      <c r="C1240" s="200" t="b">
        <f>IF($D1240, TRUE, IF(ISERROR('API import'!$A$1), FALSE, COUNTIF('API import'!$A:$A, $A1240)&gt;0))</f>
        <v>0</v>
      </c>
      <c r="D1240" s="195" t="b">
        <v>0</v>
      </c>
      <c r="E1240" s="195">
        <v>3.0</v>
      </c>
      <c r="F1240" s="201">
        <f>COUNTIF('Activity map'!$C:$C, $A1240)</f>
        <v>1</v>
      </c>
    </row>
    <row r="1241">
      <c r="A1241" s="26">
        <v>8957.0</v>
      </c>
      <c r="B1241" s="23" t="s">
        <v>1610</v>
      </c>
      <c r="C1241" s="200" t="b">
        <f>IF($D1241, TRUE, IF(ISERROR('API import'!$A$1), FALSE, COUNTIF('API import'!$A:$A, $A1241)&gt;0))</f>
        <v>0</v>
      </c>
      <c r="D1241" s="195" t="b">
        <v>0</v>
      </c>
      <c r="E1241" s="195">
        <v>3.0</v>
      </c>
      <c r="F1241" s="201">
        <f>COUNTIF('Activity map'!$C:$C, $A1241)</f>
        <v>1</v>
      </c>
    </row>
    <row r="1242">
      <c r="A1242" s="26">
        <v>8964.0</v>
      </c>
      <c r="B1242" s="23" t="s">
        <v>1611</v>
      </c>
      <c r="C1242" s="200" t="b">
        <f>IF($D1242, TRUE, IF(ISERROR('API import'!$A$1), FALSE, COUNTIF('API import'!$A:$A, $A1242)&gt;0))</f>
        <v>0</v>
      </c>
      <c r="D1242" s="195" t="b">
        <v>0</v>
      </c>
      <c r="E1242" s="195">
        <v>3.0</v>
      </c>
      <c r="F1242" s="201">
        <f>COUNTIF('Activity map'!$C:$C, $A1242)</f>
        <v>1</v>
      </c>
    </row>
    <row r="1243">
      <c r="A1243" s="26">
        <v>8996.0</v>
      </c>
      <c r="B1243" s="23" t="s">
        <v>1612</v>
      </c>
      <c r="C1243" s="200" t="b">
        <f>IF($D1243, TRUE, IF(ISERROR('API import'!$A$1), FALSE, COUNTIF('API import'!$A:$A, $A1243)&gt;0))</f>
        <v>0</v>
      </c>
      <c r="D1243" s="195" t="b">
        <v>0</v>
      </c>
      <c r="E1243" s="195">
        <v>3.0</v>
      </c>
      <c r="F1243" s="201">
        <f>COUNTIF('Activity map'!$C:$C, $A1243)</f>
        <v>1</v>
      </c>
    </row>
    <row r="1244">
      <c r="A1244" s="26">
        <v>8958.0</v>
      </c>
      <c r="B1244" s="23" t="s">
        <v>1613</v>
      </c>
      <c r="C1244" s="200" t="b">
        <f>IF($D1244, TRUE, IF(ISERROR('API import'!$A$1), FALSE, COUNTIF('API import'!$A:$A, $A1244)&gt;0))</f>
        <v>0</v>
      </c>
      <c r="D1244" s="195" t="b">
        <v>0</v>
      </c>
      <c r="E1244" s="195">
        <v>3.0</v>
      </c>
      <c r="F1244" s="201">
        <f>COUNTIF('Activity map'!$C:$C, $A1244)</f>
        <v>1</v>
      </c>
    </row>
    <row r="1245">
      <c r="A1245" s="26">
        <v>8965.0</v>
      </c>
      <c r="B1245" s="23" t="s">
        <v>1614</v>
      </c>
      <c r="C1245" s="200" t="b">
        <f>IF($D1245, TRUE, IF(ISERROR('API import'!$A$1), FALSE, COUNTIF('API import'!$A:$A, $A1245)&gt;0))</f>
        <v>0</v>
      </c>
      <c r="D1245" s="195" t="b">
        <v>0</v>
      </c>
      <c r="E1245" s="195">
        <v>3.0</v>
      </c>
      <c r="F1245" s="201">
        <f>COUNTIF('Activity map'!$C:$C, $A1245)</f>
        <v>1</v>
      </c>
    </row>
    <row r="1246">
      <c r="A1246" s="26">
        <v>8997.0</v>
      </c>
      <c r="B1246" s="23" t="s">
        <v>1615</v>
      </c>
      <c r="C1246" s="200" t="b">
        <f>IF($D1246, TRUE, IF(ISERROR('API import'!$A$1), FALSE, COUNTIF('API import'!$A:$A, $A1246)&gt;0))</f>
        <v>0</v>
      </c>
      <c r="D1246" s="195" t="b">
        <v>0</v>
      </c>
      <c r="E1246" s="195">
        <v>3.0</v>
      </c>
      <c r="F1246" s="201">
        <f>COUNTIF('Activity map'!$C:$C, $A1246)</f>
        <v>1</v>
      </c>
    </row>
    <row r="1247">
      <c r="A1247" s="26">
        <v>8966.0</v>
      </c>
      <c r="B1247" s="23" t="s">
        <v>1616</v>
      </c>
      <c r="C1247" s="200" t="b">
        <f>IF($D1247, TRUE, IF(ISERROR('API import'!$A$1), FALSE, COUNTIF('API import'!$A:$A, $A1247)&gt;0))</f>
        <v>0</v>
      </c>
      <c r="D1247" s="195" t="b">
        <v>0</v>
      </c>
      <c r="E1247" s="195">
        <v>4.0</v>
      </c>
      <c r="F1247" s="201">
        <f>COUNTIF('Activity map'!$C:$C, $A1247)</f>
        <v>1</v>
      </c>
    </row>
    <row r="1248">
      <c r="A1248" s="26">
        <v>8967.0</v>
      </c>
      <c r="B1248" s="23" t="s">
        <v>1617</v>
      </c>
      <c r="C1248" s="200" t="b">
        <f>IF($D1248, TRUE, IF(ISERROR('API import'!$A$1), FALSE, COUNTIF('API import'!$A:$A, $A1248)&gt;0))</f>
        <v>0</v>
      </c>
      <c r="D1248" s="195" t="b">
        <v>0</v>
      </c>
      <c r="E1248" s="195">
        <v>4.0</v>
      </c>
      <c r="F1248" s="201">
        <f>COUNTIF('Activity map'!$C:$C, $A1248)</f>
        <v>1</v>
      </c>
    </row>
    <row r="1249">
      <c r="A1249" s="26">
        <v>8968.0</v>
      </c>
      <c r="B1249" s="23" t="s">
        <v>1618</v>
      </c>
      <c r="C1249" s="200" t="b">
        <f>IF($D1249, TRUE, IF(ISERROR('API import'!$A$1), FALSE, COUNTIF('API import'!$A:$A, $A1249)&gt;0))</f>
        <v>0</v>
      </c>
      <c r="D1249" s="195" t="b">
        <v>0</v>
      </c>
      <c r="E1249" s="195">
        <v>4.0</v>
      </c>
      <c r="F1249" s="201">
        <f>COUNTIF('Activity map'!$C:$C, $A1249)</f>
        <v>1</v>
      </c>
    </row>
    <row r="1250">
      <c r="A1250" s="26">
        <v>8969.0</v>
      </c>
      <c r="B1250" s="23" t="s">
        <v>1619</v>
      </c>
      <c r="C1250" s="200" t="b">
        <f>IF($D1250, TRUE, IF(ISERROR('API import'!$A$1), FALSE, COUNTIF('API import'!$A:$A, $A1250)&gt;0))</f>
        <v>0</v>
      </c>
      <c r="D1250" s="195" t="b">
        <v>0</v>
      </c>
      <c r="E1250" s="195">
        <v>5.0</v>
      </c>
      <c r="F1250" s="201">
        <f>COUNTIF('Activity map'!$C:$C, $A1250)</f>
        <v>1</v>
      </c>
    </row>
    <row r="1251">
      <c r="A1251" s="26">
        <v>8970.0</v>
      </c>
      <c r="B1251" s="23" t="s">
        <v>1620</v>
      </c>
      <c r="C1251" s="200" t="b">
        <f>IF($D1251, TRUE, IF(ISERROR('API import'!$A$1), FALSE, COUNTIF('API import'!$A:$A, $A1251)&gt;0))</f>
        <v>0</v>
      </c>
      <c r="D1251" s="195" t="b">
        <v>0</v>
      </c>
      <c r="E1251" s="195">
        <v>5.0</v>
      </c>
      <c r="F1251" s="201">
        <f>COUNTIF('Activity map'!$C:$C, $A1251)</f>
        <v>1</v>
      </c>
    </row>
    <row r="1252">
      <c r="A1252" s="26">
        <v>8971.0</v>
      </c>
      <c r="B1252" s="23" t="s">
        <v>1621</v>
      </c>
      <c r="C1252" s="200" t="b">
        <f>IF($D1252, TRUE, IF(ISERROR('API import'!$A$1), FALSE, COUNTIF('API import'!$A:$A, $A1252)&gt;0))</f>
        <v>0</v>
      </c>
      <c r="D1252" s="195" t="b">
        <v>0</v>
      </c>
      <c r="E1252" s="195">
        <v>5.0</v>
      </c>
      <c r="F1252" s="201">
        <f>COUNTIF('Activity map'!$C:$C, $A1252)</f>
        <v>1</v>
      </c>
    </row>
    <row r="1253">
      <c r="A1253" s="26">
        <v>8988.0</v>
      </c>
      <c r="B1253" s="23" t="s">
        <v>1622</v>
      </c>
      <c r="C1253" s="202" t="b">
        <f>IF($D1253, TRUE, IF(ISERROR('API import'!$A$1), FALSE, COUNTIF('API import'!$A:$A, $A1253)&gt;0))</f>
        <v>0</v>
      </c>
      <c r="D1253" s="195" t="b">
        <v>0</v>
      </c>
      <c r="E1253" s="195">
        <v>2.0</v>
      </c>
      <c r="F1253" s="201">
        <f>COUNTIF('Activity map'!$C:$C, $A1253)</f>
        <v>1</v>
      </c>
    </row>
    <row r="1254">
      <c r="A1254" s="26">
        <v>8940.0</v>
      </c>
      <c r="B1254" s="23" t="s">
        <v>1623</v>
      </c>
      <c r="C1254" s="202" t="b">
        <f>IF($D1254, TRUE, IF(ISERROR('API import'!$A$1), FALSE, COUNTIF('API import'!$A:$A, $A1254)&gt;0))</f>
        <v>0</v>
      </c>
      <c r="D1254" s="195" t="b">
        <v>0</v>
      </c>
      <c r="E1254" s="195">
        <v>2.0</v>
      </c>
      <c r="F1254" s="201">
        <f>COUNTIF('Activity map'!$C:$C, $A1254)</f>
        <v>1</v>
      </c>
    </row>
    <row r="1255">
      <c r="A1255" s="26">
        <v>8941.0</v>
      </c>
      <c r="B1255" s="23" t="s">
        <v>1623</v>
      </c>
      <c r="C1255" s="202" t="b">
        <f>IF($D1255, TRUE, IF(ISERROR('API import'!$A$1), FALSE, COUNTIF('API import'!$A:$A, $A1255)&gt;0))</f>
        <v>0</v>
      </c>
      <c r="D1255" s="195" t="b">
        <v>0</v>
      </c>
      <c r="E1255" s="195">
        <v>2.0</v>
      </c>
      <c r="F1255" s="201">
        <f>COUNTIF('Activity map'!$C:$C, $A1255)</f>
        <v>1</v>
      </c>
    </row>
    <row r="1256">
      <c r="A1256" s="26">
        <v>31043.0</v>
      </c>
      <c r="B1256" s="23" t="s">
        <v>1624</v>
      </c>
      <c r="C1256" s="202" t="b">
        <f>IF($D1256, TRUE, IF(ISERROR('API import'!$A$1), FALSE, COUNTIF('API import'!$A:$A, $A1256)&gt;0))</f>
        <v>0</v>
      </c>
      <c r="D1256" s="195" t="b">
        <v>0</v>
      </c>
      <c r="E1256" s="195">
        <v>2.0</v>
      </c>
      <c r="F1256" s="201">
        <f>COUNTIF('Activity map'!$C:$C, $A1256)</f>
        <v>1</v>
      </c>
    </row>
    <row r="1257">
      <c r="A1257" s="26">
        <v>31052.0</v>
      </c>
      <c r="B1257" s="23" t="s">
        <v>1625</v>
      </c>
      <c r="C1257" s="202" t="b">
        <f>IF($D1257, TRUE, IF(ISERROR('API import'!$A$1), FALSE, COUNTIF('API import'!$A:$A, $A1257)&gt;0))</f>
        <v>0</v>
      </c>
      <c r="D1257" s="195" t="b">
        <v>0</v>
      </c>
      <c r="E1257" s="195">
        <v>2.0</v>
      </c>
      <c r="F1257" s="201">
        <f>COUNTIF('Activity map'!$C:$C, $A1257)</f>
        <v>1</v>
      </c>
    </row>
    <row r="1258">
      <c r="A1258" s="26">
        <v>31032.0</v>
      </c>
      <c r="B1258" s="23" t="s">
        <v>1626</v>
      </c>
      <c r="C1258" s="202" t="b">
        <f>IF($D1258, TRUE, IF(ISERROR('API import'!$A$1), FALSE, COUNTIF('API import'!$A:$A, $A1258)&gt;0))</f>
        <v>0</v>
      </c>
      <c r="D1258" s="195" t="b">
        <v>0</v>
      </c>
      <c r="E1258" s="195">
        <v>1.0</v>
      </c>
      <c r="F1258" s="201">
        <f>COUNTIF('Activity map'!$C:$C, $A1258)</f>
        <v>1</v>
      </c>
    </row>
    <row r="1259">
      <c r="A1259" s="26">
        <v>31034.0</v>
      </c>
      <c r="B1259" s="23" t="s">
        <v>1627</v>
      </c>
      <c r="C1259" s="202" t="b">
        <f>IF($D1259, TRUE, IF(ISERROR('API import'!$A$1), FALSE, COUNTIF('API import'!$A:$A, $A1259)&gt;0))</f>
        <v>0</v>
      </c>
      <c r="D1259" s="195" t="b">
        <v>0</v>
      </c>
      <c r="E1259" s="195">
        <v>2.0</v>
      </c>
      <c r="F1259" s="201">
        <f>COUNTIF('Activity map'!$C:$C, $A1259)</f>
        <v>1</v>
      </c>
    </row>
    <row r="1260">
      <c r="A1260" s="26">
        <v>21697.0</v>
      </c>
      <c r="B1260" s="23" t="s">
        <v>1628</v>
      </c>
      <c r="C1260" s="200" t="b">
        <f>IF($D1260, TRUE, IF(ISERROR('API import'!$A$1), FALSE, COUNTIF('API import'!$A:$A, $A1260)&gt;0))</f>
        <v>0</v>
      </c>
      <c r="D1260" s="195" t="b">
        <v>0</v>
      </c>
      <c r="E1260" s="195">
        <v>3.0</v>
      </c>
      <c r="F1260" s="201">
        <f>COUNTIF('Activity map'!$C:$C, $A1260)</f>
        <v>1</v>
      </c>
    </row>
    <row r="1261">
      <c r="A1261" s="26">
        <v>25615.0</v>
      </c>
      <c r="B1261" s="23" t="s">
        <v>1629</v>
      </c>
      <c r="C1261" s="200" t="b">
        <f>IF($D1261, TRUE, IF(ISERROR('API import'!$A$1), FALSE, COUNTIF('API import'!$A:$A, $A1261)&gt;0))</f>
        <v>0</v>
      </c>
      <c r="D1261" s="195" t="b">
        <v>0</v>
      </c>
      <c r="E1261" s="195">
        <v>3.0</v>
      </c>
      <c r="F1261" s="201">
        <f>COUNTIF('Activity map'!$C:$C, $A1261)</f>
        <v>1</v>
      </c>
    </row>
    <row r="1262">
      <c r="A1262" s="26">
        <v>21541.0</v>
      </c>
      <c r="B1262" s="23" t="s">
        <v>1630</v>
      </c>
      <c r="C1262" s="202" t="b">
        <f>IF($D1262, TRUE, IF(ISERROR('API import'!$A$1), FALSE, COUNTIF('API import'!$A:$A, $A1262)&gt;0))</f>
        <v>0</v>
      </c>
      <c r="D1262" s="195" t="b">
        <v>0</v>
      </c>
      <c r="E1262" s="195">
        <v>3.0</v>
      </c>
      <c r="F1262" s="201">
        <f>COUNTIF('Activity map'!$C:$C, $A1262)</f>
        <v>1</v>
      </c>
    </row>
    <row r="1263">
      <c r="A1263" s="26">
        <v>27695.0</v>
      </c>
      <c r="B1263" s="23" t="s">
        <v>1631</v>
      </c>
      <c r="C1263" s="200" t="b">
        <f>IF($D1263, TRUE, IF(ISERROR('API import'!$A$1), FALSE, COUNTIF('API import'!$A:$A, $A1263)&gt;0))</f>
        <v>0</v>
      </c>
      <c r="D1263" s="195" t="b">
        <v>0</v>
      </c>
      <c r="E1263" s="195">
        <v>5.0</v>
      </c>
      <c r="F1263" s="201">
        <f>COUNTIF('Activity map'!$C:$C, $A1263)</f>
        <v>1</v>
      </c>
    </row>
    <row r="1264">
      <c r="A1264" s="26">
        <v>22840.0</v>
      </c>
      <c r="B1264" s="23" t="s">
        <v>1632</v>
      </c>
      <c r="C1264" s="200" t="b">
        <f>IF($D1264, TRUE, IF(ISERROR('API import'!$A$1), FALSE, COUNTIF('API import'!$A:$A, $A1264)&gt;0))</f>
        <v>0</v>
      </c>
      <c r="D1264" s="195" t="b">
        <v>0</v>
      </c>
      <c r="E1264" s="195">
        <v>4.0</v>
      </c>
      <c r="F1264" s="201">
        <f>COUNTIF('Activity map'!$C:$C, $A1264)</f>
        <v>1</v>
      </c>
    </row>
    <row r="1265">
      <c r="A1265" s="26">
        <v>22846.0</v>
      </c>
      <c r="B1265" s="23" t="s">
        <v>1633</v>
      </c>
      <c r="C1265" s="200" t="b">
        <f>IF($D1265, TRUE, IF(ISERROR('API import'!$A$1), FALSE, COUNTIF('API import'!$A:$A, $A1265)&gt;0))</f>
        <v>0</v>
      </c>
      <c r="D1265" s="195" t="b">
        <v>0</v>
      </c>
      <c r="E1265" s="195">
        <v>4.0</v>
      </c>
      <c r="F1265" s="201">
        <f>COUNTIF('Activity map'!$C:$C, $A1265)</f>
        <v>1</v>
      </c>
    </row>
    <row r="1266">
      <c r="A1266" s="26">
        <v>22844.0</v>
      </c>
      <c r="B1266" s="23" t="s">
        <v>1634</v>
      </c>
      <c r="C1266" s="200" t="b">
        <f>IF($D1266, TRUE, IF(ISERROR('API import'!$A$1), FALSE, COUNTIF('API import'!$A:$A, $A1266)&gt;0))</f>
        <v>0</v>
      </c>
      <c r="D1266" s="195" t="b">
        <v>0</v>
      </c>
      <c r="E1266" s="195">
        <v>4.0</v>
      </c>
      <c r="F1266" s="201">
        <f>COUNTIF('Activity map'!$C:$C, $A1266)</f>
        <v>1</v>
      </c>
    </row>
    <row r="1267">
      <c r="A1267" s="26">
        <v>22842.0</v>
      </c>
      <c r="B1267" s="23" t="s">
        <v>1635</v>
      </c>
      <c r="C1267" s="200" t="b">
        <f>IF($D1267, TRUE, IF(ISERROR('API import'!$A$1), FALSE, COUNTIF('API import'!$A:$A, $A1267)&gt;0))</f>
        <v>0</v>
      </c>
      <c r="D1267" s="195" t="b">
        <v>0</v>
      </c>
      <c r="E1267" s="195">
        <v>4.0</v>
      </c>
      <c r="F1267" s="201">
        <f>COUNTIF('Activity map'!$C:$C, $A1267)</f>
        <v>1</v>
      </c>
    </row>
    <row r="1268">
      <c r="A1268" s="26">
        <v>22838.0</v>
      </c>
      <c r="B1268" s="23" t="s">
        <v>1636</v>
      </c>
      <c r="C1268" s="200" t="b">
        <f>IF($D1268, TRUE, IF(ISERROR('API import'!$A$1), FALSE, COUNTIF('API import'!$A:$A, $A1268)&gt;0))</f>
        <v>0</v>
      </c>
      <c r="D1268" s="195" t="b">
        <v>0</v>
      </c>
      <c r="E1268" s="195">
        <v>6.0</v>
      </c>
      <c r="F1268" s="201">
        <f>COUNTIF('Activity map'!$C:$C, $A1268)</f>
        <v>1</v>
      </c>
    </row>
    <row r="1269">
      <c r="A1269" s="26">
        <v>13320.0</v>
      </c>
      <c r="B1269" s="23" t="s">
        <v>1637</v>
      </c>
      <c r="C1269" s="200" t="b">
        <f>IF($D1269, TRUE, IF(ISERROR('API import'!$A$1), FALSE, COUNTIF('API import'!$A:$A, $A1269)&gt;0))</f>
        <v>0</v>
      </c>
      <c r="D1269" s="195" t="b">
        <v>0</v>
      </c>
      <c r="E1269" s="195">
        <v>7.0</v>
      </c>
      <c r="F1269" s="201">
        <f>COUNTIF('Activity map'!$C:$C, $A1269)</f>
        <v>1</v>
      </c>
    </row>
    <row r="1270">
      <c r="A1270" s="26">
        <v>13321.0</v>
      </c>
      <c r="B1270" s="23" t="s">
        <v>1638</v>
      </c>
      <c r="C1270" s="202" t="b">
        <f>IF($D1270, TRUE, IF(ISERROR('API import'!$A$1), FALSE, COUNTIF('API import'!$A:$A, $A1270)&gt;0))</f>
        <v>0</v>
      </c>
      <c r="D1270" s="195" t="b">
        <v>0</v>
      </c>
      <c r="E1270" s="195">
        <v>8.0</v>
      </c>
      <c r="F1270" s="201">
        <f>COUNTIF('Activity map'!$C:$C, $A1270)</f>
        <v>1</v>
      </c>
    </row>
    <row r="1271">
      <c r="A1271" s="26">
        <v>13322.0</v>
      </c>
      <c r="B1271" s="23" t="s">
        <v>1639</v>
      </c>
      <c r="C1271" s="200" t="b">
        <f>IF($D1271, TRUE, IF(ISERROR('API import'!$A$1), FALSE, COUNTIF('API import'!$A:$A, $A1271)&gt;0))</f>
        <v>0</v>
      </c>
      <c r="D1271" s="195" t="b">
        <v>0</v>
      </c>
      <c r="E1271" s="195">
        <v>7.0</v>
      </c>
      <c r="F1271" s="201">
        <f>COUNTIF('Activity map'!$C:$C, $A1271)</f>
        <v>1</v>
      </c>
    </row>
    <row r="1272">
      <c r="A1272" s="26">
        <v>13324.0</v>
      </c>
      <c r="B1272" s="23" t="s">
        <v>1640</v>
      </c>
      <c r="C1272" s="202" t="b">
        <f>IF($D1272, TRUE, IF(ISERROR('API import'!$A$1), FALSE, COUNTIF('API import'!$A:$A, $A1272)&gt;0))</f>
        <v>0</v>
      </c>
      <c r="D1272" s="195" t="b">
        <v>0</v>
      </c>
      <c r="E1272" s="195">
        <v>7.0</v>
      </c>
      <c r="F1272" s="201">
        <f>COUNTIF('Activity map'!$C:$C, $A1272)</f>
        <v>1</v>
      </c>
    </row>
    <row r="1273">
      <c r="A1273" s="26">
        <v>20659.0</v>
      </c>
      <c r="B1273" s="23" t="s">
        <v>1641</v>
      </c>
      <c r="C1273" s="200" t="b">
        <f>IF($D1273, TRUE, IF(ISERROR('API import'!$A$1), FALSE, COUNTIF('API import'!$A:$A, $A1273)&gt;0))</f>
        <v>0</v>
      </c>
      <c r="D1273" s="195" t="b">
        <v>0</v>
      </c>
      <c r="E1273" s="195">
        <v>8.0</v>
      </c>
      <c r="F1273" s="201">
        <f>COUNTIF('Activity map'!$C:$C, $A1273)</f>
        <v>1</v>
      </c>
    </row>
    <row r="1274">
      <c r="A1274" s="26">
        <v>20661.0</v>
      </c>
      <c r="B1274" s="23" t="s">
        <v>1642</v>
      </c>
      <c r="C1274" s="202" t="b">
        <f>IF($D1274, TRUE, IF(ISERROR('API import'!$A$1), FALSE, COUNTIF('API import'!$A:$A, $A1274)&gt;0))</f>
        <v>0</v>
      </c>
      <c r="D1274" s="195" t="b">
        <v>0</v>
      </c>
      <c r="E1274" s="195">
        <v>8.0</v>
      </c>
      <c r="F1274" s="201">
        <f>COUNTIF('Activity map'!$C:$C, $A1274)</f>
        <v>1</v>
      </c>
    </row>
    <row r="1275">
      <c r="A1275" s="26">
        <v>20663.0</v>
      </c>
      <c r="B1275" s="23" t="s">
        <v>1643</v>
      </c>
      <c r="C1275" s="202" t="b">
        <f>IF($D1275, TRUE, IF(ISERROR('API import'!$A$1), FALSE, COUNTIF('API import'!$A:$A, $A1275)&gt;0))</f>
        <v>0</v>
      </c>
      <c r="D1275" s="195" t="b">
        <v>0</v>
      </c>
      <c r="E1275" s="195">
        <v>6.0</v>
      </c>
      <c r="F1275" s="201">
        <f>COUNTIF('Activity map'!$C:$C, $A1275)</f>
        <v>1</v>
      </c>
    </row>
    <row r="1276">
      <c r="A1276" s="26">
        <v>20665.0</v>
      </c>
      <c r="B1276" s="23" t="s">
        <v>1644</v>
      </c>
      <c r="C1276" s="200" t="b">
        <f>IF($D1276, TRUE, IF(ISERROR('API import'!$A$1), FALSE, COUNTIF('API import'!$A:$A, $A1276)&gt;0))</f>
        <v>0</v>
      </c>
      <c r="D1276" s="195" t="b">
        <v>0</v>
      </c>
      <c r="E1276" s="195">
        <v>8.0</v>
      </c>
      <c r="F1276" s="201">
        <f>COUNTIF('Activity map'!$C:$C, $A1276)</f>
        <v>1</v>
      </c>
    </row>
    <row r="1277">
      <c r="A1277" s="26">
        <v>21509.0</v>
      </c>
      <c r="B1277" s="23" t="s">
        <v>1645</v>
      </c>
      <c r="C1277" s="200" t="b">
        <f>IF($D1277, TRUE, IF(ISERROR('API import'!$A$1), FALSE, COUNTIF('API import'!$A:$A, $A1277)&gt;0))</f>
        <v>0</v>
      </c>
      <c r="D1277" s="195" t="b">
        <v>0</v>
      </c>
      <c r="E1277" s="195">
        <v>7.0</v>
      </c>
      <c r="F1277" s="201">
        <f>COUNTIF('Activity map'!$C:$C, $A1277)</f>
        <v>1</v>
      </c>
    </row>
    <row r="1278">
      <c r="A1278" s="26">
        <v>13071.0</v>
      </c>
      <c r="B1278" s="23" t="s">
        <v>1646</v>
      </c>
      <c r="C1278" s="200" t="b">
        <f>IF($D1278, TRUE, IF(ISERROR('API import'!$A$1), FALSE, COUNTIF('API import'!$A:$A, $A1278)&gt;0))</f>
        <v>0</v>
      </c>
      <c r="D1278" s="195" t="b">
        <v>0</v>
      </c>
      <c r="E1278" s="195">
        <v>5.0</v>
      </c>
      <c r="F1278" s="201">
        <f>COUNTIF('Activity map'!$C:$C, $A1278)</f>
        <v>1</v>
      </c>
    </row>
    <row r="1279">
      <c r="A1279" s="26">
        <v>31283.0</v>
      </c>
      <c r="B1279" s="23" t="s">
        <v>1647</v>
      </c>
      <c r="C1279" s="200" t="b">
        <f>IF($D1279, TRUE, IF(ISERROR('API import'!$A$1), FALSE, COUNTIF('API import'!$A:$A, $A1279)&gt;0))</f>
        <v>0</v>
      </c>
      <c r="D1279" s="195" t="b">
        <v>0</v>
      </c>
      <c r="E1279" s="195">
        <v>7.0</v>
      </c>
      <c r="F1279" s="203">
        <f>COUNTIF('Activity map'!$C:$C, $A1279)</f>
        <v>10</v>
      </c>
    </row>
    <row r="1280">
      <c r="A1280" s="26">
        <v>32087.0</v>
      </c>
      <c r="B1280" s="23" t="s">
        <v>1648</v>
      </c>
      <c r="C1280" s="200" t="b">
        <f>IF($D1280, TRUE, IF(ISERROR('API import'!$A$1), FALSE, COUNTIF('API import'!$A:$A, $A1280)&gt;0))</f>
        <v>0</v>
      </c>
      <c r="D1280" s="195" t="b">
        <v>0</v>
      </c>
      <c r="E1280" s="195">
        <v>6.0</v>
      </c>
      <c r="F1280" s="203">
        <f>COUNTIF('Activity map'!$C:$C, $A1280)</f>
        <v>3</v>
      </c>
    </row>
    <row r="1281">
      <c r="A1281" s="26">
        <v>32090.0</v>
      </c>
      <c r="B1281" s="23" t="s">
        <v>1649</v>
      </c>
      <c r="C1281" s="202" t="b">
        <f>IF($D1281, TRUE, IF(ISERROR('API import'!$A$1), FALSE, COUNTIF('API import'!$A:$A, $A1281)&gt;0))</f>
        <v>0</v>
      </c>
      <c r="D1281" s="195" t="b">
        <v>0</v>
      </c>
      <c r="E1281" s="195">
        <v>1.0</v>
      </c>
      <c r="F1281" s="201">
        <f>COUNTIF('Activity map'!$C:$C, $A1281)</f>
        <v>1</v>
      </c>
    </row>
    <row r="1282">
      <c r="A1282" s="26">
        <v>32093.0</v>
      </c>
      <c r="B1282" s="23" t="s">
        <v>1650</v>
      </c>
      <c r="C1282" s="200" t="b">
        <f>IF($D1282, TRUE, IF(ISERROR('API import'!$A$1), FALSE, COUNTIF('API import'!$A:$A, $A1282)&gt;0))</f>
        <v>0</v>
      </c>
      <c r="D1282" s="195" t="b">
        <v>0</v>
      </c>
      <c r="E1282" s="195">
        <v>6.0</v>
      </c>
      <c r="F1282" s="201">
        <f>COUNTIF('Activity map'!$C:$C, $A1282)</f>
        <v>1</v>
      </c>
    </row>
    <row r="1283">
      <c r="A1283" s="26">
        <v>32096.0</v>
      </c>
      <c r="B1283" s="23" t="s">
        <v>1651</v>
      </c>
      <c r="C1283" s="200" t="b">
        <f>IF($D1283, TRUE, IF(ISERROR('API import'!$A$1), FALSE, COUNTIF('API import'!$A:$A, $A1283)&gt;0))</f>
        <v>0</v>
      </c>
      <c r="D1283" s="195" t="b">
        <v>0</v>
      </c>
      <c r="E1283" s="195">
        <v>6.0</v>
      </c>
      <c r="F1283" s="203">
        <f>COUNTIF('Activity map'!$C:$C, $A1283)</f>
        <v>6</v>
      </c>
    </row>
    <row r="1284">
      <c r="A1284" s="26">
        <v>32099.0</v>
      </c>
      <c r="B1284" s="23" t="s">
        <v>1652</v>
      </c>
      <c r="C1284" s="200" t="b">
        <f>IF($D1284, TRUE, IF(ISERROR('API import'!$A$1), FALSE, COUNTIF('API import'!$A:$A, $A1284)&gt;0))</f>
        <v>0</v>
      </c>
      <c r="D1284" s="195" t="b">
        <v>0</v>
      </c>
      <c r="E1284" s="195">
        <v>6.0</v>
      </c>
      <c r="F1284" s="201">
        <f>COUNTIF('Activity map'!$C:$C, $A1284)</f>
        <v>1</v>
      </c>
    </row>
    <row r="1285">
      <c r="A1285" s="26">
        <v>32102.0</v>
      </c>
      <c r="B1285" s="23" t="s">
        <v>1653</v>
      </c>
      <c r="C1285" s="200" t="b">
        <f>IF($D1285, TRUE, IF(ISERROR('API import'!$A$1), FALSE, COUNTIF('API import'!$A:$A, $A1285)&gt;0))</f>
        <v>0</v>
      </c>
      <c r="D1285" s="195" t="b">
        <v>0</v>
      </c>
      <c r="E1285" s="195">
        <v>3.0</v>
      </c>
      <c r="F1285" s="201">
        <f>COUNTIF('Activity map'!$C:$C, $A1285)</f>
        <v>1</v>
      </c>
    </row>
    <row r="1286">
      <c r="A1286" s="26">
        <v>32104.0</v>
      </c>
      <c r="B1286" s="23" t="s">
        <v>1654</v>
      </c>
      <c r="C1286" s="200" t="b">
        <f>IF($D1286, TRUE, IF(ISERROR('API import'!$A$1), FALSE, COUNTIF('API import'!$A:$A, $A1286)&gt;0))</f>
        <v>0</v>
      </c>
      <c r="D1286" s="195" t="b">
        <v>0</v>
      </c>
      <c r="E1286" s="195">
        <v>2.0</v>
      </c>
      <c r="F1286" s="201">
        <f>COUNTIF('Activity map'!$C:$C, $A1286)</f>
        <v>1</v>
      </c>
    </row>
    <row r="1287">
      <c r="A1287" s="26">
        <v>32106.0</v>
      </c>
      <c r="B1287" s="23" t="s">
        <v>1655</v>
      </c>
      <c r="C1287" s="200" t="b">
        <f>IF($D1287, TRUE, IF(ISERROR('API import'!$A$1), FALSE, COUNTIF('API import'!$A:$A, $A1287)&gt;0))</f>
        <v>0</v>
      </c>
      <c r="D1287" s="195" t="b">
        <v>0</v>
      </c>
      <c r="E1287" s="195">
        <v>3.0</v>
      </c>
      <c r="F1287" s="201">
        <f>COUNTIF('Activity map'!$C:$C, $A1287)</f>
        <v>1</v>
      </c>
    </row>
    <row r="1288">
      <c r="A1288" s="26">
        <v>32108.0</v>
      </c>
      <c r="B1288" s="23" t="s">
        <v>1656</v>
      </c>
      <c r="C1288" s="200" t="b">
        <f>IF($D1288, TRUE, IF(ISERROR('API import'!$A$1), FALSE, COUNTIF('API import'!$A:$A, $A1288)&gt;0))</f>
        <v>0</v>
      </c>
      <c r="D1288" s="195" t="b">
        <v>0</v>
      </c>
      <c r="E1288" s="195">
        <v>2.0</v>
      </c>
      <c r="F1288" s="201">
        <f>COUNTIF('Activity map'!$C:$C, $A1288)</f>
        <v>1</v>
      </c>
    </row>
    <row r="1289">
      <c r="A1289" s="26">
        <v>32110.0</v>
      </c>
      <c r="B1289" s="23" t="s">
        <v>1657</v>
      </c>
      <c r="C1289" s="200" t="b">
        <f>IF($D1289, TRUE, IF(ISERROR('API import'!$A$1), FALSE, COUNTIF('API import'!$A:$A, $A1289)&gt;0))</f>
        <v>0</v>
      </c>
      <c r="D1289" s="195" t="b">
        <v>0</v>
      </c>
      <c r="E1289" s="195">
        <v>6.0</v>
      </c>
      <c r="F1289" s="201">
        <f>COUNTIF('Activity map'!$C:$C, $A1289)</f>
        <v>1</v>
      </c>
    </row>
    <row r="1290">
      <c r="A1290" s="26">
        <v>32113.0</v>
      </c>
      <c r="B1290" s="23" t="s">
        <v>1658</v>
      </c>
      <c r="C1290" s="200" t="b">
        <f>IF($D1290, TRUE, IF(ISERROR('API import'!$A$1), FALSE, COUNTIF('API import'!$A:$A, $A1290)&gt;0))</f>
        <v>0</v>
      </c>
      <c r="D1290" s="195" t="b">
        <v>0</v>
      </c>
      <c r="E1290" s="195">
        <v>2.0</v>
      </c>
      <c r="F1290" s="201">
        <f>COUNTIF('Activity map'!$C:$C, $A1290)</f>
        <v>1</v>
      </c>
    </row>
    <row r="1291">
      <c r="A1291" s="26">
        <v>25641.0</v>
      </c>
      <c r="B1291" s="23" t="s">
        <v>1659</v>
      </c>
      <c r="C1291" s="202" t="b">
        <f>IF($D1291, TRUE, IF(ISERROR('API import'!$A$1), FALSE, COUNTIF('API import'!$A:$A, $A1291)&gt;0))</f>
        <v>0</v>
      </c>
      <c r="D1291" s="195" t="b">
        <v>0</v>
      </c>
      <c r="E1291" s="195">
        <v>2.0</v>
      </c>
      <c r="F1291" s="204">
        <f>COUNTIF('Activity map'!$C:$C, $A1291)</f>
        <v>0</v>
      </c>
    </row>
    <row r="1292">
      <c r="A1292" s="26">
        <v>25635.0</v>
      </c>
      <c r="B1292" s="23" t="s">
        <v>1660</v>
      </c>
      <c r="C1292" s="202" t="b">
        <f>IF($D1292, TRUE, IF(ISERROR('API import'!$A$1), FALSE, COUNTIF('API import'!$A:$A, $A1292)&gt;0))</f>
        <v>0</v>
      </c>
      <c r="D1292" s="195" t="b">
        <v>0</v>
      </c>
      <c r="E1292" s="195">
        <v>2.0</v>
      </c>
      <c r="F1292" s="201">
        <f>COUNTIF('Activity map'!$C:$C, $A1292)</f>
        <v>1</v>
      </c>
    </row>
    <row r="1293">
      <c r="A1293" s="26">
        <v>25637.0</v>
      </c>
      <c r="B1293" s="23" t="s">
        <v>1661</v>
      </c>
      <c r="C1293" s="202" t="b">
        <f>IF($D1293, TRUE, IF(ISERROR('API import'!$A$1), FALSE, COUNTIF('API import'!$A:$A, $A1293)&gt;0))</f>
        <v>0</v>
      </c>
      <c r="D1293" s="195" t="b">
        <v>0</v>
      </c>
      <c r="E1293" s="195">
        <v>2.0</v>
      </c>
      <c r="F1293" s="201">
        <f>COUNTIF('Activity map'!$C:$C, $A1293)</f>
        <v>1</v>
      </c>
    </row>
    <row r="1294">
      <c r="A1294" s="26">
        <v>25639.0</v>
      </c>
      <c r="B1294" s="23" t="s">
        <v>1662</v>
      </c>
      <c r="C1294" s="202" t="b">
        <f>IF($D1294, TRUE, IF(ISERROR('API import'!$A$1), FALSE, COUNTIF('API import'!$A:$A, $A1294)&gt;0))</f>
        <v>0</v>
      </c>
      <c r="D1294" s="195" t="b">
        <v>0</v>
      </c>
      <c r="E1294" s="195">
        <v>2.0</v>
      </c>
      <c r="F1294" s="201">
        <f>COUNTIF('Activity map'!$C:$C, $A1294)</f>
        <v>1</v>
      </c>
    </row>
    <row r="1295">
      <c r="A1295" s="26">
        <v>25686.0</v>
      </c>
      <c r="B1295" s="23" t="s">
        <v>1663</v>
      </c>
      <c r="C1295" s="202" t="b">
        <f>IF($D1295, TRUE, IF(ISERROR('API import'!$A$1), FALSE, COUNTIF('API import'!$A:$A, $A1295)&gt;0))</f>
        <v>0</v>
      </c>
      <c r="D1295" s="195" t="b">
        <v>0</v>
      </c>
      <c r="E1295" s="195">
        <v>2.0</v>
      </c>
      <c r="F1295" s="201">
        <f>COUNTIF('Activity map'!$C:$C, $A1295)</f>
        <v>1</v>
      </c>
    </row>
    <row r="1296">
      <c r="A1296" s="26">
        <v>25688.0</v>
      </c>
      <c r="B1296" s="23" t="s">
        <v>1664</v>
      </c>
      <c r="C1296" s="202" t="b">
        <f>IF($D1296, TRUE, IF(ISERROR('API import'!$A$1), FALSE, COUNTIF('API import'!$A:$A, $A1296)&gt;0))</f>
        <v>0</v>
      </c>
      <c r="D1296" s="195" t="b">
        <v>0</v>
      </c>
      <c r="E1296" s="195">
        <v>2.0</v>
      </c>
      <c r="F1296" s="201">
        <f>COUNTIF('Activity map'!$C:$C, $A1296)</f>
        <v>1</v>
      </c>
    </row>
    <row r="1297">
      <c r="A1297" s="26">
        <v>25690.0</v>
      </c>
      <c r="B1297" s="23" t="s">
        <v>1665</v>
      </c>
      <c r="C1297" s="202" t="b">
        <f>IF($D1297, TRUE, IF(ISERROR('API import'!$A$1), FALSE, COUNTIF('API import'!$A:$A, $A1297)&gt;0))</f>
        <v>0</v>
      </c>
      <c r="D1297" s="195" t="b">
        <v>0</v>
      </c>
      <c r="E1297" s="195">
        <v>2.0</v>
      </c>
      <c r="F1297" s="201">
        <f>COUNTIF('Activity map'!$C:$C, $A1297)</f>
        <v>1</v>
      </c>
    </row>
    <row r="1298">
      <c r="A1298" s="26">
        <v>25692.0</v>
      </c>
      <c r="B1298" s="23" t="s">
        <v>1666</v>
      </c>
      <c r="C1298" s="202" t="b">
        <f>IF($D1298, TRUE, IF(ISERROR('API import'!$A$1), FALSE, COUNTIF('API import'!$A:$A, $A1298)&gt;0))</f>
        <v>0</v>
      </c>
      <c r="D1298" s="195" t="b">
        <v>0</v>
      </c>
      <c r="E1298" s="195">
        <v>2.0</v>
      </c>
      <c r="F1298" s="201">
        <f>COUNTIF('Activity map'!$C:$C, $A1298)</f>
        <v>1</v>
      </c>
    </row>
    <row r="1299">
      <c r="A1299" s="26">
        <v>25694.0</v>
      </c>
      <c r="B1299" s="23" t="s">
        <v>1667</v>
      </c>
      <c r="C1299" s="202" t="b">
        <f>IF($D1299, TRUE, IF(ISERROR('API import'!$A$1), FALSE, COUNTIF('API import'!$A:$A, $A1299)&gt;0))</f>
        <v>0</v>
      </c>
      <c r="D1299" s="195" t="b">
        <v>0</v>
      </c>
      <c r="E1299" s="195">
        <v>2.0</v>
      </c>
      <c r="F1299" s="201">
        <f>COUNTIF('Activity map'!$C:$C, $A1299)</f>
        <v>1</v>
      </c>
    </row>
    <row r="1300">
      <c r="A1300" s="26">
        <v>25644.0</v>
      </c>
      <c r="B1300" s="23" t="s">
        <v>1668</v>
      </c>
      <c r="C1300" s="202" t="b">
        <f>IF($D1300, TRUE, IF(ISERROR('API import'!$A$1), FALSE, COUNTIF('API import'!$A:$A, $A1300)&gt;0))</f>
        <v>0</v>
      </c>
      <c r="D1300" s="195" t="b">
        <v>0</v>
      </c>
      <c r="E1300" s="195">
        <v>2.0</v>
      </c>
      <c r="F1300" s="201">
        <f>COUNTIF('Activity map'!$C:$C, $A1300)</f>
        <v>1</v>
      </c>
    </row>
    <row r="1301">
      <c r="A1301" s="25">
        <v>6798.0</v>
      </c>
      <c r="B1301" s="23" t="s">
        <v>1669</v>
      </c>
      <c r="C1301" s="200" t="b">
        <f>IF($D1301, TRUE, IF(ISERROR('API import'!$A$1), FALSE, COUNTIF('API import'!$A:$A, $A1301)&gt;0))</f>
        <v>0</v>
      </c>
      <c r="D1301" s="195" t="b">
        <v>0</v>
      </c>
      <c r="E1301" s="195">
        <v>6.0</v>
      </c>
      <c r="F1301" s="201">
        <f>COUNTIF('Activity map'!$C:$C, $A1301)</f>
        <v>1</v>
      </c>
    </row>
    <row r="1302">
      <c r="A1302" s="25">
        <v>6799.0</v>
      </c>
      <c r="B1302" s="23" t="s">
        <v>1670</v>
      </c>
      <c r="C1302" s="200" t="b">
        <f>IF($D1302, TRUE, IF(ISERROR('API import'!$A$1), FALSE, COUNTIF('API import'!$A:$A, $A1302)&gt;0))</f>
        <v>0</v>
      </c>
      <c r="D1302" s="195" t="b">
        <v>0</v>
      </c>
      <c r="E1302" s="195">
        <v>6.0</v>
      </c>
      <c r="F1302" s="201">
        <f>COUNTIF('Activity map'!$C:$C, $A1302)</f>
        <v>1</v>
      </c>
    </row>
    <row r="1303">
      <c r="A1303" s="25">
        <v>6800.0</v>
      </c>
      <c r="B1303" s="23" t="s">
        <v>1671</v>
      </c>
      <c r="C1303" s="200" t="b">
        <f>IF($D1303, TRUE, IF(ISERROR('API import'!$A$1), FALSE, COUNTIF('API import'!$A:$A, $A1303)&gt;0))</f>
        <v>0</v>
      </c>
      <c r="D1303" s="195" t="b">
        <v>0</v>
      </c>
      <c r="E1303" s="195">
        <v>5.0</v>
      </c>
      <c r="F1303" s="203">
        <f>COUNTIF('Activity map'!$C:$C, $A1303)</f>
        <v>5</v>
      </c>
    </row>
    <row r="1304">
      <c r="A1304" s="25">
        <v>6801.0</v>
      </c>
      <c r="B1304" s="23" t="s">
        <v>1672</v>
      </c>
      <c r="C1304" s="200" t="b">
        <f>IF($D1304, TRUE, IF(ISERROR('API import'!$A$1), FALSE, COUNTIF('API import'!$A:$A, $A1304)&gt;0))</f>
        <v>0</v>
      </c>
      <c r="D1304" s="195" t="b">
        <v>0</v>
      </c>
      <c r="E1304" s="195">
        <v>4.0</v>
      </c>
      <c r="F1304" s="201">
        <f>COUNTIF('Activity map'!$C:$C, $A1304)</f>
        <v>1</v>
      </c>
    </row>
    <row r="1305">
      <c r="A1305" s="25">
        <v>6802.0</v>
      </c>
      <c r="B1305" s="23" t="s">
        <v>1673</v>
      </c>
      <c r="C1305" s="200" t="b">
        <f>IF($D1305, TRUE, IF(ISERROR('API import'!$A$1), FALSE, COUNTIF('API import'!$A:$A, $A1305)&gt;0))</f>
        <v>0</v>
      </c>
      <c r="D1305" s="195" t="b">
        <v>0</v>
      </c>
      <c r="E1305" s="195">
        <v>6.0</v>
      </c>
      <c r="F1305" s="201">
        <f>COUNTIF('Activity map'!$C:$C, $A1305)</f>
        <v>1</v>
      </c>
    </row>
    <row r="1306">
      <c r="A1306" s="25">
        <v>6803.0</v>
      </c>
      <c r="B1306" s="23" t="s">
        <v>1674</v>
      </c>
      <c r="C1306" s="202" t="b">
        <f>IF($D1306, TRUE, IF(ISERROR('API import'!$A$1), FALSE, COUNTIF('API import'!$A:$A, $A1306)&gt;0))</f>
        <v>0</v>
      </c>
      <c r="D1306" s="195" t="b">
        <v>0</v>
      </c>
      <c r="E1306" s="195">
        <v>4.0</v>
      </c>
      <c r="F1306" s="201">
        <f>COUNTIF('Activity map'!$C:$C, $A1306)</f>
        <v>1</v>
      </c>
    </row>
    <row r="1307">
      <c r="A1307" s="25">
        <v>6804.0</v>
      </c>
      <c r="B1307" s="23" t="s">
        <v>1675</v>
      </c>
      <c r="C1307" s="200" t="b">
        <f>IF($D1307, TRUE, IF(ISERROR('API import'!$A$1), FALSE, COUNTIF('API import'!$A:$A, $A1307)&gt;0))</f>
        <v>0</v>
      </c>
      <c r="D1307" s="195" t="b">
        <v>0</v>
      </c>
      <c r="E1307" s="195">
        <v>6.0</v>
      </c>
      <c r="F1307" s="201">
        <f>COUNTIF('Activity map'!$C:$C, $A1307)</f>
        <v>1</v>
      </c>
    </row>
    <row r="1308">
      <c r="A1308" s="25">
        <v>6805.0</v>
      </c>
      <c r="B1308" s="23" t="s">
        <v>1676</v>
      </c>
      <c r="C1308" s="200" t="b">
        <f>IF($D1308, TRUE, IF(ISERROR('API import'!$A$1), FALSE, COUNTIF('API import'!$A:$A, $A1308)&gt;0))</f>
        <v>0</v>
      </c>
      <c r="D1308" s="195" t="b">
        <v>0</v>
      </c>
      <c r="E1308" s="195">
        <v>6.0</v>
      </c>
      <c r="F1308" s="201">
        <f>COUNTIF('Activity map'!$C:$C, $A1308)</f>
        <v>1</v>
      </c>
    </row>
    <row r="1309">
      <c r="A1309" s="26">
        <v>6806.0</v>
      </c>
      <c r="B1309" s="23" t="s">
        <v>1677</v>
      </c>
      <c r="C1309" s="200" t="b">
        <f>IF($D1309, TRUE, IF(ISERROR('API import'!$A$1), FALSE, COUNTIF('API import'!$A:$A, $A1309)&gt;0))</f>
        <v>0</v>
      </c>
      <c r="D1309" s="195" t="b">
        <v>0</v>
      </c>
      <c r="E1309" s="195">
        <v>5.0</v>
      </c>
      <c r="F1309" s="203">
        <f>COUNTIF('Activity map'!$C:$C, $A1309)</f>
        <v>2</v>
      </c>
    </row>
    <row r="1310">
      <c r="A1310" s="26">
        <v>6807.0</v>
      </c>
      <c r="B1310" s="23" t="s">
        <v>1678</v>
      </c>
      <c r="C1310" s="200" t="b">
        <f>IF($D1310, TRUE, IF(ISERROR('API import'!$A$1), FALSE, COUNTIF('API import'!$A:$A, $A1310)&gt;0))</f>
        <v>0</v>
      </c>
      <c r="D1310" s="195" t="b">
        <v>0</v>
      </c>
      <c r="E1310" s="195">
        <v>5.0</v>
      </c>
      <c r="F1310" s="203">
        <f>COUNTIF('Activity map'!$C:$C, $A1310)</f>
        <v>3</v>
      </c>
    </row>
    <row r="1311">
      <c r="A1311" s="26">
        <v>21439.0</v>
      </c>
      <c r="B1311" s="23" t="s">
        <v>1679</v>
      </c>
      <c r="C1311" s="200" t="b">
        <f>IF($D1311, TRUE, IF(ISERROR('API import'!$A$1), FALSE, COUNTIF('API import'!$A:$A, $A1311)&gt;0))</f>
        <v>0</v>
      </c>
      <c r="D1311" s="195" t="b">
        <v>0</v>
      </c>
      <c r="E1311" s="195">
        <v>6.0</v>
      </c>
      <c r="F1311" s="204">
        <f>COUNTIF('Activity map'!$C:$C, $A1311)</f>
        <v>0</v>
      </c>
    </row>
    <row r="1312">
      <c r="A1312" s="26">
        <v>20517.0</v>
      </c>
      <c r="B1312" s="23" t="s">
        <v>1680</v>
      </c>
      <c r="C1312" s="200" t="b">
        <f>IF($D1312, TRUE, IF(ISERROR('API import'!$A$1), FALSE, COUNTIF('API import'!$A:$A, $A1312)&gt;0))</f>
        <v>0</v>
      </c>
      <c r="D1312" s="195" t="b">
        <v>0</v>
      </c>
      <c r="E1312" s="195">
        <v>4.0</v>
      </c>
      <c r="F1312" s="201">
        <f>COUNTIF('Activity map'!$C:$C, $A1312)</f>
        <v>1</v>
      </c>
    </row>
    <row r="1313">
      <c r="A1313" s="26">
        <v>20520.0</v>
      </c>
      <c r="B1313" s="23" t="s">
        <v>1681</v>
      </c>
      <c r="C1313" s="200" t="b">
        <f>IF($D1313, TRUE, IF(ISERROR('API import'!$A$1), FALSE, COUNTIF('API import'!$A:$A, $A1313)&gt;0))</f>
        <v>0</v>
      </c>
      <c r="D1313" s="195" t="b">
        <v>0</v>
      </c>
      <c r="E1313" s="195">
        <v>4.0</v>
      </c>
      <c r="F1313" s="201">
        <f>COUNTIF('Activity map'!$C:$C, $A1313)</f>
        <v>1</v>
      </c>
    </row>
    <row r="1314">
      <c r="A1314" s="26">
        <v>20595.0</v>
      </c>
      <c r="B1314" s="23" t="s">
        <v>1682</v>
      </c>
      <c r="C1314" s="200" t="b">
        <f>IF($D1314, TRUE, IF(ISERROR('API import'!$A$1), FALSE, COUNTIF('API import'!$A:$A, $A1314)&gt;0))</f>
        <v>0</v>
      </c>
      <c r="D1314" s="195" t="b">
        <v>0</v>
      </c>
      <c r="E1314" s="195">
        <v>4.0</v>
      </c>
      <c r="F1314" s="201">
        <f>COUNTIF('Activity map'!$C:$C, $A1314)</f>
        <v>1</v>
      </c>
    </row>
    <row r="1315">
      <c r="A1315" s="26">
        <v>2978.0</v>
      </c>
      <c r="B1315" s="23" t="s">
        <v>1683</v>
      </c>
      <c r="C1315" s="202" t="b">
        <f>IF($D1315, TRUE, IF(ISERROR('API import'!$A$1), FALSE, COUNTIF('API import'!$A:$A, $A1315)&gt;0))</f>
        <v>0</v>
      </c>
      <c r="D1315" s="195" t="b">
        <v>0</v>
      </c>
      <c r="E1315" s="195">
        <v>2.0</v>
      </c>
      <c r="F1315" s="201">
        <f>COUNTIF('Activity map'!$C:$C, $A1315)</f>
        <v>1</v>
      </c>
    </row>
    <row r="1316">
      <c r="A1316" s="26">
        <v>2979.0</v>
      </c>
      <c r="B1316" s="23" t="s">
        <v>1683</v>
      </c>
      <c r="C1316" s="202" t="b">
        <f>IF($D1316, TRUE, IF(ISERROR('API import'!$A$1), FALSE, COUNTIF('API import'!$A:$A, $A1316)&gt;0))</f>
        <v>0</v>
      </c>
      <c r="D1316" s="195" t="b">
        <v>0</v>
      </c>
      <c r="E1316" s="195">
        <v>2.0</v>
      </c>
      <c r="F1316" s="201">
        <f>COUNTIF('Activity map'!$C:$C, $A1316)</f>
        <v>1</v>
      </c>
    </row>
    <row r="1317">
      <c r="A1317" s="26">
        <v>2980.0</v>
      </c>
      <c r="B1317" s="23" t="s">
        <v>1683</v>
      </c>
      <c r="C1317" s="202" t="b">
        <f>IF($D1317, TRUE, IF(ISERROR('API import'!$A$1), FALSE, COUNTIF('API import'!$A:$A, $A1317)&gt;0))</f>
        <v>0</v>
      </c>
      <c r="D1317" s="195" t="b">
        <v>0</v>
      </c>
      <c r="E1317" s="195">
        <v>2.0</v>
      </c>
      <c r="F1317" s="201">
        <f>COUNTIF('Activity map'!$C:$C, $A1317)</f>
        <v>1</v>
      </c>
    </row>
    <row r="1318">
      <c r="A1318" s="26">
        <v>2981.0</v>
      </c>
      <c r="B1318" s="23" t="s">
        <v>1683</v>
      </c>
      <c r="C1318" s="202" t="b">
        <f>IF($D1318, TRUE, IF(ISERROR('API import'!$A$1), FALSE, COUNTIF('API import'!$A:$A, $A1318)&gt;0))</f>
        <v>0</v>
      </c>
      <c r="D1318" s="195" t="b">
        <v>0</v>
      </c>
      <c r="E1318" s="195">
        <v>3.0</v>
      </c>
      <c r="F1318" s="201">
        <f>COUNTIF('Activity map'!$C:$C, $A1318)</f>
        <v>1</v>
      </c>
    </row>
    <row r="1319">
      <c r="A1319" s="26">
        <v>2982.0</v>
      </c>
      <c r="B1319" s="23" t="s">
        <v>1683</v>
      </c>
      <c r="C1319" s="202" t="b">
        <f>IF($D1319, TRUE, IF(ISERROR('API import'!$A$1), FALSE, COUNTIF('API import'!$A:$A, $A1319)&gt;0))</f>
        <v>0</v>
      </c>
      <c r="D1319" s="195" t="b">
        <v>0</v>
      </c>
      <c r="E1319" s="195">
        <v>3.0</v>
      </c>
      <c r="F1319" s="201">
        <f>COUNTIF('Activity map'!$C:$C, $A1319)</f>
        <v>1</v>
      </c>
    </row>
    <row r="1320">
      <c r="A1320" s="26">
        <v>2983.0</v>
      </c>
      <c r="B1320" s="23" t="s">
        <v>1683</v>
      </c>
      <c r="C1320" s="202" t="b">
        <f>IF($D1320, TRUE, IF(ISERROR('API import'!$A$1), FALSE, COUNTIF('API import'!$A:$A, $A1320)&gt;0))</f>
        <v>0</v>
      </c>
      <c r="D1320" s="195" t="b">
        <v>0</v>
      </c>
      <c r="E1320" s="195">
        <v>3.0</v>
      </c>
      <c r="F1320" s="201">
        <f>COUNTIF('Activity map'!$C:$C, $A1320)</f>
        <v>1</v>
      </c>
    </row>
    <row r="1321">
      <c r="A1321" s="26">
        <v>2984.0</v>
      </c>
      <c r="B1321" s="23" t="s">
        <v>1683</v>
      </c>
      <c r="C1321" s="202" t="b">
        <f>IF($D1321, TRUE, IF(ISERROR('API import'!$A$1), FALSE, COUNTIF('API import'!$A:$A, $A1321)&gt;0))</f>
        <v>0</v>
      </c>
      <c r="D1321" s="195" t="b">
        <v>0</v>
      </c>
      <c r="E1321" s="195">
        <v>4.0</v>
      </c>
      <c r="F1321" s="201">
        <f>COUNTIF('Activity map'!$C:$C, $A1321)</f>
        <v>1</v>
      </c>
    </row>
    <row r="1322">
      <c r="A1322" s="26">
        <v>2985.0</v>
      </c>
      <c r="B1322" s="23" t="s">
        <v>1683</v>
      </c>
      <c r="C1322" s="202" t="b">
        <f>IF($D1322, TRUE, IF(ISERROR('API import'!$A$1), FALSE, COUNTIF('API import'!$A:$A, $A1322)&gt;0))</f>
        <v>0</v>
      </c>
      <c r="D1322" s="195" t="b">
        <v>0</v>
      </c>
      <c r="E1322" s="195">
        <v>4.0</v>
      </c>
      <c r="F1322" s="201">
        <f>COUNTIF('Activity map'!$C:$C, $A1322)</f>
        <v>1</v>
      </c>
    </row>
    <row r="1323">
      <c r="A1323" s="26">
        <v>2986.0</v>
      </c>
      <c r="B1323" s="23" t="s">
        <v>1683</v>
      </c>
      <c r="C1323" s="202" t="b">
        <f>IF($D1323, TRUE, IF(ISERROR('API import'!$A$1), FALSE, COUNTIF('API import'!$A:$A, $A1323)&gt;0))</f>
        <v>0</v>
      </c>
      <c r="D1323" s="195" t="b">
        <v>0</v>
      </c>
      <c r="E1323" s="195">
        <v>4.0</v>
      </c>
      <c r="F1323" s="201">
        <f>COUNTIF('Activity map'!$C:$C, $A1323)</f>
        <v>1</v>
      </c>
    </row>
    <row r="1324">
      <c r="A1324" s="26">
        <v>2987.0</v>
      </c>
      <c r="B1324" s="23" t="s">
        <v>1683</v>
      </c>
      <c r="C1324" s="202" t="b">
        <f>IF($D1324, TRUE, IF(ISERROR('API import'!$A$1), FALSE, COUNTIF('API import'!$A:$A, $A1324)&gt;0))</f>
        <v>0</v>
      </c>
      <c r="D1324" s="195" t="b">
        <v>0</v>
      </c>
      <c r="E1324" s="195">
        <v>4.0</v>
      </c>
      <c r="F1324" s="201">
        <f>COUNTIF('Activity map'!$C:$C, $A1324)</f>
        <v>1</v>
      </c>
    </row>
    <row r="1325">
      <c r="A1325" s="26">
        <v>2988.0</v>
      </c>
      <c r="B1325" s="23" t="s">
        <v>1683</v>
      </c>
      <c r="C1325" s="202" t="b">
        <f>IF($D1325, TRUE, IF(ISERROR('API import'!$A$1), FALSE, COUNTIF('API import'!$A:$A, $A1325)&gt;0))</f>
        <v>0</v>
      </c>
      <c r="D1325" s="195" t="b">
        <v>0</v>
      </c>
      <c r="E1325" s="195">
        <v>5.0</v>
      </c>
      <c r="F1325" s="201">
        <f>COUNTIF('Activity map'!$C:$C, $A1325)</f>
        <v>1</v>
      </c>
    </row>
    <row r="1326">
      <c r="A1326" s="26">
        <v>2989.0</v>
      </c>
      <c r="B1326" s="23" t="s">
        <v>1683</v>
      </c>
      <c r="C1326" s="202" t="b">
        <f>IF($D1326, TRUE, IF(ISERROR('API import'!$A$1), FALSE, COUNTIF('API import'!$A:$A, $A1326)&gt;0))</f>
        <v>0</v>
      </c>
      <c r="D1326" s="195" t="b">
        <v>0</v>
      </c>
      <c r="E1326" s="195">
        <v>5.0</v>
      </c>
      <c r="F1326" s="201">
        <f>COUNTIF('Activity map'!$C:$C, $A1326)</f>
        <v>1</v>
      </c>
    </row>
    <row r="1327">
      <c r="A1327" s="26">
        <v>2990.0</v>
      </c>
      <c r="B1327" s="23" t="s">
        <v>1683</v>
      </c>
      <c r="C1327" s="202" t="b">
        <f>IF($D1327, TRUE, IF(ISERROR('API import'!$A$1), FALSE, COUNTIF('API import'!$A:$A, $A1327)&gt;0))</f>
        <v>0</v>
      </c>
      <c r="D1327" s="195" t="b">
        <v>0</v>
      </c>
      <c r="E1327" s="195">
        <v>5.0</v>
      </c>
      <c r="F1327" s="201">
        <f>COUNTIF('Activity map'!$C:$C, $A1327)</f>
        <v>1</v>
      </c>
    </row>
    <row r="1328">
      <c r="A1328" s="26">
        <v>2991.0</v>
      </c>
      <c r="B1328" s="23" t="s">
        <v>1683</v>
      </c>
      <c r="C1328" s="200" t="b">
        <f>IF($D1328, TRUE, IF(ISERROR('API import'!$A$1), FALSE, COUNTIF('API import'!$A:$A, $A1328)&gt;0))</f>
        <v>0</v>
      </c>
      <c r="D1328" s="195" t="b">
        <v>0</v>
      </c>
      <c r="E1328" s="195">
        <v>5.0</v>
      </c>
      <c r="F1328" s="201">
        <f>COUNTIF('Activity map'!$C:$C, $A1328)</f>
        <v>1</v>
      </c>
    </row>
    <row r="1329">
      <c r="A1329" s="26">
        <v>2992.0</v>
      </c>
      <c r="B1329" s="23" t="s">
        <v>1683</v>
      </c>
      <c r="C1329" s="200" t="b">
        <f>IF($D1329, TRUE, IF(ISERROR('API import'!$A$1), FALSE, COUNTIF('API import'!$A:$A, $A1329)&gt;0))</f>
        <v>0</v>
      </c>
      <c r="D1329" s="195" t="b">
        <v>0</v>
      </c>
      <c r="E1329" s="195">
        <v>6.0</v>
      </c>
      <c r="F1329" s="201">
        <f>COUNTIF('Activity map'!$C:$C, $A1329)</f>
        <v>1</v>
      </c>
    </row>
    <row r="1330">
      <c r="A1330" s="26">
        <v>2993.0</v>
      </c>
      <c r="B1330" s="23" t="s">
        <v>1683</v>
      </c>
      <c r="C1330" s="200" t="b">
        <f>IF($D1330, TRUE, IF(ISERROR('API import'!$A$1), FALSE, COUNTIF('API import'!$A:$A, $A1330)&gt;0))</f>
        <v>0</v>
      </c>
      <c r="D1330" s="195" t="b">
        <v>0</v>
      </c>
      <c r="E1330" s="195">
        <v>6.0</v>
      </c>
      <c r="F1330" s="201">
        <f>COUNTIF('Activity map'!$C:$C, $A1330)</f>
        <v>1</v>
      </c>
    </row>
    <row r="1331">
      <c r="A1331" s="26">
        <v>2994.0</v>
      </c>
      <c r="B1331" s="23" t="s">
        <v>1683</v>
      </c>
      <c r="C1331" s="200" t="b">
        <f>IF($D1331, TRUE, IF(ISERROR('API import'!$A$1), FALSE, COUNTIF('API import'!$A:$A, $A1331)&gt;0))</f>
        <v>0</v>
      </c>
      <c r="D1331" s="195" t="b">
        <v>0</v>
      </c>
      <c r="E1331" s="195">
        <v>6.0</v>
      </c>
      <c r="F1331" s="201">
        <f>COUNTIF('Activity map'!$C:$C, $A1331)</f>
        <v>1</v>
      </c>
    </row>
    <row r="1332">
      <c r="A1332" s="26">
        <v>2995.0</v>
      </c>
      <c r="B1332" s="23" t="s">
        <v>1683</v>
      </c>
      <c r="C1332" s="200" t="b">
        <f>IF($D1332, TRUE, IF(ISERROR('API import'!$A$1), FALSE, COUNTIF('API import'!$A:$A, $A1332)&gt;0))</f>
        <v>0</v>
      </c>
      <c r="D1332" s="195" t="b">
        <v>0</v>
      </c>
      <c r="E1332" s="195">
        <v>7.0</v>
      </c>
      <c r="F1332" s="201">
        <f>COUNTIF('Activity map'!$C:$C, $A1332)</f>
        <v>1</v>
      </c>
    </row>
    <row r="1333">
      <c r="A1333" s="26">
        <v>30040.0</v>
      </c>
      <c r="B1333" s="23" t="s">
        <v>1684</v>
      </c>
      <c r="C1333" s="202" t="b">
        <f>IF($D1333, TRUE, IF(ISERROR('API import'!$A$1), FALSE, COUNTIF('API import'!$A:$A, $A1333)&gt;0))</f>
        <v>0</v>
      </c>
      <c r="D1333" s="195" t="b">
        <v>0</v>
      </c>
      <c r="E1333" s="195">
        <v>3.0</v>
      </c>
      <c r="F1333" s="201">
        <f>COUNTIF('Activity map'!$C:$C, $A1333)</f>
        <v>1</v>
      </c>
    </row>
    <row r="1334">
      <c r="A1334" s="26">
        <v>30042.0</v>
      </c>
      <c r="B1334" s="23" t="s">
        <v>1685</v>
      </c>
      <c r="C1334" s="202" t="b">
        <f>IF($D1334, TRUE, IF(ISERROR('API import'!$A$1), FALSE, COUNTIF('API import'!$A:$A, $A1334)&gt;0))</f>
        <v>0</v>
      </c>
      <c r="D1334" s="195" t="b">
        <v>0</v>
      </c>
      <c r="E1334" s="195">
        <v>4.0</v>
      </c>
      <c r="F1334" s="201">
        <f>COUNTIF('Activity map'!$C:$C, $A1334)</f>
        <v>1</v>
      </c>
    </row>
    <row r="1335">
      <c r="A1335" s="26">
        <v>30045.0</v>
      </c>
      <c r="B1335" s="23" t="s">
        <v>1429</v>
      </c>
      <c r="C1335" s="202" t="b">
        <f>IF($D1335, TRUE, IF(ISERROR('API import'!$A$1), FALSE, COUNTIF('API import'!$A:$A, $A1335)&gt;0))</f>
        <v>0</v>
      </c>
      <c r="D1335" s="195" t="b">
        <v>0</v>
      </c>
      <c r="E1335" s="195">
        <v>4.0</v>
      </c>
      <c r="F1335" s="201">
        <f>COUNTIF('Activity map'!$C:$C, $A1335)</f>
        <v>1</v>
      </c>
    </row>
    <row r="1336">
      <c r="A1336" s="26">
        <v>30051.0</v>
      </c>
      <c r="B1336" s="23" t="s">
        <v>1430</v>
      </c>
      <c r="C1336" s="202" t="b">
        <f>IF($D1336, TRUE, IF(ISERROR('API import'!$A$1), FALSE, COUNTIF('API import'!$A:$A, $A1336)&gt;0))</f>
        <v>0</v>
      </c>
      <c r="D1336" s="195" t="b">
        <v>0</v>
      </c>
      <c r="E1336" s="195">
        <v>4.0</v>
      </c>
      <c r="F1336" s="201">
        <f>COUNTIF('Activity map'!$C:$C, $A1336)</f>
        <v>1</v>
      </c>
    </row>
    <row r="1337">
      <c r="A1337" s="26">
        <v>30054.0</v>
      </c>
      <c r="B1337" s="23" t="s">
        <v>1431</v>
      </c>
      <c r="C1337" s="202" t="b">
        <f>IF($D1337, TRUE, IF(ISERROR('API import'!$A$1), FALSE, COUNTIF('API import'!$A:$A, $A1337)&gt;0))</f>
        <v>0</v>
      </c>
      <c r="D1337" s="195" t="b">
        <v>0</v>
      </c>
      <c r="E1337" s="195">
        <v>4.0</v>
      </c>
      <c r="F1337" s="201">
        <f>COUNTIF('Activity map'!$C:$C, $A1337)</f>
        <v>1</v>
      </c>
    </row>
    <row r="1338">
      <c r="A1338" s="26">
        <v>30057.0</v>
      </c>
      <c r="B1338" s="23" t="s">
        <v>1432</v>
      </c>
      <c r="C1338" s="202" t="b">
        <f>IF($D1338, TRUE, IF(ISERROR('API import'!$A$1), FALSE, COUNTIF('API import'!$A:$A, $A1338)&gt;0))</f>
        <v>0</v>
      </c>
      <c r="D1338" s="195" t="b">
        <v>0</v>
      </c>
      <c r="E1338" s="195">
        <v>4.0</v>
      </c>
      <c r="F1338" s="201">
        <f>COUNTIF('Activity map'!$C:$C, $A1338)</f>
        <v>1</v>
      </c>
    </row>
    <row r="1339">
      <c r="A1339" s="26">
        <v>30060.0</v>
      </c>
      <c r="B1339" s="23" t="s">
        <v>1433</v>
      </c>
      <c r="C1339" s="202" t="b">
        <f>IF($D1339, TRUE, IF(ISERROR('API import'!$A$1), FALSE, COUNTIF('API import'!$A:$A, $A1339)&gt;0))</f>
        <v>0</v>
      </c>
      <c r="D1339" s="195" t="b">
        <v>0</v>
      </c>
      <c r="E1339" s="195">
        <v>4.0</v>
      </c>
      <c r="F1339" s="201">
        <f>COUNTIF('Activity map'!$C:$C, $A1339)</f>
        <v>1</v>
      </c>
    </row>
    <row r="1340">
      <c r="A1340" s="26">
        <v>30048.0</v>
      </c>
      <c r="B1340" s="23" t="s">
        <v>1434</v>
      </c>
      <c r="C1340" s="202" t="b">
        <f>IF($D1340, TRUE, IF(ISERROR('API import'!$A$1), FALSE, COUNTIF('API import'!$A:$A, $A1340)&gt;0))</f>
        <v>0</v>
      </c>
      <c r="D1340" s="195" t="b">
        <v>0</v>
      </c>
      <c r="E1340" s="195">
        <v>4.0</v>
      </c>
      <c r="F1340" s="201">
        <f>COUNTIF('Activity map'!$C:$C, $A1340)</f>
        <v>1</v>
      </c>
    </row>
    <row r="1341">
      <c r="A1341" s="26">
        <v>25617.0</v>
      </c>
      <c r="B1341" s="23" t="s">
        <v>1686</v>
      </c>
      <c r="C1341" s="202" t="b">
        <f>IF($D1341, TRUE, IF(ISERROR('API import'!$A$1), FALSE, COUNTIF('API import'!$A:$A, $A1341)&gt;0))</f>
        <v>0</v>
      </c>
      <c r="D1341" s="195" t="b">
        <v>0</v>
      </c>
      <c r="E1341" s="195">
        <v>1.0</v>
      </c>
      <c r="F1341" s="203">
        <f>COUNTIF('Activity map'!$C:$C, $A1341)</f>
        <v>6</v>
      </c>
    </row>
    <row r="1342">
      <c r="A1342" s="26">
        <v>25618.0</v>
      </c>
      <c r="B1342" s="23" t="s">
        <v>1687</v>
      </c>
      <c r="C1342" s="202" t="b">
        <f>IF($D1342, TRUE, IF(ISERROR('API import'!$A$1), FALSE, COUNTIF('API import'!$A:$A, $A1342)&gt;0))</f>
        <v>0</v>
      </c>
      <c r="D1342" s="195" t="b">
        <v>0</v>
      </c>
      <c r="E1342" s="195">
        <v>2.0</v>
      </c>
      <c r="F1342" s="201">
        <f>COUNTIF('Activity map'!$C:$C, $A1342)</f>
        <v>1</v>
      </c>
    </row>
    <row r="1343">
      <c r="A1343" s="26">
        <v>25619.0</v>
      </c>
      <c r="B1343" s="23" t="s">
        <v>1688</v>
      </c>
      <c r="C1343" s="202" t="b">
        <f>IF($D1343, TRUE, IF(ISERROR('API import'!$A$1), FALSE, COUNTIF('API import'!$A:$A, $A1343)&gt;0))</f>
        <v>0</v>
      </c>
      <c r="D1343" s="195" t="b">
        <v>0</v>
      </c>
      <c r="E1343" s="195">
        <v>1.0</v>
      </c>
      <c r="F1343" s="201">
        <f>COUNTIF('Activity map'!$C:$C, $A1343)</f>
        <v>1</v>
      </c>
    </row>
    <row r="1344">
      <c r="A1344" s="26">
        <v>25620.0</v>
      </c>
      <c r="B1344" s="23" t="s">
        <v>1689</v>
      </c>
      <c r="C1344" s="202" t="b">
        <f>IF($D1344, TRUE, IF(ISERROR('API import'!$A$1), FALSE, COUNTIF('API import'!$A:$A, $A1344)&gt;0))</f>
        <v>0</v>
      </c>
      <c r="D1344" s="195" t="b">
        <v>0</v>
      </c>
      <c r="E1344" s="195">
        <v>1.0</v>
      </c>
      <c r="F1344" s="201">
        <f>COUNTIF('Activity map'!$C:$C, $A1344)</f>
        <v>1</v>
      </c>
    </row>
    <row r="1345">
      <c r="A1345" s="26">
        <v>25621.0</v>
      </c>
      <c r="B1345" s="23" t="s">
        <v>1690</v>
      </c>
      <c r="C1345" s="202" t="b">
        <f>IF($D1345, TRUE, IF(ISERROR('API import'!$A$1), FALSE, COUNTIF('API import'!$A:$A, $A1345)&gt;0))</f>
        <v>0</v>
      </c>
      <c r="D1345" s="195" t="b">
        <v>0</v>
      </c>
      <c r="E1345" s="195">
        <v>1.0</v>
      </c>
      <c r="F1345" s="201">
        <f>COUNTIF('Activity map'!$C:$C, $A1345)</f>
        <v>1</v>
      </c>
    </row>
    <row r="1346">
      <c r="A1346" s="26">
        <v>25622.0</v>
      </c>
      <c r="B1346" s="23" t="s">
        <v>1691</v>
      </c>
      <c r="C1346" s="202" t="b">
        <f>IF($D1346, TRUE, IF(ISERROR('API import'!$A$1), FALSE, COUNTIF('API import'!$A:$A, $A1346)&gt;0))</f>
        <v>0</v>
      </c>
      <c r="D1346" s="195" t="b">
        <v>0</v>
      </c>
      <c r="E1346" s="195">
        <v>2.0</v>
      </c>
      <c r="F1346" s="201">
        <f>COUNTIF('Activity map'!$C:$C, $A1346)</f>
        <v>1</v>
      </c>
    </row>
    <row r="1347">
      <c r="A1347" s="26">
        <v>25623.0</v>
      </c>
      <c r="B1347" s="23" t="s">
        <v>1692</v>
      </c>
      <c r="C1347" s="202" t="b">
        <f>IF($D1347, TRUE, IF(ISERROR('API import'!$A$1), FALSE, COUNTIF('API import'!$A:$A, $A1347)&gt;0))</f>
        <v>0</v>
      </c>
      <c r="D1347" s="195" t="b">
        <v>0</v>
      </c>
      <c r="E1347" s="195">
        <v>1.0</v>
      </c>
      <c r="F1347" s="201">
        <f>COUNTIF('Activity map'!$C:$C, $A1347)</f>
        <v>1</v>
      </c>
    </row>
    <row r="1348">
      <c r="A1348" s="26">
        <v>8844.0</v>
      </c>
      <c r="B1348" s="23" t="s">
        <v>1693</v>
      </c>
      <c r="C1348" s="202" t="b">
        <f>IF($D1348, TRUE, IF(ISERROR('API import'!$A$1), FALSE, COUNTIF('API import'!$A:$A, $A1348)&gt;0))</f>
        <v>0</v>
      </c>
      <c r="D1348" s="195" t="b">
        <v>0</v>
      </c>
      <c r="E1348" s="195">
        <v>2.0</v>
      </c>
      <c r="F1348" s="201">
        <f>COUNTIF('Activity map'!$C:$C, $A1348)</f>
        <v>1</v>
      </c>
    </row>
    <row r="1349">
      <c r="A1349" s="26">
        <v>8845.0</v>
      </c>
      <c r="B1349" s="23" t="s">
        <v>1694</v>
      </c>
      <c r="C1349" s="202" t="b">
        <f>IF($D1349, TRUE, IF(ISERROR('API import'!$A$1), FALSE, COUNTIF('API import'!$A:$A, $A1349)&gt;0))</f>
        <v>0</v>
      </c>
      <c r="D1349" s="195" t="b">
        <v>0</v>
      </c>
      <c r="E1349" s="195">
        <v>2.0</v>
      </c>
      <c r="F1349" s="201">
        <f>COUNTIF('Activity map'!$C:$C, $A1349)</f>
        <v>1</v>
      </c>
    </row>
    <row r="1350">
      <c r="A1350" s="26">
        <v>8846.0</v>
      </c>
      <c r="B1350" s="23" t="s">
        <v>1695</v>
      </c>
      <c r="C1350" s="202" t="b">
        <f>IF($D1350, TRUE, IF(ISERROR('API import'!$A$1), FALSE, COUNTIF('API import'!$A:$A, $A1350)&gt;0))</f>
        <v>0</v>
      </c>
      <c r="D1350" s="195" t="b">
        <v>0</v>
      </c>
      <c r="E1350" s="195">
        <v>2.0</v>
      </c>
      <c r="F1350" s="201">
        <f>COUNTIF('Activity map'!$C:$C, $A1350)</f>
        <v>1</v>
      </c>
    </row>
    <row r="1351">
      <c r="A1351" s="26">
        <v>8847.0</v>
      </c>
      <c r="B1351" s="23" t="s">
        <v>1696</v>
      </c>
      <c r="C1351" s="202" t="b">
        <f>IF($D1351, TRUE, IF(ISERROR('API import'!$A$1), FALSE, COUNTIF('API import'!$A:$A, $A1351)&gt;0))</f>
        <v>0</v>
      </c>
      <c r="D1351" s="195" t="b">
        <v>0</v>
      </c>
      <c r="E1351" s="195">
        <v>2.0</v>
      </c>
      <c r="F1351" s="201">
        <f>COUNTIF('Activity map'!$C:$C, $A1351)</f>
        <v>1</v>
      </c>
    </row>
    <row r="1352">
      <c r="A1352" s="26">
        <v>8848.0</v>
      </c>
      <c r="B1352" s="23" t="s">
        <v>1697</v>
      </c>
      <c r="C1352" s="202" t="b">
        <f>IF($D1352, TRUE, IF(ISERROR('API import'!$A$1), FALSE, COUNTIF('API import'!$A:$A, $A1352)&gt;0))</f>
        <v>0</v>
      </c>
      <c r="D1352" s="195" t="b">
        <v>0</v>
      </c>
      <c r="E1352" s="195">
        <v>2.0</v>
      </c>
      <c r="F1352" s="201">
        <f>COUNTIF('Activity map'!$C:$C, $A1352)</f>
        <v>1</v>
      </c>
    </row>
    <row r="1353">
      <c r="A1353" s="26">
        <v>8849.0</v>
      </c>
      <c r="B1353" s="23" t="s">
        <v>1698</v>
      </c>
      <c r="C1353" s="202" t="b">
        <f>IF($D1353, TRUE, IF(ISERROR('API import'!$A$1), FALSE, COUNTIF('API import'!$A:$A, $A1353)&gt;0))</f>
        <v>0</v>
      </c>
      <c r="D1353" s="195" t="b">
        <v>0</v>
      </c>
      <c r="E1353" s="195">
        <v>2.0</v>
      </c>
      <c r="F1353" s="201">
        <f>COUNTIF('Activity map'!$C:$C, $A1353)</f>
        <v>1</v>
      </c>
    </row>
    <row r="1354">
      <c r="A1354" s="26">
        <v>8850.0</v>
      </c>
      <c r="B1354" s="23" t="s">
        <v>1699</v>
      </c>
      <c r="C1354" s="202" t="b">
        <f>IF($D1354, TRUE, IF(ISERROR('API import'!$A$1), FALSE, COUNTIF('API import'!$A:$A, $A1354)&gt;0))</f>
        <v>0</v>
      </c>
      <c r="D1354" s="195" t="b">
        <v>0</v>
      </c>
      <c r="E1354" s="195">
        <v>2.0</v>
      </c>
      <c r="F1354" s="201">
        <f>COUNTIF('Activity map'!$C:$C, $A1354)</f>
        <v>1</v>
      </c>
    </row>
    <row r="1355">
      <c r="A1355" s="26">
        <v>12954.0</v>
      </c>
      <c r="B1355" s="23" t="s">
        <v>1700</v>
      </c>
      <c r="C1355" s="202" t="b">
        <f>IF($D1355, TRUE, IF(ISERROR('API import'!$A$1), FALSE, COUNTIF('API import'!$A:$A, $A1355)&gt;0))</f>
        <v>0</v>
      </c>
      <c r="D1355" s="195" t="b">
        <v>0</v>
      </c>
      <c r="E1355" s="195">
        <v>2.0</v>
      </c>
      <c r="F1355" s="201">
        <f>COUNTIF('Activity map'!$C:$C, $A1355)</f>
        <v>1</v>
      </c>
    </row>
    <row r="1356">
      <c r="A1356" s="26">
        <v>28626.0</v>
      </c>
      <c r="B1356" s="23" t="s">
        <v>1701</v>
      </c>
      <c r="C1356" s="200" t="b">
        <f>IF($D1356, TRUE, IF(ISERROR('API import'!$A$1), FALSE, COUNTIF('API import'!$A:$A, $A1356)&gt;0))</f>
        <v>0</v>
      </c>
      <c r="D1356" s="195" t="b">
        <v>0</v>
      </c>
      <c r="E1356" s="195">
        <v>5.0</v>
      </c>
      <c r="F1356" s="203">
        <f>COUNTIF('Activity map'!$C:$C, $A1356)</f>
        <v>2</v>
      </c>
    </row>
    <row r="1357">
      <c r="A1357" s="26">
        <v>28663.0</v>
      </c>
      <c r="B1357" s="23" t="s">
        <v>1702</v>
      </c>
      <c r="C1357" s="200" t="b">
        <f>IF($D1357, TRUE, IF(ISERROR('API import'!$A$1), FALSE, COUNTIF('API import'!$A:$A, $A1357)&gt;0))</f>
        <v>0</v>
      </c>
      <c r="D1357" s="195" t="b">
        <v>0</v>
      </c>
      <c r="E1357" s="195">
        <v>5.0</v>
      </c>
      <c r="F1357" s="203">
        <f>COUNTIF('Activity map'!$C:$C, $A1357)</f>
        <v>2</v>
      </c>
    </row>
    <row r="1358">
      <c r="A1358" s="26">
        <v>28173.0</v>
      </c>
      <c r="B1358" s="23" t="s">
        <v>1703</v>
      </c>
      <c r="C1358" s="202" t="b">
        <f>IF($D1358, TRUE, IF(ISERROR('API import'!$A$1), FALSE, COUNTIF('API import'!$A:$A, $A1358)&gt;0))</f>
        <v>0</v>
      </c>
      <c r="D1358" s="195" t="b">
        <v>0</v>
      </c>
      <c r="E1358" s="195">
        <v>3.0</v>
      </c>
      <c r="F1358" s="201">
        <f>COUNTIF('Activity map'!$C:$C, $A1358)</f>
        <v>1</v>
      </c>
    </row>
    <row r="1359">
      <c r="A1359" s="26">
        <v>28169.0</v>
      </c>
      <c r="B1359" s="23" t="s">
        <v>1704</v>
      </c>
      <c r="C1359" s="202" t="b">
        <f>IF($D1359, TRUE, IF(ISERROR('API import'!$A$1), FALSE, COUNTIF('API import'!$A:$A, $A1359)&gt;0))</f>
        <v>0</v>
      </c>
      <c r="D1359" s="195" t="b">
        <v>0</v>
      </c>
      <c r="E1359" s="195">
        <v>3.0</v>
      </c>
      <c r="F1359" s="201">
        <f>COUNTIF('Activity map'!$C:$C, $A1359)</f>
        <v>1</v>
      </c>
    </row>
    <row r="1360">
      <c r="A1360" s="26">
        <v>28171.0</v>
      </c>
      <c r="B1360" s="23" t="s">
        <v>1705</v>
      </c>
      <c r="C1360" s="202" t="b">
        <f>IF($D1360, TRUE, IF(ISERROR('API import'!$A$1), FALSE, COUNTIF('API import'!$A:$A, $A1360)&gt;0))</f>
        <v>0</v>
      </c>
      <c r="D1360" s="195" t="b">
        <v>0</v>
      </c>
      <c r="E1360" s="195">
        <v>3.0</v>
      </c>
      <c r="F1360" s="201">
        <f>COUNTIF('Activity map'!$C:$C, $A1360)</f>
        <v>1</v>
      </c>
    </row>
    <row r="1361">
      <c r="A1361" s="26">
        <v>28175.0</v>
      </c>
      <c r="B1361" s="23" t="s">
        <v>1706</v>
      </c>
      <c r="C1361" s="202" t="b">
        <f>IF($D1361, TRUE, IF(ISERROR('API import'!$A$1), FALSE, COUNTIF('API import'!$A:$A, $A1361)&gt;0))</f>
        <v>0</v>
      </c>
      <c r="D1361" s="195" t="b">
        <v>0</v>
      </c>
      <c r="E1361" s="195">
        <v>3.0</v>
      </c>
      <c r="F1361" s="201">
        <f>COUNTIF('Activity map'!$C:$C, $A1361)</f>
        <v>1</v>
      </c>
    </row>
    <row r="1362">
      <c r="A1362" s="26">
        <v>28630.0</v>
      </c>
      <c r="B1362" s="23" t="s">
        <v>1707</v>
      </c>
      <c r="C1362" s="202" t="b">
        <f>IF($D1362, TRUE, IF(ISERROR('API import'!$A$1), FALSE, COUNTIF('API import'!$A:$A, $A1362)&gt;0))</f>
        <v>0</v>
      </c>
      <c r="D1362" s="195" t="b">
        <v>0</v>
      </c>
      <c r="E1362" s="195">
        <v>3.0</v>
      </c>
      <c r="F1362" s="201">
        <f>COUNTIF('Activity map'!$C:$C, $A1362)</f>
        <v>1</v>
      </c>
    </row>
    <row r="1363">
      <c r="A1363" s="26">
        <v>28138.0</v>
      </c>
      <c r="B1363" s="23" t="s">
        <v>1708</v>
      </c>
      <c r="C1363" s="200" t="b">
        <f>IF($D1363, TRUE, IF(ISERROR('API import'!$A$1), FALSE, COUNTIF('API import'!$A:$A, $A1363)&gt;0))</f>
        <v>0</v>
      </c>
      <c r="D1363" s="195" t="b">
        <v>0</v>
      </c>
      <c r="E1363" s="195">
        <v>5.0</v>
      </c>
      <c r="F1363" s="201">
        <f>COUNTIF('Activity map'!$C:$C, $A1363)</f>
        <v>1</v>
      </c>
    </row>
    <row r="1364">
      <c r="A1364" s="26">
        <v>28140.0</v>
      </c>
      <c r="B1364" s="23" t="s">
        <v>1709</v>
      </c>
      <c r="C1364" s="202" t="b">
        <f>IF($D1364, TRUE, IF(ISERROR('API import'!$A$1), FALSE, COUNTIF('API import'!$A:$A, $A1364)&gt;0))</f>
        <v>0</v>
      </c>
      <c r="D1364" s="195" t="b">
        <v>0</v>
      </c>
      <c r="E1364" s="195">
        <v>3.0</v>
      </c>
      <c r="F1364" s="201">
        <f>COUNTIF('Activity map'!$C:$C, $A1364)</f>
        <v>1</v>
      </c>
    </row>
    <row r="1365">
      <c r="A1365" s="26">
        <v>28146.0</v>
      </c>
      <c r="B1365" s="23" t="s">
        <v>1710</v>
      </c>
      <c r="C1365" s="202" t="b">
        <f>IF($D1365, TRUE, IF(ISERROR('API import'!$A$1), FALSE, COUNTIF('API import'!$A:$A, $A1365)&gt;0))</f>
        <v>0</v>
      </c>
      <c r="D1365" s="195" t="b">
        <v>0</v>
      </c>
      <c r="E1365" s="195">
        <v>3.0</v>
      </c>
      <c r="F1365" s="201">
        <f>COUNTIF('Activity map'!$C:$C, $A1365)</f>
        <v>1</v>
      </c>
    </row>
    <row r="1366">
      <c r="A1366" s="26">
        <v>28166.0</v>
      </c>
      <c r="B1366" s="23" t="s">
        <v>1711</v>
      </c>
      <c r="C1366" s="200" t="b">
        <f>IF($D1366, TRUE, IF(ISERROR('API import'!$A$1), FALSE, COUNTIF('API import'!$A:$A, $A1366)&gt;0))</f>
        <v>0</v>
      </c>
      <c r="D1366" s="195" t="b">
        <v>0</v>
      </c>
      <c r="E1366" s="195">
        <v>4.0</v>
      </c>
      <c r="F1366" s="201">
        <f>COUNTIF('Activity map'!$C:$C, $A1366)</f>
        <v>1</v>
      </c>
    </row>
    <row r="1367">
      <c r="A1367" s="26">
        <v>28613.0</v>
      </c>
      <c r="B1367" s="23" t="s">
        <v>1712</v>
      </c>
      <c r="C1367" s="202" t="b">
        <f>IF($D1367, TRUE, IF(ISERROR('API import'!$A$1), FALSE, COUNTIF('API import'!$A:$A, $A1367)&gt;0))</f>
        <v>0</v>
      </c>
      <c r="D1367" s="195" t="b">
        <v>0</v>
      </c>
      <c r="E1367" s="195">
        <v>3.0</v>
      </c>
      <c r="F1367" s="201">
        <f>COUNTIF('Activity map'!$C:$C, $A1367)</f>
        <v>1</v>
      </c>
    </row>
    <row r="1368">
      <c r="A1368" s="26">
        <v>28177.0</v>
      </c>
      <c r="B1368" s="23" t="s">
        <v>1713</v>
      </c>
      <c r="C1368" s="202" t="b">
        <f>IF($D1368, TRUE, IF(ISERROR('API import'!$A$1), FALSE, COUNTIF('API import'!$A:$A, $A1368)&gt;0))</f>
        <v>0</v>
      </c>
      <c r="D1368" s="195" t="b">
        <v>0</v>
      </c>
      <c r="E1368" s="195">
        <v>4.0</v>
      </c>
      <c r="F1368" s="201">
        <f>COUNTIF('Activity map'!$C:$C, $A1368)</f>
        <v>1</v>
      </c>
    </row>
    <row r="1369">
      <c r="A1369" s="26">
        <v>28620.0</v>
      </c>
      <c r="B1369" s="23" t="s">
        <v>1714</v>
      </c>
      <c r="C1369" s="202" t="b">
        <f>IF($D1369, TRUE, IF(ISERROR('API import'!$A$1), FALSE, COUNTIF('API import'!$A:$A, $A1369)&gt;0))</f>
        <v>0</v>
      </c>
      <c r="D1369" s="195" t="b">
        <v>0</v>
      </c>
      <c r="E1369" s="195">
        <v>2.0</v>
      </c>
      <c r="F1369" s="201">
        <f>COUNTIF('Activity map'!$C:$C, $A1369)</f>
        <v>1</v>
      </c>
    </row>
    <row r="1370">
      <c r="A1370" s="26">
        <v>28622.0</v>
      </c>
      <c r="B1370" s="23" t="s">
        <v>1715</v>
      </c>
      <c r="C1370" s="202" t="b">
        <f>IF($D1370, TRUE, IF(ISERROR('API import'!$A$1), FALSE, COUNTIF('API import'!$A:$A, $A1370)&gt;0))</f>
        <v>0</v>
      </c>
      <c r="D1370" s="195" t="b">
        <v>0</v>
      </c>
      <c r="E1370" s="195">
        <v>2.0</v>
      </c>
      <c r="F1370" s="201">
        <f>COUNTIF('Activity map'!$C:$C, $A1370)</f>
        <v>1</v>
      </c>
    </row>
    <row r="1371">
      <c r="A1371" s="26">
        <v>28618.0</v>
      </c>
      <c r="B1371" s="23" t="s">
        <v>1716</v>
      </c>
      <c r="C1371" s="202" t="b">
        <f>IF($D1371, TRUE, IF(ISERROR('API import'!$A$1), FALSE, COUNTIF('API import'!$A:$A, $A1371)&gt;0))</f>
        <v>0</v>
      </c>
      <c r="D1371" s="195" t="b">
        <v>0</v>
      </c>
      <c r="E1371" s="195">
        <v>2.0</v>
      </c>
      <c r="F1371" s="201">
        <f>COUNTIF('Activity map'!$C:$C, $A1371)</f>
        <v>1</v>
      </c>
    </row>
    <row r="1372">
      <c r="A1372" s="26">
        <v>28616.0</v>
      </c>
      <c r="B1372" s="23" t="s">
        <v>1717</v>
      </c>
      <c r="C1372" s="202" t="b">
        <f>IF($D1372, TRUE, IF(ISERROR('API import'!$A$1), FALSE, COUNTIF('API import'!$A:$A, $A1372)&gt;0))</f>
        <v>0</v>
      </c>
      <c r="D1372" s="195" t="b">
        <v>0</v>
      </c>
      <c r="E1372" s="195">
        <v>2.0</v>
      </c>
      <c r="F1372" s="201">
        <f>COUNTIF('Activity map'!$C:$C, $A1372)</f>
        <v>1</v>
      </c>
    </row>
    <row r="1373">
      <c r="A1373" s="26">
        <v>28655.0</v>
      </c>
      <c r="B1373" s="23" t="s">
        <v>1718</v>
      </c>
      <c r="C1373" s="200" t="b">
        <f>IF($D1373, TRUE, IF(ISERROR('API import'!$A$1), FALSE, COUNTIF('API import'!$A:$A, $A1373)&gt;0))</f>
        <v>0</v>
      </c>
      <c r="D1373" s="195" t="b">
        <v>0</v>
      </c>
      <c r="E1373" s="195">
        <v>4.0</v>
      </c>
      <c r="F1373" s="201">
        <f>COUNTIF('Activity map'!$C:$C, $A1373)</f>
        <v>1</v>
      </c>
    </row>
    <row r="1374">
      <c r="A1374" s="26">
        <v>28674.0</v>
      </c>
      <c r="B1374" s="23" t="s">
        <v>1719</v>
      </c>
      <c r="C1374" s="202" t="b">
        <f>IF($D1374, TRUE, IF(ISERROR('API import'!$A$1), FALSE, COUNTIF('API import'!$A:$A, $A1374)&gt;0))</f>
        <v>0</v>
      </c>
      <c r="D1374" s="195" t="b">
        <v>0</v>
      </c>
      <c r="E1374" s="195">
        <v>2.0</v>
      </c>
      <c r="F1374" s="201">
        <f>COUNTIF('Activity map'!$C:$C, $A1374)</f>
        <v>1</v>
      </c>
    </row>
    <row r="1375">
      <c r="A1375" s="26">
        <v>21664.0</v>
      </c>
      <c r="B1375" s="23" t="s">
        <v>1720</v>
      </c>
      <c r="C1375" s="202" t="b">
        <f>IF($D1375, TRUE, IF(ISERROR('API import'!$A$1), FALSE, COUNTIF('API import'!$A:$A, $A1375)&gt;0))</f>
        <v>0</v>
      </c>
      <c r="D1375" s="195" t="b">
        <v>0</v>
      </c>
      <c r="E1375" s="195">
        <v>2.0</v>
      </c>
      <c r="F1375" s="201">
        <f>COUNTIF('Activity map'!$C:$C, $A1375)</f>
        <v>1</v>
      </c>
    </row>
    <row r="1376">
      <c r="A1376" s="26">
        <v>21666.0</v>
      </c>
      <c r="B1376" s="23" t="s">
        <v>1721</v>
      </c>
      <c r="C1376" s="202" t="b">
        <f>IF($D1376, TRUE, IF(ISERROR('API import'!$A$1), FALSE, COUNTIF('API import'!$A:$A, $A1376)&gt;0))</f>
        <v>0</v>
      </c>
      <c r="D1376" s="195" t="b">
        <v>0</v>
      </c>
      <c r="E1376" s="195">
        <v>2.0</v>
      </c>
      <c r="F1376" s="201">
        <f>COUNTIF('Activity map'!$C:$C, $A1376)</f>
        <v>1</v>
      </c>
    </row>
    <row r="1377">
      <c r="A1377" s="26">
        <v>21668.0</v>
      </c>
      <c r="B1377" s="23" t="s">
        <v>1722</v>
      </c>
      <c r="C1377" s="202" t="b">
        <f>IF($D1377, TRUE, IF(ISERROR('API import'!$A$1), FALSE, COUNTIF('API import'!$A:$A, $A1377)&gt;0))</f>
        <v>0</v>
      </c>
      <c r="D1377" s="195" t="b">
        <v>0</v>
      </c>
      <c r="E1377" s="195">
        <v>2.0</v>
      </c>
      <c r="F1377" s="201">
        <f>COUNTIF('Activity map'!$C:$C, $A1377)</f>
        <v>1</v>
      </c>
    </row>
    <row r="1378">
      <c r="A1378" s="26">
        <v>21670.0</v>
      </c>
      <c r="B1378" s="23" t="s">
        <v>1723</v>
      </c>
      <c r="C1378" s="202" t="b">
        <f>IF($D1378, TRUE, IF(ISERROR('API import'!$A$1), FALSE, COUNTIF('API import'!$A:$A, $A1378)&gt;0))</f>
        <v>0</v>
      </c>
      <c r="D1378" s="195" t="b">
        <v>0</v>
      </c>
      <c r="E1378" s="195">
        <v>2.0</v>
      </c>
      <c r="F1378" s="201">
        <f>COUNTIF('Activity map'!$C:$C, $A1378)</f>
        <v>1</v>
      </c>
    </row>
    <row r="1379">
      <c r="A1379" s="26">
        <v>21672.0</v>
      </c>
      <c r="B1379" s="23" t="s">
        <v>1724</v>
      </c>
      <c r="C1379" s="202" t="b">
        <f>IF($D1379, TRUE, IF(ISERROR('API import'!$A$1), FALSE, COUNTIF('API import'!$A:$A, $A1379)&gt;0))</f>
        <v>0</v>
      </c>
      <c r="D1379" s="195" t="b">
        <v>0</v>
      </c>
      <c r="E1379" s="195">
        <v>2.0</v>
      </c>
      <c r="F1379" s="201">
        <f>COUNTIF('Activity map'!$C:$C, $A1379)</f>
        <v>1</v>
      </c>
    </row>
    <row r="1380">
      <c r="A1380" s="26">
        <v>21674.0</v>
      </c>
      <c r="B1380" s="23" t="s">
        <v>1725</v>
      </c>
      <c r="C1380" s="202" t="b">
        <f>IF($D1380, TRUE, IF(ISERROR('API import'!$A$1), FALSE, COUNTIF('API import'!$A:$A, $A1380)&gt;0))</f>
        <v>0</v>
      </c>
      <c r="D1380" s="195" t="b">
        <v>0</v>
      </c>
      <c r="E1380" s="195">
        <v>2.0</v>
      </c>
      <c r="F1380" s="201">
        <f>COUNTIF('Activity map'!$C:$C, $A1380)</f>
        <v>1</v>
      </c>
    </row>
    <row r="1381">
      <c r="A1381" s="26">
        <v>21676.0</v>
      </c>
      <c r="B1381" s="23" t="s">
        <v>1726</v>
      </c>
      <c r="C1381" s="202" t="b">
        <f>IF($D1381, TRUE, IF(ISERROR('API import'!$A$1), FALSE, COUNTIF('API import'!$A:$A, $A1381)&gt;0))</f>
        <v>0</v>
      </c>
      <c r="D1381" s="195" t="b">
        <v>0</v>
      </c>
      <c r="E1381" s="195">
        <v>2.0</v>
      </c>
      <c r="F1381" s="201">
        <f>COUNTIF('Activity map'!$C:$C, $A1381)</f>
        <v>1</v>
      </c>
    </row>
    <row r="1382">
      <c r="A1382" s="26">
        <v>21678.0</v>
      </c>
      <c r="B1382" s="23" t="s">
        <v>1727</v>
      </c>
      <c r="C1382" s="202" t="b">
        <f>IF($D1382, TRUE, IF(ISERROR('API import'!$A$1), FALSE, COUNTIF('API import'!$A:$A, $A1382)&gt;0))</f>
        <v>0</v>
      </c>
      <c r="D1382" s="195" t="b">
        <v>0</v>
      </c>
      <c r="E1382" s="195">
        <v>2.0</v>
      </c>
      <c r="F1382" s="201">
        <f>COUNTIF('Activity map'!$C:$C, $A1382)</f>
        <v>1</v>
      </c>
    </row>
    <row r="1383">
      <c r="A1383" s="26">
        <v>21680.0</v>
      </c>
      <c r="B1383" s="23" t="s">
        <v>1728</v>
      </c>
      <c r="C1383" s="202" t="b">
        <f>IF($D1383, TRUE, IF(ISERROR('API import'!$A$1), FALSE, COUNTIF('API import'!$A:$A, $A1383)&gt;0))</f>
        <v>0</v>
      </c>
      <c r="D1383" s="195" t="b">
        <v>0</v>
      </c>
      <c r="E1383" s="195">
        <v>2.0</v>
      </c>
      <c r="F1383" s="201">
        <f>COUNTIF('Activity map'!$C:$C, $A1383)</f>
        <v>1</v>
      </c>
    </row>
    <row r="1384">
      <c r="A1384" s="26">
        <v>21682.0</v>
      </c>
      <c r="B1384" s="23" t="s">
        <v>1729</v>
      </c>
      <c r="C1384" s="202" t="b">
        <f>IF($D1384, TRUE, IF(ISERROR('API import'!$A$1), FALSE, COUNTIF('API import'!$A:$A, $A1384)&gt;0))</f>
        <v>0</v>
      </c>
      <c r="D1384" s="195" t="b">
        <v>0</v>
      </c>
      <c r="E1384" s="195">
        <v>2.0</v>
      </c>
      <c r="F1384" s="201">
        <f>COUNTIF('Activity map'!$C:$C, $A1384)</f>
        <v>1</v>
      </c>
    </row>
    <row r="1385">
      <c r="A1385" s="26">
        <v>19529.0</v>
      </c>
      <c r="B1385" s="23" t="s">
        <v>1730</v>
      </c>
      <c r="C1385" s="202" t="b">
        <f>IF($D1385, TRUE, IF(ISERROR('API import'!$A$1), FALSE, COUNTIF('API import'!$A:$A, $A1385)&gt;0))</f>
        <v>0</v>
      </c>
      <c r="D1385" s="195" t="b">
        <v>0</v>
      </c>
      <c r="E1385" s="195">
        <v>5.0</v>
      </c>
      <c r="F1385" s="201">
        <f>COUNTIF('Activity map'!$C:$C, $A1385)</f>
        <v>1</v>
      </c>
    </row>
    <row r="1386">
      <c r="A1386" s="26">
        <v>19586.0</v>
      </c>
      <c r="B1386" s="23" t="s">
        <v>1731</v>
      </c>
      <c r="C1386" s="202" t="b">
        <f>IF($D1386, TRUE, IF(ISERROR('API import'!$A$1), FALSE, COUNTIF('API import'!$A:$A, $A1386)&gt;0))</f>
        <v>0</v>
      </c>
      <c r="D1386" s="195" t="b">
        <v>0</v>
      </c>
      <c r="E1386" s="195">
        <v>5.0</v>
      </c>
      <c r="F1386" s="201">
        <f>COUNTIF('Activity map'!$C:$C, $A1386)</f>
        <v>1</v>
      </c>
    </row>
    <row r="1387">
      <c r="A1387" s="26">
        <v>19589.0</v>
      </c>
      <c r="B1387" s="23" t="s">
        <v>1732</v>
      </c>
      <c r="C1387" s="200" t="b">
        <f>IF($D1387, TRUE, IF(ISERROR('API import'!$A$1), FALSE, COUNTIF('API import'!$A:$A, $A1387)&gt;0))</f>
        <v>0</v>
      </c>
      <c r="D1387" s="195" t="b">
        <v>0</v>
      </c>
      <c r="E1387" s="195">
        <v>5.0</v>
      </c>
      <c r="F1387" s="201">
        <f>COUNTIF('Activity map'!$C:$C, $A1387)</f>
        <v>1</v>
      </c>
    </row>
    <row r="1388">
      <c r="A1388" s="26">
        <v>19592.0</v>
      </c>
      <c r="B1388" s="23" t="s">
        <v>1733</v>
      </c>
      <c r="C1388" s="200" t="b">
        <f>IF($D1388, TRUE, IF(ISERROR('API import'!$A$1), FALSE, COUNTIF('API import'!$A:$A, $A1388)&gt;0))</f>
        <v>0</v>
      </c>
      <c r="D1388" s="195" t="b">
        <v>0</v>
      </c>
      <c r="E1388" s="195">
        <v>5.0</v>
      </c>
      <c r="F1388" s="201">
        <f>COUNTIF('Activity map'!$C:$C, $A1388)</f>
        <v>1</v>
      </c>
    </row>
    <row r="1389">
      <c r="A1389" s="26">
        <v>19610.0</v>
      </c>
      <c r="B1389" s="23" t="s">
        <v>1734</v>
      </c>
      <c r="C1389" s="202" t="b">
        <f>IF($D1389, TRUE, IF(ISERROR('API import'!$A$1), FALSE, COUNTIF('API import'!$A:$A, $A1389)&gt;0))</f>
        <v>0</v>
      </c>
      <c r="D1389" s="195" t="b">
        <v>0</v>
      </c>
      <c r="E1389" s="195">
        <v>5.0</v>
      </c>
      <c r="F1389" s="201">
        <f>COUNTIF('Activity map'!$C:$C, $A1389)</f>
        <v>1</v>
      </c>
    </row>
    <row r="1390">
      <c r="A1390" s="26">
        <v>19601.0</v>
      </c>
      <c r="B1390" s="23" t="s">
        <v>1735</v>
      </c>
      <c r="C1390" s="202" t="b">
        <f>IF($D1390, TRUE, IF(ISERROR('API import'!$A$1), FALSE, COUNTIF('API import'!$A:$A, $A1390)&gt;0))</f>
        <v>0</v>
      </c>
      <c r="D1390" s="195" t="b">
        <v>0</v>
      </c>
      <c r="E1390" s="195">
        <v>5.0</v>
      </c>
      <c r="F1390" s="201">
        <f>COUNTIF('Activity map'!$C:$C, $A1390)</f>
        <v>1</v>
      </c>
    </row>
    <row r="1391">
      <c r="A1391" s="26">
        <v>28962.0</v>
      </c>
      <c r="B1391" s="23" t="s">
        <v>1736</v>
      </c>
      <c r="C1391" s="200" t="b">
        <f>IF($D1391, TRUE, IF(ISERROR('API import'!$A$1), FALSE, COUNTIF('API import'!$A:$A, $A1391)&gt;0))</f>
        <v>0</v>
      </c>
      <c r="D1391" s="195" t="b">
        <v>0</v>
      </c>
      <c r="E1391" s="195">
        <v>6.0</v>
      </c>
      <c r="F1391" s="201">
        <f>COUNTIF('Activity map'!$C:$C, $A1391)</f>
        <v>1</v>
      </c>
    </row>
    <row r="1392">
      <c r="A1392" s="26">
        <v>29309.0</v>
      </c>
      <c r="B1392" s="23" t="s">
        <v>1737</v>
      </c>
      <c r="C1392" s="202" t="b">
        <f>IF($D1392, TRUE, IF(ISERROR('API import'!$A$1), FALSE, COUNTIF('API import'!$A:$A, $A1392)&gt;0))</f>
        <v>0</v>
      </c>
      <c r="D1392" s="195" t="b">
        <v>0</v>
      </c>
      <c r="E1392" s="195">
        <v>3.0</v>
      </c>
      <c r="F1392" s="201">
        <f>COUNTIF('Activity map'!$C:$C, $A1392)</f>
        <v>1</v>
      </c>
    </row>
    <row r="1393">
      <c r="A1393" s="26">
        <v>29263.0</v>
      </c>
      <c r="B1393" s="23" t="s">
        <v>1738</v>
      </c>
      <c r="C1393" s="202" t="b">
        <f>IF($D1393, TRUE, IF(ISERROR('API import'!$A$1), FALSE, COUNTIF('API import'!$A:$A, $A1393)&gt;0))</f>
        <v>0</v>
      </c>
      <c r="D1393" s="195" t="b">
        <v>0</v>
      </c>
      <c r="E1393" s="195">
        <v>3.0</v>
      </c>
      <c r="F1393" s="201">
        <f>COUNTIF('Activity map'!$C:$C, $A1393)</f>
        <v>1</v>
      </c>
    </row>
    <row r="1394">
      <c r="A1394" s="26">
        <v>29265.0</v>
      </c>
      <c r="B1394" s="23" t="s">
        <v>1739</v>
      </c>
      <c r="C1394" s="202" t="b">
        <f>IF($D1394, TRUE, IF(ISERROR('API import'!$A$1), FALSE, COUNTIF('API import'!$A:$A, $A1394)&gt;0))</f>
        <v>0</v>
      </c>
      <c r="D1394" s="195" t="b">
        <v>0</v>
      </c>
      <c r="E1394" s="195">
        <v>3.0</v>
      </c>
      <c r="F1394" s="201">
        <f>COUNTIF('Activity map'!$C:$C, $A1394)</f>
        <v>1</v>
      </c>
    </row>
    <row r="1395">
      <c r="A1395" s="26">
        <v>29267.0</v>
      </c>
      <c r="B1395" s="23" t="s">
        <v>1740</v>
      </c>
      <c r="C1395" s="202" t="b">
        <f>IF($D1395, TRUE, IF(ISERROR('API import'!$A$1), FALSE, COUNTIF('API import'!$A:$A, $A1395)&gt;0))</f>
        <v>0</v>
      </c>
      <c r="D1395" s="195" t="b">
        <v>0</v>
      </c>
      <c r="E1395" s="195">
        <v>3.0</v>
      </c>
      <c r="F1395" s="201">
        <f>COUNTIF('Activity map'!$C:$C, $A1395)</f>
        <v>1</v>
      </c>
    </row>
    <row r="1396">
      <c r="A1396" s="26">
        <v>29269.0</v>
      </c>
      <c r="B1396" s="23" t="s">
        <v>1741</v>
      </c>
      <c r="C1396" s="202" t="b">
        <f>IF($D1396, TRUE, IF(ISERROR('API import'!$A$1), FALSE, COUNTIF('API import'!$A:$A, $A1396)&gt;0))</f>
        <v>0</v>
      </c>
      <c r="D1396" s="195" t="b">
        <v>0</v>
      </c>
      <c r="E1396" s="195">
        <v>3.0</v>
      </c>
      <c r="F1396" s="201">
        <f>COUNTIF('Activity map'!$C:$C, $A1396)</f>
        <v>1</v>
      </c>
    </row>
    <row r="1397">
      <c r="A1397" s="26">
        <v>32401.0</v>
      </c>
      <c r="B1397" s="23" t="s">
        <v>1742</v>
      </c>
      <c r="C1397" s="202" t="b">
        <f>IF($D1397, TRUE, IF(ISERROR('API import'!$A$1), FALSE, COUNTIF('API import'!$A:$A, $A1397)&gt;0))</f>
        <v>0</v>
      </c>
      <c r="D1397" s="195" t="b">
        <v>0</v>
      </c>
      <c r="E1397" s="195">
        <v>2.0</v>
      </c>
      <c r="F1397" s="201">
        <f>COUNTIF('Activity map'!$C:$C, $A1397)</f>
        <v>1</v>
      </c>
    </row>
    <row r="1398">
      <c r="A1398" s="26">
        <v>32402.0</v>
      </c>
      <c r="B1398" s="23" t="s">
        <v>1743</v>
      </c>
      <c r="C1398" s="202" t="b">
        <f>IF($D1398, TRUE, IF(ISERROR('API import'!$A$1), FALSE, COUNTIF('API import'!$A:$A, $A1398)&gt;0))</f>
        <v>0</v>
      </c>
      <c r="D1398" s="195" t="b">
        <v>0</v>
      </c>
      <c r="E1398" s="195">
        <v>2.0</v>
      </c>
      <c r="F1398" s="201">
        <f>COUNTIF('Activity map'!$C:$C, $A1398)</f>
        <v>1</v>
      </c>
    </row>
    <row r="1399">
      <c r="A1399" s="26">
        <v>32403.0</v>
      </c>
      <c r="B1399" s="23" t="s">
        <v>1744</v>
      </c>
      <c r="C1399" s="202" t="b">
        <f>IF($D1399, TRUE, IF(ISERROR('API import'!$A$1), FALSE, COUNTIF('API import'!$A:$A, $A1399)&gt;0))</f>
        <v>0</v>
      </c>
      <c r="D1399" s="195" t="b">
        <v>0</v>
      </c>
      <c r="E1399" s="195">
        <v>3.0</v>
      </c>
      <c r="F1399" s="201">
        <f>COUNTIF('Activity map'!$C:$C, $A1399)</f>
        <v>1</v>
      </c>
    </row>
    <row r="1400">
      <c r="A1400" s="26">
        <v>32405.0</v>
      </c>
      <c r="B1400" s="23" t="s">
        <v>1745</v>
      </c>
      <c r="C1400" s="202" t="b">
        <f>IF($D1400, TRUE, IF(ISERROR('API import'!$A$1), FALSE, COUNTIF('API import'!$A:$A, $A1400)&gt;0))</f>
        <v>0</v>
      </c>
      <c r="D1400" s="195" t="b">
        <v>0</v>
      </c>
      <c r="E1400" s="195">
        <v>3.0</v>
      </c>
      <c r="F1400" s="201">
        <f>COUNTIF('Activity map'!$C:$C, $A1400)</f>
        <v>1</v>
      </c>
    </row>
    <row r="1401">
      <c r="A1401" s="26">
        <v>32407.0</v>
      </c>
      <c r="B1401" s="23" t="s">
        <v>1746</v>
      </c>
      <c r="C1401" s="202" t="b">
        <f>IF($D1401, TRUE, IF(ISERROR('API import'!$A$1), FALSE, COUNTIF('API import'!$A:$A, $A1401)&gt;0))</f>
        <v>0</v>
      </c>
      <c r="D1401" s="195" t="b">
        <v>0</v>
      </c>
      <c r="E1401" s="195">
        <v>2.0</v>
      </c>
      <c r="F1401" s="201">
        <f>COUNTIF('Activity map'!$C:$C, $A1401)</f>
        <v>1</v>
      </c>
    </row>
    <row r="1402">
      <c r="A1402" s="26">
        <v>32408.0</v>
      </c>
      <c r="B1402" s="23" t="s">
        <v>1747</v>
      </c>
      <c r="C1402" s="202" t="b">
        <f>IF($D1402, TRUE, IF(ISERROR('API import'!$A$1), FALSE, COUNTIF('API import'!$A:$A, $A1402)&gt;0))</f>
        <v>0</v>
      </c>
      <c r="D1402" s="195" t="b">
        <v>0</v>
      </c>
      <c r="E1402" s="195">
        <v>3.0</v>
      </c>
      <c r="F1402" s="201">
        <f>COUNTIF('Activity map'!$C:$C, $A1402)</f>
        <v>1</v>
      </c>
    </row>
    <row r="1403">
      <c r="A1403" s="26">
        <v>32409.0</v>
      </c>
      <c r="B1403" s="23" t="s">
        <v>1748</v>
      </c>
      <c r="C1403" s="202" t="b">
        <f>IF($D1403, TRUE, IF(ISERROR('API import'!$A$1), FALSE, COUNTIF('API import'!$A:$A, $A1403)&gt;0))</f>
        <v>0</v>
      </c>
      <c r="D1403" s="195" t="b">
        <v>0</v>
      </c>
      <c r="E1403" s="195">
        <v>3.0</v>
      </c>
      <c r="F1403" s="201">
        <f>COUNTIF('Activity map'!$C:$C, $A1403)</f>
        <v>1</v>
      </c>
    </row>
    <row r="1404">
      <c r="A1404" s="26">
        <v>32410.0</v>
      </c>
      <c r="B1404" s="23" t="s">
        <v>1749</v>
      </c>
      <c r="C1404" s="202" t="b">
        <f>IF($D1404, TRUE, IF(ISERROR('API import'!$A$1), FALSE, COUNTIF('API import'!$A:$A, $A1404)&gt;0))</f>
        <v>0</v>
      </c>
      <c r="D1404" s="195" t="b">
        <v>0</v>
      </c>
      <c r="E1404" s="195">
        <v>4.0</v>
      </c>
      <c r="F1404" s="201">
        <f>COUNTIF('Activity map'!$C:$C, $A1404)</f>
        <v>1</v>
      </c>
    </row>
    <row r="1405">
      <c r="A1405" s="26">
        <v>32404.0</v>
      </c>
      <c r="B1405" s="23" t="s">
        <v>1750</v>
      </c>
      <c r="C1405" s="202" t="b">
        <f>IF($D1405, TRUE, IF(ISERROR('API import'!$A$1), FALSE, COUNTIF('API import'!$A:$A, $A1405)&gt;0))</f>
        <v>0</v>
      </c>
      <c r="D1405" s="195" t="b">
        <v>0</v>
      </c>
      <c r="E1405" s="195">
        <v>3.0</v>
      </c>
      <c r="F1405" s="201">
        <f>COUNTIF('Activity map'!$C:$C, $A1405)</f>
        <v>1</v>
      </c>
    </row>
    <row r="1406">
      <c r="A1406" s="26">
        <v>32406.0</v>
      </c>
      <c r="B1406" s="23" t="s">
        <v>1751</v>
      </c>
      <c r="C1406" s="202" t="b">
        <f>IF($D1406, TRUE, IF(ISERROR('API import'!$A$1), FALSE, COUNTIF('API import'!$A:$A, $A1406)&gt;0))</f>
        <v>0</v>
      </c>
      <c r="D1406" s="195" t="b">
        <v>0</v>
      </c>
      <c r="E1406" s="195">
        <v>3.0</v>
      </c>
      <c r="F1406" s="201">
        <f>COUNTIF('Activity map'!$C:$C, $A1406)</f>
        <v>1</v>
      </c>
    </row>
    <row r="1407">
      <c r="A1407" s="26">
        <v>24862.0</v>
      </c>
      <c r="B1407" s="23" t="s">
        <v>1752</v>
      </c>
      <c r="C1407" s="202" t="b">
        <f>IF($D1407, TRUE, IF(ISERROR('API import'!$A$1), FALSE, COUNTIF('API import'!$A:$A, $A1407)&gt;0))</f>
        <v>0</v>
      </c>
      <c r="D1407" s="195" t="b">
        <v>0</v>
      </c>
      <c r="E1407" s="195">
        <v>3.0</v>
      </c>
      <c r="F1407" s="201">
        <f>COUNTIF('Activity map'!$C:$C, $A1407)</f>
        <v>1</v>
      </c>
    </row>
    <row r="1408">
      <c r="A1408" s="26">
        <v>24866.0</v>
      </c>
      <c r="B1408" s="23" t="s">
        <v>1753</v>
      </c>
      <c r="C1408" s="202" t="b">
        <f>IF($D1408, TRUE, IF(ISERROR('API import'!$A$1), FALSE, COUNTIF('API import'!$A:$A, $A1408)&gt;0))</f>
        <v>0</v>
      </c>
      <c r="D1408" s="195" t="b">
        <v>0</v>
      </c>
      <c r="E1408" s="195">
        <v>4.0</v>
      </c>
      <c r="F1408" s="201">
        <f>COUNTIF('Activity map'!$C:$C, $A1408)</f>
        <v>1</v>
      </c>
    </row>
    <row r="1409">
      <c r="A1409" s="26">
        <v>24864.0</v>
      </c>
      <c r="B1409" s="23" t="s">
        <v>1754</v>
      </c>
      <c r="C1409" s="202" t="b">
        <f>IF($D1409, TRUE, IF(ISERROR('API import'!$A$1), FALSE, COUNTIF('API import'!$A:$A, $A1409)&gt;0))</f>
        <v>0</v>
      </c>
      <c r="D1409" s="195" t="b">
        <v>0</v>
      </c>
      <c r="E1409" s="195">
        <v>4.0</v>
      </c>
      <c r="F1409" s="201">
        <f>COUNTIF('Activity map'!$C:$C, $A1409)</f>
        <v>1</v>
      </c>
    </row>
    <row r="1410">
      <c r="A1410" s="26">
        <v>24867.0</v>
      </c>
      <c r="B1410" s="23" t="s">
        <v>1755</v>
      </c>
      <c r="C1410" s="202" t="b">
        <f>IF($D1410, TRUE, IF(ISERROR('API import'!$A$1), FALSE, COUNTIF('API import'!$A:$A, $A1410)&gt;0))</f>
        <v>0</v>
      </c>
      <c r="D1410" s="195" t="b">
        <v>0</v>
      </c>
      <c r="E1410" s="195">
        <v>4.0</v>
      </c>
      <c r="F1410" s="201">
        <f>COUNTIF('Activity map'!$C:$C, $A1410)</f>
        <v>1</v>
      </c>
    </row>
    <row r="1411">
      <c r="A1411" s="26">
        <v>24865.0</v>
      </c>
      <c r="B1411" s="23" t="s">
        <v>1756</v>
      </c>
      <c r="C1411" s="202" t="b">
        <f>IF($D1411, TRUE, IF(ISERROR('API import'!$A$1), FALSE, COUNTIF('API import'!$A:$A, $A1411)&gt;0))</f>
        <v>0</v>
      </c>
      <c r="D1411" s="195" t="b">
        <v>0</v>
      </c>
      <c r="E1411" s="195">
        <v>4.0</v>
      </c>
      <c r="F1411" s="201">
        <f>COUNTIF('Activity map'!$C:$C, $A1411)</f>
        <v>1</v>
      </c>
    </row>
    <row r="1412">
      <c r="A1412" s="26">
        <v>24863.0</v>
      </c>
      <c r="B1412" s="23" t="s">
        <v>1757</v>
      </c>
      <c r="C1412" s="202" t="b">
        <f>IF($D1412, TRUE, IF(ISERROR('API import'!$A$1), FALSE, COUNTIF('API import'!$A:$A, $A1412)&gt;0))</f>
        <v>0</v>
      </c>
      <c r="D1412" s="195" t="b">
        <v>0</v>
      </c>
      <c r="E1412" s="195">
        <v>3.0</v>
      </c>
      <c r="F1412" s="201">
        <f>COUNTIF('Activity map'!$C:$C, $A1412)</f>
        <v>1</v>
      </c>
    </row>
    <row r="1413">
      <c r="A1413" s="26">
        <v>25627.0</v>
      </c>
      <c r="B1413" s="23" t="s">
        <v>1758</v>
      </c>
      <c r="C1413" s="202" t="b">
        <f>IF($D1413, TRUE, IF(ISERROR('API import'!$A$1), FALSE, COUNTIF('API import'!$A:$A, $A1413)&gt;0))</f>
        <v>0</v>
      </c>
      <c r="D1413" s="195" t="b">
        <v>0</v>
      </c>
      <c r="E1413" s="195">
        <v>2.0</v>
      </c>
      <c r="F1413" s="201">
        <f>COUNTIF('Activity map'!$C:$C, $A1413)</f>
        <v>1</v>
      </c>
    </row>
    <row r="1414">
      <c r="A1414" s="26">
        <v>25628.0</v>
      </c>
      <c r="B1414" s="23" t="s">
        <v>1759</v>
      </c>
      <c r="C1414" s="202" t="b">
        <f>IF($D1414, TRUE, IF(ISERROR('API import'!$A$1), FALSE, COUNTIF('API import'!$A:$A, $A1414)&gt;0))</f>
        <v>0</v>
      </c>
      <c r="D1414" s="195" t="b">
        <v>0</v>
      </c>
      <c r="E1414" s="195">
        <v>2.0</v>
      </c>
      <c r="F1414" s="201">
        <f>COUNTIF('Activity map'!$C:$C, $A1414)</f>
        <v>1</v>
      </c>
    </row>
    <row r="1415">
      <c r="A1415" s="26">
        <v>12013.0</v>
      </c>
      <c r="B1415" s="23" t="s">
        <v>1760</v>
      </c>
      <c r="C1415" s="202" t="b">
        <f>IF($D1415, TRUE, IF(ISERROR('API import'!$A$1), FALSE, COUNTIF('API import'!$A:$A, $A1415)&gt;0))</f>
        <v>0</v>
      </c>
      <c r="D1415" s="195" t="b">
        <v>0</v>
      </c>
      <c r="E1415" s="195">
        <v>2.0</v>
      </c>
      <c r="F1415" s="201">
        <f>COUNTIF('Activity map'!$C:$C, $A1415)</f>
        <v>1</v>
      </c>
    </row>
    <row r="1416">
      <c r="A1416" s="26">
        <v>12014.0</v>
      </c>
      <c r="B1416" s="23" t="s">
        <v>1761</v>
      </c>
      <c r="C1416" s="202" t="b">
        <f>IF($D1416, TRUE, IF(ISERROR('API import'!$A$1), FALSE, COUNTIF('API import'!$A:$A, $A1416)&gt;0))</f>
        <v>0</v>
      </c>
      <c r="D1416" s="195" t="b">
        <v>0</v>
      </c>
      <c r="E1416" s="195">
        <v>2.0</v>
      </c>
      <c r="F1416" s="201">
        <f>COUNTIF('Activity map'!$C:$C, $A1416)</f>
        <v>1</v>
      </c>
    </row>
    <row r="1417">
      <c r="A1417" s="26">
        <v>12015.0</v>
      </c>
      <c r="B1417" s="23" t="s">
        <v>1762</v>
      </c>
      <c r="C1417" s="202" t="b">
        <f>IF($D1417, TRUE, IF(ISERROR('API import'!$A$1), FALSE, COUNTIF('API import'!$A:$A, $A1417)&gt;0))</f>
        <v>0</v>
      </c>
      <c r="D1417" s="195" t="b">
        <v>0</v>
      </c>
      <c r="E1417" s="195">
        <v>2.0</v>
      </c>
      <c r="F1417" s="201">
        <f>COUNTIF('Activity map'!$C:$C, $A1417)</f>
        <v>1</v>
      </c>
    </row>
    <row r="1418">
      <c r="A1418" s="26">
        <v>12016.0</v>
      </c>
      <c r="B1418" s="23" t="s">
        <v>1763</v>
      </c>
      <c r="C1418" s="202" t="b">
        <f>IF($D1418, TRUE, IF(ISERROR('API import'!$A$1), FALSE, COUNTIF('API import'!$A:$A, $A1418)&gt;0))</f>
        <v>0</v>
      </c>
      <c r="D1418" s="195" t="b">
        <v>0</v>
      </c>
      <c r="E1418" s="195">
        <v>2.0</v>
      </c>
      <c r="F1418" s="201">
        <f>COUNTIF('Activity map'!$C:$C, $A1418)</f>
        <v>1</v>
      </c>
    </row>
    <row r="1419">
      <c r="A1419" s="26">
        <v>11341.0</v>
      </c>
      <c r="B1419" s="23" t="s">
        <v>1764</v>
      </c>
      <c r="C1419" s="200" t="b">
        <f>IF($D1419, TRUE, IF(ISERROR('API import'!$A$1), FALSE, COUNTIF('API import'!$A:$A, $A1419)&gt;0))</f>
        <v>0</v>
      </c>
      <c r="D1419" s="195" t="b">
        <v>0</v>
      </c>
      <c r="E1419" s="195">
        <v>3.0</v>
      </c>
      <c r="F1419" s="203">
        <f>COUNTIF('Activity map'!$C:$C, $A1419)</f>
        <v>2</v>
      </c>
    </row>
    <row r="1420">
      <c r="A1420" s="26">
        <v>11342.0</v>
      </c>
      <c r="B1420" s="23" t="s">
        <v>1764</v>
      </c>
      <c r="C1420" s="200" t="b">
        <f>IF($D1420, TRUE, IF(ISERROR('API import'!$A$1), FALSE, COUNTIF('API import'!$A:$A, $A1420)&gt;0))</f>
        <v>0</v>
      </c>
      <c r="D1420" s="195" t="b">
        <v>0</v>
      </c>
      <c r="E1420" s="195">
        <v>3.0</v>
      </c>
      <c r="F1420" s="203">
        <f>COUNTIF('Activity map'!$C:$C, $A1420)</f>
        <v>2</v>
      </c>
    </row>
    <row r="1421">
      <c r="A1421" s="26">
        <v>11343.0</v>
      </c>
      <c r="B1421" s="23" t="s">
        <v>1764</v>
      </c>
      <c r="C1421" s="200" t="b">
        <f>IF($D1421, TRUE, IF(ISERROR('API import'!$A$1), FALSE, COUNTIF('API import'!$A:$A, $A1421)&gt;0))</f>
        <v>0</v>
      </c>
      <c r="D1421" s="195" t="b">
        <v>0</v>
      </c>
      <c r="E1421" s="195">
        <v>3.0</v>
      </c>
      <c r="F1421" s="203">
        <f>COUNTIF('Activity map'!$C:$C, $A1421)</f>
        <v>2</v>
      </c>
    </row>
    <row r="1422">
      <c r="A1422" s="26">
        <v>11344.0</v>
      </c>
      <c r="B1422" s="23" t="s">
        <v>1764</v>
      </c>
      <c r="C1422" s="202" t="b">
        <f>IF($D1422, TRUE, IF(ISERROR('API import'!$A$1), FALSE, COUNTIF('API import'!$A:$A, $A1422)&gt;0))</f>
        <v>0</v>
      </c>
      <c r="D1422" s="195" t="b">
        <v>0</v>
      </c>
      <c r="E1422" s="195">
        <v>3.0</v>
      </c>
      <c r="F1422" s="203">
        <f>COUNTIF('Activity map'!$C:$C, $A1422)</f>
        <v>2</v>
      </c>
    </row>
    <row r="1423">
      <c r="A1423" s="26">
        <v>11345.0</v>
      </c>
      <c r="B1423" s="23" t="s">
        <v>1764</v>
      </c>
      <c r="C1423" s="200" t="b">
        <f>IF($D1423, TRUE, IF(ISERROR('API import'!$A$1), FALSE, COUNTIF('API import'!$A:$A, $A1423)&gt;0))</f>
        <v>0</v>
      </c>
      <c r="D1423" s="195" t="b">
        <v>0</v>
      </c>
      <c r="E1423" s="195">
        <v>3.0</v>
      </c>
      <c r="F1423" s="203">
        <f>COUNTIF('Activity map'!$C:$C, $A1423)</f>
        <v>2</v>
      </c>
    </row>
    <row r="1424">
      <c r="A1424" s="26">
        <v>11346.0</v>
      </c>
      <c r="B1424" s="23" t="s">
        <v>1764</v>
      </c>
      <c r="C1424" s="202" t="b">
        <f>IF($D1424, TRUE, IF(ISERROR('API import'!$A$1), FALSE, COUNTIF('API import'!$A:$A, $A1424)&gt;0))</f>
        <v>0</v>
      </c>
      <c r="D1424" s="195" t="b">
        <v>0</v>
      </c>
      <c r="E1424" s="195">
        <v>3.0</v>
      </c>
      <c r="F1424" s="203">
        <f>COUNTIF('Activity map'!$C:$C, $A1424)</f>
        <v>2</v>
      </c>
    </row>
    <row r="1425">
      <c r="A1425" s="26">
        <v>11347.0</v>
      </c>
      <c r="B1425" s="23" t="s">
        <v>1764</v>
      </c>
      <c r="C1425" s="200" t="b">
        <f>IF($D1425, TRUE, IF(ISERROR('API import'!$A$1), FALSE, COUNTIF('API import'!$A:$A, $A1425)&gt;0))</f>
        <v>0</v>
      </c>
      <c r="D1425" s="195" t="b">
        <v>0</v>
      </c>
      <c r="E1425" s="195">
        <v>3.0</v>
      </c>
      <c r="F1425" s="203">
        <f>COUNTIF('Activity map'!$C:$C, $A1425)</f>
        <v>2</v>
      </c>
    </row>
    <row r="1426">
      <c r="A1426" s="26">
        <v>11348.0</v>
      </c>
      <c r="B1426" s="23" t="s">
        <v>1764</v>
      </c>
      <c r="C1426" s="200" t="b">
        <f>IF($D1426, TRUE, IF(ISERROR('API import'!$A$1), FALSE, COUNTIF('API import'!$A:$A, $A1426)&gt;0))</f>
        <v>0</v>
      </c>
      <c r="D1426" s="195" t="b">
        <v>0</v>
      </c>
      <c r="E1426" s="195">
        <v>3.0</v>
      </c>
      <c r="F1426" s="203">
        <f>COUNTIF('Activity map'!$C:$C, $A1426)</f>
        <v>2</v>
      </c>
    </row>
    <row r="1427">
      <c r="A1427" s="26">
        <v>11349.0</v>
      </c>
      <c r="B1427" s="23" t="s">
        <v>1764</v>
      </c>
      <c r="C1427" s="200" t="b">
        <f>IF($D1427, TRUE, IF(ISERROR('API import'!$A$1), FALSE, COUNTIF('API import'!$A:$A, $A1427)&gt;0))</f>
        <v>0</v>
      </c>
      <c r="D1427" s="195" t="b">
        <v>0</v>
      </c>
      <c r="E1427" s="195">
        <v>3.0</v>
      </c>
      <c r="F1427" s="203">
        <f>COUNTIF('Activity map'!$C:$C, $A1427)</f>
        <v>2</v>
      </c>
    </row>
    <row r="1428">
      <c r="A1428" s="26">
        <v>11350.0</v>
      </c>
      <c r="B1428" s="23" t="s">
        <v>1764</v>
      </c>
      <c r="C1428" s="200" t="b">
        <f>IF($D1428, TRUE, IF(ISERROR('API import'!$A$1), FALSE, COUNTIF('API import'!$A:$A, $A1428)&gt;0))</f>
        <v>0</v>
      </c>
      <c r="D1428" s="195" t="b">
        <v>0</v>
      </c>
      <c r="E1428" s="195">
        <v>3.0</v>
      </c>
      <c r="F1428" s="203">
        <f>COUNTIF('Activity map'!$C:$C, $A1428)</f>
        <v>2</v>
      </c>
    </row>
    <row r="1429">
      <c r="A1429" s="26">
        <v>11351.0</v>
      </c>
      <c r="B1429" s="23" t="s">
        <v>1764</v>
      </c>
      <c r="C1429" s="200" t="b">
        <f>IF($D1429, TRUE, IF(ISERROR('API import'!$A$1), FALSE, COUNTIF('API import'!$A:$A, $A1429)&gt;0))</f>
        <v>0</v>
      </c>
      <c r="D1429" s="195" t="b">
        <v>0</v>
      </c>
      <c r="E1429" s="195">
        <v>3.0</v>
      </c>
      <c r="F1429" s="203">
        <f>COUNTIF('Activity map'!$C:$C, $A1429)</f>
        <v>2</v>
      </c>
    </row>
    <row r="1430">
      <c r="A1430" s="26">
        <v>11352.0</v>
      </c>
      <c r="B1430" s="23" t="s">
        <v>1764</v>
      </c>
      <c r="C1430" s="202" t="b">
        <f>IF($D1430, TRUE, IF(ISERROR('API import'!$A$1), FALSE, COUNTIF('API import'!$A:$A, $A1430)&gt;0))</f>
        <v>0</v>
      </c>
      <c r="D1430" s="195" t="b">
        <v>0</v>
      </c>
      <c r="E1430" s="195">
        <v>3.0</v>
      </c>
      <c r="F1430" s="203">
        <f>COUNTIF('Activity map'!$C:$C, $A1430)</f>
        <v>2</v>
      </c>
    </row>
    <row r="1431">
      <c r="A1431" s="26">
        <v>11353.0</v>
      </c>
      <c r="B1431" s="23" t="s">
        <v>1764</v>
      </c>
      <c r="C1431" s="200" t="b">
        <f>IF($D1431, TRUE, IF(ISERROR('API import'!$A$1), FALSE, COUNTIF('API import'!$A:$A, $A1431)&gt;0))</f>
        <v>0</v>
      </c>
      <c r="D1431" s="195" t="b">
        <v>0</v>
      </c>
      <c r="E1431" s="195">
        <v>3.0</v>
      </c>
      <c r="F1431" s="203">
        <f>COUNTIF('Activity map'!$C:$C, $A1431)</f>
        <v>2</v>
      </c>
    </row>
    <row r="1432">
      <c r="A1432" s="26">
        <v>11354.0</v>
      </c>
      <c r="B1432" s="23" t="s">
        <v>1764</v>
      </c>
      <c r="C1432" s="202" t="b">
        <f>IF($D1432, TRUE, IF(ISERROR('API import'!$A$1), FALSE, COUNTIF('API import'!$A:$A, $A1432)&gt;0))</f>
        <v>0</v>
      </c>
      <c r="D1432" s="195" t="b">
        <v>0</v>
      </c>
      <c r="E1432" s="195">
        <v>3.0</v>
      </c>
      <c r="F1432" s="203">
        <f>COUNTIF('Activity map'!$C:$C, $A1432)</f>
        <v>2</v>
      </c>
    </row>
    <row r="1433">
      <c r="A1433" s="26">
        <v>11355.0</v>
      </c>
      <c r="B1433" s="23" t="s">
        <v>1764</v>
      </c>
      <c r="C1433" s="200" t="b">
        <f>IF($D1433, TRUE, IF(ISERROR('API import'!$A$1), FALSE, COUNTIF('API import'!$A:$A, $A1433)&gt;0))</f>
        <v>0</v>
      </c>
      <c r="D1433" s="195" t="b">
        <v>0</v>
      </c>
      <c r="E1433" s="195">
        <v>3.0</v>
      </c>
      <c r="F1433" s="203">
        <f>COUNTIF('Activity map'!$C:$C, $A1433)</f>
        <v>2</v>
      </c>
    </row>
    <row r="1434">
      <c r="A1434" s="26">
        <v>11356.0</v>
      </c>
      <c r="B1434" s="23" t="s">
        <v>1764</v>
      </c>
      <c r="C1434" s="200" t="b">
        <f>IF($D1434, TRUE, IF(ISERROR('API import'!$A$1), FALSE, COUNTIF('API import'!$A:$A, $A1434)&gt;0))</f>
        <v>0</v>
      </c>
      <c r="D1434" s="195" t="b">
        <v>0</v>
      </c>
      <c r="E1434" s="195">
        <v>3.0</v>
      </c>
      <c r="F1434" s="203">
        <f>COUNTIF('Activity map'!$C:$C, $A1434)</f>
        <v>2</v>
      </c>
    </row>
    <row r="1435">
      <c r="A1435" s="26">
        <v>11357.0</v>
      </c>
      <c r="B1435" s="23" t="s">
        <v>1764</v>
      </c>
      <c r="C1435" s="202" t="b">
        <f>IF($D1435, TRUE, IF(ISERROR('API import'!$A$1), FALSE, COUNTIF('API import'!$A:$A, $A1435)&gt;0))</f>
        <v>0</v>
      </c>
      <c r="D1435" s="195" t="b">
        <v>0</v>
      </c>
      <c r="E1435" s="195">
        <v>3.0</v>
      </c>
      <c r="F1435" s="203">
        <f>COUNTIF('Activity map'!$C:$C, $A1435)</f>
        <v>2</v>
      </c>
    </row>
    <row r="1436">
      <c r="A1436" s="26">
        <v>11358.0</v>
      </c>
      <c r="B1436" s="23" t="s">
        <v>1764</v>
      </c>
      <c r="C1436" s="200" t="b">
        <f>IF($D1436, TRUE, IF(ISERROR('API import'!$A$1), FALSE, COUNTIF('API import'!$A:$A, $A1436)&gt;0))</f>
        <v>0</v>
      </c>
      <c r="D1436" s="195" t="b">
        <v>0</v>
      </c>
      <c r="E1436" s="195">
        <v>3.0</v>
      </c>
      <c r="F1436" s="203">
        <f>COUNTIF('Activity map'!$C:$C, $A1436)</f>
        <v>2</v>
      </c>
    </row>
    <row r="1437">
      <c r="A1437" s="26">
        <v>11359.0</v>
      </c>
      <c r="B1437" s="23" t="s">
        <v>1764</v>
      </c>
      <c r="C1437" s="200" t="b">
        <f>IF($D1437, TRUE, IF(ISERROR('API import'!$A$1), FALSE, COUNTIF('API import'!$A:$A, $A1437)&gt;0))</f>
        <v>0</v>
      </c>
      <c r="D1437" s="195" t="b">
        <v>0</v>
      </c>
      <c r="E1437" s="195">
        <v>3.0</v>
      </c>
      <c r="F1437" s="203">
        <f>COUNTIF('Activity map'!$C:$C, $A1437)</f>
        <v>2</v>
      </c>
    </row>
    <row r="1438">
      <c r="A1438" s="26">
        <v>11360.0</v>
      </c>
      <c r="B1438" s="23" t="s">
        <v>1764</v>
      </c>
      <c r="C1438" s="202" t="b">
        <f>IF($D1438, TRUE, IF(ISERROR('API import'!$A$1), FALSE, COUNTIF('API import'!$A:$A, $A1438)&gt;0))</f>
        <v>0</v>
      </c>
      <c r="D1438" s="195" t="b">
        <v>0</v>
      </c>
      <c r="E1438" s="195">
        <v>3.0</v>
      </c>
      <c r="F1438" s="203">
        <f>COUNTIF('Activity map'!$C:$C, $A1438)</f>
        <v>2</v>
      </c>
    </row>
    <row r="1439">
      <c r="A1439" s="26">
        <v>11361.0</v>
      </c>
      <c r="B1439" s="23" t="s">
        <v>1764</v>
      </c>
      <c r="C1439" s="200" t="b">
        <f>IF($D1439, TRUE, IF(ISERROR('API import'!$A$1), FALSE, COUNTIF('API import'!$A:$A, $A1439)&gt;0))</f>
        <v>0</v>
      </c>
      <c r="D1439" s="195" t="b">
        <v>0</v>
      </c>
      <c r="E1439" s="195">
        <v>3.0</v>
      </c>
      <c r="F1439" s="203">
        <f>COUNTIF('Activity map'!$C:$C, $A1439)</f>
        <v>2</v>
      </c>
    </row>
    <row r="1440">
      <c r="A1440" s="26">
        <v>11362.0</v>
      </c>
      <c r="B1440" s="23" t="s">
        <v>1764</v>
      </c>
      <c r="C1440" s="200" t="b">
        <f>IF($D1440, TRUE, IF(ISERROR('API import'!$A$1), FALSE, COUNTIF('API import'!$A:$A, $A1440)&gt;0))</f>
        <v>0</v>
      </c>
      <c r="D1440" s="195" t="b">
        <v>0</v>
      </c>
      <c r="E1440" s="195">
        <v>3.0</v>
      </c>
      <c r="F1440" s="203">
        <f>COUNTIF('Activity map'!$C:$C, $A1440)</f>
        <v>2</v>
      </c>
    </row>
    <row r="1441">
      <c r="A1441" s="26">
        <v>11363.0</v>
      </c>
      <c r="B1441" s="23" t="s">
        <v>1764</v>
      </c>
      <c r="C1441" s="200" t="b">
        <f>IF($D1441, TRUE, IF(ISERROR('API import'!$A$1), FALSE, COUNTIF('API import'!$A:$A, $A1441)&gt;0))</f>
        <v>0</v>
      </c>
      <c r="D1441" s="195" t="b">
        <v>0</v>
      </c>
      <c r="E1441" s="195">
        <v>3.0</v>
      </c>
      <c r="F1441" s="203">
        <f>COUNTIF('Activity map'!$C:$C, $A1441)</f>
        <v>2</v>
      </c>
    </row>
    <row r="1442">
      <c r="A1442" s="26">
        <v>11364.0</v>
      </c>
      <c r="B1442" s="23" t="s">
        <v>1764</v>
      </c>
      <c r="C1442" s="202" t="b">
        <f>IF($D1442, TRUE, IF(ISERROR('API import'!$A$1), FALSE, COUNTIF('API import'!$A:$A, $A1442)&gt;0))</f>
        <v>0</v>
      </c>
      <c r="D1442" s="195" t="b">
        <v>0</v>
      </c>
      <c r="E1442" s="195">
        <v>3.0</v>
      </c>
      <c r="F1442" s="203">
        <f>COUNTIF('Activity map'!$C:$C, $A1442)</f>
        <v>2</v>
      </c>
    </row>
    <row r="1443">
      <c r="A1443" s="26">
        <v>11365.0</v>
      </c>
      <c r="B1443" s="23" t="s">
        <v>1764</v>
      </c>
      <c r="C1443" s="202" t="b">
        <f>IF($D1443, TRUE, IF(ISERROR('API import'!$A$1), FALSE, COUNTIF('API import'!$A:$A, $A1443)&gt;0))</f>
        <v>0</v>
      </c>
      <c r="D1443" s="195" t="b">
        <v>0</v>
      </c>
      <c r="E1443" s="195">
        <v>3.0</v>
      </c>
      <c r="F1443" s="203">
        <f>COUNTIF('Activity map'!$C:$C, $A1443)</f>
        <v>2</v>
      </c>
    </row>
    <row r="1444">
      <c r="A1444" s="26">
        <v>11366.0</v>
      </c>
      <c r="B1444" s="23" t="s">
        <v>1764</v>
      </c>
      <c r="C1444" s="202" t="b">
        <f>IF($D1444, TRUE, IF(ISERROR('API import'!$A$1), FALSE, COUNTIF('API import'!$A:$A, $A1444)&gt;0))</f>
        <v>0</v>
      </c>
      <c r="D1444" s="195" t="b">
        <v>0</v>
      </c>
      <c r="E1444" s="195">
        <v>3.0</v>
      </c>
      <c r="F1444" s="203">
        <f>COUNTIF('Activity map'!$C:$C, $A1444)</f>
        <v>2</v>
      </c>
    </row>
    <row r="1445">
      <c r="A1445" s="26">
        <v>31770.0</v>
      </c>
      <c r="B1445" s="23" t="s">
        <v>1765</v>
      </c>
      <c r="C1445" s="202" t="b">
        <f>IF($D1445, TRUE, IF(ISERROR('API import'!$A$1), FALSE, COUNTIF('API import'!$A:$A, $A1445)&gt;0))</f>
        <v>0</v>
      </c>
      <c r="D1445" s="195" t="b">
        <v>0</v>
      </c>
      <c r="E1445" s="195">
        <v>2.0</v>
      </c>
      <c r="F1445" s="201">
        <f>COUNTIF('Activity map'!$C:$C, $A1445)</f>
        <v>1</v>
      </c>
    </row>
    <row r="1446">
      <c r="A1446" s="26">
        <v>31773.0</v>
      </c>
      <c r="B1446" s="23" t="s">
        <v>1766</v>
      </c>
      <c r="C1446" s="202" t="b">
        <f>IF($D1446, TRUE, IF(ISERROR('API import'!$A$1), FALSE, COUNTIF('API import'!$A:$A, $A1446)&gt;0))</f>
        <v>0</v>
      </c>
      <c r="D1446" s="195" t="b">
        <v>0</v>
      </c>
      <c r="E1446" s="195">
        <v>2.0</v>
      </c>
      <c r="F1446" s="201">
        <f>COUNTIF('Activity map'!$C:$C, $A1446)</f>
        <v>1</v>
      </c>
    </row>
    <row r="1447">
      <c r="A1447" s="26">
        <v>31776.0</v>
      </c>
      <c r="B1447" s="23" t="s">
        <v>1767</v>
      </c>
      <c r="C1447" s="202" t="b">
        <f>IF($D1447, TRUE, IF(ISERROR('API import'!$A$1), FALSE, COUNTIF('API import'!$A:$A, $A1447)&gt;0))</f>
        <v>0</v>
      </c>
      <c r="D1447" s="195" t="b">
        <v>0</v>
      </c>
      <c r="E1447" s="195">
        <v>2.0</v>
      </c>
      <c r="F1447" s="201">
        <f>COUNTIF('Activity map'!$C:$C, $A1447)</f>
        <v>1</v>
      </c>
    </row>
    <row r="1448">
      <c r="A1448" s="26">
        <v>31779.0</v>
      </c>
      <c r="B1448" s="23" t="s">
        <v>1768</v>
      </c>
      <c r="C1448" s="200" t="b">
        <f>IF($D1448, TRUE, IF(ISERROR('API import'!$A$1), FALSE, COUNTIF('API import'!$A:$A, $A1448)&gt;0))</f>
        <v>0</v>
      </c>
      <c r="D1448" s="195" t="b">
        <v>0</v>
      </c>
      <c r="E1448" s="195">
        <v>2.0</v>
      </c>
      <c r="F1448" s="201">
        <f>COUNTIF('Activity map'!$C:$C, $A1448)</f>
        <v>1</v>
      </c>
    </row>
    <row r="1449">
      <c r="A1449" s="26">
        <v>31782.0</v>
      </c>
      <c r="B1449" s="23" t="s">
        <v>1769</v>
      </c>
      <c r="C1449" s="200" t="b">
        <f>IF($D1449, TRUE, IF(ISERROR('API import'!$A$1), FALSE, COUNTIF('API import'!$A:$A, $A1449)&gt;0))</f>
        <v>0</v>
      </c>
      <c r="D1449" s="195" t="b">
        <v>0</v>
      </c>
      <c r="E1449" s="195">
        <v>2.0</v>
      </c>
      <c r="F1449" s="201">
        <f>COUNTIF('Activity map'!$C:$C, $A1449)</f>
        <v>1</v>
      </c>
    </row>
    <row r="1450">
      <c r="A1450" s="26">
        <v>31785.0</v>
      </c>
      <c r="B1450" s="23" t="s">
        <v>1770</v>
      </c>
      <c r="C1450" s="200" t="b">
        <f>IF($D1450, TRUE, IF(ISERROR('API import'!$A$1), FALSE, COUNTIF('API import'!$A:$A, $A1450)&gt;0))</f>
        <v>0</v>
      </c>
      <c r="D1450" s="195" t="b">
        <v>0</v>
      </c>
      <c r="E1450" s="195">
        <v>2.0</v>
      </c>
      <c r="F1450" s="201">
        <f>COUNTIF('Activity map'!$C:$C, $A1450)</f>
        <v>1</v>
      </c>
    </row>
    <row r="1451">
      <c r="A1451" s="26">
        <v>31788.0</v>
      </c>
      <c r="B1451" s="23" t="s">
        <v>1771</v>
      </c>
      <c r="C1451" s="200" t="b">
        <f>IF($D1451, TRUE, IF(ISERROR('API import'!$A$1), FALSE, COUNTIF('API import'!$A:$A, $A1451)&gt;0))</f>
        <v>0</v>
      </c>
      <c r="D1451" s="195" t="b">
        <v>0</v>
      </c>
      <c r="E1451" s="195">
        <v>2.0</v>
      </c>
      <c r="F1451" s="201">
        <f>COUNTIF('Activity map'!$C:$C, $A1451)</f>
        <v>1</v>
      </c>
    </row>
    <row r="1452">
      <c r="A1452" s="26">
        <v>31791.0</v>
      </c>
      <c r="B1452" s="23" t="s">
        <v>1772</v>
      </c>
      <c r="C1452" s="200" t="b">
        <f>IF($D1452, TRUE, IF(ISERROR('API import'!$A$1), FALSE, COUNTIF('API import'!$A:$A, $A1452)&gt;0))</f>
        <v>0</v>
      </c>
      <c r="D1452" s="195" t="b">
        <v>0</v>
      </c>
      <c r="E1452" s="195">
        <v>3.0</v>
      </c>
      <c r="F1452" s="201">
        <f>COUNTIF('Activity map'!$C:$C, $A1452)</f>
        <v>1</v>
      </c>
    </row>
    <row r="1453">
      <c r="A1453" s="26">
        <v>31794.0</v>
      </c>
      <c r="B1453" s="23" t="s">
        <v>1773</v>
      </c>
      <c r="C1453" s="200" t="b">
        <f>IF($D1453, TRUE, IF(ISERROR('API import'!$A$1), FALSE, COUNTIF('API import'!$A:$A, $A1453)&gt;0))</f>
        <v>0</v>
      </c>
      <c r="D1453" s="195" t="b">
        <v>0</v>
      </c>
      <c r="E1453" s="195">
        <v>3.0</v>
      </c>
      <c r="F1453" s="201">
        <f>COUNTIF('Activity map'!$C:$C, $A1453)</f>
        <v>1</v>
      </c>
    </row>
    <row r="1454">
      <c r="A1454" s="26">
        <v>31797.0</v>
      </c>
      <c r="B1454" s="23" t="s">
        <v>1774</v>
      </c>
      <c r="C1454" s="200" t="b">
        <f>IF($D1454, TRUE, IF(ISERROR('API import'!$A$1), FALSE, COUNTIF('API import'!$A:$A, $A1454)&gt;0))</f>
        <v>0</v>
      </c>
      <c r="D1454" s="195" t="b">
        <v>0</v>
      </c>
      <c r="E1454" s="195">
        <v>3.0</v>
      </c>
      <c r="F1454" s="201">
        <f>COUNTIF('Activity map'!$C:$C, $A1454)</f>
        <v>1</v>
      </c>
    </row>
    <row r="1455">
      <c r="A1455" s="26">
        <v>31800.0</v>
      </c>
      <c r="B1455" s="23" t="s">
        <v>1775</v>
      </c>
      <c r="C1455" s="200" t="b">
        <f>IF($D1455, TRUE, IF(ISERROR('API import'!$A$1), FALSE, COUNTIF('API import'!$A:$A, $A1455)&gt;0))</f>
        <v>0</v>
      </c>
      <c r="D1455" s="195" t="b">
        <v>0</v>
      </c>
      <c r="E1455" s="195">
        <v>4.0</v>
      </c>
      <c r="F1455" s="201">
        <f>COUNTIF('Activity map'!$C:$C, $A1455)</f>
        <v>1</v>
      </c>
    </row>
    <row r="1456">
      <c r="A1456" s="26">
        <v>6654.0</v>
      </c>
      <c r="B1456" s="23" t="s">
        <v>1776</v>
      </c>
      <c r="C1456" s="202" t="b">
        <f>IF($D1456, TRUE, IF(ISERROR('API import'!$A$1), FALSE, COUNTIF('API import'!$A:$A, $A1456)&gt;0))</f>
        <v>0</v>
      </c>
      <c r="D1456" s="195" t="b">
        <v>0</v>
      </c>
      <c r="E1456" s="195">
        <v>2.0</v>
      </c>
      <c r="F1456" s="201">
        <f>COUNTIF('Activity map'!$C:$C, $A1456)</f>
        <v>1</v>
      </c>
    </row>
    <row r="1457">
      <c r="A1457" s="26">
        <v>6655.0</v>
      </c>
      <c r="B1457" s="23" t="s">
        <v>1777</v>
      </c>
      <c r="C1457" s="202" t="b">
        <f>IF($D1457, TRUE, IF(ISERROR('API import'!$A$1), FALSE, COUNTIF('API import'!$A:$A, $A1457)&gt;0))</f>
        <v>0</v>
      </c>
      <c r="D1457" s="195" t="b">
        <v>0</v>
      </c>
      <c r="E1457" s="195">
        <v>2.0</v>
      </c>
      <c r="F1457" s="201">
        <f>COUNTIF('Activity map'!$C:$C, $A1457)</f>
        <v>1</v>
      </c>
    </row>
    <row r="1458">
      <c r="A1458" s="26">
        <v>6656.0</v>
      </c>
      <c r="B1458" s="23" t="s">
        <v>1778</v>
      </c>
      <c r="C1458" s="202" t="b">
        <f>IF($D1458, TRUE, IF(ISERROR('API import'!$A$1), FALSE, COUNTIF('API import'!$A:$A, $A1458)&gt;0))</f>
        <v>0</v>
      </c>
      <c r="D1458" s="195" t="b">
        <v>0</v>
      </c>
      <c r="E1458" s="195">
        <v>2.0</v>
      </c>
      <c r="F1458" s="201">
        <f>COUNTIF('Activity map'!$C:$C, $A1458)</f>
        <v>1</v>
      </c>
    </row>
    <row r="1459">
      <c r="A1459" s="26">
        <v>6180.0</v>
      </c>
      <c r="B1459" s="23" t="s">
        <v>1779</v>
      </c>
      <c r="C1459" s="202" t="b">
        <f>IF($D1459, TRUE, IF(ISERROR('API import'!$A$1), FALSE, COUNTIF('API import'!$A:$A, $A1459)&gt;0))</f>
        <v>0</v>
      </c>
      <c r="D1459" s="195" t="b">
        <v>0</v>
      </c>
      <c r="E1459" s="195">
        <v>2.0</v>
      </c>
      <c r="F1459" s="201">
        <f>COUNTIF('Activity map'!$C:$C, $A1459)</f>
        <v>1</v>
      </c>
    </row>
    <row r="1460">
      <c r="A1460" s="26">
        <v>6181.0</v>
      </c>
      <c r="B1460" s="23" t="s">
        <v>1780</v>
      </c>
      <c r="C1460" s="202" t="b">
        <f>IF($D1460, TRUE, IF(ISERROR('API import'!$A$1), FALSE, COUNTIF('API import'!$A:$A, $A1460)&gt;0))</f>
        <v>0</v>
      </c>
      <c r="D1460" s="195" t="b">
        <v>0</v>
      </c>
      <c r="E1460" s="195">
        <v>2.0</v>
      </c>
      <c r="F1460" s="201">
        <f>COUNTIF('Activity map'!$C:$C, $A1460)</f>
        <v>1</v>
      </c>
    </row>
    <row r="1461">
      <c r="A1461" s="26">
        <v>6182.0</v>
      </c>
      <c r="B1461" s="23" t="s">
        <v>1781</v>
      </c>
      <c r="C1461" s="202" t="b">
        <f>IF($D1461, TRUE, IF(ISERROR('API import'!$A$1), FALSE, COUNTIF('API import'!$A:$A, $A1461)&gt;0))</f>
        <v>0</v>
      </c>
      <c r="D1461" s="195" t="b">
        <v>0</v>
      </c>
      <c r="E1461" s="195">
        <v>2.0</v>
      </c>
      <c r="F1461" s="201">
        <f>COUNTIF('Activity map'!$C:$C, $A1461)</f>
        <v>1</v>
      </c>
    </row>
    <row r="1462">
      <c r="A1462" s="26">
        <v>7592.0</v>
      </c>
      <c r="B1462" s="23" t="s">
        <v>1782</v>
      </c>
      <c r="C1462" s="202" t="b">
        <f>IF($D1462, TRUE, IF(ISERROR('API import'!$A$1), FALSE, COUNTIF('API import'!$A:$A, $A1462)&gt;0))</f>
        <v>0</v>
      </c>
      <c r="D1462" s="195" t="b">
        <v>0</v>
      </c>
      <c r="E1462" s="195">
        <v>2.0</v>
      </c>
      <c r="F1462" s="201">
        <f>COUNTIF('Activity map'!$C:$C, $A1462)</f>
        <v>1</v>
      </c>
    </row>
    <row r="1463">
      <c r="A1463" s="26">
        <v>7593.0</v>
      </c>
      <c r="B1463" s="23" t="s">
        <v>1783</v>
      </c>
      <c r="C1463" s="202" t="b">
        <f>IF($D1463, TRUE, IF(ISERROR('API import'!$A$1), FALSE, COUNTIF('API import'!$A:$A, $A1463)&gt;0))</f>
        <v>0</v>
      </c>
      <c r="D1463" s="195" t="b">
        <v>0</v>
      </c>
      <c r="E1463" s="195">
        <v>2.0</v>
      </c>
      <c r="F1463" s="201">
        <f>COUNTIF('Activity map'!$C:$C, $A1463)</f>
        <v>1</v>
      </c>
    </row>
    <row r="1464">
      <c r="A1464" s="26">
        <v>7594.0</v>
      </c>
      <c r="B1464" s="23" t="s">
        <v>1784</v>
      </c>
      <c r="C1464" s="202" t="b">
        <f>IF($D1464, TRUE, IF(ISERROR('API import'!$A$1), FALSE, COUNTIF('API import'!$A:$A, $A1464)&gt;0))</f>
        <v>0</v>
      </c>
      <c r="D1464" s="195" t="b">
        <v>0</v>
      </c>
      <c r="E1464" s="195">
        <v>2.0</v>
      </c>
      <c r="F1464" s="201">
        <f>COUNTIF('Activity map'!$C:$C, $A1464)</f>
        <v>1</v>
      </c>
    </row>
    <row r="1465">
      <c r="A1465" s="26">
        <v>7595.0</v>
      </c>
      <c r="B1465" s="23" t="s">
        <v>1785</v>
      </c>
      <c r="C1465" s="202" t="b">
        <f>IF($D1465, TRUE, IF(ISERROR('API import'!$A$1), FALSE, COUNTIF('API import'!$A:$A, $A1465)&gt;0))</f>
        <v>0</v>
      </c>
      <c r="D1465" s="195" t="b">
        <v>0</v>
      </c>
      <c r="E1465" s="195">
        <v>2.0</v>
      </c>
      <c r="F1465" s="201">
        <f>COUNTIF('Activity map'!$C:$C, $A1465)</f>
        <v>1</v>
      </c>
    </row>
    <row r="1466">
      <c r="A1466" s="26">
        <v>7596.0</v>
      </c>
      <c r="B1466" s="23" t="s">
        <v>1786</v>
      </c>
      <c r="C1466" s="202" t="b">
        <f>IF($D1466, TRUE, IF(ISERROR('API import'!$A$1), FALSE, COUNTIF('API import'!$A:$A, $A1466)&gt;0))</f>
        <v>0</v>
      </c>
      <c r="D1466" s="195" t="b">
        <v>0</v>
      </c>
      <c r="E1466" s="195">
        <v>2.0</v>
      </c>
      <c r="F1466" s="201">
        <f>COUNTIF('Activity map'!$C:$C, $A1466)</f>
        <v>1</v>
      </c>
    </row>
    <row r="1467">
      <c r="A1467" s="26">
        <v>3057.0</v>
      </c>
      <c r="B1467" s="23" t="s">
        <v>1787</v>
      </c>
      <c r="C1467" s="202" t="b">
        <f>IF($D1467, TRUE, IF(ISERROR('API import'!$A$1), FALSE, COUNTIF('API import'!$A:$A, $A1467)&gt;0))</f>
        <v>0</v>
      </c>
      <c r="D1467" s="195" t="b">
        <v>0</v>
      </c>
      <c r="E1467" s="195">
        <v>2.0</v>
      </c>
      <c r="F1467" s="201">
        <f>COUNTIF('Activity map'!$C:$C, $A1467)</f>
        <v>1</v>
      </c>
    </row>
    <row r="1468">
      <c r="A1468" s="26">
        <v>3058.0</v>
      </c>
      <c r="B1468" s="23" t="s">
        <v>1788</v>
      </c>
      <c r="C1468" s="202" t="b">
        <f>IF($D1468, TRUE, IF(ISERROR('API import'!$A$1), FALSE, COUNTIF('API import'!$A:$A, $A1468)&gt;0))</f>
        <v>0</v>
      </c>
      <c r="D1468" s="195" t="b">
        <v>0</v>
      </c>
      <c r="E1468" s="195">
        <v>2.0</v>
      </c>
      <c r="F1468" s="201">
        <f>COUNTIF('Activity map'!$C:$C, $A1468)</f>
        <v>1</v>
      </c>
    </row>
    <row r="1469">
      <c r="A1469" s="26">
        <v>3059.0</v>
      </c>
      <c r="B1469" s="23" t="s">
        <v>1789</v>
      </c>
      <c r="C1469" s="202" t="b">
        <f>IF($D1469, TRUE, IF(ISERROR('API import'!$A$1), FALSE, COUNTIF('API import'!$A:$A, $A1469)&gt;0))</f>
        <v>0</v>
      </c>
      <c r="D1469" s="195" t="b">
        <v>0</v>
      </c>
      <c r="E1469" s="195">
        <v>2.0</v>
      </c>
      <c r="F1469" s="201">
        <f>COUNTIF('Activity map'!$C:$C, $A1469)</f>
        <v>1</v>
      </c>
    </row>
    <row r="1470">
      <c r="A1470" s="26">
        <v>3060.0</v>
      </c>
      <c r="B1470" s="23" t="s">
        <v>1790</v>
      </c>
      <c r="C1470" s="202" t="b">
        <f>IF($D1470, TRUE, IF(ISERROR('API import'!$A$1), FALSE, COUNTIF('API import'!$A:$A, $A1470)&gt;0))</f>
        <v>0</v>
      </c>
      <c r="D1470" s="195" t="b">
        <v>0</v>
      </c>
      <c r="E1470" s="195">
        <v>2.0</v>
      </c>
      <c r="F1470" s="201">
        <f>COUNTIF('Activity map'!$C:$C, $A1470)</f>
        <v>1</v>
      </c>
    </row>
    <row r="1471">
      <c r="A1471" s="26">
        <v>3061.0</v>
      </c>
      <c r="B1471" s="23" t="s">
        <v>1791</v>
      </c>
      <c r="C1471" s="202" t="b">
        <f>IF($D1471, TRUE, IF(ISERROR('API import'!$A$1), FALSE, COUNTIF('API import'!$A:$A, $A1471)&gt;0))</f>
        <v>0</v>
      </c>
      <c r="D1471" s="195" t="b">
        <v>0</v>
      </c>
      <c r="E1471" s="195">
        <v>2.0</v>
      </c>
      <c r="F1471" s="201">
        <f>COUNTIF('Activity map'!$C:$C, $A1471)</f>
        <v>1</v>
      </c>
    </row>
    <row r="1472">
      <c r="A1472" s="26">
        <v>6183.0</v>
      </c>
      <c r="B1472" s="23" t="s">
        <v>1792</v>
      </c>
      <c r="C1472" s="202" t="b">
        <f>IF($D1472, TRUE, IF(ISERROR('API import'!$A$1), FALSE, COUNTIF('API import'!$A:$A, $A1472)&gt;0))</f>
        <v>0</v>
      </c>
      <c r="D1472" s="195" t="b">
        <v>0</v>
      </c>
      <c r="E1472" s="195">
        <v>2.0</v>
      </c>
      <c r="F1472" s="201">
        <f>COUNTIF('Activity map'!$C:$C, $A1472)</f>
        <v>1</v>
      </c>
    </row>
    <row r="1473">
      <c r="A1473" s="26">
        <v>20590.0</v>
      </c>
      <c r="B1473" s="23" t="s">
        <v>1793</v>
      </c>
      <c r="C1473" s="200" t="b">
        <f>IF($D1473, TRUE, IF(ISERROR('API import'!$A$1), FALSE, COUNTIF('API import'!$A:$A, $A1473)&gt;0))</f>
        <v>0</v>
      </c>
      <c r="D1473" s="195" t="b">
        <v>0</v>
      </c>
      <c r="E1473" s="195">
        <v>7.0</v>
      </c>
      <c r="F1473" s="201">
        <f>COUNTIF('Activity map'!$C:$C, $A1473)</f>
        <v>1</v>
      </c>
    </row>
    <row r="1474">
      <c r="A1474" s="26">
        <v>25129.0</v>
      </c>
      <c r="B1474" s="23" t="s">
        <v>1794</v>
      </c>
      <c r="C1474" s="202" t="b">
        <f>IF($D1474, TRUE, IF(ISERROR('API import'!$A$1), FALSE, COUNTIF('API import'!$A:$A, $A1474)&gt;0))</f>
        <v>0</v>
      </c>
      <c r="D1474" s="195" t="b">
        <v>0</v>
      </c>
      <c r="E1474" s="195">
        <v>2.0</v>
      </c>
      <c r="F1474" s="201">
        <f>COUNTIF('Activity map'!$C:$C, $A1474)</f>
        <v>1</v>
      </c>
    </row>
    <row r="1475">
      <c r="A1475" s="26">
        <v>25131.0</v>
      </c>
      <c r="B1475" s="23" t="s">
        <v>1795</v>
      </c>
      <c r="C1475" s="202" t="b">
        <f>IF($D1475, TRUE, IF(ISERROR('API import'!$A$1), FALSE, COUNTIF('API import'!$A:$A, $A1475)&gt;0))</f>
        <v>0</v>
      </c>
      <c r="D1475" s="195" t="b">
        <v>0</v>
      </c>
      <c r="E1475" s="195">
        <v>2.0</v>
      </c>
      <c r="F1475" s="201">
        <f>COUNTIF('Activity map'!$C:$C, $A1475)</f>
        <v>1</v>
      </c>
    </row>
    <row r="1476">
      <c r="A1476" s="26">
        <v>25133.0</v>
      </c>
      <c r="B1476" s="23" t="s">
        <v>1796</v>
      </c>
      <c r="C1476" s="202" t="b">
        <f>IF($D1476, TRUE, IF(ISERROR('API import'!$A$1), FALSE, COUNTIF('API import'!$A:$A, $A1476)&gt;0))</f>
        <v>0</v>
      </c>
      <c r="D1476" s="195" t="b">
        <v>0</v>
      </c>
      <c r="E1476" s="195">
        <v>2.0</v>
      </c>
      <c r="F1476" s="201">
        <f>COUNTIF('Activity map'!$C:$C, $A1476)</f>
        <v>1</v>
      </c>
    </row>
    <row r="1477">
      <c r="A1477" s="26">
        <v>25135.0</v>
      </c>
      <c r="B1477" s="23" t="s">
        <v>1797</v>
      </c>
      <c r="C1477" s="202" t="b">
        <f>IF($D1477, TRUE, IF(ISERROR('API import'!$A$1), FALSE, COUNTIF('API import'!$A:$A, $A1477)&gt;0))</f>
        <v>0</v>
      </c>
      <c r="D1477" s="195" t="b">
        <v>0</v>
      </c>
      <c r="E1477" s="195">
        <v>2.0</v>
      </c>
      <c r="F1477" s="201">
        <f>COUNTIF('Activity map'!$C:$C, $A1477)</f>
        <v>1</v>
      </c>
    </row>
    <row r="1478">
      <c r="A1478" s="26">
        <v>25137.0</v>
      </c>
      <c r="B1478" s="23" t="s">
        <v>1798</v>
      </c>
      <c r="C1478" s="202" t="b">
        <f>IF($D1478, TRUE, IF(ISERROR('API import'!$A$1), FALSE, COUNTIF('API import'!$A:$A, $A1478)&gt;0))</f>
        <v>0</v>
      </c>
      <c r="D1478" s="195" t="b">
        <v>0</v>
      </c>
      <c r="E1478" s="195">
        <v>2.0</v>
      </c>
      <c r="F1478" s="201">
        <f>COUNTIF('Activity map'!$C:$C, $A1478)</f>
        <v>1</v>
      </c>
    </row>
    <row r="1479">
      <c r="A1479" s="26">
        <v>22542.0</v>
      </c>
      <c r="B1479" s="23" t="s">
        <v>1799</v>
      </c>
      <c r="C1479" s="200" t="b">
        <f>IF($D1479, TRUE, IF(ISERROR('API import'!$A$1), FALSE, COUNTIF('API import'!$A:$A, $A1479)&gt;0))</f>
        <v>0</v>
      </c>
      <c r="D1479" s="195" t="b">
        <v>0</v>
      </c>
      <c r="E1479" s="195">
        <v>6.0</v>
      </c>
      <c r="F1479" s="203">
        <f>COUNTIF('Activity map'!$C:$C, $A1479)</f>
        <v>2</v>
      </c>
    </row>
    <row r="1480">
      <c r="A1480" s="26">
        <v>22547.0</v>
      </c>
      <c r="B1480" s="23" t="s">
        <v>1800</v>
      </c>
      <c r="C1480" s="200" t="b">
        <f>IF($D1480, TRUE, IF(ISERROR('API import'!$A$1), FALSE, COUNTIF('API import'!$A:$A, $A1480)&gt;0))</f>
        <v>0</v>
      </c>
      <c r="D1480" s="195" t="b">
        <v>0</v>
      </c>
      <c r="E1480" s="195">
        <v>6.0</v>
      </c>
      <c r="F1480" s="203">
        <f>COUNTIF('Activity map'!$C:$C, $A1480)</f>
        <v>2</v>
      </c>
    </row>
    <row r="1481">
      <c r="A1481" s="26">
        <v>22552.0</v>
      </c>
      <c r="B1481" s="23" t="s">
        <v>1801</v>
      </c>
      <c r="C1481" s="200" t="b">
        <f>IF($D1481, TRUE, IF(ISERROR('API import'!$A$1), FALSE, COUNTIF('API import'!$A:$A, $A1481)&gt;0))</f>
        <v>0</v>
      </c>
      <c r="D1481" s="195" t="b">
        <v>0</v>
      </c>
      <c r="E1481" s="195">
        <v>6.0</v>
      </c>
      <c r="F1481" s="203">
        <f>COUNTIF('Activity map'!$C:$C, $A1481)</f>
        <v>2</v>
      </c>
    </row>
    <row r="1482">
      <c r="A1482" s="26">
        <v>22557.0</v>
      </c>
      <c r="B1482" s="23" t="s">
        <v>1802</v>
      </c>
      <c r="C1482" s="200" t="b">
        <f>IF($D1482, TRUE, IF(ISERROR('API import'!$A$1), FALSE, COUNTIF('API import'!$A:$A, $A1482)&gt;0))</f>
        <v>0</v>
      </c>
      <c r="D1482" s="195" t="b">
        <v>0</v>
      </c>
      <c r="E1482" s="195">
        <v>6.0</v>
      </c>
      <c r="F1482" s="203">
        <f>COUNTIF('Activity map'!$C:$C, $A1482)</f>
        <v>2</v>
      </c>
    </row>
    <row r="1483">
      <c r="A1483" s="26">
        <v>21817.0</v>
      </c>
      <c r="B1483" s="23" t="s">
        <v>1803</v>
      </c>
      <c r="C1483" s="202" t="b">
        <f>IF($D1483, TRUE, IF(ISERROR('API import'!$A$1), FALSE, COUNTIF('API import'!$A:$A, $A1483)&gt;0))</f>
        <v>0</v>
      </c>
      <c r="D1483" s="195" t="b">
        <v>0</v>
      </c>
      <c r="E1483" s="195">
        <v>2.0</v>
      </c>
      <c r="F1483" s="203">
        <f>COUNTIF('Activity map'!$C:$C, $A1483)</f>
        <v>2</v>
      </c>
    </row>
    <row r="1484">
      <c r="A1484" s="26">
        <v>21804.0</v>
      </c>
      <c r="B1484" s="23" t="s">
        <v>1804</v>
      </c>
      <c r="C1484" s="200" t="b">
        <f>IF($D1484, TRUE, IF(ISERROR('API import'!$A$1), FALSE, COUNTIF('API import'!$A:$A, $A1484)&gt;0))</f>
        <v>0</v>
      </c>
      <c r="D1484" s="195" t="b">
        <v>0</v>
      </c>
      <c r="E1484" s="195">
        <v>5.0</v>
      </c>
      <c r="F1484" s="203">
        <f>COUNTIF('Activity map'!$C:$C, $A1484)</f>
        <v>2</v>
      </c>
    </row>
    <row r="1485">
      <c r="A1485" s="26">
        <v>22305.0</v>
      </c>
      <c r="B1485" s="23" t="s">
        <v>1805</v>
      </c>
      <c r="C1485" s="200" t="b">
        <f>IF($D1485, TRUE, IF(ISERROR('API import'!$A$1), FALSE, COUNTIF('API import'!$A:$A, $A1485)&gt;0))</f>
        <v>0</v>
      </c>
      <c r="D1485" s="195" t="b">
        <v>0</v>
      </c>
      <c r="E1485" s="195">
        <v>6.0</v>
      </c>
      <c r="F1485" s="203">
        <f>COUNTIF('Activity map'!$C:$C, $A1485)</f>
        <v>2</v>
      </c>
    </row>
    <row r="1486">
      <c r="A1486" s="26">
        <v>22302.0</v>
      </c>
      <c r="B1486" s="23" t="s">
        <v>1806</v>
      </c>
      <c r="C1486" s="200" t="b">
        <f>IF($D1486, TRUE, IF(ISERROR('API import'!$A$1), FALSE, COUNTIF('API import'!$A:$A, $A1486)&gt;0))</f>
        <v>0</v>
      </c>
      <c r="D1486" s="195" t="b">
        <v>0</v>
      </c>
      <c r="E1486" s="195">
        <v>6.0</v>
      </c>
      <c r="F1486" s="203">
        <f>COUNTIF('Activity map'!$C:$C, $A1486)</f>
        <v>2</v>
      </c>
    </row>
    <row r="1487">
      <c r="A1487" s="26">
        <v>22299.0</v>
      </c>
      <c r="B1487" s="23" t="s">
        <v>1807</v>
      </c>
      <c r="C1487" s="200" t="b">
        <f>IF($D1487, TRUE, IF(ISERROR('API import'!$A$1), FALSE, COUNTIF('API import'!$A:$A, $A1487)&gt;0))</f>
        <v>0</v>
      </c>
      <c r="D1487" s="195" t="b">
        <v>0</v>
      </c>
      <c r="E1487" s="195">
        <v>6.0</v>
      </c>
      <c r="F1487" s="203">
        <f>COUNTIF('Activity map'!$C:$C, $A1487)</f>
        <v>2</v>
      </c>
    </row>
    <row r="1488">
      <c r="A1488" s="26">
        <v>21813.0</v>
      </c>
      <c r="B1488" s="23" t="s">
        <v>1808</v>
      </c>
      <c r="C1488" s="200" t="b">
        <f>IF($D1488, TRUE, IF(ISERROR('API import'!$A$1), FALSE, COUNTIF('API import'!$A:$A, $A1488)&gt;0))</f>
        <v>0</v>
      </c>
      <c r="D1488" s="195" t="b">
        <v>0</v>
      </c>
      <c r="E1488" s="195">
        <v>6.0</v>
      </c>
      <c r="F1488" s="203">
        <f>COUNTIF('Activity map'!$C:$C, $A1488)</f>
        <v>2</v>
      </c>
    </row>
    <row r="1489">
      <c r="A1489" s="26">
        <v>21810.0</v>
      </c>
      <c r="B1489" s="23" t="s">
        <v>1809</v>
      </c>
      <c r="C1489" s="200" t="b">
        <f>IF($D1489, TRUE, IF(ISERROR('API import'!$A$1), FALSE, COUNTIF('API import'!$A:$A, $A1489)&gt;0))</f>
        <v>0</v>
      </c>
      <c r="D1489" s="195" t="b">
        <v>0</v>
      </c>
      <c r="E1489" s="195">
        <v>5.0</v>
      </c>
      <c r="F1489" s="203">
        <f>COUNTIF('Activity map'!$C:$C, $A1489)</f>
        <v>2</v>
      </c>
    </row>
    <row r="1490">
      <c r="A1490" s="26">
        <v>21807.0</v>
      </c>
      <c r="B1490" s="23" t="s">
        <v>1810</v>
      </c>
      <c r="C1490" s="200" t="b">
        <f>IF($D1490, TRUE, IF(ISERROR('API import'!$A$1), FALSE, COUNTIF('API import'!$A:$A, $A1490)&gt;0))</f>
        <v>0</v>
      </c>
      <c r="D1490" s="195" t="b">
        <v>0</v>
      </c>
      <c r="E1490" s="195">
        <v>5.0</v>
      </c>
      <c r="F1490" s="203">
        <f>COUNTIF('Activity map'!$C:$C, $A1490)</f>
        <v>2</v>
      </c>
    </row>
    <row r="1491">
      <c r="A1491" s="26">
        <v>21802.0</v>
      </c>
      <c r="B1491" s="23" t="s">
        <v>1811</v>
      </c>
      <c r="C1491" s="202" t="b">
        <f>IF($D1491, TRUE, IF(ISERROR('API import'!$A$1), FALSE, COUNTIF('API import'!$A:$A, $A1491)&gt;0))</f>
        <v>0</v>
      </c>
      <c r="D1491" s="195" t="b">
        <v>0</v>
      </c>
      <c r="E1491" s="195">
        <v>2.0</v>
      </c>
      <c r="F1491" s="203">
        <f>COUNTIF('Activity map'!$C:$C, $A1491)</f>
        <v>2</v>
      </c>
    </row>
    <row r="1492">
      <c r="A1492" s="26">
        <v>21820.0</v>
      </c>
      <c r="B1492" s="23" t="s">
        <v>1812</v>
      </c>
      <c r="C1492" s="202" t="b">
        <f>IF($D1492, TRUE, IF(ISERROR('API import'!$A$1), FALSE, COUNTIF('API import'!$A:$A, $A1492)&gt;0))</f>
        <v>0</v>
      </c>
      <c r="D1492" s="195" t="b">
        <v>0</v>
      </c>
      <c r="E1492" s="195">
        <v>1.0</v>
      </c>
      <c r="F1492" s="203">
        <f>COUNTIF('Activity map'!$C:$C, $A1492)</f>
        <v>2</v>
      </c>
    </row>
    <row r="1493">
      <c r="A1493" s="26">
        <v>11849.0</v>
      </c>
      <c r="B1493" s="23" t="s">
        <v>1813</v>
      </c>
      <c r="C1493" s="202" t="b">
        <f>IF($D1493, TRUE, IF(ISERROR('API import'!$A$1), FALSE, COUNTIF('API import'!$A:$A, $A1493)&gt;0))</f>
        <v>0</v>
      </c>
      <c r="D1493" s="195" t="b">
        <v>0</v>
      </c>
      <c r="E1493" s="195">
        <v>1.0</v>
      </c>
      <c r="F1493" s="201">
        <f>COUNTIF('Activity map'!$C:$C, $A1493)</f>
        <v>1</v>
      </c>
    </row>
    <row r="1494">
      <c r="A1494" s="26">
        <v>11850.0</v>
      </c>
      <c r="B1494" s="23" t="s">
        <v>1429</v>
      </c>
      <c r="C1494" s="202" t="b">
        <f>IF($D1494, TRUE, IF(ISERROR('API import'!$A$1), FALSE, COUNTIF('API import'!$A:$A, $A1494)&gt;0))</f>
        <v>0</v>
      </c>
      <c r="D1494" s="195" t="b">
        <v>0</v>
      </c>
      <c r="E1494" s="195">
        <v>2.0</v>
      </c>
      <c r="F1494" s="201">
        <f>COUNTIF('Activity map'!$C:$C, $A1494)</f>
        <v>1</v>
      </c>
    </row>
    <row r="1495">
      <c r="A1495" s="26">
        <v>11852.0</v>
      </c>
      <c r="B1495" s="23" t="s">
        <v>1434</v>
      </c>
      <c r="C1495" s="202" t="b">
        <f>IF($D1495, TRUE, IF(ISERROR('API import'!$A$1), FALSE, COUNTIF('API import'!$A:$A, $A1495)&gt;0))</f>
        <v>0</v>
      </c>
      <c r="D1495" s="195" t="b">
        <v>0</v>
      </c>
      <c r="E1495" s="195">
        <v>2.0</v>
      </c>
      <c r="F1495" s="201">
        <f>COUNTIF('Activity map'!$C:$C, $A1495)</f>
        <v>1</v>
      </c>
    </row>
    <row r="1496">
      <c r="A1496" s="26">
        <v>11854.0</v>
      </c>
      <c r="B1496" s="23" t="s">
        <v>1430</v>
      </c>
      <c r="C1496" s="202" t="b">
        <f>IF($D1496, TRUE, IF(ISERROR('API import'!$A$1), FALSE, COUNTIF('API import'!$A:$A, $A1496)&gt;0))</f>
        <v>0</v>
      </c>
      <c r="D1496" s="195" t="b">
        <v>0</v>
      </c>
      <c r="E1496" s="195">
        <v>2.0</v>
      </c>
      <c r="F1496" s="201">
        <f>COUNTIF('Activity map'!$C:$C, $A1496)</f>
        <v>1</v>
      </c>
    </row>
    <row r="1497">
      <c r="A1497" s="26">
        <v>11856.0</v>
      </c>
      <c r="B1497" s="23" t="s">
        <v>1431</v>
      </c>
      <c r="C1497" s="202" t="b">
        <f>IF($D1497, TRUE, IF(ISERROR('API import'!$A$1), FALSE, COUNTIF('API import'!$A:$A, $A1497)&gt;0))</f>
        <v>0</v>
      </c>
      <c r="D1497" s="195" t="b">
        <v>0</v>
      </c>
      <c r="E1497" s="195">
        <v>2.0</v>
      </c>
      <c r="F1497" s="201">
        <f>COUNTIF('Activity map'!$C:$C, $A1497)</f>
        <v>1</v>
      </c>
    </row>
    <row r="1498">
      <c r="A1498" s="26">
        <v>11858.0</v>
      </c>
      <c r="B1498" s="23" t="s">
        <v>1432</v>
      </c>
      <c r="C1498" s="202" t="b">
        <f>IF($D1498, TRUE, IF(ISERROR('API import'!$A$1), FALSE, COUNTIF('API import'!$A:$A, $A1498)&gt;0))</f>
        <v>0</v>
      </c>
      <c r="D1498" s="195" t="b">
        <v>0</v>
      </c>
      <c r="E1498" s="195">
        <v>2.0</v>
      </c>
      <c r="F1498" s="201">
        <f>COUNTIF('Activity map'!$C:$C, $A1498)</f>
        <v>1</v>
      </c>
    </row>
    <row r="1499">
      <c r="A1499" s="26">
        <v>11860.0</v>
      </c>
      <c r="B1499" s="23" t="s">
        <v>1433</v>
      </c>
      <c r="C1499" s="202" t="b">
        <f>IF($D1499, TRUE, IF(ISERROR('API import'!$A$1), FALSE, COUNTIF('API import'!$A:$A, $A1499)&gt;0))</f>
        <v>0</v>
      </c>
      <c r="D1499" s="195" t="b">
        <v>0</v>
      </c>
      <c r="E1499" s="195">
        <v>2.0</v>
      </c>
      <c r="F1499" s="201">
        <f>COUNTIF('Activity map'!$C:$C, $A1499)</f>
        <v>1</v>
      </c>
    </row>
    <row r="1500">
      <c r="A1500" s="26">
        <v>31996.0</v>
      </c>
      <c r="B1500" s="23" t="s">
        <v>1814</v>
      </c>
      <c r="C1500" s="202" t="b">
        <f>IF($D1500, TRUE, IF(ISERROR('API import'!$A$1), FALSE, COUNTIF('API import'!$A:$A, $A1500)&gt;0))</f>
        <v>0</v>
      </c>
      <c r="D1500" s="195" t="b">
        <v>0</v>
      </c>
      <c r="E1500" s="195">
        <v>4.0</v>
      </c>
      <c r="F1500" s="203">
        <f>COUNTIF('Activity map'!$C:$C, $A1500)</f>
        <v>3</v>
      </c>
    </row>
    <row r="1501">
      <c r="A1501" s="26">
        <v>31406.0</v>
      </c>
      <c r="B1501" s="23" t="s">
        <v>1815</v>
      </c>
      <c r="C1501" s="202" t="b">
        <f>IF($D1501, TRUE, IF(ISERROR('API import'!$A$1), FALSE, COUNTIF('API import'!$A:$A, $A1501)&gt;0))</f>
        <v>0</v>
      </c>
      <c r="D1501" s="195" t="b">
        <v>0</v>
      </c>
      <c r="E1501" s="195">
        <v>3.0</v>
      </c>
      <c r="F1501" s="203">
        <f>COUNTIF('Activity map'!$C:$C, $A1501)</f>
        <v>3</v>
      </c>
    </row>
    <row r="1502">
      <c r="A1502" s="26">
        <v>31916.0</v>
      </c>
      <c r="B1502" s="23" t="s">
        <v>1816</v>
      </c>
      <c r="C1502" s="202" t="b">
        <f>IF($D1502, TRUE, IF(ISERROR('API import'!$A$1), FALSE, COUNTIF('API import'!$A:$A, $A1502)&gt;0))</f>
        <v>0</v>
      </c>
      <c r="D1502" s="195" t="b">
        <v>0</v>
      </c>
      <c r="E1502" s="195">
        <v>4.0</v>
      </c>
      <c r="F1502" s="203">
        <f>COUNTIF('Activity map'!$C:$C, $A1502)</f>
        <v>8</v>
      </c>
    </row>
    <row r="1503">
      <c r="A1503" s="26">
        <v>31946.0</v>
      </c>
      <c r="B1503" s="23" t="s">
        <v>1817</v>
      </c>
      <c r="C1503" s="200" t="b">
        <f>IF($D1503, TRUE, IF(ISERROR('API import'!$A$1), FALSE, COUNTIF('API import'!$A:$A, $A1503)&gt;0))</f>
        <v>0</v>
      </c>
      <c r="D1503" s="195" t="b">
        <v>0</v>
      </c>
      <c r="E1503" s="195">
        <v>3.0</v>
      </c>
      <c r="F1503" s="201">
        <f>COUNTIF('Activity map'!$C:$C, $A1503)</f>
        <v>1</v>
      </c>
    </row>
    <row r="1504">
      <c r="A1504" s="26">
        <v>31952.0</v>
      </c>
      <c r="B1504" s="23" t="s">
        <v>1818</v>
      </c>
      <c r="C1504" s="200" t="b">
        <f>IF($D1504, TRUE, IF(ISERROR('API import'!$A$1), FALSE, COUNTIF('API import'!$A:$A, $A1504)&gt;0))</f>
        <v>0</v>
      </c>
      <c r="D1504" s="195" t="b">
        <v>0</v>
      </c>
      <c r="E1504" s="195">
        <v>2.0</v>
      </c>
      <c r="F1504" s="201">
        <f>COUNTIF('Activity map'!$C:$C, $A1504)</f>
        <v>1</v>
      </c>
    </row>
    <row r="1505">
      <c r="A1505" s="26">
        <v>31954.0</v>
      </c>
      <c r="B1505" s="23" t="s">
        <v>1819</v>
      </c>
      <c r="C1505" s="200" t="b">
        <f>IF($D1505, TRUE, IF(ISERROR('API import'!$A$1), FALSE, COUNTIF('API import'!$A:$A, $A1505)&gt;0))</f>
        <v>0</v>
      </c>
      <c r="D1505" s="195" t="b">
        <v>0</v>
      </c>
      <c r="E1505" s="195">
        <v>3.0</v>
      </c>
      <c r="F1505" s="201">
        <f>COUNTIF('Activity map'!$C:$C, $A1505)</f>
        <v>1</v>
      </c>
    </row>
    <row r="1506">
      <c r="A1506" s="26">
        <v>31959.0</v>
      </c>
      <c r="B1506" s="23" t="s">
        <v>1820</v>
      </c>
      <c r="C1506" s="200" t="b">
        <f>IF($D1506, TRUE, IF(ISERROR('API import'!$A$1), FALSE, COUNTIF('API import'!$A:$A, $A1506)&gt;0))</f>
        <v>0</v>
      </c>
      <c r="D1506" s="195" t="b">
        <v>0</v>
      </c>
      <c r="E1506" s="195">
        <v>2.0</v>
      </c>
      <c r="F1506" s="201">
        <f>COUNTIF('Activity map'!$C:$C, $A1506)</f>
        <v>1</v>
      </c>
    </row>
    <row r="1507">
      <c r="A1507" s="26">
        <v>31961.0</v>
      </c>
      <c r="B1507" s="23" t="s">
        <v>1821</v>
      </c>
      <c r="C1507" s="200" t="b">
        <f>IF($D1507, TRUE, IF(ISERROR('API import'!$A$1), FALSE, COUNTIF('API import'!$A:$A, $A1507)&gt;0))</f>
        <v>0</v>
      </c>
      <c r="D1507" s="195" t="b">
        <v>0</v>
      </c>
      <c r="E1507" s="195">
        <v>5.0</v>
      </c>
      <c r="F1507" s="201">
        <f>COUNTIF('Activity map'!$C:$C, $A1507)</f>
        <v>1</v>
      </c>
    </row>
    <row r="1508">
      <c r="A1508" s="26">
        <v>31949.0</v>
      </c>
      <c r="B1508" s="23" t="s">
        <v>1822</v>
      </c>
      <c r="C1508" s="200" t="b">
        <f>IF($D1508, TRUE, IF(ISERROR('API import'!$A$1), FALSE, COUNTIF('API import'!$A:$A, $A1508)&gt;0))</f>
        <v>0</v>
      </c>
      <c r="D1508" s="195" t="b">
        <v>0</v>
      </c>
      <c r="E1508" s="195">
        <v>5.0</v>
      </c>
      <c r="F1508" s="201">
        <f>COUNTIF('Activity map'!$C:$C, $A1508)</f>
        <v>1</v>
      </c>
    </row>
    <row r="1509">
      <c r="A1509" s="26">
        <v>32115.0</v>
      </c>
      <c r="B1509" s="23" t="s">
        <v>1823</v>
      </c>
      <c r="C1509" s="200" t="b">
        <f>IF($D1509, TRUE, IF(ISERROR('API import'!$A$1), FALSE, COUNTIF('API import'!$A:$A, $A1509)&gt;0))</f>
        <v>0</v>
      </c>
      <c r="D1509" s="195" t="b">
        <v>0</v>
      </c>
      <c r="E1509" s="195">
        <v>6.0</v>
      </c>
      <c r="F1509" s="201">
        <f>COUNTIF('Activity map'!$C:$C, $A1509)</f>
        <v>1</v>
      </c>
    </row>
    <row r="1510">
      <c r="A1510" s="26">
        <v>31989.0</v>
      </c>
      <c r="B1510" s="23" t="s">
        <v>1824</v>
      </c>
      <c r="C1510" s="202" t="b">
        <f>IF($D1510, TRUE, IF(ISERROR('API import'!$A$1), FALSE, COUNTIF('API import'!$A:$A, $A1510)&gt;0))</f>
        <v>0</v>
      </c>
      <c r="D1510" s="195" t="b">
        <v>0</v>
      </c>
      <c r="E1510" s="195">
        <v>3.0</v>
      </c>
      <c r="F1510" s="203">
        <f>COUNTIF('Activity map'!$C:$C, $A1510)</f>
        <v>3</v>
      </c>
    </row>
    <row r="1511">
      <c r="A1511" s="26">
        <v>32388.0</v>
      </c>
      <c r="B1511" s="23" t="s">
        <v>1825</v>
      </c>
      <c r="C1511" s="202" t="b">
        <f>IF($D1511, TRUE, IF(ISERROR('API import'!$A$1), FALSE, COUNTIF('API import'!$A:$A, $A1511)&gt;0))</f>
        <v>0</v>
      </c>
      <c r="D1511" s="195" t="b">
        <v>0</v>
      </c>
      <c r="E1511" s="195">
        <v>3.0</v>
      </c>
      <c r="F1511" s="201">
        <f>COUNTIF('Activity map'!$C:$C, $A1511)</f>
        <v>1</v>
      </c>
    </row>
    <row r="1512">
      <c r="A1512" s="26">
        <v>32389.0</v>
      </c>
      <c r="B1512" s="23" t="s">
        <v>1825</v>
      </c>
      <c r="C1512" s="202" t="b">
        <f>IF($D1512, TRUE, IF(ISERROR('API import'!$A$1), FALSE, COUNTIF('API import'!$A:$A, $A1512)&gt;0))</f>
        <v>0</v>
      </c>
      <c r="D1512" s="195" t="b">
        <v>0</v>
      </c>
      <c r="E1512" s="195">
        <v>3.0</v>
      </c>
      <c r="F1512" s="201">
        <f>COUNTIF('Activity map'!$C:$C, $A1512)</f>
        <v>1</v>
      </c>
    </row>
    <row r="1513">
      <c r="A1513" s="26">
        <v>32390.0</v>
      </c>
      <c r="B1513" s="23" t="s">
        <v>1825</v>
      </c>
      <c r="C1513" s="202" t="b">
        <f>IF($D1513, TRUE, IF(ISERROR('API import'!$A$1), FALSE, COUNTIF('API import'!$A:$A, $A1513)&gt;0))</f>
        <v>0</v>
      </c>
      <c r="D1513" s="195" t="b">
        <v>0</v>
      </c>
      <c r="E1513" s="195">
        <v>3.0</v>
      </c>
      <c r="F1513" s="201">
        <f>COUNTIF('Activity map'!$C:$C, $A1513)</f>
        <v>1</v>
      </c>
    </row>
    <row r="1514">
      <c r="A1514" s="26">
        <v>32391.0</v>
      </c>
      <c r="B1514" s="23" t="s">
        <v>1825</v>
      </c>
      <c r="C1514" s="202" t="b">
        <f>IF($D1514, TRUE, IF(ISERROR('API import'!$A$1), FALSE, COUNTIF('API import'!$A:$A, $A1514)&gt;0))</f>
        <v>0</v>
      </c>
      <c r="D1514" s="195" t="b">
        <v>0</v>
      </c>
      <c r="E1514" s="195">
        <v>3.0</v>
      </c>
      <c r="F1514" s="201">
        <f>COUNTIF('Activity map'!$C:$C, $A1514)</f>
        <v>1</v>
      </c>
    </row>
    <row r="1515">
      <c r="A1515" s="26">
        <v>32392.0</v>
      </c>
      <c r="B1515" s="23" t="s">
        <v>1825</v>
      </c>
      <c r="C1515" s="202" t="b">
        <f>IF($D1515, TRUE, IF(ISERROR('API import'!$A$1), FALSE, COUNTIF('API import'!$A:$A, $A1515)&gt;0))</f>
        <v>0</v>
      </c>
      <c r="D1515" s="195" t="b">
        <v>0</v>
      </c>
      <c r="E1515" s="195">
        <v>3.0</v>
      </c>
      <c r="F1515" s="201">
        <f>COUNTIF('Activity map'!$C:$C, $A1515)</f>
        <v>1</v>
      </c>
    </row>
    <row r="1516">
      <c r="A1516" s="26">
        <v>32393.0</v>
      </c>
      <c r="B1516" s="23" t="s">
        <v>1825</v>
      </c>
      <c r="C1516" s="202" t="b">
        <f>IF($D1516, TRUE, IF(ISERROR('API import'!$A$1), FALSE, COUNTIF('API import'!$A:$A, $A1516)&gt;0))</f>
        <v>0</v>
      </c>
      <c r="D1516" s="195" t="b">
        <v>0</v>
      </c>
      <c r="E1516" s="195">
        <v>3.0</v>
      </c>
      <c r="F1516" s="201">
        <f>COUNTIF('Activity map'!$C:$C, $A1516)</f>
        <v>1</v>
      </c>
    </row>
    <row r="1517">
      <c r="A1517" s="26">
        <v>32394.0</v>
      </c>
      <c r="B1517" s="23" t="s">
        <v>1825</v>
      </c>
      <c r="C1517" s="202" t="b">
        <f>IF($D1517, TRUE, IF(ISERROR('API import'!$A$1), FALSE, COUNTIF('API import'!$A:$A, $A1517)&gt;0))</f>
        <v>0</v>
      </c>
      <c r="D1517" s="195" t="b">
        <v>0</v>
      </c>
      <c r="E1517" s="195">
        <v>3.0</v>
      </c>
      <c r="F1517" s="201">
        <f>COUNTIF('Activity map'!$C:$C, $A1517)</f>
        <v>1</v>
      </c>
    </row>
    <row r="1518">
      <c r="A1518" s="26">
        <v>32395.0</v>
      </c>
      <c r="B1518" s="23" t="s">
        <v>1825</v>
      </c>
      <c r="C1518" s="202" t="b">
        <f>IF($D1518, TRUE, IF(ISERROR('API import'!$A$1), FALSE, COUNTIF('API import'!$A:$A, $A1518)&gt;0))</f>
        <v>0</v>
      </c>
      <c r="D1518" s="195" t="b">
        <v>0</v>
      </c>
      <c r="E1518" s="195">
        <v>3.0</v>
      </c>
      <c r="F1518" s="201">
        <f>COUNTIF('Activity map'!$C:$C, $A1518)</f>
        <v>1</v>
      </c>
    </row>
    <row r="1519">
      <c r="A1519" s="26">
        <v>32398.0</v>
      </c>
      <c r="B1519" s="23" t="s">
        <v>1826</v>
      </c>
      <c r="C1519" s="202" t="b">
        <f>IF($D1519, TRUE, IF(ISERROR('API import'!$A$1), FALSE, COUNTIF('API import'!$A:$A, $A1519)&gt;0))</f>
        <v>0</v>
      </c>
      <c r="D1519" s="195" t="b">
        <v>0</v>
      </c>
      <c r="E1519" s="195">
        <v>3.0</v>
      </c>
      <c r="F1519" s="203">
        <f>COUNTIF('Activity map'!$C:$C, $A1519)</f>
        <v>8</v>
      </c>
    </row>
    <row r="1520">
      <c r="A1520" s="26">
        <v>32863.0</v>
      </c>
      <c r="B1520" s="23" t="s">
        <v>1827</v>
      </c>
      <c r="C1520" s="200" t="b">
        <f>IF($D1520, TRUE, IF(ISERROR('API import'!$A$1), FALSE, COUNTIF('API import'!$A:$A, $A1520)&gt;0))</f>
        <v>0</v>
      </c>
      <c r="D1520" s="195" t="b">
        <v>0</v>
      </c>
      <c r="E1520" s="195">
        <v>5.0</v>
      </c>
      <c r="F1520" s="201">
        <f>COUNTIF('Activity map'!$C:$C, $A1520)</f>
        <v>1</v>
      </c>
    </row>
    <row r="1521">
      <c r="A1521" s="25">
        <v>32864.0</v>
      </c>
      <c r="B1521" s="23" t="s">
        <v>1828</v>
      </c>
      <c r="C1521" s="200" t="b">
        <f>IF($D1521, TRUE, IF(ISERROR('API import'!$A$1), FALSE, COUNTIF('API import'!$A:$A, $A1521)&gt;0))</f>
        <v>0</v>
      </c>
      <c r="D1521" s="195" t="b">
        <v>0</v>
      </c>
      <c r="E1521" s="195">
        <v>5.0</v>
      </c>
      <c r="F1521" s="201">
        <f>COUNTIF('Activity map'!$C:$C, $A1521)</f>
        <v>1</v>
      </c>
    </row>
    <row r="1522">
      <c r="A1522" s="25">
        <v>32865.0</v>
      </c>
      <c r="B1522" s="23" t="s">
        <v>1829</v>
      </c>
      <c r="C1522" s="200" t="b">
        <f>IF($D1522, TRUE, IF(ISERROR('API import'!$A$1), FALSE, COUNTIF('API import'!$A:$A, $A1522)&gt;0))</f>
        <v>0</v>
      </c>
      <c r="D1522" s="195" t="b">
        <v>0</v>
      </c>
      <c r="E1522" s="195">
        <v>5.0</v>
      </c>
      <c r="F1522" s="201">
        <f>COUNTIF('Activity map'!$C:$C, $A1522)</f>
        <v>1</v>
      </c>
    </row>
    <row r="1523">
      <c r="A1523" s="25">
        <v>32866.0</v>
      </c>
      <c r="B1523" s="23" t="s">
        <v>1830</v>
      </c>
      <c r="C1523" s="200" t="b">
        <f>IF($D1523, TRUE, IF(ISERROR('API import'!$A$1), FALSE, COUNTIF('API import'!$A:$A, $A1523)&gt;0))</f>
        <v>0</v>
      </c>
      <c r="D1523" s="195" t="b">
        <v>0</v>
      </c>
      <c r="E1523" s="195">
        <v>5.0</v>
      </c>
      <c r="F1523" s="201">
        <f>COUNTIF('Activity map'!$C:$C, $A1523)</f>
        <v>1</v>
      </c>
    </row>
    <row r="1524">
      <c r="A1524" s="25">
        <v>32867.0</v>
      </c>
      <c r="B1524" s="23" t="s">
        <v>1831</v>
      </c>
      <c r="C1524" s="200" t="b">
        <f>IF($D1524, TRUE, IF(ISERROR('API import'!$A$1), FALSE, COUNTIF('API import'!$A:$A, $A1524)&gt;0))</f>
        <v>0</v>
      </c>
      <c r="D1524" s="195" t="b">
        <v>0</v>
      </c>
      <c r="E1524" s="195">
        <v>5.0</v>
      </c>
      <c r="F1524" s="201">
        <f>COUNTIF('Activity map'!$C:$C, $A1524)</f>
        <v>1</v>
      </c>
    </row>
    <row r="1525">
      <c r="A1525" s="25">
        <v>32868.0</v>
      </c>
      <c r="B1525" s="23" t="s">
        <v>1832</v>
      </c>
      <c r="C1525" s="202" t="b">
        <f>IF($D1525, TRUE, IF(ISERROR('API import'!$A$1), FALSE, COUNTIF('API import'!$A:$A, $A1525)&gt;0))</f>
        <v>0</v>
      </c>
      <c r="D1525" s="195" t="b">
        <v>0</v>
      </c>
      <c r="E1525" s="195">
        <v>5.0</v>
      </c>
      <c r="F1525" s="201">
        <f>COUNTIF('Activity map'!$C:$C, $A1525)</f>
        <v>1</v>
      </c>
    </row>
    <row r="1526">
      <c r="A1526" s="25">
        <v>32869.0</v>
      </c>
      <c r="B1526" s="23" t="s">
        <v>1833</v>
      </c>
      <c r="C1526" s="200" t="b">
        <f>IF($D1526, TRUE, IF(ISERROR('API import'!$A$1), FALSE, COUNTIF('API import'!$A:$A, $A1526)&gt;0))</f>
        <v>0</v>
      </c>
      <c r="D1526" s="195" t="b">
        <v>0</v>
      </c>
      <c r="E1526" s="195">
        <v>5.0</v>
      </c>
      <c r="F1526" s="201">
        <f>COUNTIF('Activity map'!$C:$C, $A1526)</f>
        <v>1</v>
      </c>
    </row>
    <row r="1527">
      <c r="A1527" s="25">
        <v>32870.0</v>
      </c>
      <c r="B1527" s="23" t="s">
        <v>1834</v>
      </c>
      <c r="C1527" s="202" t="b">
        <f>IF($D1527, TRUE, IF(ISERROR('API import'!$A$1), FALSE, COUNTIF('API import'!$A:$A, $A1527)&gt;0))</f>
        <v>0</v>
      </c>
      <c r="D1527" s="195" t="b">
        <v>0</v>
      </c>
      <c r="E1527" s="195">
        <v>5.0</v>
      </c>
      <c r="F1527" s="201">
        <f>COUNTIF('Activity map'!$C:$C, $A1527)</f>
        <v>1</v>
      </c>
    </row>
    <row r="1528">
      <c r="A1528" s="25">
        <v>13357.0</v>
      </c>
      <c r="B1528" s="23" t="s">
        <v>1835</v>
      </c>
      <c r="C1528" s="202" t="b">
        <f>IF($D1528, TRUE, IF(ISERROR('API import'!$A$1), FALSE, COUNTIF('API import'!$A:$A, $A1528)&gt;0))</f>
        <v>0</v>
      </c>
      <c r="D1528" s="195" t="b">
        <v>0</v>
      </c>
      <c r="E1528" s="195">
        <v>1.0</v>
      </c>
      <c r="F1528" s="201">
        <f>COUNTIF('Activity map'!$C:$C, $A1528)</f>
        <v>1</v>
      </c>
    </row>
    <row r="1529">
      <c r="A1529" s="25">
        <v>13358.0</v>
      </c>
      <c r="B1529" s="23" t="s">
        <v>1836</v>
      </c>
      <c r="C1529" s="202" t="b">
        <f>IF($D1529, TRUE, IF(ISERROR('API import'!$A$1), FALSE, COUNTIF('API import'!$A:$A, $A1529)&gt;0))</f>
        <v>0</v>
      </c>
      <c r="D1529" s="195" t="b">
        <v>0</v>
      </c>
      <c r="E1529" s="195">
        <v>1.0</v>
      </c>
      <c r="F1529" s="201">
        <f>COUNTIF('Activity map'!$C:$C, $A1529)</f>
        <v>1</v>
      </c>
    </row>
    <row r="1530">
      <c r="A1530" s="25">
        <v>13359.0</v>
      </c>
      <c r="B1530" s="23" t="s">
        <v>1837</v>
      </c>
      <c r="C1530" s="202" t="b">
        <f>IF($D1530, TRUE, IF(ISERROR('API import'!$A$1), FALSE, COUNTIF('API import'!$A:$A, $A1530)&gt;0))</f>
        <v>0</v>
      </c>
      <c r="D1530" s="195" t="b">
        <v>0</v>
      </c>
      <c r="E1530" s="195">
        <v>1.0</v>
      </c>
      <c r="F1530" s="201">
        <f>COUNTIF('Activity map'!$C:$C, $A1530)</f>
        <v>1</v>
      </c>
    </row>
    <row r="1531">
      <c r="A1531" s="25">
        <v>13360.0</v>
      </c>
      <c r="B1531" s="23" t="s">
        <v>1838</v>
      </c>
      <c r="C1531" s="202" t="b">
        <f>IF($D1531, TRUE, IF(ISERROR('API import'!$A$1), FALSE, COUNTIF('API import'!$A:$A, $A1531)&gt;0))</f>
        <v>0</v>
      </c>
      <c r="D1531" s="195" t="b">
        <v>0</v>
      </c>
      <c r="E1531" s="195">
        <v>1.0</v>
      </c>
      <c r="F1531" s="201">
        <f>COUNTIF('Activity map'!$C:$C, $A1531)</f>
        <v>1</v>
      </c>
    </row>
    <row r="1532">
      <c r="A1532" s="25">
        <v>13361.0</v>
      </c>
      <c r="B1532" s="23" t="s">
        <v>1839</v>
      </c>
      <c r="C1532" s="202" t="b">
        <f>IF($D1532, TRUE, IF(ISERROR('API import'!$A$1), FALSE, COUNTIF('API import'!$A:$A, $A1532)&gt;0))</f>
        <v>0</v>
      </c>
      <c r="D1532" s="195" t="b">
        <v>0</v>
      </c>
      <c r="E1532" s="195">
        <v>1.0</v>
      </c>
      <c r="F1532" s="201">
        <f>COUNTIF('Activity map'!$C:$C, $A1532)</f>
        <v>1</v>
      </c>
    </row>
    <row r="1533">
      <c r="A1533" s="25">
        <v>13362.0</v>
      </c>
      <c r="B1533" s="23" t="s">
        <v>1840</v>
      </c>
      <c r="C1533" s="202" t="b">
        <f>IF($D1533, TRUE, IF(ISERROR('API import'!$A$1), FALSE, COUNTIF('API import'!$A:$A, $A1533)&gt;0))</f>
        <v>0</v>
      </c>
      <c r="D1533" s="195" t="b">
        <v>0</v>
      </c>
      <c r="E1533" s="195">
        <v>1.0</v>
      </c>
      <c r="F1533" s="201">
        <f>COUNTIF('Activity map'!$C:$C, $A1533)</f>
        <v>1</v>
      </c>
    </row>
    <row r="1534">
      <c r="A1534" s="25">
        <v>13363.0</v>
      </c>
      <c r="B1534" s="23" t="s">
        <v>1841</v>
      </c>
      <c r="C1534" s="202" t="b">
        <f>IF($D1534, TRUE, IF(ISERROR('API import'!$A$1), FALSE, COUNTIF('API import'!$A:$A, $A1534)&gt;0))</f>
        <v>0</v>
      </c>
      <c r="D1534" s="195" t="b">
        <v>0</v>
      </c>
      <c r="E1534" s="195">
        <v>1.0</v>
      </c>
      <c r="F1534" s="201">
        <f>COUNTIF('Activity map'!$C:$C, $A1534)</f>
        <v>1</v>
      </c>
    </row>
    <row r="1535">
      <c r="A1535" s="25">
        <v>13364.0</v>
      </c>
      <c r="B1535" s="23" t="s">
        <v>1842</v>
      </c>
      <c r="C1535" s="202" t="b">
        <f>IF($D1535, TRUE, IF(ISERROR('API import'!$A$1), FALSE, COUNTIF('API import'!$A:$A, $A1535)&gt;0))</f>
        <v>0</v>
      </c>
      <c r="D1535" s="195" t="b">
        <v>0</v>
      </c>
      <c r="E1535" s="195">
        <v>1.0</v>
      </c>
      <c r="F1535" s="201">
        <f>COUNTIF('Activity map'!$C:$C, $A1535)</f>
        <v>1</v>
      </c>
    </row>
    <row r="1536">
      <c r="A1536" s="25">
        <v>13365.0</v>
      </c>
      <c r="B1536" s="23" t="s">
        <v>1843</v>
      </c>
      <c r="C1536" s="202" t="b">
        <f>IF($D1536, TRUE, IF(ISERROR('API import'!$A$1), FALSE, COUNTIF('API import'!$A:$A, $A1536)&gt;0))</f>
        <v>0</v>
      </c>
      <c r="D1536" s="195" t="b">
        <v>0</v>
      </c>
      <c r="E1536" s="195">
        <v>1.0</v>
      </c>
      <c r="F1536" s="201">
        <f>COUNTIF('Activity map'!$C:$C, $A1536)</f>
        <v>1</v>
      </c>
    </row>
    <row r="1537">
      <c r="A1537" s="25">
        <v>13366.0</v>
      </c>
      <c r="B1537" s="23" t="s">
        <v>1844</v>
      </c>
      <c r="C1537" s="202" t="b">
        <f>IF($D1537, TRUE, IF(ISERROR('API import'!$A$1), FALSE, COUNTIF('API import'!$A:$A, $A1537)&gt;0))</f>
        <v>0</v>
      </c>
      <c r="D1537" s="195" t="b">
        <v>0</v>
      </c>
      <c r="E1537" s="195">
        <v>1.0</v>
      </c>
      <c r="F1537" s="201">
        <f>COUNTIF('Activity map'!$C:$C, $A1537)</f>
        <v>1</v>
      </c>
    </row>
    <row r="1538">
      <c r="A1538" s="25">
        <v>13367.0</v>
      </c>
      <c r="B1538" s="23" t="s">
        <v>1845</v>
      </c>
      <c r="C1538" s="202" t="b">
        <f>IF($D1538, TRUE, IF(ISERROR('API import'!$A$1), FALSE, COUNTIF('API import'!$A:$A, $A1538)&gt;0))</f>
        <v>0</v>
      </c>
      <c r="D1538" s="195" t="b">
        <v>0</v>
      </c>
      <c r="E1538" s="195">
        <v>2.0</v>
      </c>
      <c r="F1538" s="201">
        <f>COUNTIF('Activity map'!$C:$C, $A1538)</f>
        <v>1</v>
      </c>
    </row>
    <row r="1539">
      <c r="A1539" s="25">
        <v>13368.0</v>
      </c>
      <c r="B1539" s="23" t="s">
        <v>1846</v>
      </c>
      <c r="C1539" s="202" t="b">
        <f>IF($D1539, TRUE, IF(ISERROR('API import'!$A$1), FALSE, COUNTIF('API import'!$A:$A, $A1539)&gt;0))</f>
        <v>0</v>
      </c>
      <c r="D1539" s="195" t="b">
        <v>0</v>
      </c>
      <c r="E1539" s="195">
        <v>2.0</v>
      </c>
      <c r="F1539" s="201">
        <f>COUNTIF('Activity map'!$C:$C, $A1539)</f>
        <v>1</v>
      </c>
    </row>
    <row r="1540">
      <c r="A1540" s="25">
        <v>13369.0</v>
      </c>
      <c r="B1540" s="23" t="s">
        <v>1847</v>
      </c>
      <c r="C1540" s="202" t="b">
        <f>IF($D1540, TRUE, IF(ISERROR('API import'!$A$1), FALSE, COUNTIF('API import'!$A:$A, $A1540)&gt;0))</f>
        <v>0</v>
      </c>
      <c r="D1540" s="195" t="b">
        <v>0</v>
      </c>
      <c r="E1540" s="195">
        <v>2.0</v>
      </c>
      <c r="F1540" s="201">
        <f>COUNTIF('Activity map'!$C:$C, $A1540)</f>
        <v>1</v>
      </c>
    </row>
    <row r="1541">
      <c r="A1541" s="25">
        <v>13370.0</v>
      </c>
      <c r="B1541" s="23" t="s">
        <v>1848</v>
      </c>
      <c r="C1541" s="202" t="b">
        <f>IF($D1541, TRUE, IF(ISERROR('API import'!$A$1), FALSE, COUNTIF('API import'!$A:$A, $A1541)&gt;0))</f>
        <v>0</v>
      </c>
      <c r="D1541" s="195" t="b">
        <v>0</v>
      </c>
      <c r="E1541" s="195">
        <v>2.0</v>
      </c>
      <c r="F1541" s="201">
        <f>COUNTIF('Activity map'!$C:$C, $A1541)</f>
        <v>1</v>
      </c>
    </row>
    <row r="1542">
      <c r="A1542" s="25">
        <v>13371.0</v>
      </c>
      <c r="B1542" s="23" t="s">
        <v>1849</v>
      </c>
      <c r="C1542" s="202" t="b">
        <f>IF($D1542, TRUE, IF(ISERROR('API import'!$A$1), FALSE, COUNTIF('API import'!$A:$A, $A1542)&gt;0))</f>
        <v>0</v>
      </c>
      <c r="D1542" s="195" t="b">
        <v>0</v>
      </c>
      <c r="E1542" s="195">
        <v>2.0</v>
      </c>
      <c r="F1542" s="201">
        <f>COUNTIF('Activity map'!$C:$C, $A1542)</f>
        <v>1</v>
      </c>
    </row>
    <row r="1543">
      <c r="A1543" s="26">
        <v>13372.0</v>
      </c>
      <c r="B1543" s="23" t="s">
        <v>1850</v>
      </c>
      <c r="C1543" s="202" t="b">
        <f>IF($D1543, TRUE, IF(ISERROR('API import'!$A$1), FALSE, COUNTIF('API import'!$A:$A, $A1543)&gt;0))</f>
        <v>0</v>
      </c>
      <c r="D1543" s="195" t="b">
        <v>0</v>
      </c>
      <c r="E1543" s="195">
        <v>2.0</v>
      </c>
      <c r="F1543" s="201">
        <f>COUNTIF('Activity map'!$C:$C, $A1543)</f>
        <v>1</v>
      </c>
    </row>
    <row r="1544">
      <c r="A1544" s="26">
        <v>13373.0</v>
      </c>
      <c r="B1544" s="23" t="s">
        <v>1851</v>
      </c>
      <c r="C1544" s="202" t="b">
        <f>IF($D1544, TRUE, IF(ISERROR('API import'!$A$1), FALSE, COUNTIF('API import'!$A:$A, $A1544)&gt;0))</f>
        <v>0</v>
      </c>
      <c r="D1544" s="195" t="b">
        <v>0</v>
      </c>
      <c r="E1544" s="195">
        <v>2.0</v>
      </c>
      <c r="F1544" s="201">
        <f>COUNTIF('Activity map'!$C:$C, $A1544)</f>
        <v>1</v>
      </c>
    </row>
    <row r="1545">
      <c r="A1545" s="26">
        <v>13374.0</v>
      </c>
      <c r="B1545" s="23" t="s">
        <v>1852</v>
      </c>
      <c r="C1545" s="202" t="b">
        <f>IF($D1545, TRUE, IF(ISERROR('API import'!$A$1), FALSE, COUNTIF('API import'!$A:$A, $A1545)&gt;0))</f>
        <v>0</v>
      </c>
      <c r="D1545" s="195" t="b">
        <v>0</v>
      </c>
      <c r="E1545" s="195">
        <v>2.0</v>
      </c>
      <c r="F1545" s="201">
        <f>COUNTIF('Activity map'!$C:$C, $A1545)</f>
        <v>1</v>
      </c>
    </row>
    <row r="1546">
      <c r="A1546" s="26">
        <v>13375.0</v>
      </c>
      <c r="B1546" s="23" t="s">
        <v>1853</v>
      </c>
      <c r="C1546" s="202" t="b">
        <f>IF($D1546, TRUE, IF(ISERROR('API import'!$A$1), FALSE, COUNTIF('API import'!$A:$A, $A1546)&gt;0))</f>
        <v>0</v>
      </c>
      <c r="D1546" s="195" t="b">
        <v>0</v>
      </c>
      <c r="E1546" s="195">
        <v>2.0</v>
      </c>
      <c r="F1546" s="201">
        <f>COUNTIF('Activity map'!$C:$C, $A1546)</f>
        <v>1</v>
      </c>
    </row>
    <row r="1547">
      <c r="A1547" s="25">
        <v>13376.0</v>
      </c>
      <c r="B1547" s="23" t="s">
        <v>1854</v>
      </c>
      <c r="C1547" s="202" t="b">
        <f>IF($D1547, TRUE, IF(ISERROR('API import'!$A$1), FALSE, COUNTIF('API import'!$A:$A, $A1547)&gt;0))</f>
        <v>0</v>
      </c>
      <c r="D1547" s="195" t="b">
        <v>0</v>
      </c>
      <c r="E1547" s="195">
        <v>2.0</v>
      </c>
      <c r="F1547" s="201">
        <f>COUNTIF('Activity map'!$C:$C, $A1547)</f>
        <v>1</v>
      </c>
    </row>
    <row r="1548">
      <c r="A1548" s="25">
        <v>13377.0</v>
      </c>
      <c r="B1548" s="23" t="s">
        <v>1855</v>
      </c>
      <c r="C1548" s="202" t="b">
        <f>IF($D1548, TRUE, IF(ISERROR('API import'!$A$1), FALSE, COUNTIF('API import'!$A:$A, $A1548)&gt;0))</f>
        <v>0</v>
      </c>
      <c r="D1548" s="195" t="b">
        <v>0</v>
      </c>
      <c r="E1548" s="195">
        <v>2.0</v>
      </c>
      <c r="F1548" s="201">
        <f>COUNTIF('Activity map'!$C:$C, $A1548)</f>
        <v>1</v>
      </c>
    </row>
    <row r="1549">
      <c r="A1549" s="25">
        <v>13378.0</v>
      </c>
      <c r="B1549" s="23" t="s">
        <v>1856</v>
      </c>
      <c r="C1549" s="202" t="b">
        <f>IF($D1549, TRUE, IF(ISERROR('API import'!$A$1), FALSE, COUNTIF('API import'!$A:$A, $A1549)&gt;0))</f>
        <v>0</v>
      </c>
      <c r="D1549" s="195" t="b">
        <v>0</v>
      </c>
      <c r="E1549" s="195">
        <v>2.0</v>
      </c>
      <c r="F1549" s="201">
        <f>COUNTIF('Activity map'!$C:$C, $A1549)</f>
        <v>1</v>
      </c>
    </row>
    <row r="1550">
      <c r="A1550" s="25">
        <v>13379.0</v>
      </c>
      <c r="B1550" s="23" t="s">
        <v>1857</v>
      </c>
      <c r="C1550" s="202" t="b">
        <f>IF($D1550, TRUE, IF(ISERROR('API import'!$A$1), FALSE, COUNTIF('API import'!$A:$A, $A1550)&gt;0))</f>
        <v>0</v>
      </c>
      <c r="D1550" s="195" t="b">
        <v>0</v>
      </c>
      <c r="E1550" s="195">
        <v>2.0</v>
      </c>
      <c r="F1550" s="201">
        <f>COUNTIF('Activity map'!$C:$C, $A1550)</f>
        <v>1</v>
      </c>
    </row>
    <row r="1551">
      <c r="A1551" s="25">
        <v>13380.0</v>
      </c>
      <c r="B1551" s="23" t="s">
        <v>1858</v>
      </c>
      <c r="C1551" s="202" t="b">
        <f>IF($D1551, TRUE, IF(ISERROR('API import'!$A$1), FALSE, COUNTIF('API import'!$A:$A, $A1551)&gt;0))</f>
        <v>0</v>
      </c>
      <c r="D1551" s="195" t="b">
        <v>0</v>
      </c>
      <c r="E1551" s="195">
        <v>2.0</v>
      </c>
      <c r="F1551" s="201">
        <f>COUNTIF('Activity map'!$C:$C, $A1551)</f>
        <v>1</v>
      </c>
    </row>
    <row r="1552">
      <c r="A1552" s="25">
        <v>13381.0</v>
      </c>
      <c r="B1552" s="23" t="s">
        <v>1859</v>
      </c>
      <c r="C1552" s="202" t="b">
        <f>IF($D1552, TRUE, IF(ISERROR('API import'!$A$1), FALSE, COUNTIF('API import'!$A:$A, $A1552)&gt;0))</f>
        <v>0</v>
      </c>
      <c r="D1552" s="195" t="b">
        <v>0</v>
      </c>
      <c r="E1552" s="195">
        <v>2.0</v>
      </c>
      <c r="F1552" s="201">
        <f>COUNTIF('Activity map'!$C:$C, $A1552)</f>
        <v>1</v>
      </c>
    </row>
    <row r="1553">
      <c r="A1553" s="25">
        <v>25539.0</v>
      </c>
      <c r="B1553" s="23" t="s">
        <v>1860</v>
      </c>
      <c r="C1553" s="202" t="b">
        <f>IF($D1553, TRUE, IF(ISERROR('API import'!$A$1), FALSE, COUNTIF('API import'!$A:$A, $A1553)&gt;0))</f>
        <v>0</v>
      </c>
      <c r="D1553" s="195" t="b">
        <v>0</v>
      </c>
      <c r="E1553" s="195">
        <v>1.0</v>
      </c>
      <c r="F1553" s="201">
        <f>COUNTIF('Activity map'!$C:$C, $A1553)</f>
        <v>1</v>
      </c>
    </row>
    <row r="1554">
      <c r="A1554" s="25">
        <v>25547.0</v>
      </c>
      <c r="B1554" s="23" t="s">
        <v>1861</v>
      </c>
      <c r="C1554" s="202" t="b">
        <f>IF($D1554, TRUE, IF(ISERROR('API import'!$A$1), FALSE, COUNTIF('API import'!$A:$A, $A1554)&gt;0))</f>
        <v>0</v>
      </c>
      <c r="D1554" s="195" t="b">
        <v>0</v>
      </c>
      <c r="E1554" s="195">
        <v>1.0</v>
      </c>
      <c r="F1554" s="201">
        <f>COUNTIF('Activity map'!$C:$C, $A1554)</f>
        <v>1</v>
      </c>
    </row>
    <row r="1555">
      <c r="A1555" s="25">
        <v>7975.0</v>
      </c>
      <c r="B1555" s="23" t="s">
        <v>1862</v>
      </c>
      <c r="C1555" s="200" t="b">
        <f>IF($D1555, TRUE, IF(ISERROR('API import'!$A$1), FALSE, COUNTIF('API import'!$A:$A, $A1555)&gt;0))</f>
        <v>0</v>
      </c>
      <c r="D1555" s="195" t="b">
        <v>0</v>
      </c>
      <c r="E1555" s="195">
        <v>3.0</v>
      </c>
      <c r="F1555" s="201">
        <f>COUNTIF('Activity map'!$C:$C, $A1555)</f>
        <v>1</v>
      </c>
    </row>
    <row r="1556">
      <c r="A1556" s="25">
        <v>7976.0</v>
      </c>
      <c r="B1556" s="23" t="s">
        <v>1863</v>
      </c>
      <c r="C1556" s="202" t="b">
        <f>IF($D1556, TRUE, IF(ISERROR('API import'!$A$1), FALSE, COUNTIF('API import'!$A:$A, $A1556)&gt;0))</f>
        <v>0</v>
      </c>
      <c r="D1556" s="195" t="b">
        <v>0</v>
      </c>
      <c r="E1556" s="195">
        <v>4.0</v>
      </c>
      <c r="F1556" s="201">
        <f>COUNTIF('Activity map'!$C:$C, $A1556)</f>
        <v>1</v>
      </c>
    </row>
    <row r="1557">
      <c r="A1557" s="25">
        <v>7977.0</v>
      </c>
      <c r="B1557" s="23" t="s">
        <v>1864</v>
      </c>
      <c r="C1557" s="200" t="b">
        <f>IF($D1557, TRUE, IF(ISERROR('API import'!$A$1), FALSE, COUNTIF('API import'!$A:$A, $A1557)&gt;0))</f>
        <v>0</v>
      </c>
      <c r="D1557" s="195" t="b">
        <v>0</v>
      </c>
      <c r="E1557" s="195">
        <v>5.0</v>
      </c>
      <c r="F1557" s="203">
        <f>COUNTIF('Activity map'!$C:$C, $A1557)</f>
        <v>2</v>
      </c>
    </row>
    <row r="1558">
      <c r="A1558" s="25">
        <v>7978.0</v>
      </c>
      <c r="B1558" s="23" t="s">
        <v>1865</v>
      </c>
      <c r="C1558" s="202" t="b">
        <f>IF($D1558, TRUE, IF(ISERROR('API import'!$A$1), FALSE, COUNTIF('API import'!$A:$A, $A1558)&gt;0))</f>
        <v>0</v>
      </c>
      <c r="D1558" s="195" t="b">
        <v>0</v>
      </c>
      <c r="E1558" s="195">
        <v>5.0</v>
      </c>
      <c r="F1558" s="201">
        <f>COUNTIF('Activity map'!$C:$C, $A1558)</f>
        <v>1</v>
      </c>
    </row>
    <row r="1559">
      <c r="A1559" s="25">
        <v>20724.0</v>
      </c>
      <c r="B1559" s="23" t="s">
        <v>1866</v>
      </c>
      <c r="C1559" s="200" t="b">
        <f>IF($D1559, TRUE, IF(ISERROR('API import'!$A$1), FALSE, COUNTIF('API import'!$A:$A, $A1559)&gt;0))</f>
        <v>0</v>
      </c>
      <c r="D1559" s="195" t="b">
        <v>0</v>
      </c>
      <c r="E1559" s="195">
        <v>8.0</v>
      </c>
      <c r="F1559" s="203">
        <f>COUNTIF('Activity map'!$C:$C, $A1559)</f>
        <v>10</v>
      </c>
    </row>
    <row r="1560">
      <c r="A1560" s="25">
        <v>21270.0</v>
      </c>
      <c r="B1560" s="23" t="s">
        <v>1867</v>
      </c>
      <c r="C1560" s="202" t="b">
        <f>IF($D1560, TRUE, IF(ISERROR('API import'!$A$1), FALSE, COUNTIF('API import'!$A:$A, $A1560)&gt;0))</f>
        <v>0</v>
      </c>
      <c r="D1560" s="195" t="b">
        <v>0</v>
      </c>
      <c r="E1560" s="195">
        <v>8.0</v>
      </c>
      <c r="F1560" s="203">
        <f>COUNTIF('Activity map'!$C:$C, $A1560)</f>
        <v>10</v>
      </c>
    </row>
    <row r="1561">
      <c r="A1561" s="25">
        <v>20736.0</v>
      </c>
      <c r="B1561" s="23" t="s">
        <v>1868</v>
      </c>
      <c r="C1561" s="202" t="b">
        <f>IF($D1561, TRUE, IF(ISERROR('API import'!$A$1), FALSE, COUNTIF('API import'!$A:$A, $A1561)&gt;0))</f>
        <v>0</v>
      </c>
      <c r="D1561" s="195" t="b">
        <v>0</v>
      </c>
      <c r="E1561" s="195">
        <v>6.0</v>
      </c>
      <c r="F1561" s="203">
        <f>COUNTIF('Activity map'!$C:$C, $A1561)</f>
        <v>10</v>
      </c>
    </row>
    <row r="1562">
      <c r="A1562" s="25">
        <v>20730.0</v>
      </c>
      <c r="B1562" s="23" t="s">
        <v>1869</v>
      </c>
      <c r="C1562" s="202" t="b">
        <f>IF($D1562, TRUE, IF(ISERROR('API import'!$A$1), FALSE, COUNTIF('API import'!$A:$A, $A1562)&gt;0))</f>
        <v>0</v>
      </c>
      <c r="D1562" s="195" t="b">
        <v>0</v>
      </c>
      <c r="E1562" s="195">
        <v>7.0</v>
      </c>
      <c r="F1562" s="203">
        <f>COUNTIF('Activity map'!$C:$C, $A1562)</f>
        <v>11</v>
      </c>
    </row>
    <row r="1563">
      <c r="A1563" s="25">
        <v>4153.0</v>
      </c>
      <c r="B1563" s="23" t="s">
        <v>1870</v>
      </c>
      <c r="C1563" s="202" t="b">
        <f>IF($D1563, TRUE, IF(ISERROR('API import'!$A$1), FALSE, COUNTIF('API import'!$A:$A, $A1563)&gt;0))</f>
        <v>0</v>
      </c>
      <c r="D1563" s="195" t="b">
        <v>0</v>
      </c>
      <c r="E1563" s="195">
        <v>4.0</v>
      </c>
      <c r="F1563" s="203">
        <f>COUNTIF('Activity map'!$C:$C, $A1563)</f>
        <v>2</v>
      </c>
    </row>
    <row r="1564">
      <c r="A1564" s="25">
        <v>6665.0</v>
      </c>
      <c r="B1564" s="23" t="s">
        <v>1871</v>
      </c>
      <c r="C1564" s="202" t="b">
        <f>IF($D1564, TRUE, IF(ISERROR('API import'!$A$1), FALSE, COUNTIF('API import'!$A:$A, $A1564)&gt;0))</f>
        <v>0</v>
      </c>
      <c r="D1564" s="195" t="b">
        <v>0</v>
      </c>
      <c r="E1564" s="195">
        <v>3.0</v>
      </c>
      <c r="F1564" s="201">
        <f>COUNTIF('Activity map'!$C:$C, $A1564)</f>
        <v>1</v>
      </c>
    </row>
    <row r="1565">
      <c r="A1565" s="25">
        <v>6666.0</v>
      </c>
      <c r="B1565" s="23" t="s">
        <v>1872</v>
      </c>
      <c r="C1565" s="202" t="b">
        <f>IF($D1565, TRUE, IF(ISERROR('API import'!$A$1), FALSE, COUNTIF('API import'!$A:$A, $A1565)&gt;0))</f>
        <v>0</v>
      </c>
      <c r="D1565" s="195" t="b">
        <v>0</v>
      </c>
      <c r="E1565" s="195">
        <v>3.0</v>
      </c>
      <c r="F1565" s="201">
        <f>COUNTIF('Activity map'!$C:$C, $A1565)</f>
        <v>1</v>
      </c>
    </row>
    <row r="1566">
      <c r="A1566" s="25">
        <v>11037.0</v>
      </c>
      <c r="B1566" s="23" t="s">
        <v>1873</v>
      </c>
      <c r="C1566" s="202" t="b">
        <f>IF($D1566, TRUE, IF(ISERROR('API import'!$A$1), FALSE, COUNTIF('API import'!$A:$A, $A1566)&gt;0))</f>
        <v>0</v>
      </c>
      <c r="D1566" s="195" t="b">
        <v>0</v>
      </c>
      <c r="E1566" s="195">
        <v>3.0</v>
      </c>
      <c r="F1566" s="201">
        <f>COUNTIF('Activity map'!$C:$C, $A1566)</f>
        <v>1</v>
      </c>
    </row>
    <row r="1567">
      <c r="A1567" s="25">
        <v>11902.0</v>
      </c>
      <c r="B1567" s="23" t="s">
        <v>1874</v>
      </c>
      <c r="C1567" s="202" t="b">
        <f>IF($D1567, TRUE, IF(ISERROR('API import'!$A$1), FALSE, COUNTIF('API import'!$A:$A, $A1567)&gt;0))</f>
        <v>0</v>
      </c>
      <c r="D1567" s="195" t="b">
        <v>0</v>
      </c>
      <c r="E1567" s="195">
        <v>4.0</v>
      </c>
      <c r="F1567" s="203">
        <f>COUNTIF('Activity map'!$C:$C, $A1567)</f>
        <v>2</v>
      </c>
    </row>
    <row r="1568">
      <c r="A1568" s="25">
        <v>20727.0</v>
      </c>
      <c r="B1568" s="23" t="s">
        <v>1875</v>
      </c>
      <c r="C1568" s="202" t="b">
        <f>IF($D1568, TRUE, IF(ISERROR('API import'!$A$1), FALSE, COUNTIF('API import'!$A:$A, $A1568)&gt;0))</f>
        <v>0</v>
      </c>
      <c r="D1568" s="195" t="b">
        <v>0</v>
      </c>
      <c r="E1568" s="195">
        <v>4.0</v>
      </c>
      <c r="F1568" s="201">
        <f>COUNTIF('Activity map'!$C:$C, $A1568)</f>
        <v>1</v>
      </c>
    </row>
    <row r="1569">
      <c r="A1569" s="25">
        <v>8901.0</v>
      </c>
      <c r="B1569" s="23" t="s">
        <v>1876</v>
      </c>
      <c r="C1569" s="200" t="b">
        <f>IF($D1569, TRUE, IF(ISERROR('API import'!$A$1), FALSE, COUNTIF('API import'!$A:$A, $A1569)&gt;0))</f>
        <v>0</v>
      </c>
      <c r="D1569" s="195" t="b">
        <v>0</v>
      </c>
      <c r="E1569" s="195">
        <v>4.0</v>
      </c>
      <c r="F1569" s="201">
        <f>COUNTIF('Activity map'!$C:$C, $A1569)</f>
        <v>1</v>
      </c>
    </row>
    <row r="1570">
      <c r="A1570" s="25">
        <v>21646.0</v>
      </c>
      <c r="B1570" s="23" t="s">
        <v>1877</v>
      </c>
      <c r="C1570" s="200" t="b">
        <f>IF($D1570, TRUE, IF(ISERROR('API import'!$A$1), FALSE, COUNTIF('API import'!$A:$A, $A1570)&gt;0))</f>
        <v>0</v>
      </c>
      <c r="D1570" s="195" t="b">
        <v>0</v>
      </c>
      <c r="E1570" s="195">
        <v>5.0</v>
      </c>
      <c r="F1570" s="203">
        <f>COUNTIF('Activity map'!$C:$C, $A1570)</f>
        <v>2</v>
      </c>
    </row>
    <row r="1571">
      <c r="A1571" s="25">
        <v>21643.0</v>
      </c>
      <c r="B1571" s="23" t="s">
        <v>1878</v>
      </c>
      <c r="C1571" s="200" t="b">
        <f>IF($D1571, TRUE, IF(ISERROR('API import'!$A$1), FALSE, COUNTIF('API import'!$A:$A, $A1571)&gt;0))</f>
        <v>0</v>
      </c>
      <c r="D1571" s="195" t="b">
        <v>0</v>
      </c>
      <c r="E1571" s="195">
        <v>6.0</v>
      </c>
      <c r="F1571" s="203">
        <f>COUNTIF('Activity map'!$C:$C, $A1571)</f>
        <v>2</v>
      </c>
    </row>
    <row r="1572">
      <c r="A1572" s="25">
        <v>21637.0</v>
      </c>
      <c r="B1572" s="23" t="s">
        <v>1879</v>
      </c>
      <c r="C1572" s="200" t="b">
        <f>IF($D1572, TRUE, IF(ISERROR('API import'!$A$1), FALSE, COUNTIF('API import'!$A:$A, $A1572)&gt;0))</f>
        <v>0</v>
      </c>
      <c r="D1572" s="195" t="b">
        <v>0</v>
      </c>
      <c r="E1572" s="195">
        <v>7.0</v>
      </c>
      <c r="F1572" s="203">
        <f>COUNTIF('Activity map'!$C:$C, $A1572)</f>
        <v>2</v>
      </c>
    </row>
    <row r="1573">
      <c r="A1573" s="26">
        <v>6809.0</v>
      </c>
      <c r="B1573" s="23" t="s">
        <v>1880</v>
      </c>
      <c r="C1573" s="200" t="b">
        <f>IF($D1573, TRUE, IF(ISERROR('API import'!$A$1), FALSE, COUNTIF('API import'!$A:$A, $A1573)&gt;0))</f>
        <v>0</v>
      </c>
      <c r="D1573" s="195" t="b">
        <v>0</v>
      </c>
      <c r="E1573" s="195">
        <v>5.0</v>
      </c>
      <c r="F1573" s="201">
        <f>COUNTIF('Activity map'!$C:$C, $A1573)</f>
        <v>1</v>
      </c>
    </row>
    <row r="1574">
      <c r="A1574" s="26">
        <v>4119.0</v>
      </c>
      <c r="B1574" s="23" t="s">
        <v>1881</v>
      </c>
      <c r="C1574" s="202" t="b">
        <f>IF($D1574, TRUE, IF(ISERROR('API import'!$A$1), FALSE, COUNTIF('API import'!$A:$A, $A1574)&gt;0))</f>
        <v>0</v>
      </c>
      <c r="D1574" s="195" t="b">
        <v>0</v>
      </c>
      <c r="E1574" s="195">
        <v>1.0</v>
      </c>
      <c r="F1574" s="201">
        <f>COUNTIF('Activity map'!$C:$C, $A1574)</f>
        <v>1</v>
      </c>
    </row>
    <row r="1575">
      <c r="A1575" s="26">
        <v>4121.0</v>
      </c>
      <c r="B1575" s="23" t="s">
        <v>1882</v>
      </c>
      <c r="C1575" s="202" t="b">
        <f>IF($D1575, TRUE, IF(ISERROR('API import'!$A$1), FALSE, COUNTIF('API import'!$A:$A, $A1575)&gt;0))</f>
        <v>0</v>
      </c>
      <c r="D1575" s="195" t="b">
        <v>0</v>
      </c>
      <c r="E1575" s="195">
        <v>1.0</v>
      </c>
      <c r="F1575" s="203">
        <f>COUNTIF('Activity map'!$C:$C, $A1575)</f>
        <v>2</v>
      </c>
    </row>
    <row r="1576">
      <c r="A1576" s="26">
        <v>4123.0</v>
      </c>
      <c r="B1576" s="23" t="s">
        <v>1883</v>
      </c>
      <c r="C1576" s="202" t="b">
        <f>IF($D1576, TRUE, IF(ISERROR('API import'!$A$1), FALSE, COUNTIF('API import'!$A:$A, $A1576)&gt;0))</f>
        <v>0</v>
      </c>
      <c r="D1576" s="195" t="b">
        <v>0</v>
      </c>
      <c r="E1576" s="195">
        <v>2.0</v>
      </c>
      <c r="F1576" s="203">
        <f>COUNTIF('Activity map'!$C:$C, $A1576)</f>
        <v>2</v>
      </c>
    </row>
    <row r="1577">
      <c r="A1577" s="26">
        <v>4125.0</v>
      </c>
      <c r="B1577" s="23" t="s">
        <v>1884</v>
      </c>
      <c r="C1577" s="202" t="b">
        <f>IF($D1577, TRUE, IF(ISERROR('API import'!$A$1), FALSE, COUNTIF('API import'!$A:$A, $A1577)&gt;0))</f>
        <v>0</v>
      </c>
      <c r="D1577" s="195" t="b">
        <v>0</v>
      </c>
      <c r="E1577" s="195">
        <v>2.0</v>
      </c>
      <c r="F1577" s="201">
        <f>COUNTIF('Activity map'!$C:$C, $A1577)</f>
        <v>1</v>
      </c>
    </row>
    <row r="1578">
      <c r="A1578" s="26">
        <v>4127.0</v>
      </c>
      <c r="B1578" s="23" t="s">
        <v>1885</v>
      </c>
      <c r="C1578" s="202" t="b">
        <f>IF($D1578, TRUE, IF(ISERROR('API import'!$A$1), FALSE, COUNTIF('API import'!$A:$A, $A1578)&gt;0))</f>
        <v>0</v>
      </c>
      <c r="D1578" s="195" t="b">
        <v>0</v>
      </c>
      <c r="E1578" s="195">
        <v>3.0</v>
      </c>
      <c r="F1578" s="201">
        <f>COUNTIF('Activity map'!$C:$C, $A1578)</f>
        <v>1</v>
      </c>
    </row>
    <row r="1579">
      <c r="A1579" s="26">
        <v>4129.0</v>
      </c>
      <c r="B1579" s="23" t="s">
        <v>1886</v>
      </c>
      <c r="C1579" s="202" t="b">
        <f>IF($D1579, TRUE, IF(ISERROR('API import'!$A$1), FALSE, COUNTIF('API import'!$A:$A, $A1579)&gt;0))</f>
        <v>0</v>
      </c>
      <c r="D1579" s="195" t="b">
        <v>0</v>
      </c>
      <c r="E1579" s="195">
        <v>4.0</v>
      </c>
      <c r="F1579" s="203">
        <f>COUNTIF('Activity map'!$C:$C, $A1579)</f>
        <v>2</v>
      </c>
    </row>
    <row r="1580">
      <c r="A1580" s="26">
        <v>4131.0</v>
      </c>
      <c r="B1580" s="23" t="s">
        <v>1887</v>
      </c>
      <c r="C1580" s="202" t="b">
        <f>IF($D1580, TRUE, IF(ISERROR('API import'!$A$1), FALSE, COUNTIF('API import'!$A:$A, $A1580)&gt;0))</f>
        <v>0</v>
      </c>
      <c r="D1580" s="195" t="b">
        <v>0</v>
      </c>
      <c r="E1580" s="195">
        <v>4.0</v>
      </c>
      <c r="F1580" s="201">
        <f>COUNTIF('Activity map'!$C:$C, $A1580)</f>
        <v>1</v>
      </c>
    </row>
    <row r="1581">
      <c r="A1581" s="26">
        <v>11840.0</v>
      </c>
      <c r="B1581" s="23" t="s">
        <v>1888</v>
      </c>
      <c r="C1581" s="202" t="b">
        <f>IF($D1581, TRUE, IF(ISERROR('API import'!$A$1), FALSE, COUNTIF('API import'!$A:$A, $A1581)&gt;0))</f>
        <v>0</v>
      </c>
      <c r="D1581" s="195" t="b">
        <v>0</v>
      </c>
      <c r="E1581" s="195">
        <v>4.0</v>
      </c>
      <c r="F1581" s="203">
        <f>COUNTIF('Activity map'!$C:$C, $A1581)</f>
        <v>2</v>
      </c>
    </row>
    <row r="1582">
      <c r="A1582" s="26">
        <v>11908.0</v>
      </c>
      <c r="B1582" s="23" t="s">
        <v>1889</v>
      </c>
      <c r="C1582" s="200" t="b">
        <f>IF($D1582, TRUE, IF(ISERROR('API import'!$A$1), FALSE, COUNTIF('API import'!$A:$A, $A1582)&gt;0))</f>
        <v>0</v>
      </c>
      <c r="D1582" s="195" t="b">
        <v>0</v>
      </c>
      <c r="E1582" s="195">
        <v>5.0</v>
      </c>
      <c r="F1582" s="201">
        <f>COUNTIF('Activity map'!$C:$C, $A1582)</f>
        <v>1</v>
      </c>
    </row>
    <row r="1583">
      <c r="A1583" s="26">
        <v>11235.0</v>
      </c>
      <c r="B1583" s="23" t="s">
        <v>1890</v>
      </c>
      <c r="C1583" s="202" t="b">
        <f>IF($D1583, TRUE, IF(ISERROR('API import'!$A$1), FALSE, COUNTIF('API import'!$A:$A, $A1583)&gt;0))</f>
        <v>0</v>
      </c>
      <c r="D1583" s="195" t="b">
        <v>0</v>
      </c>
      <c r="E1583" s="195">
        <v>5.0</v>
      </c>
      <c r="F1583" s="201">
        <f>COUNTIF('Activity map'!$C:$C, $A1583)</f>
        <v>1</v>
      </c>
    </row>
    <row r="1584">
      <c r="A1584" s="26">
        <v>21009.0</v>
      </c>
      <c r="B1584" s="23" t="s">
        <v>1891</v>
      </c>
      <c r="C1584" s="200" t="b">
        <f>IF($D1584, TRUE, IF(ISERROR('API import'!$A$1), FALSE, COUNTIF('API import'!$A:$A, $A1584)&gt;0))</f>
        <v>0</v>
      </c>
      <c r="D1584" s="195" t="b">
        <v>0</v>
      </c>
      <c r="E1584" s="195">
        <v>5.0</v>
      </c>
      <c r="F1584" s="201">
        <f>COUNTIF('Activity map'!$C:$C, $A1584)</f>
        <v>1</v>
      </c>
    </row>
    <row r="1585">
      <c r="A1585" s="26">
        <v>22963.0</v>
      </c>
      <c r="B1585" s="23" t="s">
        <v>1892</v>
      </c>
      <c r="C1585" s="200" t="b">
        <f>IF($D1585, TRUE, IF(ISERROR('API import'!$A$1), FALSE, COUNTIF('API import'!$A:$A, $A1585)&gt;0))</f>
        <v>0</v>
      </c>
      <c r="D1585" s="195" t="b">
        <v>0</v>
      </c>
      <c r="E1585" s="195">
        <v>5.0</v>
      </c>
      <c r="F1585" s="201">
        <f>COUNTIF('Activity map'!$C:$C, $A1585)</f>
        <v>1</v>
      </c>
    </row>
    <row r="1586">
      <c r="A1586" s="26">
        <v>22960.0</v>
      </c>
      <c r="B1586" s="23" t="s">
        <v>1893</v>
      </c>
      <c r="C1586" s="200" t="b">
        <f>IF($D1586, TRUE, IF(ISERROR('API import'!$A$1), FALSE, COUNTIF('API import'!$A:$A, $A1586)&gt;0))</f>
        <v>0</v>
      </c>
      <c r="D1586" s="195" t="b">
        <v>0</v>
      </c>
      <c r="E1586" s="195">
        <v>4.0</v>
      </c>
      <c r="F1586" s="201">
        <f>COUNTIF('Activity map'!$C:$C, $A1586)</f>
        <v>1</v>
      </c>
    </row>
    <row r="1587">
      <c r="A1587" s="26">
        <v>22957.0</v>
      </c>
      <c r="B1587" s="23" t="s">
        <v>1894</v>
      </c>
      <c r="C1587" s="200" t="b">
        <f>IF($D1587, TRUE, IF(ISERROR('API import'!$A$1), FALSE, COUNTIF('API import'!$A:$A, $A1587)&gt;0))</f>
        <v>0</v>
      </c>
      <c r="D1587" s="195" t="b">
        <v>0</v>
      </c>
      <c r="E1587" s="195">
        <v>4.0</v>
      </c>
      <c r="F1587" s="201">
        <f>COUNTIF('Activity map'!$C:$C, $A1587)</f>
        <v>1</v>
      </c>
    </row>
    <row r="1588">
      <c r="A1588" s="26">
        <v>4109.0</v>
      </c>
      <c r="B1588" s="23" t="s">
        <v>1895</v>
      </c>
      <c r="C1588" s="202" t="b">
        <f>IF($D1588, TRUE, IF(ISERROR('API import'!$A$1), FALSE, COUNTIF('API import'!$A:$A, $A1588)&gt;0))</f>
        <v>0</v>
      </c>
      <c r="D1588" s="195" t="b">
        <v>0</v>
      </c>
      <c r="E1588" s="195">
        <v>3.0</v>
      </c>
      <c r="F1588" s="203">
        <f>COUNTIF('Activity map'!$C:$C, $A1588)</f>
        <v>2</v>
      </c>
    </row>
    <row r="1589">
      <c r="A1589" s="26">
        <v>4111.0</v>
      </c>
      <c r="B1589" s="23" t="s">
        <v>1896</v>
      </c>
      <c r="C1589" s="202" t="b">
        <f>IF($D1589, TRUE, IF(ISERROR('API import'!$A$1), FALSE, COUNTIF('API import'!$A:$A, $A1589)&gt;0))</f>
        <v>0</v>
      </c>
      <c r="D1589" s="195" t="b">
        <v>0</v>
      </c>
      <c r="E1589" s="195">
        <v>4.0</v>
      </c>
      <c r="F1589" s="203">
        <f>COUNTIF('Activity map'!$C:$C, $A1589)</f>
        <v>2</v>
      </c>
    </row>
    <row r="1590">
      <c r="A1590" s="26">
        <v>4113.0</v>
      </c>
      <c r="B1590" s="23" t="s">
        <v>1897</v>
      </c>
      <c r="C1590" s="202" t="b">
        <f>IF($D1590, TRUE, IF(ISERROR('API import'!$A$1), FALSE, COUNTIF('API import'!$A:$A, $A1590)&gt;0))</f>
        <v>0</v>
      </c>
      <c r="D1590" s="195" t="b">
        <v>0</v>
      </c>
      <c r="E1590" s="195">
        <v>4.0</v>
      </c>
      <c r="F1590" s="203">
        <f>COUNTIF('Activity map'!$C:$C, $A1590)</f>
        <v>2</v>
      </c>
    </row>
    <row r="1591">
      <c r="A1591" s="26">
        <v>4115.0</v>
      </c>
      <c r="B1591" s="23" t="s">
        <v>1898</v>
      </c>
      <c r="C1591" s="200" t="b">
        <f>IF($D1591, TRUE, IF(ISERROR('API import'!$A$1), FALSE, COUNTIF('API import'!$A:$A, $A1591)&gt;0))</f>
        <v>0</v>
      </c>
      <c r="D1591" s="195" t="b">
        <v>0</v>
      </c>
      <c r="E1591" s="195">
        <v>3.0</v>
      </c>
      <c r="F1591" s="201">
        <f>COUNTIF('Activity map'!$C:$C, $A1591)</f>
        <v>1</v>
      </c>
    </row>
    <row r="1592">
      <c r="A1592" s="26">
        <v>4117.0</v>
      </c>
      <c r="B1592" s="23" t="s">
        <v>1899</v>
      </c>
      <c r="C1592" s="202" t="b">
        <f>IF($D1592, TRUE, IF(ISERROR('API import'!$A$1), FALSE, COUNTIF('API import'!$A:$A, $A1592)&gt;0))</f>
        <v>0</v>
      </c>
      <c r="D1592" s="195" t="b">
        <v>0</v>
      </c>
      <c r="E1592" s="195">
        <v>3.0</v>
      </c>
      <c r="F1592" s="201">
        <f>COUNTIF('Activity map'!$C:$C, $A1592)</f>
        <v>1</v>
      </c>
    </row>
    <row r="1593">
      <c r="A1593" s="26">
        <v>4099.0</v>
      </c>
      <c r="B1593" s="23" t="s">
        <v>1900</v>
      </c>
      <c r="C1593" s="202" t="b">
        <f>IF($D1593, TRUE, IF(ISERROR('API import'!$A$1), FALSE, COUNTIF('API import'!$A:$A, $A1593)&gt;0))</f>
        <v>0</v>
      </c>
      <c r="D1593" s="195" t="b">
        <v>0</v>
      </c>
      <c r="E1593" s="195">
        <v>3.0</v>
      </c>
      <c r="F1593" s="201">
        <f>COUNTIF('Activity map'!$C:$C, $A1593)</f>
        <v>1</v>
      </c>
    </row>
    <row r="1594">
      <c r="A1594" s="26">
        <v>4101.0</v>
      </c>
      <c r="B1594" s="23" t="s">
        <v>1901</v>
      </c>
      <c r="C1594" s="202" t="b">
        <f>IF($D1594, TRUE, IF(ISERROR('API import'!$A$1), FALSE, COUNTIF('API import'!$A:$A, $A1594)&gt;0))</f>
        <v>0</v>
      </c>
      <c r="D1594" s="195" t="b">
        <v>0</v>
      </c>
      <c r="E1594" s="195">
        <v>4.0</v>
      </c>
      <c r="F1594" s="201">
        <f>COUNTIF('Activity map'!$C:$C, $A1594)</f>
        <v>1</v>
      </c>
    </row>
    <row r="1595">
      <c r="A1595" s="26">
        <v>4103.0</v>
      </c>
      <c r="B1595" s="23" t="s">
        <v>1902</v>
      </c>
      <c r="C1595" s="200" t="b">
        <f>IF($D1595, TRUE, IF(ISERROR('API import'!$A$1), FALSE, COUNTIF('API import'!$A:$A, $A1595)&gt;0))</f>
        <v>0</v>
      </c>
      <c r="D1595" s="195" t="b">
        <v>0</v>
      </c>
      <c r="E1595" s="195">
        <v>4.0</v>
      </c>
      <c r="F1595" s="201">
        <f>COUNTIF('Activity map'!$C:$C, $A1595)</f>
        <v>1</v>
      </c>
    </row>
    <row r="1596">
      <c r="A1596" s="26">
        <v>4105.0</v>
      </c>
      <c r="B1596" s="23" t="s">
        <v>1903</v>
      </c>
      <c r="C1596" s="202" t="b">
        <f>IF($D1596, TRUE, IF(ISERROR('API import'!$A$1), FALSE, COUNTIF('API import'!$A:$A, $A1596)&gt;0))</f>
        <v>0</v>
      </c>
      <c r="D1596" s="195" t="b">
        <v>0</v>
      </c>
      <c r="E1596" s="195">
        <v>3.0</v>
      </c>
      <c r="F1596" s="201">
        <f>COUNTIF('Activity map'!$C:$C, $A1596)</f>
        <v>1</v>
      </c>
    </row>
    <row r="1597">
      <c r="A1597" s="26">
        <v>4107.0</v>
      </c>
      <c r="B1597" s="23" t="s">
        <v>1904</v>
      </c>
      <c r="C1597" s="202" t="b">
        <f>IF($D1597, TRUE, IF(ISERROR('API import'!$A$1), FALSE, COUNTIF('API import'!$A:$A, $A1597)&gt;0))</f>
        <v>0</v>
      </c>
      <c r="D1597" s="195" t="b">
        <v>0</v>
      </c>
      <c r="E1597" s="195">
        <v>3.0</v>
      </c>
      <c r="F1597" s="201">
        <f>COUNTIF('Activity map'!$C:$C, $A1597)</f>
        <v>1</v>
      </c>
    </row>
    <row r="1598">
      <c r="A1598" s="26">
        <v>23047.0</v>
      </c>
      <c r="B1598" s="23" t="s">
        <v>1905</v>
      </c>
      <c r="C1598" s="200" t="b">
        <f>IF($D1598, TRUE, IF(ISERROR('API import'!$A$1), FALSE, COUNTIF('API import'!$A:$A, $A1598)&gt;0))</f>
        <v>0</v>
      </c>
      <c r="D1598" s="195" t="b">
        <v>0</v>
      </c>
      <c r="E1598" s="195">
        <v>8.0</v>
      </c>
      <c r="F1598" s="201">
        <f>COUNTIF('Activity map'!$C:$C, $A1598)</f>
        <v>1</v>
      </c>
    </row>
    <row r="1599">
      <c r="A1599" s="26">
        <v>23050.0</v>
      </c>
      <c r="B1599" s="23" t="s">
        <v>1906</v>
      </c>
      <c r="C1599" s="200" t="b">
        <f>IF($D1599, TRUE, IF(ISERROR('API import'!$A$1), FALSE, COUNTIF('API import'!$A:$A, $A1599)&gt;0))</f>
        <v>0</v>
      </c>
      <c r="D1599" s="195" t="b">
        <v>0</v>
      </c>
      <c r="E1599" s="195">
        <v>8.0</v>
      </c>
      <c r="F1599" s="201">
        <f>COUNTIF('Activity map'!$C:$C, $A1599)</f>
        <v>1</v>
      </c>
    </row>
    <row r="1600">
      <c r="A1600" s="26">
        <v>23053.0</v>
      </c>
      <c r="B1600" s="23" t="s">
        <v>1907</v>
      </c>
      <c r="C1600" s="200" t="b">
        <f>IF($D1600, TRUE, IF(ISERROR('API import'!$A$1), FALSE, COUNTIF('API import'!$A:$A, $A1600)&gt;0))</f>
        <v>0</v>
      </c>
      <c r="D1600" s="195" t="b">
        <v>0</v>
      </c>
      <c r="E1600" s="195">
        <v>8.0</v>
      </c>
      <c r="F1600" s="201">
        <f>COUNTIF('Activity map'!$C:$C, $A1600)</f>
        <v>1</v>
      </c>
    </row>
    <row r="1601">
      <c r="A1601" s="26">
        <v>23056.0</v>
      </c>
      <c r="B1601" s="23" t="s">
        <v>1908</v>
      </c>
      <c r="C1601" s="200" t="b">
        <f>IF($D1601, TRUE, IF(ISERROR('API import'!$A$1), FALSE, COUNTIF('API import'!$A:$A, $A1601)&gt;0))</f>
        <v>0</v>
      </c>
      <c r="D1601" s="195" t="b">
        <v>0</v>
      </c>
      <c r="E1601" s="195">
        <v>8.0</v>
      </c>
      <c r="F1601" s="201">
        <f>COUNTIF('Activity map'!$C:$C, $A1601)</f>
        <v>1</v>
      </c>
    </row>
    <row r="1602">
      <c r="A1602" s="26">
        <v>23059.0</v>
      </c>
      <c r="B1602" s="23" t="s">
        <v>1909</v>
      </c>
      <c r="C1602" s="200" t="b">
        <f>IF($D1602, TRUE, IF(ISERROR('API import'!$A$1), FALSE, COUNTIF('API import'!$A:$A, $A1602)&gt;0))</f>
        <v>0</v>
      </c>
      <c r="D1602" s="195" t="b">
        <v>0</v>
      </c>
      <c r="E1602" s="195">
        <v>8.0</v>
      </c>
      <c r="F1602" s="201">
        <f>COUNTIF('Activity map'!$C:$C, $A1602)</f>
        <v>1</v>
      </c>
    </row>
    <row r="1603">
      <c r="A1603" s="25">
        <v>24268.0</v>
      </c>
      <c r="B1603" s="23" t="s">
        <v>1910</v>
      </c>
      <c r="C1603" s="202" t="b">
        <f>IF($D1603, TRUE, IF(ISERROR('API import'!$A$1), FALSE, COUNTIF('API import'!$A:$A, $A1603)&gt;0))</f>
        <v>0</v>
      </c>
      <c r="D1603" s="195" t="b">
        <v>0</v>
      </c>
      <c r="E1603" s="195">
        <v>6.0</v>
      </c>
      <c r="F1603" s="201">
        <f>COUNTIF('Activity map'!$C:$C, $A1603)</f>
        <v>1</v>
      </c>
    </row>
    <row r="1604">
      <c r="A1604" s="25">
        <v>32876.0</v>
      </c>
      <c r="B1604" s="23" t="s">
        <v>1911</v>
      </c>
      <c r="C1604" s="200" t="b">
        <f>IF($D1604, TRUE, IF(ISERROR('API import'!$A$1), FALSE, COUNTIF('API import'!$A:$A, $A1604)&gt;0))</f>
        <v>0</v>
      </c>
      <c r="D1604" s="195" t="b">
        <v>0</v>
      </c>
      <c r="E1604" s="195">
        <v>5.0</v>
      </c>
      <c r="F1604" s="201">
        <f>COUNTIF('Activity map'!$C:$C, $A1604)</f>
        <v>1</v>
      </c>
    </row>
    <row r="1605">
      <c r="A1605" s="25">
        <v>24288.0</v>
      </c>
      <c r="B1605" s="23" t="s">
        <v>1912</v>
      </c>
      <c r="C1605" s="200" t="b">
        <f>IF($D1605, TRUE, IF(ISERROR('API import'!$A$1), FALSE, COUNTIF('API import'!$A:$A, $A1605)&gt;0))</f>
        <v>0</v>
      </c>
      <c r="D1605" s="195" t="b">
        <v>0</v>
      </c>
      <c r="E1605" s="195">
        <v>6.0</v>
      </c>
      <c r="F1605" s="201">
        <f>COUNTIF('Activity map'!$C:$C, $A1605)</f>
        <v>1</v>
      </c>
    </row>
    <row r="1606">
      <c r="A1606" s="25">
        <v>24291.0</v>
      </c>
      <c r="B1606" s="23" t="s">
        <v>1913</v>
      </c>
      <c r="C1606" s="200" t="b">
        <f>IF($D1606, TRUE, IF(ISERROR('API import'!$A$1), FALSE, COUNTIF('API import'!$A:$A, $A1606)&gt;0))</f>
        <v>0</v>
      </c>
      <c r="D1606" s="195" t="b">
        <v>0</v>
      </c>
      <c r="E1606" s="195">
        <v>6.0</v>
      </c>
      <c r="F1606" s="201">
        <f>COUNTIF('Activity map'!$C:$C, $A1606)</f>
        <v>1</v>
      </c>
    </row>
    <row r="1607">
      <c r="A1607" s="25">
        <v>24294.0</v>
      </c>
      <c r="B1607" s="23" t="s">
        <v>1914</v>
      </c>
      <c r="C1607" s="200" t="b">
        <f>IF($D1607, TRUE, IF(ISERROR('API import'!$A$1), FALSE, COUNTIF('API import'!$A:$A, $A1607)&gt;0))</f>
        <v>0</v>
      </c>
      <c r="D1607" s="195" t="b">
        <v>0</v>
      </c>
      <c r="E1607" s="195">
        <v>6.0</v>
      </c>
      <c r="F1607" s="201">
        <f>COUNTIF('Activity map'!$C:$C, $A1607)</f>
        <v>1</v>
      </c>
    </row>
    <row r="1608">
      <c r="A1608" s="25">
        <v>24777.0</v>
      </c>
      <c r="B1608" s="23" t="s">
        <v>1915</v>
      </c>
      <c r="C1608" s="200" t="b">
        <f>IF($D1608, TRUE, IF(ISERROR('API import'!$A$1), FALSE, COUNTIF('API import'!$A:$A, $A1608)&gt;0))</f>
        <v>0</v>
      </c>
      <c r="D1608" s="195" t="b">
        <v>0</v>
      </c>
      <c r="E1608" s="195">
        <v>6.0</v>
      </c>
      <c r="F1608" s="203">
        <f>COUNTIF('Activity map'!$C:$C, $A1608)</f>
        <v>2</v>
      </c>
    </row>
    <row r="1609">
      <c r="A1609" s="25">
        <v>26225.0</v>
      </c>
      <c r="B1609" s="23" t="s">
        <v>1916</v>
      </c>
      <c r="C1609" s="202" t="b">
        <f>IF($D1609, TRUE, IF(ISERROR('API import'!$A$1), FALSE, COUNTIF('API import'!$A:$A, $A1609)&gt;0))</f>
        <v>0</v>
      </c>
      <c r="D1609" s="195" t="b">
        <v>0</v>
      </c>
      <c r="E1609" s="195">
        <v>5.0</v>
      </c>
      <c r="F1609" s="201">
        <f>COUNTIF('Activity map'!$C:$C, $A1609)</f>
        <v>1</v>
      </c>
    </row>
    <row r="1610">
      <c r="A1610" s="25">
        <v>26221.0</v>
      </c>
      <c r="B1610" s="23" t="s">
        <v>1917</v>
      </c>
      <c r="C1610" s="200" t="b">
        <f>IF($D1610, TRUE, IF(ISERROR('API import'!$A$1), FALSE, COUNTIF('API import'!$A:$A, $A1610)&gt;0))</f>
        <v>0</v>
      </c>
      <c r="D1610" s="195" t="b">
        <v>0</v>
      </c>
      <c r="E1610" s="195">
        <v>5.0</v>
      </c>
      <c r="F1610" s="201">
        <f>COUNTIF('Activity map'!$C:$C, $A1610)</f>
        <v>1</v>
      </c>
    </row>
    <row r="1611">
      <c r="A1611" s="26">
        <v>26223.0</v>
      </c>
      <c r="B1611" s="23" t="s">
        <v>1918</v>
      </c>
      <c r="C1611" s="200" t="b">
        <f>IF($D1611, TRUE, IF(ISERROR('API import'!$A$1), FALSE, COUNTIF('API import'!$A:$A, $A1611)&gt;0))</f>
        <v>0</v>
      </c>
      <c r="D1611" s="195" t="b">
        <v>0</v>
      </c>
      <c r="E1611" s="195">
        <v>5.0</v>
      </c>
      <c r="F1611" s="201">
        <f>COUNTIF('Activity map'!$C:$C, $A1611)</f>
        <v>1</v>
      </c>
    </row>
    <row r="1612">
      <c r="A1612" s="26">
        <v>26227.0</v>
      </c>
      <c r="B1612" s="23" t="s">
        <v>1919</v>
      </c>
      <c r="C1612" s="200" t="b">
        <f>IF($D1612, TRUE, IF(ISERROR('API import'!$A$1), FALSE, COUNTIF('API import'!$A:$A, $A1612)&gt;0))</f>
        <v>0</v>
      </c>
      <c r="D1612" s="195" t="b">
        <v>0</v>
      </c>
      <c r="E1612" s="195">
        <v>5.0</v>
      </c>
      <c r="F1612" s="201">
        <f>COUNTIF('Activity map'!$C:$C, $A1612)</f>
        <v>1</v>
      </c>
    </row>
    <row r="1613">
      <c r="A1613" s="26">
        <v>26229.0</v>
      </c>
      <c r="B1613" s="23" t="s">
        <v>1920</v>
      </c>
      <c r="C1613" s="202" t="b">
        <f>IF($D1613, TRUE, IF(ISERROR('API import'!$A$1), FALSE, COUNTIF('API import'!$A:$A, $A1613)&gt;0))</f>
        <v>0</v>
      </c>
      <c r="D1613" s="195" t="b">
        <v>0</v>
      </c>
      <c r="E1613" s="195">
        <v>5.0</v>
      </c>
      <c r="F1613" s="201">
        <f>COUNTIF('Activity map'!$C:$C, $A1613)</f>
        <v>1</v>
      </c>
    </row>
    <row r="1614">
      <c r="A1614" s="26">
        <v>28583.0</v>
      </c>
      <c r="B1614" s="23" t="s">
        <v>1921</v>
      </c>
      <c r="C1614" s="200" t="b">
        <f>IF($D1614, TRUE, IF(ISERROR('API import'!$A$1), FALSE, COUNTIF('API import'!$A:$A, $A1614)&gt;0))</f>
        <v>0</v>
      </c>
      <c r="D1614" s="195" t="b">
        <v>0</v>
      </c>
      <c r="E1614" s="195">
        <v>4.0</v>
      </c>
      <c r="F1614" s="201">
        <f>COUNTIF('Activity map'!$C:$C, $A1614)</f>
        <v>1</v>
      </c>
    </row>
    <row r="1615">
      <c r="A1615" s="26">
        <v>29084.0</v>
      </c>
      <c r="B1615" s="23" t="s">
        <v>1922</v>
      </c>
      <c r="C1615" s="202" t="b">
        <f>IF($D1615, TRUE, IF(ISERROR('API import'!$A$1), FALSE, COUNTIF('API import'!$A:$A, $A1615)&gt;0))</f>
        <v>0</v>
      </c>
      <c r="D1615" s="195" t="b">
        <v>0</v>
      </c>
      <c r="E1615" s="195">
        <v>3.0</v>
      </c>
      <c r="F1615" s="201">
        <f>COUNTIF('Activity map'!$C:$C, $A1615)</f>
        <v>1</v>
      </c>
    </row>
    <row r="1616">
      <c r="A1616" s="26">
        <v>29455.0</v>
      </c>
      <c r="B1616" s="23" t="s">
        <v>1923</v>
      </c>
      <c r="C1616" s="202" t="b">
        <f>IF($D1616, TRUE, IF(ISERROR('API import'!$A$1), FALSE, COUNTIF('API import'!$A:$A, $A1616)&gt;0))</f>
        <v>0</v>
      </c>
      <c r="D1616" s="195" t="b">
        <v>0</v>
      </c>
      <c r="E1616" s="195">
        <v>5.0</v>
      </c>
      <c r="F1616" s="201">
        <f>COUNTIF('Activity map'!$C:$C, $A1616)</f>
        <v>1</v>
      </c>
    </row>
    <row r="1617">
      <c r="A1617" s="26">
        <v>29806.0</v>
      </c>
      <c r="B1617" s="23" t="s">
        <v>1924</v>
      </c>
      <c r="C1617" s="200" t="b">
        <f>IF($D1617, TRUE, IF(ISERROR('API import'!$A$1), FALSE, COUNTIF('API import'!$A:$A, $A1617)&gt;0))</f>
        <v>0</v>
      </c>
      <c r="D1617" s="195" t="b">
        <v>0</v>
      </c>
      <c r="E1617" s="195">
        <v>5.0</v>
      </c>
      <c r="F1617" s="201">
        <f>COUNTIF('Activity map'!$C:$C, $A1617)</f>
        <v>1</v>
      </c>
    </row>
    <row r="1618">
      <c r="A1618" s="26">
        <v>30957.0</v>
      </c>
      <c r="B1618" s="23" t="s">
        <v>1925</v>
      </c>
      <c r="C1618" s="200" t="b">
        <f>IF($D1618, TRUE, IF(ISERROR('API import'!$A$1), FALSE, COUNTIF('API import'!$A:$A, $A1618)&gt;0))</f>
        <v>0</v>
      </c>
      <c r="D1618" s="195" t="b">
        <v>0</v>
      </c>
      <c r="E1618" s="195">
        <v>4.0</v>
      </c>
      <c r="F1618" s="201">
        <f>COUNTIF('Activity map'!$C:$C, $A1618)</f>
        <v>1</v>
      </c>
    </row>
    <row r="1619">
      <c r="A1619" s="26">
        <v>31081.0</v>
      </c>
      <c r="B1619" s="23" t="s">
        <v>1926</v>
      </c>
      <c r="C1619" s="200" t="b">
        <f>IF($D1619, TRUE, IF(ISERROR('API import'!$A$1), FALSE, COUNTIF('API import'!$A:$A, $A1619)&gt;0))</f>
        <v>0</v>
      </c>
      <c r="D1619" s="195" t="b">
        <v>0</v>
      </c>
      <c r="E1619" s="195">
        <v>4.0</v>
      </c>
      <c r="F1619" s="201">
        <f>COUNTIF('Activity map'!$C:$C, $A1619)</f>
        <v>1</v>
      </c>
    </row>
    <row r="1620">
      <c r="A1620" s="26">
        <v>31084.0</v>
      </c>
      <c r="B1620" s="23" t="s">
        <v>1927</v>
      </c>
      <c r="C1620" s="200" t="b">
        <f>IF($D1620, TRUE, IF(ISERROR('API import'!$A$1), FALSE, COUNTIF('API import'!$A:$A, $A1620)&gt;0))</f>
        <v>0</v>
      </c>
      <c r="D1620" s="195" t="b">
        <v>0</v>
      </c>
      <c r="E1620" s="195">
        <v>4.0</v>
      </c>
      <c r="F1620" s="201">
        <f>COUNTIF('Activity map'!$C:$C, $A1620)</f>
        <v>1</v>
      </c>
    </row>
    <row r="1621">
      <c r="A1621" s="26">
        <v>31086.0</v>
      </c>
      <c r="B1621" s="23" t="s">
        <v>1928</v>
      </c>
      <c r="C1621" s="200" t="b">
        <f>IF($D1621, TRUE, IF(ISERROR('API import'!$A$1), FALSE, COUNTIF('API import'!$A:$A, $A1621)&gt;0))</f>
        <v>0</v>
      </c>
      <c r="D1621" s="195" t="b">
        <v>0</v>
      </c>
      <c r="E1621" s="195">
        <v>3.0</v>
      </c>
      <c r="F1621" s="201">
        <f>COUNTIF('Activity map'!$C:$C, $A1621)</f>
        <v>1</v>
      </c>
    </row>
    <row r="1622">
      <c r="A1622" s="26">
        <v>31243.0</v>
      </c>
      <c r="B1622" s="23" t="s">
        <v>1929</v>
      </c>
      <c r="C1622" s="200" t="b">
        <f>IF($D1622, TRUE, IF(ISERROR('API import'!$A$1), FALSE, COUNTIF('API import'!$A:$A, $A1622)&gt;0))</f>
        <v>0</v>
      </c>
      <c r="D1622" s="195" t="b">
        <v>0</v>
      </c>
      <c r="E1622" s="195">
        <v>5.0</v>
      </c>
      <c r="F1622" s="201">
        <f>COUNTIF('Activity map'!$C:$C, $A1622)</f>
        <v>1</v>
      </c>
    </row>
    <row r="1623">
      <c r="A1623" s="26">
        <v>29580.0</v>
      </c>
      <c r="B1623" s="23" t="s">
        <v>1930</v>
      </c>
      <c r="C1623" s="200" t="b">
        <f>IF($D1623, TRUE, IF(ISERROR('API import'!$A$1), FALSE, COUNTIF('API import'!$A:$A, $A1623)&gt;0))</f>
        <v>0</v>
      </c>
      <c r="D1623" s="195" t="b">
        <v>0</v>
      </c>
      <c r="E1623" s="195">
        <v>6.0</v>
      </c>
      <c r="F1623" s="201">
        <f>COUNTIF('Activity map'!$C:$C, $A1623)</f>
        <v>1</v>
      </c>
    </row>
    <row r="1624">
      <c r="A1624" s="26">
        <v>29574.0</v>
      </c>
      <c r="B1624" s="23" t="s">
        <v>1931</v>
      </c>
      <c r="C1624" s="200" t="b">
        <f>IF($D1624, TRUE, IF(ISERROR('API import'!$A$1), FALSE, COUNTIF('API import'!$A:$A, $A1624)&gt;0))</f>
        <v>0</v>
      </c>
      <c r="D1624" s="195" t="b">
        <v>0</v>
      </c>
      <c r="E1624" s="195">
        <v>6.0</v>
      </c>
      <c r="F1624" s="201">
        <f>COUNTIF('Activity map'!$C:$C, $A1624)</f>
        <v>1</v>
      </c>
    </row>
    <row r="1625">
      <c r="A1625" s="26">
        <v>29684.0</v>
      </c>
      <c r="B1625" s="23" t="s">
        <v>1932</v>
      </c>
      <c r="C1625" s="202" t="b">
        <f>IF($D1625, TRUE, IF(ISERROR('API import'!$A$1), FALSE, COUNTIF('API import'!$A:$A, $A1625)&gt;0))</f>
        <v>0</v>
      </c>
      <c r="D1625" s="195" t="b">
        <v>0</v>
      </c>
      <c r="E1625" s="195">
        <v>5.0</v>
      </c>
      <c r="F1625" s="201">
        <f>COUNTIF('Activity map'!$C:$C, $A1625)</f>
        <v>1</v>
      </c>
    </row>
    <row r="1626">
      <c r="A1626" s="26">
        <v>6568.0</v>
      </c>
      <c r="B1626" s="23" t="s">
        <v>1933</v>
      </c>
      <c r="C1626" s="202" t="b">
        <f>IF($D1626, TRUE, IF(ISERROR('API import'!$A$1), FALSE, COUNTIF('API import'!$A:$A, $A1626)&gt;0))</f>
        <v>0</v>
      </c>
      <c r="D1626" s="195" t="b">
        <v>0</v>
      </c>
      <c r="E1626" s="195">
        <v>4.0</v>
      </c>
      <c r="F1626" s="203">
        <f>COUNTIF('Activity map'!$C:$C, $A1626)</f>
        <v>2</v>
      </c>
    </row>
    <row r="1627">
      <c r="A1627" s="26">
        <v>6524.0</v>
      </c>
      <c r="B1627" s="23" t="s">
        <v>1934</v>
      </c>
      <c r="C1627" s="202" t="b">
        <f>IF($D1627, TRUE, IF(ISERROR('API import'!$A$1), FALSE, COUNTIF('API import'!$A:$A, $A1627)&gt;0))</f>
        <v>0</v>
      </c>
      <c r="D1627" s="195" t="b">
        <v>0</v>
      </c>
      <c r="E1627" s="195">
        <v>4.0</v>
      </c>
      <c r="F1627" s="201">
        <f>COUNTIF('Activity map'!$C:$C, $A1627)</f>
        <v>1</v>
      </c>
    </row>
    <row r="1628">
      <c r="A1628" s="26">
        <v>6528.0</v>
      </c>
      <c r="B1628" s="23" t="s">
        <v>1935</v>
      </c>
      <c r="C1628" s="202" t="b">
        <f>IF($D1628, TRUE, IF(ISERROR('API import'!$A$1), FALSE, COUNTIF('API import'!$A:$A, $A1628)&gt;0))</f>
        <v>0</v>
      </c>
      <c r="D1628" s="195" t="b">
        <v>0</v>
      </c>
      <c r="E1628" s="195">
        <v>4.0</v>
      </c>
      <c r="F1628" s="201">
        <f>COUNTIF('Activity map'!$C:$C, $A1628)</f>
        <v>1</v>
      </c>
    </row>
    <row r="1629">
      <c r="A1629" s="26">
        <v>6523.0</v>
      </c>
      <c r="B1629" s="23" t="s">
        <v>1936</v>
      </c>
      <c r="C1629" s="200" t="b">
        <f>IF($D1629, TRUE, IF(ISERROR('API import'!$A$1), FALSE, COUNTIF('API import'!$A:$A, $A1629)&gt;0))</f>
        <v>0</v>
      </c>
      <c r="D1629" s="195" t="b">
        <v>0</v>
      </c>
      <c r="E1629" s="195">
        <v>4.0</v>
      </c>
      <c r="F1629" s="201">
        <f>COUNTIF('Activity map'!$C:$C, $A1629)</f>
        <v>1</v>
      </c>
    </row>
    <row r="1630">
      <c r="A1630" s="26">
        <v>6525.0</v>
      </c>
      <c r="B1630" s="23" t="s">
        <v>1937</v>
      </c>
      <c r="C1630" s="202" t="b">
        <f>IF($D1630, TRUE, IF(ISERROR('API import'!$A$1), FALSE, COUNTIF('API import'!$A:$A, $A1630)&gt;0))</f>
        <v>0</v>
      </c>
      <c r="D1630" s="195" t="b">
        <v>0</v>
      </c>
      <c r="E1630" s="195">
        <v>4.0</v>
      </c>
      <c r="F1630" s="201">
        <f>COUNTIF('Activity map'!$C:$C, $A1630)</f>
        <v>1</v>
      </c>
    </row>
    <row r="1631">
      <c r="A1631" s="26">
        <v>6526.0</v>
      </c>
      <c r="B1631" s="23" t="s">
        <v>1938</v>
      </c>
      <c r="C1631" s="200" t="b">
        <f>IF($D1631, TRUE, IF(ISERROR('API import'!$A$1), FALSE, COUNTIF('API import'!$A:$A, $A1631)&gt;0))</f>
        <v>0</v>
      </c>
      <c r="D1631" s="195" t="b">
        <v>0</v>
      </c>
      <c r="E1631" s="195">
        <v>6.0</v>
      </c>
      <c r="F1631" s="203">
        <f>COUNTIF('Activity map'!$C:$C, $A1631)</f>
        <v>2</v>
      </c>
    </row>
    <row r="1632">
      <c r="A1632" s="26">
        <v>6522.0</v>
      </c>
      <c r="B1632" s="23" t="s">
        <v>1939</v>
      </c>
      <c r="C1632" s="200" t="b">
        <f>IF($D1632, TRUE, IF(ISERROR('API import'!$A$1), FALSE, COUNTIF('API import'!$A:$A, $A1632)&gt;0))</f>
        <v>0</v>
      </c>
      <c r="D1632" s="195" t="b">
        <v>0</v>
      </c>
      <c r="E1632" s="195">
        <v>4.0</v>
      </c>
      <c r="F1632" s="201">
        <f>COUNTIF('Activity map'!$C:$C, $A1632)</f>
        <v>1</v>
      </c>
    </row>
    <row r="1633">
      <c r="A1633" s="26">
        <v>21298.0</v>
      </c>
      <c r="B1633" s="23" t="s">
        <v>1940</v>
      </c>
      <c r="C1633" s="200" t="b">
        <f>IF($D1633, TRUE, IF(ISERROR('API import'!$A$1), FALSE, COUNTIF('API import'!$A:$A, $A1633)&gt;0))</f>
        <v>0</v>
      </c>
      <c r="D1633" s="195" t="b">
        <v>0</v>
      </c>
      <c r="E1633" s="195">
        <v>5.0</v>
      </c>
      <c r="F1633" s="201">
        <f>COUNTIF('Activity map'!$C:$C, $A1633)</f>
        <v>1</v>
      </c>
    </row>
    <row r="1634">
      <c r="A1634" s="26">
        <v>21301.0</v>
      </c>
      <c r="B1634" s="23" t="s">
        <v>1941</v>
      </c>
      <c r="C1634" s="200" t="b">
        <f>IF($D1634, TRUE, IF(ISERROR('API import'!$A$1), FALSE, COUNTIF('API import'!$A:$A, $A1634)&gt;0))</f>
        <v>0</v>
      </c>
      <c r="D1634" s="195" t="b">
        <v>0</v>
      </c>
      <c r="E1634" s="195">
        <v>5.0</v>
      </c>
      <c r="F1634" s="201">
        <f>COUNTIF('Activity map'!$C:$C, $A1634)</f>
        <v>1</v>
      </c>
    </row>
    <row r="1635">
      <c r="A1635" s="26">
        <v>21304.0</v>
      </c>
      <c r="B1635" s="23" t="s">
        <v>1942</v>
      </c>
      <c r="C1635" s="202" t="b">
        <f>IF($D1635, TRUE, IF(ISERROR('API import'!$A$1), FALSE, COUNTIF('API import'!$A:$A, $A1635)&gt;0))</f>
        <v>0</v>
      </c>
      <c r="D1635" s="195" t="b">
        <v>0</v>
      </c>
      <c r="E1635" s="195">
        <v>5.0</v>
      </c>
      <c r="F1635" s="201">
        <f>COUNTIF('Activity map'!$C:$C, $A1635)</f>
        <v>1</v>
      </c>
    </row>
    <row r="1636">
      <c r="A1636" s="26">
        <v>13576.0</v>
      </c>
      <c r="B1636" s="23" t="s">
        <v>1943</v>
      </c>
      <c r="C1636" s="200" t="b">
        <f>IF($D1636, TRUE, IF(ISERROR('API import'!$A$1), FALSE, COUNTIF('API import'!$A:$A, $A1636)&gt;0))</f>
        <v>0</v>
      </c>
      <c r="D1636" s="195" t="b">
        <v>0</v>
      </c>
      <c r="E1636" s="195">
        <v>6.0</v>
      </c>
      <c r="F1636" s="201">
        <f>COUNTIF('Activity map'!$C:$C, $A1636)</f>
        <v>1</v>
      </c>
    </row>
    <row r="1637">
      <c r="A1637" s="26">
        <v>7991.0</v>
      </c>
      <c r="B1637" s="23" t="s">
        <v>1944</v>
      </c>
      <c r="C1637" s="200" t="b">
        <f>IF($D1637, TRUE, IF(ISERROR('API import'!$A$1), FALSE, COUNTIF('API import'!$A:$A, $A1637)&gt;0))</f>
        <v>0</v>
      </c>
      <c r="D1637" s="195" t="b">
        <v>0</v>
      </c>
      <c r="E1637" s="195">
        <v>5.0</v>
      </c>
      <c r="F1637" s="201">
        <f>COUNTIF('Activity map'!$C:$C, $A1637)</f>
        <v>1</v>
      </c>
    </row>
    <row r="1638">
      <c r="A1638" s="26">
        <v>7993.0</v>
      </c>
      <c r="B1638" s="23" t="s">
        <v>1945</v>
      </c>
      <c r="C1638" s="200" t="b">
        <f>IF($D1638, TRUE, IF(ISERROR('API import'!$A$1), FALSE, COUNTIF('API import'!$A:$A, $A1638)&gt;0))</f>
        <v>0</v>
      </c>
      <c r="D1638" s="195" t="b">
        <v>0</v>
      </c>
      <c r="E1638" s="195">
        <v>6.0</v>
      </c>
      <c r="F1638" s="201">
        <f>COUNTIF('Activity map'!$C:$C, $A1638)</f>
        <v>1</v>
      </c>
    </row>
    <row r="1639">
      <c r="A1639" s="26">
        <v>7989.0</v>
      </c>
      <c r="B1639" s="23" t="s">
        <v>1946</v>
      </c>
      <c r="C1639" s="202" t="b">
        <f>IF($D1639, TRUE, IF(ISERROR('API import'!$A$1), FALSE, COUNTIF('API import'!$A:$A, $A1639)&gt;0))</f>
        <v>0</v>
      </c>
      <c r="D1639" s="195" t="b">
        <v>0</v>
      </c>
      <c r="E1639" s="195">
        <v>5.0</v>
      </c>
      <c r="F1639" s="201">
        <f>COUNTIF('Activity map'!$C:$C, $A1639)</f>
        <v>1</v>
      </c>
    </row>
    <row r="1640">
      <c r="A1640" s="26">
        <v>31408.0</v>
      </c>
      <c r="B1640" s="23" t="s">
        <v>1947</v>
      </c>
      <c r="C1640" s="200" t="b">
        <f>IF($D1640, TRUE, IF(ISERROR('API import'!$A$1), FALSE, COUNTIF('API import'!$A:$A, $A1640)&gt;0))</f>
        <v>0</v>
      </c>
      <c r="D1640" s="195" t="b">
        <v>0</v>
      </c>
      <c r="E1640" s="195">
        <v>5.0</v>
      </c>
      <c r="F1640" s="201">
        <f>COUNTIF('Activity map'!$C:$C, $A1640)</f>
        <v>1</v>
      </c>
    </row>
    <row r="1641">
      <c r="A1641" s="26">
        <v>31412.0</v>
      </c>
      <c r="B1641" s="23" t="s">
        <v>1948</v>
      </c>
      <c r="C1641" s="200" t="b">
        <f>IF($D1641, TRUE, IF(ISERROR('API import'!$A$1), FALSE, COUNTIF('API import'!$A:$A, $A1641)&gt;0))</f>
        <v>0</v>
      </c>
      <c r="D1641" s="195" t="b">
        <v>0</v>
      </c>
      <c r="E1641" s="195">
        <v>5.0</v>
      </c>
      <c r="F1641" s="201">
        <f>COUNTIF('Activity map'!$C:$C, $A1641)</f>
        <v>1</v>
      </c>
    </row>
    <row r="1642">
      <c r="A1642" s="26">
        <v>31416.0</v>
      </c>
      <c r="B1642" s="23" t="s">
        <v>1949</v>
      </c>
      <c r="C1642" s="200" t="b">
        <f>IF($D1642, TRUE, IF(ISERROR('API import'!$A$1), FALSE, COUNTIF('API import'!$A:$A, $A1642)&gt;0))</f>
        <v>0</v>
      </c>
      <c r="D1642" s="195" t="b">
        <v>0</v>
      </c>
      <c r="E1642" s="195">
        <v>6.0</v>
      </c>
      <c r="F1642" s="201">
        <f>COUNTIF('Activity map'!$C:$C, $A1642)</f>
        <v>1</v>
      </c>
    </row>
    <row r="1643">
      <c r="A1643" s="26">
        <v>31420.0</v>
      </c>
      <c r="B1643" s="23" t="s">
        <v>1950</v>
      </c>
      <c r="C1643" s="200" t="b">
        <f>IF($D1643, TRUE, IF(ISERROR('API import'!$A$1), FALSE, COUNTIF('API import'!$A:$A, $A1643)&gt;0))</f>
        <v>0</v>
      </c>
      <c r="D1643" s="195" t="b">
        <v>0</v>
      </c>
      <c r="E1643" s="195">
        <v>6.0</v>
      </c>
      <c r="F1643" s="201">
        <f>COUNTIF('Activity map'!$C:$C, $A1643)</f>
        <v>1</v>
      </c>
    </row>
    <row r="1644">
      <c r="A1644" s="26">
        <v>31424.0</v>
      </c>
      <c r="B1644" s="23" t="s">
        <v>1951</v>
      </c>
      <c r="C1644" s="200" t="b">
        <f>IF($D1644, TRUE, IF(ISERROR('API import'!$A$1), FALSE, COUNTIF('API import'!$A:$A, $A1644)&gt;0))</f>
        <v>0</v>
      </c>
      <c r="D1644" s="195" t="b">
        <v>0</v>
      </c>
      <c r="E1644" s="195">
        <v>6.0</v>
      </c>
      <c r="F1644" s="201">
        <f>COUNTIF('Activity map'!$C:$C, $A1644)</f>
        <v>1</v>
      </c>
    </row>
    <row r="1645">
      <c r="A1645" s="26">
        <v>31428.0</v>
      </c>
      <c r="B1645" s="23" t="s">
        <v>1952</v>
      </c>
      <c r="C1645" s="200" t="b">
        <f>IF($D1645, TRUE, IF(ISERROR('API import'!$A$1), FALSE, COUNTIF('API import'!$A:$A, $A1645)&gt;0))</f>
        <v>0</v>
      </c>
      <c r="D1645" s="195" t="b">
        <v>0</v>
      </c>
      <c r="E1645" s="195">
        <v>6.0</v>
      </c>
      <c r="F1645" s="201">
        <f>COUNTIF('Activity map'!$C:$C, $A1645)</f>
        <v>1</v>
      </c>
    </row>
    <row r="1646">
      <c r="A1646" s="26">
        <v>10976.0</v>
      </c>
      <c r="B1646" s="23" t="s">
        <v>1953</v>
      </c>
      <c r="C1646" s="202" t="b">
        <f>IF($D1646, TRUE, IF(ISERROR('API import'!$A$1), FALSE, COUNTIF('API import'!$A:$A, $A1646)&gt;0))</f>
        <v>0</v>
      </c>
      <c r="D1646" s="195" t="b">
        <v>0</v>
      </c>
      <c r="E1646" s="195">
        <v>3.0</v>
      </c>
      <c r="F1646" s="203">
        <f>COUNTIF('Activity map'!$C:$C, $A1646)</f>
        <v>21</v>
      </c>
    </row>
    <row r="1647">
      <c r="A1647" s="26">
        <v>10977.0</v>
      </c>
      <c r="B1647" s="23" t="s">
        <v>1954</v>
      </c>
      <c r="C1647" s="200" t="b">
        <f>IF($D1647, TRUE, IF(ISERROR('API import'!$A$1), FALSE, COUNTIF('API import'!$A:$A, $A1647)&gt;0))</f>
        <v>0</v>
      </c>
      <c r="D1647" s="195" t="b">
        <v>0</v>
      </c>
      <c r="E1647" s="195">
        <v>5.0</v>
      </c>
      <c r="F1647" s="203">
        <f>COUNTIF('Activity map'!$C:$C, $A1647)</f>
        <v>20</v>
      </c>
    </row>
    <row r="1648">
      <c r="A1648" s="26">
        <v>11942.0</v>
      </c>
      <c r="B1648" s="23" t="s">
        <v>1955</v>
      </c>
      <c r="C1648" s="202" t="b">
        <f>IF($D1648, TRUE, IF(ISERROR('API import'!$A$1), FALSE, COUNTIF('API import'!$A:$A, $A1648)&gt;0))</f>
        <v>0</v>
      </c>
      <c r="D1648" s="195" t="b">
        <v>0</v>
      </c>
      <c r="E1648" s="195">
        <v>2.0</v>
      </c>
      <c r="F1648" s="201">
        <f>COUNTIF('Activity map'!$C:$C, $A1648)</f>
        <v>1</v>
      </c>
    </row>
    <row r="1649">
      <c r="A1649" s="26">
        <v>26945.0</v>
      </c>
      <c r="B1649" s="23" t="s">
        <v>1956</v>
      </c>
      <c r="C1649" s="200" t="b">
        <f>IF($D1649, TRUE, IF(ISERROR('API import'!$A$1), FALSE, COUNTIF('API import'!$A:$A, $A1649)&gt;0))</f>
        <v>0</v>
      </c>
      <c r="D1649" s="195" t="b">
        <v>0</v>
      </c>
      <c r="E1649" s="195">
        <v>5.0</v>
      </c>
      <c r="F1649" s="201">
        <f>COUNTIF('Activity map'!$C:$C, $A1649)</f>
        <v>1</v>
      </c>
    </row>
    <row r="1650">
      <c r="A1650" s="26">
        <v>19679.0</v>
      </c>
      <c r="B1650" s="23" t="s">
        <v>1957</v>
      </c>
      <c r="C1650" s="202" t="b">
        <f>IF($D1650, TRUE, IF(ISERROR('API import'!$A$1), FALSE, COUNTIF('API import'!$A:$A, $A1650)&gt;0))</f>
        <v>0</v>
      </c>
      <c r="D1650" s="195" t="b">
        <v>0</v>
      </c>
      <c r="E1650" s="195">
        <v>3.0</v>
      </c>
      <c r="F1650" s="203">
        <f>COUNTIF('Activity map'!$C:$C, $A1650)</f>
        <v>4</v>
      </c>
    </row>
    <row r="1651">
      <c r="A1651" s="26">
        <v>19681.0</v>
      </c>
      <c r="B1651" s="23" t="s">
        <v>1958</v>
      </c>
      <c r="C1651" s="202" t="b">
        <f>IF($D1651, TRUE, IF(ISERROR('API import'!$A$1), FALSE, COUNTIF('API import'!$A:$A, $A1651)&gt;0))</f>
        <v>0</v>
      </c>
      <c r="D1651" s="195" t="b">
        <v>0</v>
      </c>
      <c r="E1651" s="195">
        <v>3.0</v>
      </c>
      <c r="F1651" s="203">
        <f>COUNTIF('Activity map'!$C:$C, $A1651)</f>
        <v>4</v>
      </c>
    </row>
    <row r="1652">
      <c r="A1652" s="26">
        <v>19683.0</v>
      </c>
      <c r="B1652" s="23" t="s">
        <v>1959</v>
      </c>
      <c r="C1652" s="202" t="b">
        <f>IF($D1652, TRUE, IF(ISERROR('API import'!$A$1), FALSE, COUNTIF('API import'!$A:$A, $A1652)&gt;0))</f>
        <v>0</v>
      </c>
      <c r="D1652" s="195" t="b">
        <v>0</v>
      </c>
      <c r="E1652" s="195">
        <v>3.0</v>
      </c>
      <c r="F1652" s="203">
        <f>COUNTIF('Activity map'!$C:$C, $A1652)</f>
        <v>4</v>
      </c>
    </row>
    <row r="1653">
      <c r="A1653" s="26">
        <v>11338.0</v>
      </c>
      <c r="B1653" s="23" t="s">
        <v>1960</v>
      </c>
      <c r="C1653" s="202" t="b">
        <f>IF($D1653, TRUE, IF(ISERROR('API import'!$A$1), FALSE, COUNTIF('API import'!$A:$A, $A1653)&gt;0))</f>
        <v>0</v>
      </c>
      <c r="D1653" s="195" t="b">
        <v>0</v>
      </c>
      <c r="E1653" s="195">
        <v>5.0</v>
      </c>
      <c r="F1653" s="201">
        <f>COUNTIF('Activity map'!$C:$C, $A1653)</f>
        <v>1</v>
      </c>
    </row>
    <row r="1654">
      <c r="A1654" s="26">
        <v>11335.0</v>
      </c>
      <c r="B1654" s="23" t="s">
        <v>1961</v>
      </c>
      <c r="C1654" s="200" t="b">
        <f>IF($D1654, TRUE, IF(ISERROR('API import'!$A$1), FALSE, COUNTIF('API import'!$A:$A, $A1654)&gt;0))</f>
        <v>0</v>
      </c>
      <c r="D1654" s="195" t="b">
        <v>0</v>
      </c>
      <c r="E1654" s="195">
        <v>9.0</v>
      </c>
      <c r="F1654" s="201">
        <f>COUNTIF('Activity map'!$C:$C, $A1654)</f>
        <v>1</v>
      </c>
    </row>
    <row r="1655">
      <c r="A1655" s="26">
        <v>2366.0</v>
      </c>
      <c r="B1655" s="23" t="s">
        <v>1962</v>
      </c>
      <c r="C1655" s="202" t="b">
        <f>IF($D1655, TRUE, IF(ISERROR('API import'!$A$1), FALSE, COUNTIF('API import'!$A:$A, $A1655)&gt;0))</f>
        <v>0</v>
      </c>
      <c r="D1655" s="195" t="b">
        <v>0</v>
      </c>
      <c r="E1655" s="195">
        <v>5.0</v>
      </c>
      <c r="F1655" s="203">
        <f>COUNTIF('Activity map'!$C:$C, $A1655)</f>
        <v>80</v>
      </c>
    </row>
    <row r="1656">
      <c r="A1656" s="26">
        <v>22100.0</v>
      </c>
      <c r="B1656" s="23" t="s">
        <v>1963</v>
      </c>
      <c r="C1656" s="200" t="b">
        <f>IF($D1656, TRUE, IF(ISERROR('API import'!$A$1), FALSE, COUNTIF('API import'!$A:$A, $A1656)&gt;0))</f>
        <v>0</v>
      </c>
      <c r="D1656" s="195" t="b">
        <v>0</v>
      </c>
      <c r="E1656" s="195">
        <v>7.0</v>
      </c>
      <c r="F1656" s="201">
        <f>COUNTIF('Activity map'!$C:$C, $A1656)</f>
        <v>1</v>
      </c>
    </row>
    <row r="1657">
      <c r="A1657" s="26">
        <v>22103.0</v>
      </c>
      <c r="B1657" s="23" t="s">
        <v>1964</v>
      </c>
      <c r="C1657" s="200" t="b">
        <f>IF($D1657, TRUE, IF(ISERROR('API import'!$A$1), FALSE, COUNTIF('API import'!$A:$A, $A1657)&gt;0))</f>
        <v>0</v>
      </c>
      <c r="D1657" s="195" t="b">
        <v>0</v>
      </c>
      <c r="E1657" s="195">
        <v>7.0</v>
      </c>
      <c r="F1657" s="201">
        <f>COUNTIF('Activity map'!$C:$C, $A1657)</f>
        <v>1</v>
      </c>
    </row>
    <row r="1658">
      <c r="A1658" s="26">
        <v>21918.0</v>
      </c>
      <c r="B1658" s="23" t="s">
        <v>1965</v>
      </c>
      <c r="C1658" s="200" t="b">
        <f>IF($D1658, TRUE, IF(ISERROR('API import'!$A$1), FALSE, COUNTIF('API import'!$A:$A, $A1658)&gt;0))</f>
        <v>0</v>
      </c>
      <c r="D1658" s="195" t="b">
        <v>0</v>
      </c>
      <c r="E1658" s="195">
        <v>6.0</v>
      </c>
      <c r="F1658" s="203">
        <f>COUNTIF('Activity map'!$C:$C, $A1658)</f>
        <v>2</v>
      </c>
    </row>
    <row r="1659">
      <c r="A1659" s="26">
        <v>1249.0</v>
      </c>
      <c r="B1659" s="23" t="s">
        <v>1966</v>
      </c>
      <c r="C1659" s="202" t="b">
        <f>IF($D1659, TRUE, IF(ISERROR('API import'!$A$1), FALSE, COUNTIF('API import'!$A:$A, $A1659)&gt;0))</f>
        <v>0</v>
      </c>
      <c r="D1659" s="195" t="b">
        <v>0</v>
      </c>
      <c r="E1659" s="195">
        <v>5.0</v>
      </c>
      <c r="F1659" s="203">
        <f>COUNTIF('Activity map'!$C:$C, $A1659)</f>
        <v>78</v>
      </c>
    </row>
    <row r="1660">
      <c r="A1660" s="26">
        <v>19707.0</v>
      </c>
      <c r="B1660" s="23" t="s">
        <v>1967</v>
      </c>
      <c r="C1660" s="200" t="b">
        <f>IF($D1660, TRUE, IF(ISERROR('API import'!$A$1), FALSE, COUNTIF('API import'!$A:$A, $A1660)&gt;0))</f>
        <v>0</v>
      </c>
      <c r="D1660" s="195" t="b">
        <v>0</v>
      </c>
      <c r="E1660" s="195">
        <v>8.0</v>
      </c>
      <c r="F1660" s="201">
        <f>COUNTIF('Activity map'!$C:$C, $A1660)</f>
        <v>1</v>
      </c>
    </row>
    <row r="1661">
      <c r="A1661" s="26">
        <v>21838.0</v>
      </c>
      <c r="B1661" s="23" t="s">
        <v>1968</v>
      </c>
      <c r="C1661" s="200" t="b">
        <f>IF($D1661, TRUE, IF(ISERROR('API import'!$A$1), FALSE, COUNTIF('API import'!$A:$A, $A1661)&gt;0))</f>
        <v>0</v>
      </c>
      <c r="D1661" s="195" t="b">
        <v>0</v>
      </c>
      <c r="E1661" s="195">
        <v>4.0</v>
      </c>
      <c r="F1661" s="201">
        <f>COUNTIF('Activity map'!$C:$C, $A1661)</f>
        <v>1</v>
      </c>
    </row>
    <row r="1662">
      <c r="A1662" s="26">
        <v>20439.0</v>
      </c>
      <c r="B1662" s="23" t="s">
        <v>1969</v>
      </c>
      <c r="C1662" s="200" t="b">
        <f>IF($D1662, TRUE, IF(ISERROR('API import'!$A$1), FALSE, COUNTIF('API import'!$A:$A, $A1662)&gt;0))</f>
        <v>0</v>
      </c>
      <c r="D1662" s="195" t="b">
        <v>0</v>
      </c>
      <c r="E1662" s="195">
        <v>7.0</v>
      </c>
      <c r="F1662" s="201">
        <f>COUNTIF('Activity map'!$C:$C, $A1662)</f>
        <v>1</v>
      </c>
    </row>
    <row r="1663">
      <c r="A1663" s="26">
        <v>20436.0</v>
      </c>
      <c r="B1663" s="23" t="s">
        <v>1970</v>
      </c>
      <c r="C1663" s="200" t="b">
        <f>IF($D1663, TRUE, IF(ISERROR('API import'!$A$1), FALSE, COUNTIF('API import'!$A:$A, $A1663)&gt;0))</f>
        <v>0</v>
      </c>
      <c r="D1663" s="195" t="b">
        <v>0</v>
      </c>
      <c r="E1663" s="195">
        <v>7.0</v>
      </c>
      <c r="F1663" s="201">
        <f>COUNTIF('Activity map'!$C:$C, $A1663)</f>
        <v>1</v>
      </c>
    </row>
    <row r="1664">
      <c r="A1664" s="26">
        <v>20442.0</v>
      </c>
      <c r="B1664" s="23" t="s">
        <v>1971</v>
      </c>
      <c r="C1664" s="200" t="b">
        <f>IF($D1664, TRUE, IF(ISERROR('API import'!$A$1), FALSE, COUNTIF('API import'!$A:$A, $A1664)&gt;0))</f>
        <v>0</v>
      </c>
      <c r="D1664" s="195" t="b">
        <v>0</v>
      </c>
      <c r="E1664" s="195">
        <v>7.0</v>
      </c>
      <c r="F1664" s="201">
        <f>COUNTIF('Activity map'!$C:$C, $A1664)</f>
        <v>1</v>
      </c>
    </row>
    <row r="1665">
      <c r="A1665" s="26">
        <v>20433.0</v>
      </c>
      <c r="B1665" s="23" t="s">
        <v>1972</v>
      </c>
      <c r="C1665" s="200" t="b">
        <f>IF($D1665, TRUE, IF(ISERROR('API import'!$A$1), FALSE, COUNTIF('API import'!$A:$A, $A1665)&gt;0))</f>
        <v>0</v>
      </c>
      <c r="D1665" s="195" t="b">
        <v>0</v>
      </c>
      <c r="E1665" s="195">
        <v>7.0</v>
      </c>
      <c r="F1665" s="201">
        <f>COUNTIF('Activity map'!$C:$C, $A1665)</f>
        <v>1</v>
      </c>
    </row>
    <row r="1666">
      <c r="A1666" s="26">
        <v>21343.0</v>
      </c>
      <c r="B1666" s="23" t="s">
        <v>1973</v>
      </c>
      <c r="C1666" s="202" t="b">
        <f>IF($D1666, TRUE, IF(ISERROR('API import'!$A$1), FALSE, COUNTIF('API import'!$A:$A, $A1666)&gt;0))</f>
        <v>0</v>
      </c>
      <c r="D1666" s="195" t="b">
        <v>0</v>
      </c>
      <c r="E1666" s="195">
        <v>4.0</v>
      </c>
      <c r="F1666" s="201">
        <f>COUNTIF('Activity map'!$C:$C, $A1666)</f>
        <v>1</v>
      </c>
    </row>
    <row r="1667">
      <c r="A1667" s="26">
        <v>21345.0</v>
      </c>
      <c r="B1667" s="23" t="s">
        <v>1974</v>
      </c>
      <c r="C1667" s="202" t="b">
        <f>IF($D1667, TRUE, IF(ISERROR('API import'!$A$1), FALSE, COUNTIF('API import'!$A:$A, $A1667)&gt;0))</f>
        <v>0</v>
      </c>
      <c r="D1667" s="195" t="b">
        <v>0</v>
      </c>
      <c r="E1667" s="195">
        <v>4.0</v>
      </c>
      <c r="F1667" s="201">
        <f>COUNTIF('Activity map'!$C:$C, $A1667)</f>
        <v>1</v>
      </c>
    </row>
    <row r="1668">
      <c r="A1668" s="26">
        <v>21392.0</v>
      </c>
      <c r="B1668" s="23" t="s">
        <v>1975</v>
      </c>
      <c r="C1668" s="202" t="b">
        <f>IF($D1668, TRUE, IF(ISERROR('API import'!$A$1), FALSE, COUNTIF('API import'!$A:$A, $A1668)&gt;0))</f>
        <v>0</v>
      </c>
      <c r="D1668" s="195" t="b">
        <v>0</v>
      </c>
      <c r="E1668" s="195">
        <v>4.0</v>
      </c>
      <c r="F1668" s="201">
        <f>COUNTIF('Activity map'!$C:$C, $A1668)</f>
        <v>1</v>
      </c>
    </row>
    <row r="1669">
      <c r="A1669" s="26">
        <v>9007.0</v>
      </c>
      <c r="B1669" s="23" t="s">
        <v>1976</v>
      </c>
      <c r="C1669" s="202" t="b">
        <f>IF($D1669, TRUE, IF(ISERROR('API import'!$A$1), FALSE, COUNTIF('API import'!$A:$A, $A1669)&gt;0))</f>
        <v>0</v>
      </c>
      <c r="D1669" s="195" t="b">
        <v>0</v>
      </c>
      <c r="E1669" s="195">
        <v>2.0</v>
      </c>
      <c r="F1669" s="201">
        <f>COUNTIF('Activity map'!$C:$C, $A1669)</f>
        <v>1</v>
      </c>
    </row>
    <row r="1670">
      <c r="A1670" s="26">
        <v>9008.0</v>
      </c>
      <c r="B1670" s="23" t="s">
        <v>1977</v>
      </c>
      <c r="C1670" s="202" t="b">
        <f>IF($D1670, TRUE, IF(ISERROR('API import'!$A$1), FALSE, COUNTIF('API import'!$A:$A, $A1670)&gt;0))</f>
        <v>0</v>
      </c>
      <c r="D1670" s="195" t="b">
        <v>0</v>
      </c>
      <c r="E1670" s="195">
        <v>2.0</v>
      </c>
      <c r="F1670" s="201">
        <f>COUNTIF('Activity map'!$C:$C, $A1670)</f>
        <v>1</v>
      </c>
    </row>
    <row r="1671">
      <c r="A1671" s="26">
        <v>9010.0</v>
      </c>
      <c r="B1671" s="23" t="s">
        <v>1978</v>
      </c>
      <c r="C1671" s="202" t="b">
        <f>IF($D1671, TRUE, IF(ISERROR('API import'!$A$1), FALSE, COUNTIF('API import'!$A:$A, $A1671)&gt;0))</f>
        <v>0</v>
      </c>
      <c r="D1671" s="195" t="b">
        <v>0</v>
      </c>
      <c r="E1671" s="195">
        <v>2.0</v>
      </c>
      <c r="F1671" s="201">
        <f>COUNTIF('Activity map'!$C:$C, $A1671)</f>
        <v>1</v>
      </c>
    </row>
    <row r="1672">
      <c r="A1672" s="26">
        <v>9011.0</v>
      </c>
      <c r="B1672" s="23" t="s">
        <v>1979</v>
      </c>
      <c r="C1672" s="202" t="b">
        <f>IF($D1672, TRUE, IF(ISERROR('API import'!$A$1), FALSE, COUNTIF('API import'!$A:$A, $A1672)&gt;0))</f>
        <v>0</v>
      </c>
      <c r="D1672" s="195" t="b">
        <v>0</v>
      </c>
      <c r="E1672" s="195">
        <v>2.0</v>
      </c>
      <c r="F1672" s="201">
        <f>COUNTIF('Activity map'!$C:$C, $A1672)</f>
        <v>1</v>
      </c>
    </row>
    <row r="1673">
      <c r="A1673" s="26">
        <v>22374.0</v>
      </c>
      <c r="B1673" s="23" t="s">
        <v>1980</v>
      </c>
      <c r="C1673" s="202" t="b">
        <f>IF($D1673, TRUE, IF(ISERROR('API import'!$A$1), FALSE, COUNTIF('API import'!$A:$A, $A1673)&gt;0))</f>
        <v>0</v>
      </c>
      <c r="D1673" s="195" t="b">
        <v>0</v>
      </c>
      <c r="E1673" s="195">
        <v>2.0</v>
      </c>
      <c r="F1673" s="203">
        <f>COUNTIF('Activity map'!$C:$C, $A1673)</f>
        <v>2</v>
      </c>
    </row>
    <row r="1674">
      <c r="A1674" s="26">
        <v>20754.0</v>
      </c>
      <c r="B1674" s="23" t="s">
        <v>1981</v>
      </c>
      <c r="C1674" s="202" t="b">
        <f>IF($D1674, TRUE, IF(ISERROR('API import'!$A$1), FALSE, COUNTIF('API import'!$A:$A, $A1674)&gt;0))</f>
        <v>0</v>
      </c>
      <c r="D1674" s="195" t="b">
        <v>0</v>
      </c>
      <c r="E1674" s="195">
        <v>2.0</v>
      </c>
      <c r="F1674" s="203">
        <f>COUNTIF('Activity map'!$C:$C, $A1674)</f>
        <v>2</v>
      </c>
    </row>
    <row r="1675">
      <c r="A1675" s="26">
        <v>22875.0</v>
      </c>
      <c r="B1675" s="23" t="s">
        <v>1982</v>
      </c>
      <c r="C1675" s="202" t="b">
        <f>IF($D1675, TRUE, IF(ISERROR('API import'!$A$1), FALSE, COUNTIF('API import'!$A:$A, $A1675)&gt;0))</f>
        <v>0</v>
      </c>
      <c r="D1675" s="195" t="b">
        <v>0</v>
      </c>
      <c r="E1675" s="195">
        <v>2.0</v>
      </c>
      <c r="F1675" s="201">
        <f>COUNTIF('Activity map'!$C:$C, $A1675)</f>
        <v>1</v>
      </c>
    </row>
    <row r="1676">
      <c r="A1676" s="26">
        <v>7536.0</v>
      </c>
      <c r="B1676" s="23" t="s">
        <v>1983</v>
      </c>
      <c r="C1676" s="202" t="b">
        <f>IF($D1676, TRUE, IF(ISERROR('API import'!$A$1), FALSE, COUNTIF('API import'!$A:$A, $A1676)&gt;0))</f>
        <v>0</v>
      </c>
      <c r="D1676" s="195" t="b">
        <v>0</v>
      </c>
      <c r="E1676" s="195">
        <v>1.0</v>
      </c>
      <c r="F1676" s="201">
        <f>COUNTIF('Activity map'!$C:$C, $A1676)</f>
        <v>1</v>
      </c>
    </row>
    <row r="1677">
      <c r="A1677" s="26">
        <v>7538.0</v>
      </c>
      <c r="B1677" s="23" t="s">
        <v>1984</v>
      </c>
      <c r="C1677" s="202" t="b">
        <f>IF($D1677, TRUE, IF(ISERROR('API import'!$A$1), FALSE, COUNTIF('API import'!$A:$A, $A1677)&gt;0))</f>
        <v>0</v>
      </c>
      <c r="D1677" s="195" t="b">
        <v>0</v>
      </c>
      <c r="E1677" s="195">
        <v>1.0</v>
      </c>
      <c r="F1677" s="201">
        <f>COUNTIF('Activity map'!$C:$C, $A1677)</f>
        <v>1</v>
      </c>
    </row>
    <row r="1678">
      <c r="A1678" s="26">
        <v>13392.0</v>
      </c>
      <c r="B1678" s="23" t="s">
        <v>1985</v>
      </c>
      <c r="C1678" s="202" t="b">
        <f>IF($D1678, TRUE, IF(ISERROR('API import'!$A$1), FALSE, COUNTIF('API import'!$A:$A, $A1678)&gt;0))</f>
        <v>0</v>
      </c>
      <c r="D1678" s="195" t="b">
        <v>0</v>
      </c>
      <c r="E1678" s="195">
        <v>2.0</v>
      </c>
      <c r="F1678" s="203">
        <f>COUNTIF('Activity map'!$C:$C, $A1678)</f>
        <v>2</v>
      </c>
    </row>
    <row r="1679">
      <c r="A1679" s="26">
        <v>23522.0</v>
      </c>
      <c r="B1679" s="23" t="s">
        <v>1986</v>
      </c>
      <c r="C1679" s="200" t="b">
        <f>IF($D1679, TRUE, IF(ISERROR('API import'!$A$1), FALSE, COUNTIF('API import'!$A:$A, $A1679)&gt;0))</f>
        <v>0</v>
      </c>
      <c r="D1679" s="195" t="b">
        <v>0</v>
      </c>
      <c r="E1679" s="195">
        <v>4.0</v>
      </c>
      <c r="F1679" s="201">
        <f>COUNTIF('Activity map'!$C:$C, $A1679)</f>
        <v>1</v>
      </c>
    </row>
    <row r="1680">
      <c r="A1680" s="26">
        <v>23943.0</v>
      </c>
      <c r="B1680" s="23" t="s">
        <v>1987</v>
      </c>
      <c r="C1680" s="202" t="b">
        <f>IF($D1680, TRUE, IF(ISERROR('API import'!$A$1), FALSE, COUNTIF('API import'!$A:$A, $A1680)&gt;0))</f>
        <v>0</v>
      </c>
      <c r="D1680" s="195" t="b">
        <v>0</v>
      </c>
      <c r="E1680" s="195">
        <v>4.0</v>
      </c>
      <c r="F1680" s="201">
        <f>COUNTIF('Activity map'!$C:$C, $A1680)</f>
        <v>1</v>
      </c>
    </row>
    <row r="1681">
      <c r="A1681" s="26">
        <v>24000.0</v>
      </c>
      <c r="B1681" s="23" t="s">
        <v>1988</v>
      </c>
      <c r="C1681" s="200" t="b">
        <f>IF($D1681, TRUE, IF(ISERROR('API import'!$A$1), FALSE, COUNTIF('API import'!$A:$A, $A1681)&gt;0))</f>
        <v>0</v>
      </c>
      <c r="D1681" s="195" t="b">
        <v>0</v>
      </c>
      <c r="E1681" s="195">
        <v>4.0</v>
      </c>
      <c r="F1681" s="201">
        <f>COUNTIF('Activity map'!$C:$C, $A1681)</f>
        <v>1</v>
      </c>
    </row>
    <row r="1682">
      <c r="A1682" s="26">
        <v>23959.0</v>
      </c>
      <c r="B1682" s="23" t="s">
        <v>1989</v>
      </c>
      <c r="C1682" s="200" t="b">
        <f>IF($D1682, TRUE, IF(ISERROR('API import'!$A$1), FALSE, COUNTIF('API import'!$A:$A, $A1682)&gt;0))</f>
        <v>0</v>
      </c>
      <c r="D1682" s="195" t="b">
        <v>0</v>
      </c>
      <c r="E1682" s="195">
        <v>5.0</v>
      </c>
      <c r="F1682" s="203">
        <f>COUNTIF('Activity map'!$C:$C, $A1682)</f>
        <v>2</v>
      </c>
    </row>
    <row r="1683">
      <c r="A1683" s="26">
        <v>24034.0</v>
      </c>
      <c r="B1683" s="23" t="s">
        <v>1990</v>
      </c>
      <c r="C1683" s="200" t="b">
        <f>IF($D1683, TRUE, IF(ISERROR('API import'!$A$1), FALSE, COUNTIF('API import'!$A:$A, $A1683)&gt;0))</f>
        <v>0</v>
      </c>
      <c r="D1683" s="195" t="b">
        <v>0</v>
      </c>
      <c r="E1683" s="195">
        <v>9.0</v>
      </c>
      <c r="F1683" s="201">
        <f>COUNTIF('Activity map'!$C:$C, $A1683)</f>
        <v>1</v>
      </c>
    </row>
    <row r="1684">
      <c r="A1684" s="26">
        <v>24037.0</v>
      </c>
      <c r="B1684" s="23" t="s">
        <v>1991</v>
      </c>
      <c r="C1684" s="200" t="b">
        <f>IF($D1684, TRUE, IF(ISERROR('API import'!$A$1), FALSE, COUNTIF('API import'!$A:$A, $A1684)&gt;0))</f>
        <v>0</v>
      </c>
      <c r="D1684" s="195" t="b">
        <v>0</v>
      </c>
      <c r="E1684" s="195">
        <v>9.0</v>
      </c>
      <c r="F1684" s="201">
        <f>COUNTIF('Activity map'!$C:$C, $A1684)</f>
        <v>1</v>
      </c>
    </row>
    <row r="1685">
      <c r="A1685" s="26">
        <v>24040.0</v>
      </c>
      <c r="B1685" s="23" t="s">
        <v>1992</v>
      </c>
      <c r="C1685" s="200" t="b">
        <f>IF($D1685, TRUE, IF(ISERROR('API import'!$A$1), FALSE, COUNTIF('API import'!$A:$A, $A1685)&gt;0))</f>
        <v>0</v>
      </c>
      <c r="D1685" s="195" t="b">
        <v>0</v>
      </c>
      <c r="E1685" s="195">
        <v>9.0</v>
      </c>
      <c r="F1685" s="201">
        <f>COUNTIF('Activity map'!$C:$C, $A1685)</f>
        <v>1</v>
      </c>
    </row>
    <row r="1686">
      <c r="A1686" s="26">
        <v>24046.0</v>
      </c>
      <c r="B1686" s="23" t="s">
        <v>1993</v>
      </c>
      <c r="C1686" s="200" t="b">
        <f>IF($D1686, TRUE, IF(ISERROR('API import'!$A$1), FALSE, COUNTIF('API import'!$A:$A, $A1686)&gt;0))</f>
        <v>0</v>
      </c>
      <c r="D1686" s="195" t="b">
        <v>0</v>
      </c>
      <c r="E1686" s="195">
        <v>9.0</v>
      </c>
      <c r="F1686" s="201">
        <f>COUNTIF('Activity map'!$C:$C, $A1686)</f>
        <v>1</v>
      </c>
    </row>
    <row r="1687">
      <c r="A1687" s="26">
        <v>24043.0</v>
      </c>
      <c r="B1687" s="23" t="s">
        <v>1994</v>
      </c>
      <c r="C1687" s="200" t="b">
        <f>IF($D1687, TRUE, IF(ISERROR('API import'!$A$1), FALSE, COUNTIF('API import'!$A:$A, $A1687)&gt;0))</f>
        <v>0</v>
      </c>
      <c r="D1687" s="195" t="b">
        <v>0</v>
      </c>
      <c r="E1687" s="195">
        <v>9.0</v>
      </c>
      <c r="F1687" s="201">
        <f>COUNTIF('Activity map'!$C:$C, $A1687)</f>
        <v>1</v>
      </c>
    </row>
    <row r="1688">
      <c r="A1688" s="26">
        <v>21649.0</v>
      </c>
      <c r="B1688" s="23" t="s">
        <v>1995</v>
      </c>
      <c r="C1688" s="200" t="b">
        <f>IF($D1688, TRUE, IF(ISERROR('API import'!$A$1), FALSE, COUNTIF('API import'!$A:$A, $A1688)&gt;0))</f>
        <v>0</v>
      </c>
      <c r="D1688" s="195" t="b">
        <v>0</v>
      </c>
      <c r="E1688" s="195">
        <v>4.0</v>
      </c>
      <c r="F1688" s="201">
        <f>COUNTIF('Activity map'!$C:$C, $A1688)</f>
        <v>1</v>
      </c>
    </row>
    <row r="1689">
      <c r="A1689" s="26">
        <v>25844.0</v>
      </c>
      <c r="B1689" s="23" t="s">
        <v>1996</v>
      </c>
      <c r="C1689" s="202" t="b">
        <f>IF($D1689, TRUE, IF(ISERROR('API import'!$A$1), FALSE, COUNTIF('API import'!$A:$A, $A1689)&gt;0))</f>
        <v>0</v>
      </c>
      <c r="D1689" s="195" t="b">
        <v>0</v>
      </c>
      <c r="E1689" s="195">
        <v>5.0</v>
      </c>
      <c r="F1689" s="203">
        <f>COUNTIF('Activity map'!$C:$C, $A1689)</f>
        <v>2</v>
      </c>
    </row>
    <row r="1690">
      <c r="A1690" s="26">
        <v>25846.0</v>
      </c>
      <c r="B1690" s="23" t="s">
        <v>1997</v>
      </c>
      <c r="C1690" s="202" t="b">
        <f>IF($D1690, TRUE, IF(ISERROR('API import'!$A$1), FALSE, COUNTIF('API import'!$A:$A, $A1690)&gt;0))</f>
        <v>0</v>
      </c>
      <c r="D1690" s="195" t="b">
        <v>0</v>
      </c>
      <c r="E1690" s="195">
        <v>5.0</v>
      </c>
      <c r="F1690" s="203">
        <f>COUNTIF('Activity map'!$C:$C, $A1690)</f>
        <v>2</v>
      </c>
    </row>
    <row r="1691">
      <c r="A1691" s="26">
        <v>28813.0</v>
      </c>
      <c r="B1691" s="23" t="s">
        <v>1998</v>
      </c>
      <c r="C1691" s="200" t="b">
        <f>IF($D1691, TRUE, IF(ISERROR('API import'!$A$1), FALSE, COUNTIF('API import'!$A:$A, $A1691)&gt;0))</f>
        <v>0</v>
      </c>
      <c r="D1691" s="195" t="b">
        <v>0</v>
      </c>
      <c r="E1691" s="195">
        <v>4.0</v>
      </c>
      <c r="F1691" s="201">
        <f>COUNTIF('Activity map'!$C:$C, $A1691)</f>
        <v>1</v>
      </c>
    </row>
    <row r="1692">
      <c r="A1692" s="26">
        <v>30324.0</v>
      </c>
      <c r="B1692" s="23" t="s">
        <v>1999</v>
      </c>
      <c r="C1692" s="200" t="b">
        <f>IF($D1692, TRUE, IF(ISERROR('API import'!$A$1), FALSE, COUNTIF('API import'!$A:$A, $A1692)&gt;0))</f>
        <v>0</v>
      </c>
      <c r="D1692" s="195" t="b">
        <v>0</v>
      </c>
      <c r="E1692" s="195">
        <v>4.0</v>
      </c>
      <c r="F1692" s="201">
        <f>COUNTIF('Activity map'!$C:$C, $A1692)</f>
        <v>1</v>
      </c>
    </row>
    <row r="1693">
      <c r="A1693" s="26">
        <v>30111.0</v>
      </c>
      <c r="B1693" s="23" t="s">
        <v>2000</v>
      </c>
      <c r="C1693" s="200" t="b">
        <f>IF($D1693, TRUE, IF(ISERROR('API import'!$A$1), FALSE, COUNTIF('API import'!$A:$A, $A1693)&gt;0))</f>
        <v>0</v>
      </c>
      <c r="D1693" s="195" t="b">
        <v>0</v>
      </c>
      <c r="E1693" s="195">
        <v>9.0</v>
      </c>
      <c r="F1693" s="201">
        <f>COUNTIF('Activity map'!$C:$C, $A1693)</f>
        <v>1</v>
      </c>
    </row>
    <row r="1694">
      <c r="A1694" s="26">
        <v>31572.0</v>
      </c>
      <c r="B1694" s="23" t="s">
        <v>2001</v>
      </c>
      <c r="C1694" s="200" t="b">
        <f>IF($D1694, TRUE, IF(ISERROR('API import'!$A$1), FALSE, COUNTIF('API import'!$A:$A, $A1694)&gt;0))</f>
        <v>0</v>
      </c>
      <c r="D1694" s="195" t="b">
        <v>0</v>
      </c>
      <c r="E1694" s="195">
        <v>4.0</v>
      </c>
      <c r="F1694" s="201">
        <f>COUNTIF('Activity map'!$C:$C, $A1694)</f>
        <v>1</v>
      </c>
    </row>
  </sheetData>
  <conditionalFormatting sqref="F3:F1694">
    <cfRule type="colorScale" priority="1">
      <colorScale>
        <cfvo type="formula" val="0"/>
        <cfvo type="formula" val="1"/>
        <cfvo type="formula" val="2"/>
        <color rgb="FFEA9999"/>
        <color rgb="FFB6D7A8"/>
        <color rgb="FFFFE599"/>
      </colorScale>
    </cfRule>
  </conditionalFormatting>
  <conditionalFormatting sqref="C3:C1694">
    <cfRule type="cellIs" dxfId="1" priority="2" operator="equal">
      <formula>"TRUE"</formula>
    </cfRule>
  </conditionalFormatting>
  <conditionalFormatting sqref="C3:C1694">
    <cfRule type="cellIs" dxfId="2" priority="3" operator="equal">
      <formula>"FALSE"</formula>
    </cfRule>
  </conditionalFormatting>
  <conditionalFormatting sqref="C3:C1694">
    <cfRule type="cellIs" dxfId="1" priority="4" operator="equal">
      <formula>"TRUE"</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63"/>
    <col customWidth="1" min="2" max="2" width="50.13"/>
    <col customWidth="1" min="3" max="3" width="12.63"/>
    <col customWidth="1" min="4" max="4" width="31.38"/>
    <col customWidth="1" min="5" max="5" width="10.13"/>
    <col customWidth="1" min="6" max="6" width="13.0"/>
    <col customWidth="1" min="7" max="7" width="15.38"/>
    <col customWidth="1" min="8" max="8" width="11.75"/>
    <col customWidth="1" min="9" max="9" width="11.5"/>
    <col customWidth="1" min="10" max="10" width="12.13"/>
    <col customWidth="1" min="11" max="11" width="20.63"/>
    <col customWidth="1" min="12" max="12" width="13.38"/>
    <col customWidth="1" min="13" max="13" width="16.63"/>
    <col customWidth="1" min="15" max="15" width="18.63"/>
  </cols>
  <sheetData>
    <row r="1">
      <c r="A1" s="205" t="s">
        <v>2002</v>
      </c>
      <c r="B1" s="206" t="s">
        <v>55</v>
      </c>
      <c r="C1" s="205" t="s">
        <v>394</v>
      </c>
      <c r="D1" s="205" t="s">
        <v>2003</v>
      </c>
      <c r="E1" s="205" t="s">
        <v>73</v>
      </c>
      <c r="F1" s="205" t="s">
        <v>396</v>
      </c>
      <c r="G1" s="205" t="s">
        <v>2004</v>
      </c>
      <c r="H1" s="205" t="s">
        <v>2005</v>
      </c>
      <c r="I1" s="205" t="s">
        <v>2006</v>
      </c>
      <c r="J1" s="205" t="s">
        <v>2007</v>
      </c>
      <c r="K1" s="205" t="s">
        <v>2008</v>
      </c>
      <c r="L1" s="205" t="s">
        <v>2009</v>
      </c>
      <c r="M1" s="205" t="s">
        <v>2010</v>
      </c>
      <c r="N1" s="205" t="s">
        <v>2011</v>
      </c>
      <c r="O1" s="205" t="s">
        <v>2012</v>
      </c>
    </row>
    <row r="2" ht="15.75" customHeight="1">
      <c r="A2" s="207">
        <v>1.0</v>
      </c>
      <c r="B2" s="6" t="str">
        <f>VLOOKUP($A2, 'Completion rates'!$A:$E, 2, FALSE)</f>
        <v>Killing abyssal sire (on task)</v>
      </c>
      <c r="C2" s="207">
        <v>13262.0</v>
      </c>
      <c r="D2" s="6" t="str">
        <f>VLOOKUP($C2, 'List of log slots'!$A:$E, 2, FALSE)</f>
        <v>Abyssal orphan</v>
      </c>
      <c r="E2" s="207">
        <f>VLOOKUP($C2, 'List of log slots'!$A:$E, 5, FALSE)</f>
        <v>7</v>
      </c>
      <c r="F2" s="208" t="b">
        <f>VLOOKUP(C2, 'List of log slots'!$A:$C, 3, FALSE)</f>
        <v>0</v>
      </c>
      <c r="G2" s="209" t="b">
        <f t="shared" ref="G2:G5" si="2">FALSE</f>
        <v>0</v>
      </c>
      <c r="H2" s="210" t="b">
        <f>NOT(F2)</f>
        <v>1</v>
      </c>
      <c r="I2" s="209" t="b">
        <f t="shared" ref="I2:J2" si="1">FALSE</f>
        <v>0</v>
      </c>
      <c r="J2" s="208" t="b">
        <f t="shared" si="1"/>
        <v>0</v>
      </c>
      <c r="K2" s="211">
        <v>2560.0</v>
      </c>
      <c r="L2" s="207" t="str">
        <f t="shared" ref="L2:L2487" si="3">IF(AND($I2, $J2), $K2, "n/a")</f>
        <v>n/a</v>
      </c>
      <c r="M2" s="212" t="str">
        <f t="shared" ref="M2:M2487" si="4">IF(AND($I2, NOT($J2)), $K2, "n/a")</f>
        <v>n/a</v>
      </c>
      <c r="N2" s="207" t="str">
        <f t="shared" ref="N2:N1858" si="5">IF(AND(NOT($I2), $J2), $K2, "n/a")</f>
        <v>n/a</v>
      </c>
      <c r="O2" s="207">
        <f t="shared" ref="O2:O1858" si="6">IF(AND(NOT($I2), NOT($J2)), 1/$K2, "n/a")</f>
        <v>0.000390625</v>
      </c>
    </row>
    <row r="3" ht="15.75" customHeight="1">
      <c r="A3" s="207">
        <v>1.0</v>
      </c>
      <c r="B3" s="6" t="str">
        <f>VLOOKUP($A3, 'Completion rates'!$A:$E, 2, FALSE)</f>
        <v>Killing abyssal sire (on task)</v>
      </c>
      <c r="C3" s="207">
        <v>25624.0</v>
      </c>
      <c r="D3" s="6" t="str">
        <f>VLOOKUP($C3, 'List of log slots'!$A:$E, 2, FALSE)</f>
        <v>Unsired</v>
      </c>
      <c r="E3" s="207">
        <f>VLOOKUP($C3, 'List of log slots'!$A:$E, 5, FALSE)</f>
        <v>5</v>
      </c>
      <c r="F3" s="213" t="b">
        <f>VLOOKUP(C3, 'List of log slots'!$A:$C, 3, FALSE)</f>
        <v>0</v>
      </c>
      <c r="G3" s="209" t="b">
        <f t="shared" si="2"/>
        <v>0</v>
      </c>
      <c r="H3" s="209" t="b">
        <f t="shared" ref="H3:H2487" si="7">AND(NOT(F3), OR(F2, NOT(G3)))</f>
        <v>1</v>
      </c>
      <c r="I3" s="209" t="b">
        <f t="shared" ref="I3:I29" si="8">FALSE</f>
        <v>0</v>
      </c>
      <c r="J3" s="213" t="b">
        <f>TRUE</f>
        <v>1</v>
      </c>
      <c r="K3" s="211">
        <v>100.0</v>
      </c>
      <c r="L3" s="212" t="str">
        <f t="shared" si="3"/>
        <v>n/a</v>
      </c>
      <c r="M3" s="212" t="str">
        <f t="shared" si="4"/>
        <v>n/a</v>
      </c>
      <c r="N3" s="207">
        <f t="shared" si="5"/>
        <v>100</v>
      </c>
      <c r="O3" s="207" t="str">
        <f t="shared" si="6"/>
        <v>n/a</v>
      </c>
    </row>
    <row r="4" ht="15.75" customHeight="1">
      <c r="A4" s="207">
        <v>1.0</v>
      </c>
      <c r="B4" s="6" t="str">
        <f>VLOOKUP($A4, 'Completion rates'!$A:$E, 2, FALSE)</f>
        <v>Killing abyssal sire (on task)</v>
      </c>
      <c r="C4" s="207">
        <v>7979.0</v>
      </c>
      <c r="D4" s="6" t="str">
        <f>VLOOKUP($C4, 'List of log slots'!$A:$E, 2, FALSE)</f>
        <v>Abyssal head</v>
      </c>
      <c r="E4" s="207">
        <f>VLOOKUP($C4, 'List of log slots'!$A:$E, 5, FALSE)</f>
        <v>5</v>
      </c>
      <c r="F4" s="213" t="b">
        <f>VLOOKUP(C4, 'List of log slots'!$A:$C, 3, FALSE)</f>
        <v>0</v>
      </c>
      <c r="G4" s="209" t="b">
        <f t="shared" si="2"/>
        <v>0</v>
      </c>
      <c r="H4" s="209" t="b">
        <f t="shared" si="7"/>
        <v>1</v>
      </c>
      <c r="I4" s="209" t="b">
        <f t="shared" si="8"/>
        <v>0</v>
      </c>
      <c r="J4" s="208" t="b">
        <f t="shared" ref="J4:J30" si="9">FALSE</f>
        <v>0</v>
      </c>
      <c r="K4" s="211">
        <v>1280.0</v>
      </c>
      <c r="L4" s="207" t="str">
        <f t="shared" si="3"/>
        <v>n/a</v>
      </c>
      <c r="M4" s="212" t="str">
        <f t="shared" si="4"/>
        <v>n/a</v>
      </c>
      <c r="N4" s="207" t="str">
        <f t="shared" si="5"/>
        <v>n/a</v>
      </c>
      <c r="O4" s="207">
        <f t="shared" si="6"/>
        <v>0.00078125</v>
      </c>
    </row>
    <row r="5" ht="15.75" customHeight="1">
      <c r="A5" s="207">
        <v>1.0</v>
      </c>
      <c r="B5" s="6" t="str">
        <f>VLOOKUP($A5, 'Completion rates'!$A:$E, 2, FALSE)</f>
        <v>Killing abyssal sire (on task)</v>
      </c>
      <c r="C5" s="207">
        <v>13274.0</v>
      </c>
      <c r="D5" s="6" t="str">
        <f>VLOOKUP($C5, 'List of log slots'!$A:$E, 2, FALSE)</f>
        <v>Bludgeon spine</v>
      </c>
      <c r="E5" s="207">
        <f>VLOOKUP($C5, 'List of log slots'!$A:$E, 5, FALSE)</f>
        <v>6</v>
      </c>
      <c r="F5" s="208" t="b">
        <f>VLOOKUP(C5, 'List of log slots'!$A:$C, 3, FALSE)</f>
        <v>0</v>
      </c>
      <c r="G5" s="209" t="b">
        <f t="shared" si="2"/>
        <v>0</v>
      </c>
      <c r="H5" s="210" t="b">
        <f t="shared" si="7"/>
        <v>1</v>
      </c>
      <c r="I5" s="209" t="b">
        <f t="shared" si="8"/>
        <v>0</v>
      </c>
      <c r="J5" s="208" t="b">
        <f t="shared" si="9"/>
        <v>0</v>
      </c>
      <c r="K5" s="211">
        <v>206.0</v>
      </c>
      <c r="L5" s="207" t="str">
        <f t="shared" si="3"/>
        <v>n/a</v>
      </c>
      <c r="M5" s="212" t="str">
        <f t="shared" si="4"/>
        <v>n/a</v>
      </c>
      <c r="N5" s="207" t="str">
        <f t="shared" si="5"/>
        <v>n/a</v>
      </c>
      <c r="O5" s="207">
        <f t="shared" si="6"/>
        <v>0.004854368932</v>
      </c>
    </row>
    <row r="6" ht="15.75" customHeight="1">
      <c r="A6" s="207">
        <v>1.0</v>
      </c>
      <c r="B6" s="6" t="str">
        <f>VLOOKUP($A6, 'Completion rates'!$A:$E, 2, FALSE)</f>
        <v>Killing abyssal sire (on task)</v>
      </c>
      <c r="C6" s="207">
        <v>13275.0</v>
      </c>
      <c r="D6" s="6" t="str">
        <f>VLOOKUP($C6, 'List of log slots'!$A:$E, 2, FALSE)</f>
        <v>Bludgeon claw</v>
      </c>
      <c r="E6" s="207">
        <f>VLOOKUP($C6, 'List of log slots'!$A:$E, 5, FALSE)</f>
        <v>6</v>
      </c>
      <c r="F6" s="208" t="b">
        <f>VLOOKUP(C6, 'List of log slots'!$A:$C, 3, FALSE)</f>
        <v>0</v>
      </c>
      <c r="G6" s="210" t="b">
        <f t="shared" ref="G6:G7" si="10">TRUE</f>
        <v>1</v>
      </c>
      <c r="H6" s="209" t="b">
        <f t="shared" si="7"/>
        <v>0</v>
      </c>
      <c r="I6" s="208" t="b">
        <f t="shared" si="8"/>
        <v>0</v>
      </c>
      <c r="J6" s="208" t="b">
        <f t="shared" si="9"/>
        <v>0</v>
      </c>
      <c r="K6" s="211">
        <v>206.0</v>
      </c>
      <c r="L6" s="207" t="str">
        <f t="shared" si="3"/>
        <v>n/a</v>
      </c>
      <c r="M6" s="212" t="str">
        <f t="shared" si="4"/>
        <v>n/a</v>
      </c>
      <c r="N6" s="207" t="str">
        <f t="shared" si="5"/>
        <v>n/a</v>
      </c>
      <c r="O6" s="207">
        <f t="shared" si="6"/>
        <v>0.004854368932</v>
      </c>
    </row>
    <row r="7" ht="15.75" customHeight="1">
      <c r="A7" s="207">
        <v>1.0</v>
      </c>
      <c r="B7" s="6" t="str">
        <f>VLOOKUP($A7, 'Completion rates'!$A:$E, 2, FALSE)</f>
        <v>Killing abyssal sire (on task)</v>
      </c>
      <c r="C7" s="207">
        <v>13276.0</v>
      </c>
      <c r="D7" s="6" t="str">
        <f>VLOOKUP($C7, 'List of log slots'!$A:$E, 2, FALSE)</f>
        <v>Bludgeon axon</v>
      </c>
      <c r="E7" s="207">
        <f>VLOOKUP($C7, 'List of log slots'!$A:$E, 5, FALSE)</f>
        <v>6</v>
      </c>
      <c r="F7" s="208" t="b">
        <f>VLOOKUP(C7, 'List of log slots'!$A:$C, 3, FALSE)</f>
        <v>0</v>
      </c>
      <c r="G7" s="210" t="b">
        <f t="shared" si="10"/>
        <v>1</v>
      </c>
      <c r="H7" s="209" t="b">
        <f t="shared" si="7"/>
        <v>0</v>
      </c>
      <c r="I7" s="208" t="b">
        <f t="shared" si="8"/>
        <v>0</v>
      </c>
      <c r="J7" s="208" t="b">
        <f t="shared" si="9"/>
        <v>0</v>
      </c>
      <c r="K7" s="211">
        <v>206.0</v>
      </c>
      <c r="L7" s="207" t="str">
        <f t="shared" si="3"/>
        <v>n/a</v>
      </c>
      <c r="M7" s="212" t="str">
        <f t="shared" si="4"/>
        <v>n/a</v>
      </c>
      <c r="N7" s="207" t="str">
        <f t="shared" si="5"/>
        <v>n/a</v>
      </c>
      <c r="O7" s="207">
        <f t="shared" si="6"/>
        <v>0.004854368932</v>
      </c>
    </row>
    <row r="8" ht="15.75" customHeight="1">
      <c r="A8" s="207">
        <v>1.0</v>
      </c>
      <c r="B8" s="6" t="str">
        <f>VLOOKUP($A8, 'Completion rates'!$A:$E, 2, FALSE)</f>
        <v>Killing abyssal sire (on task)</v>
      </c>
      <c r="C8" s="207">
        <v>13277.0</v>
      </c>
      <c r="D8" s="6" t="str">
        <f>VLOOKUP($C8, 'List of log slots'!$A:$E, 2, FALSE)</f>
        <v>Jar of miasma</v>
      </c>
      <c r="E8" s="207">
        <f>VLOOKUP($C8, 'List of log slots'!$A:$E, 5, FALSE)</f>
        <v>6</v>
      </c>
      <c r="F8" s="208" t="b">
        <f>VLOOKUP(C8, 'List of log slots'!$A:$C, 3, FALSE)</f>
        <v>0</v>
      </c>
      <c r="G8" s="209" t="b">
        <f t="shared" ref="G8:G17" si="11">FALSE</f>
        <v>0</v>
      </c>
      <c r="H8" s="210" t="b">
        <f t="shared" si="7"/>
        <v>1</v>
      </c>
      <c r="I8" s="209" t="b">
        <f t="shared" si="8"/>
        <v>0</v>
      </c>
      <c r="J8" s="208" t="b">
        <f t="shared" si="9"/>
        <v>0</v>
      </c>
      <c r="K8" s="211">
        <v>985.0</v>
      </c>
      <c r="L8" s="207" t="str">
        <f t="shared" si="3"/>
        <v>n/a</v>
      </c>
      <c r="M8" s="212" t="str">
        <f t="shared" si="4"/>
        <v>n/a</v>
      </c>
      <c r="N8" s="207" t="str">
        <f t="shared" si="5"/>
        <v>n/a</v>
      </c>
      <c r="O8" s="207">
        <f t="shared" si="6"/>
        <v>0.001015228426</v>
      </c>
    </row>
    <row r="9" ht="15.75" customHeight="1">
      <c r="A9" s="207">
        <v>1.0</v>
      </c>
      <c r="B9" s="6" t="str">
        <f>VLOOKUP($A9, 'Completion rates'!$A:$E, 2, FALSE)</f>
        <v>Killing abyssal sire (on task)</v>
      </c>
      <c r="C9" s="207">
        <v>13265.0</v>
      </c>
      <c r="D9" s="6" t="str">
        <f>VLOOKUP($C9, 'List of log slots'!$A:$E, 2, FALSE)</f>
        <v>Abyssal dagger</v>
      </c>
      <c r="E9" s="207">
        <f>VLOOKUP($C9, 'List of log slots'!$A:$E, 5, FALSE)</f>
        <v>6</v>
      </c>
      <c r="F9" s="208" t="b">
        <f>VLOOKUP(C9, 'List of log slots'!$A:$C, 3, FALSE)</f>
        <v>0</v>
      </c>
      <c r="G9" s="209" t="b">
        <f t="shared" si="11"/>
        <v>0</v>
      </c>
      <c r="H9" s="210" t="b">
        <f t="shared" si="7"/>
        <v>1</v>
      </c>
      <c r="I9" s="209" t="b">
        <f t="shared" si="8"/>
        <v>0</v>
      </c>
      <c r="J9" s="208" t="b">
        <f t="shared" si="9"/>
        <v>0</v>
      </c>
      <c r="K9" s="211">
        <v>492.0</v>
      </c>
      <c r="L9" s="207" t="str">
        <f t="shared" si="3"/>
        <v>n/a</v>
      </c>
      <c r="M9" s="212" t="str">
        <f t="shared" si="4"/>
        <v>n/a</v>
      </c>
      <c r="N9" s="207" t="str">
        <f t="shared" si="5"/>
        <v>n/a</v>
      </c>
      <c r="O9" s="207">
        <f t="shared" si="6"/>
        <v>0.002032520325</v>
      </c>
    </row>
    <row r="10" ht="15.75" customHeight="1">
      <c r="A10" s="207">
        <v>1.0</v>
      </c>
      <c r="B10" s="6" t="str">
        <f>VLOOKUP($A10, 'Completion rates'!$A:$E, 2, FALSE)</f>
        <v>Killing abyssal sire (on task)</v>
      </c>
      <c r="C10" s="207">
        <v>4151.0</v>
      </c>
      <c r="D10" s="6" t="str">
        <f>VLOOKUP($C10, 'List of log slots'!$A:$E, 2, FALSE)</f>
        <v>Abyssal whip</v>
      </c>
      <c r="E10" s="207">
        <f>VLOOKUP($C10, 'List of log slots'!$A:$E, 5, FALSE)</f>
        <v>5</v>
      </c>
      <c r="F10" s="208" t="b">
        <f>VLOOKUP(C10, 'List of log slots'!$A:$C, 3, FALSE)</f>
        <v>0</v>
      </c>
      <c r="G10" s="209" t="b">
        <f t="shared" si="11"/>
        <v>0</v>
      </c>
      <c r="H10" s="210" t="b">
        <f t="shared" si="7"/>
        <v>1</v>
      </c>
      <c r="I10" s="209" t="b">
        <f t="shared" si="8"/>
        <v>0</v>
      </c>
      <c r="J10" s="208" t="b">
        <f t="shared" si="9"/>
        <v>0</v>
      </c>
      <c r="K10" s="211">
        <v>1067.0</v>
      </c>
      <c r="L10" s="207" t="str">
        <f t="shared" si="3"/>
        <v>n/a</v>
      </c>
      <c r="M10" s="212" t="str">
        <f t="shared" si="4"/>
        <v>n/a</v>
      </c>
      <c r="N10" s="207" t="str">
        <f t="shared" si="5"/>
        <v>n/a</v>
      </c>
      <c r="O10" s="207">
        <f t="shared" si="6"/>
        <v>0.0009372071228</v>
      </c>
    </row>
    <row r="11" ht="15.75" customHeight="1">
      <c r="A11" s="207">
        <v>1.0</v>
      </c>
      <c r="B11" s="6" t="str">
        <f>VLOOKUP($A11, 'Completion rates'!$A:$E, 2, FALSE)</f>
        <v>Killing abyssal sire (on task)</v>
      </c>
      <c r="C11" s="207">
        <v>2366.0</v>
      </c>
      <c r="D11" s="6" t="str">
        <f>VLOOKUP($C11, 'List of log slots'!$A:$E, 2, FALSE)</f>
        <v>Shield left half</v>
      </c>
      <c r="E11" s="207">
        <f>VLOOKUP($C11, 'List of log slots'!$A:$E, 5, FALSE)</f>
        <v>5</v>
      </c>
      <c r="F11" s="213" t="b">
        <f>VLOOKUP(C11, 'List of log slots'!$A:$C, 3, FALSE)</f>
        <v>0</v>
      </c>
      <c r="G11" s="209" t="b">
        <f t="shared" si="11"/>
        <v>0</v>
      </c>
      <c r="H11" s="209" t="b">
        <f t="shared" si="7"/>
        <v>1</v>
      </c>
      <c r="I11" s="209" t="b">
        <f t="shared" si="8"/>
        <v>0</v>
      </c>
      <c r="J11" s="208" t="b">
        <f t="shared" si="9"/>
        <v>0</v>
      </c>
      <c r="K11" s="211">
        <v>12522.0</v>
      </c>
      <c r="L11" s="207" t="str">
        <f t="shared" si="3"/>
        <v>n/a</v>
      </c>
      <c r="M11" s="212" t="str">
        <f t="shared" si="4"/>
        <v>n/a</v>
      </c>
      <c r="N11" s="207" t="str">
        <f t="shared" si="5"/>
        <v>n/a</v>
      </c>
      <c r="O11" s="207">
        <f t="shared" si="6"/>
        <v>0.00007985944737</v>
      </c>
    </row>
    <row r="12" ht="15.75" customHeight="1">
      <c r="A12" s="207">
        <v>1.0</v>
      </c>
      <c r="B12" s="6" t="str">
        <f>VLOOKUP($A12, 'Completion rates'!$A:$E, 2, FALSE)</f>
        <v>Killing abyssal sire (on task)</v>
      </c>
      <c r="C12" s="207">
        <v>1249.0</v>
      </c>
      <c r="D12" s="6" t="str">
        <f>VLOOKUP($C12, 'List of log slots'!$A:$E, 2, FALSE)</f>
        <v>Dragon spear</v>
      </c>
      <c r="E12" s="207">
        <f>VLOOKUP($C12, 'List of log slots'!$A:$E, 5, FALSE)</f>
        <v>5</v>
      </c>
      <c r="F12" s="213" t="b">
        <f>VLOOKUP(C12, 'List of log slots'!$A:$C, 3, FALSE)</f>
        <v>0</v>
      </c>
      <c r="G12" s="209" t="b">
        <f t="shared" si="11"/>
        <v>0</v>
      </c>
      <c r="H12" s="209" t="b">
        <f t="shared" si="7"/>
        <v>1</v>
      </c>
      <c r="I12" s="209" t="b">
        <f t="shared" si="8"/>
        <v>0</v>
      </c>
      <c r="J12" s="208" t="b">
        <f t="shared" si="9"/>
        <v>0</v>
      </c>
      <c r="K12" s="211">
        <v>16696.0</v>
      </c>
      <c r="L12" s="207" t="str">
        <f t="shared" si="3"/>
        <v>n/a</v>
      </c>
      <c r="M12" s="212" t="str">
        <f t="shared" si="4"/>
        <v>n/a</v>
      </c>
      <c r="N12" s="207" t="str">
        <f t="shared" si="5"/>
        <v>n/a</v>
      </c>
      <c r="O12" s="207">
        <f t="shared" si="6"/>
        <v>0.00005989458553</v>
      </c>
    </row>
    <row r="13" ht="15.75" customHeight="1">
      <c r="A13" s="207">
        <v>2.0</v>
      </c>
      <c r="B13" s="6" t="str">
        <f>VLOOKUP($A13, 'Completion rates'!$A:$E, 2, FALSE)</f>
        <v>Killing alchemical hydra (on task)</v>
      </c>
      <c r="C13" s="207">
        <v>22746.0</v>
      </c>
      <c r="D13" s="6" t="str">
        <f>VLOOKUP($C13, 'List of log slots'!$A:$E, 2, FALSE)</f>
        <v>Ikkle hydra</v>
      </c>
      <c r="E13" s="207">
        <f>VLOOKUP($C13, 'List of log slots'!$A:$E, 5, FALSE)</f>
        <v>7</v>
      </c>
      <c r="F13" s="208" t="b">
        <f>VLOOKUP(C13, 'List of log slots'!$A:$C, 3, FALSE)</f>
        <v>0</v>
      </c>
      <c r="G13" s="209" t="b">
        <f t="shared" si="11"/>
        <v>0</v>
      </c>
      <c r="H13" s="210" t="b">
        <f t="shared" si="7"/>
        <v>1</v>
      </c>
      <c r="I13" s="209" t="b">
        <f t="shared" si="8"/>
        <v>0</v>
      </c>
      <c r="J13" s="208" t="b">
        <f t="shared" si="9"/>
        <v>0</v>
      </c>
      <c r="K13" s="211">
        <v>3000.0</v>
      </c>
      <c r="L13" s="207" t="str">
        <f t="shared" si="3"/>
        <v>n/a</v>
      </c>
      <c r="M13" s="212" t="str">
        <f t="shared" si="4"/>
        <v>n/a</v>
      </c>
      <c r="N13" s="207" t="str">
        <f t="shared" si="5"/>
        <v>n/a</v>
      </c>
      <c r="O13" s="207">
        <f t="shared" si="6"/>
        <v>0.0003333333333</v>
      </c>
    </row>
    <row r="14" ht="15.75" customHeight="1">
      <c r="A14" s="207">
        <v>2.0</v>
      </c>
      <c r="B14" s="6" t="str">
        <f>VLOOKUP($A14, 'Completion rates'!$A:$E, 2, FALSE)</f>
        <v>Killing alchemical hydra (on task)</v>
      </c>
      <c r="C14" s="207">
        <v>22966.0</v>
      </c>
      <c r="D14" s="6" t="str">
        <f>VLOOKUP($C14, 'List of log slots'!$A:$E, 2, FALSE)</f>
        <v>Hydra's claw</v>
      </c>
      <c r="E14" s="207">
        <f>VLOOKUP($C14, 'List of log slots'!$A:$E, 5, FALSE)</f>
        <v>6</v>
      </c>
      <c r="F14" s="208" t="b">
        <f>VLOOKUP(C14, 'List of log slots'!$A:$C, 3, FALSE)</f>
        <v>0</v>
      </c>
      <c r="G14" s="209" t="b">
        <f t="shared" si="11"/>
        <v>0</v>
      </c>
      <c r="H14" s="210" t="b">
        <f t="shared" si="7"/>
        <v>1</v>
      </c>
      <c r="I14" s="209" t="b">
        <f t="shared" si="8"/>
        <v>0</v>
      </c>
      <c r="J14" s="208" t="b">
        <f t="shared" si="9"/>
        <v>0</v>
      </c>
      <c r="K14" s="211">
        <v>1001.0</v>
      </c>
      <c r="L14" s="207" t="str">
        <f t="shared" si="3"/>
        <v>n/a</v>
      </c>
      <c r="M14" s="212" t="str">
        <f t="shared" si="4"/>
        <v>n/a</v>
      </c>
      <c r="N14" s="207" t="str">
        <f t="shared" si="5"/>
        <v>n/a</v>
      </c>
      <c r="O14" s="207">
        <f t="shared" si="6"/>
        <v>0.000999000999</v>
      </c>
    </row>
    <row r="15" ht="15.75" customHeight="1">
      <c r="A15" s="207">
        <v>2.0</v>
      </c>
      <c r="B15" s="6" t="str">
        <f>VLOOKUP($A15, 'Completion rates'!$A:$E, 2, FALSE)</f>
        <v>Killing alchemical hydra (on task)</v>
      </c>
      <c r="C15" s="207">
        <v>22988.0</v>
      </c>
      <c r="D15" s="6" t="str">
        <f>VLOOKUP($C15, 'List of log slots'!$A:$E, 2, FALSE)</f>
        <v>Hydra's tail</v>
      </c>
      <c r="E15" s="207">
        <f>VLOOKUP($C15, 'List of log slots'!$A:$E, 5, FALSE)</f>
        <v>6</v>
      </c>
      <c r="F15" s="208" t="b">
        <f>VLOOKUP(C15, 'List of log slots'!$A:$C, 3, FALSE)</f>
        <v>0</v>
      </c>
      <c r="G15" s="209" t="b">
        <f t="shared" si="11"/>
        <v>0</v>
      </c>
      <c r="H15" s="210" t="b">
        <f t="shared" si="7"/>
        <v>1</v>
      </c>
      <c r="I15" s="209" t="b">
        <f t="shared" si="8"/>
        <v>0</v>
      </c>
      <c r="J15" s="208" t="b">
        <f t="shared" si="9"/>
        <v>0</v>
      </c>
      <c r="K15" s="211">
        <v>513.0</v>
      </c>
      <c r="L15" s="207" t="str">
        <f t="shared" si="3"/>
        <v>n/a</v>
      </c>
      <c r="M15" s="212" t="str">
        <f t="shared" si="4"/>
        <v>n/a</v>
      </c>
      <c r="N15" s="207" t="str">
        <f t="shared" si="5"/>
        <v>n/a</v>
      </c>
      <c r="O15" s="207">
        <f t="shared" si="6"/>
        <v>0.001949317739</v>
      </c>
    </row>
    <row r="16" ht="15.75" customHeight="1">
      <c r="A16" s="207">
        <v>2.0</v>
      </c>
      <c r="B16" s="6" t="str">
        <f>VLOOKUP($A16, 'Completion rates'!$A:$E, 2, FALSE)</f>
        <v>Killing alchemical hydra (on task)</v>
      </c>
      <c r="C16" s="207">
        <v>22983.0</v>
      </c>
      <c r="D16" s="6" t="str">
        <f>VLOOKUP($C16, 'List of log slots'!$A:$E, 2, FALSE)</f>
        <v>Hydra leather</v>
      </c>
      <c r="E16" s="207">
        <f>VLOOKUP($C16, 'List of log slots'!$A:$E, 5, FALSE)</f>
        <v>6</v>
      </c>
      <c r="F16" s="208" t="b">
        <f>VLOOKUP(C16, 'List of log slots'!$A:$C, 3, FALSE)</f>
        <v>0</v>
      </c>
      <c r="G16" s="209" t="b">
        <f t="shared" si="11"/>
        <v>0</v>
      </c>
      <c r="H16" s="210" t="b">
        <f t="shared" si="7"/>
        <v>1</v>
      </c>
      <c r="I16" s="209" t="b">
        <f t="shared" si="8"/>
        <v>0</v>
      </c>
      <c r="J16" s="208" t="b">
        <f t="shared" si="9"/>
        <v>0</v>
      </c>
      <c r="K16" s="211">
        <v>514.0</v>
      </c>
      <c r="L16" s="207" t="str">
        <f t="shared" si="3"/>
        <v>n/a</v>
      </c>
      <c r="M16" s="212" t="str">
        <f t="shared" si="4"/>
        <v>n/a</v>
      </c>
      <c r="N16" s="207" t="str">
        <f t="shared" si="5"/>
        <v>n/a</v>
      </c>
      <c r="O16" s="207">
        <f t="shared" si="6"/>
        <v>0.001945525292</v>
      </c>
    </row>
    <row r="17" ht="15.75" customHeight="1">
      <c r="A17" s="207">
        <v>2.0</v>
      </c>
      <c r="B17" s="6" t="str">
        <f>VLOOKUP($A17, 'Completion rates'!$A:$E, 2, FALSE)</f>
        <v>Killing alchemical hydra (on task)</v>
      </c>
      <c r="C17" s="207">
        <v>22971.0</v>
      </c>
      <c r="D17" s="6" t="str">
        <f>VLOOKUP($C17, 'List of log slots'!$A:$E, 2, FALSE)</f>
        <v>Hydra's fang</v>
      </c>
      <c r="E17" s="207">
        <f>VLOOKUP($C17, 'List of log slots'!$A:$E, 5, FALSE)</f>
        <v>5</v>
      </c>
      <c r="F17" s="208" t="b">
        <f>VLOOKUP(C17, 'List of log slots'!$A:$C, 3, FALSE)</f>
        <v>0</v>
      </c>
      <c r="G17" s="209" t="b">
        <f t="shared" si="11"/>
        <v>0</v>
      </c>
      <c r="H17" s="210" t="b">
        <f t="shared" si="7"/>
        <v>1</v>
      </c>
      <c r="I17" s="209" t="b">
        <f t="shared" si="8"/>
        <v>0</v>
      </c>
      <c r="J17" s="208" t="b">
        <f t="shared" si="9"/>
        <v>0</v>
      </c>
      <c r="K17" s="211">
        <v>181.0</v>
      </c>
      <c r="L17" s="207" t="str">
        <f t="shared" si="3"/>
        <v>n/a</v>
      </c>
      <c r="M17" s="212" t="str">
        <f t="shared" si="4"/>
        <v>n/a</v>
      </c>
      <c r="N17" s="207" t="str">
        <f t="shared" si="5"/>
        <v>n/a</v>
      </c>
      <c r="O17" s="207">
        <f t="shared" si="6"/>
        <v>0.005524861878</v>
      </c>
    </row>
    <row r="18" ht="15.75" customHeight="1">
      <c r="A18" s="207">
        <v>2.0</v>
      </c>
      <c r="B18" s="6" t="str">
        <f>VLOOKUP($A18, 'Completion rates'!$A:$E, 2, FALSE)</f>
        <v>Killing alchemical hydra (on task)</v>
      </c>
      <c r="C18" s="207">
        <v>22973.0</v>
      </c>
      <c r="D18" s="6" t="str">
        <f>VLOOKUP($C18, 'List of log slots'!$A:$E, 2, FALSE)</f>
        <v>Hydra's eye</v>
      </c>
      <c r="E18" s="207">
        <f>VLOOKUP($C18, 'List of log slots'!$A:$E, 5, FALSE)</f>
        <v>5</v>
      </c>
      <c r="F18" s="208" t="b">
        <f>VLOOKUP(C18, 'List of log slots'!$A:$C, 3, FALSE)</f>
        <v>0</v>
      </c>
      <c r="G18" s="210" t="b">
        <f t="shared" ref="G18:G19" si="12">TRUE</f>
        <v>1</v>
      </c>
      <c r="H18" s="209" t="b">
        <f t="shared" si="7"/>
        <v>0</v>
      </c>
      <c r="I18" s="208" t="b">
        <f t="shared" si="8"/>
        <v>0</v>
      </c>
      <c r="J18" s="208" t="b">
        <f t="shared" si="9"/>
        <v>0</v>
      </c>
      <c r="K18" s="211">
        <v>181.0</v>
      </c>
      <c r="L18" s="207" t="str">
        <f t="shared" si="3"/>
        <v>n/a</v>
      </c>
      <c r="M18" s="212" t="str">
        <f t="shared" si="4"/>
        <v>n/a</v>
      </c>
      <c r="N18" s="207" t="str">
        <f t="shared" si="5"/>
        <v>n/a</v>
      </c>
      <c r="O18" s="207">
        <f t="shared" si="6"/>
        <v>0.005524861878</v>
      </c>
    </row>
    <row r="19" ht="15.75" customHeight="1">
      <c r="A19" s="207">
        <v>2.0</v>
      </c>
      <c r="B19" s="6" t="str">
        <f>VLOOKUP($A19, 'Completion rates'!$A:$E, 2, FALSE)</f>
        <v>Killing alchemical hydra (on task)</v>
      </c>
      <c r="C19" s="207">
        <v>22969.0</v>
      </c>
      <c r="D19" s="6" t="str">
        <f>VLOOKUP($C19, 'List of log slots'!$A:$E, 2, FALSE)</f>
        <v>Hydra's heart</v>
      </c>
      <c r="E19" s="207">
        <f>VLOOKUP($C19, 'List of log slots'!$A:$E, 5, FALSE)</f>
        <v>5</v>
      </c>
      <c r="F19" s="208" t="b">
        <f>VLOOKUP(C19, 'List of log slots'!$A:$C, 3, FALSE)</f>
        <v>0</v>
      </c>
      <c r="G19" s="210" t="b">
        <f t="shared" si="12"/>
        <v>1</v>
      </c>
      <c r="H19" s="209" t="b">
        <f t="shared" si="7"/>
        <v>0</v>
      </c>
      <c r="I19" s="208" t="b">
        <f t="shared" si="8"/>
        <v>0</v>
      </c>
      <c r="J19" s="208" t="b">
        <f t="shared" si="9"/>
        <v>0</v>
      </c>
      <c r="K19" s="211">
        <v>181.0</v>
      </c>
      <c r="L19" s="207" t="str">
        <f t="shared" si="3"/>
        <v>n/a</v>
      </c>
      <c r="M19" s="212" t="str">
        <f t="shared" si="4"/>
        <v>n/a</v>
      </c>
      <c r="N19" s="207" t="str">
        <f t="shared" si="5"/>
        <v>n/a</v>
      </c>
      <c r="O19" s="207">
        <f t="shared" si="6"/>
        <v>0.005524861878</v>
      </c>
    </row>
    <row r="20" ht="15.75" customHeight="1">
      <c r="A20" s="207">
        <v>2.0</v>
      </c>
      <c r="B20" s="6" t="str">
        <f>VLOOKUP($A20, 'Completion rates'!$A:$E, 2, FALSE)</f>
        <v>Killing alchemical hydra (on task)</v>
      </c>
      <c r="C20" s="207">
        <v>22804.0</v>
      </c>
      <c r="D20" s="6" t="str">
        <f>VLOOKUP($C20, 'List of log slots'!$A:$E, 2, FALSE)</f>
        <v>Dragon knife</v>
      </c>
      <c r="E20" s="207">
        <f>VLOOKUP($C20, 'List of log slots'!$A:$E, 5, FALSE)</f>
        <v>5</v>
      </c>
      <c r="F20" s="213" t="b">
        <f>VLOOKUP(C20, 'List of log slots'!$A:$C, 3, FALSE)</f>
        <v>0</v>
      </c>
      <c r="G20" s="209" t="b">
        <f t="shared" ref="G20:G40" si="13">FALSE</f>
        <v>0</v>
      </c>
      <c r="H20" s="209" t="b">
        <f t="shared" si="7"/>
        <v>1</v>
      </c>
      <c r="I20" s="209" t="b">
        <f t="shared" si="8"/>
        <v>0</v>
      </c>
      <c r="J20" s="208" t="b">
        <f t="shared" si="9"/>
        <v>0</v>
      </c>
      <c r="K20" s="211">
        <v>2001.0</v>
      </c>
      <c r="L20" s="207" t="str">
        <f t="shared" si="3"/>
        <v>n/a</v>
      </c>
      <c r="M20" s="212" t="str">
        <f t="shared" si="4"/>
        <v>n/a</v>
      </c>
      <c r="N20" s="207" t="str">
        <f t="shared" si="5"/>
        <v>n/a</v>
      </c>
      <c r="O20" s="207">
        <f t="shared" si="6"/>
        <v>0.0004997501249</v>
      </c>
    </row>
    <row r="21" ht="15.75" customHeight="1">
      <c r="A21" s="207">
        <v>2.0</v>
      </c>
      <c r="B21" s="6" t="str">
        <f>VLOOKUP($A21, 'Completion rates'!$A:$E, 2, FALSE)</f>
        <v>Killing alchemical hydra (on task)</v>
      </c>
      <c r="C21" s="207">
        <v>20849.0</v>
      </c>
      <c r="D21" s="6" t="str">
        <f>VLOOKUP($C21, 'List of log slots'!$A:$E, 2, FALSE)</f>
        <v>Dragon thrownaxe</v>
      </c>
      <c r="E21" s="207">
        <f>VLOOKUP($C21, 'List of log slots'!$A:$E, 5, FALSE)</f>
        <v>5</v>
      </c>
      <c r="F21" s="208" t="b">
        <f>VLOOKUP(C21, 'List of log slots'!$A:$C, 3, FALSE)</f>
        <v>0</v>
      </c>
      <c r="G21" s="209" t="b">
        <f t="shared" si="13"/>
        <v>0</v>
      </c>
      <c r="H21" s="210" t="b">
        <f t="shared" si="7"/>
        <v>1</v>
      </c>
      <c r="I21" s="209" t="b">
        <f t="shared" si="8"/>
        <v>0</v>
      </c>
      <c r="J21" s="208" t="b">
        <f t="shared" si="9"/>
        <v>0</v>
      </c>
      <c r="K21" s="211">
        <v>2000.0</v>
      </c>
      <c r="L21" s="207" t="str">
        <f t="shared" si="3"/>
        <v>n/a</v>
      </c>
      <c r="M21" s="212" t="str">
        <f t="shared" si="4"/>
        <v>n/a</v>
      </c>
      <c r="N21" s="207" t="str">
        <f t="shared" si="5"/>
        <v>n/a</v>
      </c>
      <c r="O21" s="207">
        <f t="shared" si="6"/>
        <v>0.0005</v>
      </c>
    </row>
    <row r="22" ht="15.75" customHeight="1">
      <c r="A22" s="207">
        <v>2.0</v>
      </c>
      <c r="B22" s="6" t="str">
        <f>VLOOKUP($A22, 'Completion rates'!$A:$E, 2, FALSE)</f>
        <v>Killing alchemical hydra (on task)</v>
      </c>
      <c r="C22" s="207">
        <v>23064.0</v>
      </c>
      <c r="D22" s="6" t="str">
        <f>VLOOKUP($C22, 'List of log slots'!$A:$E, 2, FALSE)</f>
        <v>Jar of chemicals</v>
      </c>
      <c r="E22" s="207">
        <f>VLOOKUP($C22, 'List of log slots'!$A:$E, 5, FALSE)</f>
        <v>7</v>
      </c>
      <c r="F22" s="208" t="b">
        <f>VLOOKUP(C22, 'List of log slots'!$A:$C, 3, FALSE)</f>
        <v>0</v>
      </c>
      <c r="G22" s="209" t="b">
        <f t="shared" si="13"/>
        <v>0</v>
      </c>
      <c r="H22" s="210" t="b">
        <f t="shared" si="7"/>
        <v>1</v>
      </c>
      <c r="I22" s="209" t="b">
        <f t="shared" si="8"/>
        <v>0</v>
      </c>
      <c r="J22" s="208" t="b">
        <f t="shared" si="9"/>
        <v>0</v>
      </c>
      <c r="K22" s="211">
        <v>2000.0</v>
      </c>
      <c r="L22" s="207" t="str">
        <f t="shared" si="3"/>
        <v>n/a</v>
      </c>
      <c r="M22" s="212" t="str">
        <f t="shared" si="4"/>
        <v>n/a</v>
      </c>
      <c r="N22" s="207" t="str">
        <f t="shared" si="5"/>
        <v>n/a</v>
      </c>
      <c r="O22" s="207">
        <f t="shared" si="6"/>
        <v>0.0005</v>
      </c>
    </row>
    <row r="23" ht="15.75" customHeight="1">
      <c r="A23" s="207">
        <v>2.0</v>
      </c>
      <c r="B23" s="6" t="str">
        <f>VLOOKUP($A23, 'Completion rates'!$A:$E, 2, FALSE)</f>
        <v>Killing alchemical hydra (on task)</v>
      </c>
      <c r="C23" s="207">
        <v>23077.0</v>
      </c>
      <c r="D23" s="6" t="str">
        <f>VLOOKUP($C23, 'List of log slots'!$A:$E, 2, FALSE)</f>
        <v>Alchemical hydra heads</v>
      </c>
      <c r="E23" s="207">
        <f>VLOOKUP($C23, 'List of log slots'!$A:$E, 5, FALSE)</f>
        <v>5</v>
      </c>
      <c r="F23" s="213" t="b">
        <f>VLOOKUP(C23, 'List of log slots'!$A:$C, 3, FALSE)</f>
        <v>0</v>
      </c>
      <c r="G23" s="209" t="b">
        <f t="shared" si="13"/>
        <v>0</v>
      </c>
      <c r="H23" s="209" t="b">
        <f t="shared" si="7"/>
        <v>1</v>
      </c>
      <c r="I23" s="209" t="b">
        <f t="shared" si="8"/>
        <v>0</v>
      </c>
      <c r="J23" s="208" t="b">
        <f t="shared" si="9"/>
        <v>0</v>
      </c>
      <c r="K23" s="211">
        <v>256.0</v>
      </c>
      <c r="L23" s="207" t="str">
        <f t="shared" si="3"/>
        <v>n/a</v>
      </c>
      <c r="M23" s="212" t="str">
        <f t="shared" si="4"/>
        <v>n/a</v>
      </c>
      <c r="N23" s="207" t="str">
        <f t="shared" si="5"/>
        <v>n/a</v>
      </c>
      <c r="O23" s="207">
        <f t="shared" si="6"/>
        <v>0.00390625</v>
      </c>
    </row>
    <row r="24" ht="15.75" customHeight="1">
      <c r="A24" s="207">
        <v>2.0</v>
      </c>
      <c r="B24" s="6" t="str">
        <f>VLOOKUP($A24, 'Completion rates'!$A:$E, 2, FALSE)</f>
        <v>Killing alchemical hydra (on task)</v>
      </c>
      <c r="C24" s="207">
        <v>4111.0</v>
      </c>
      <c r="D24" s="6" t="str">
        <f>VLOOKUP($C24, 'List of log slots'!$A:$E, 2, FALSE)</f>
        <v>Mystic robe top (light)</v>
      </c>
      <c r="E24" s="207">
        <f>VLOOKUP($C24, 'List of log slots'!$A:$E, 5, FALSE)</f>
        <v>4</v>
      </c>
      <c r="F24" s="213" t="b">
        <f>VLOOKUP(C24, 'List of log slots'!$A:$C, 3, FALSE)</f>
        <v>0</v>
      </c>
      <c r="G24" s="209" t="b">
        <f t="shared" si="13"/>
        <v>0</v>
      </c>
      <c r="H24" s="209" t="b">
        <f t="shared" si="7"/>
        <v>1</v>
      </c>
      <c r="I24" s="209" t="b">
        <f t="shared" si="8"/>
        <v>0</v>
      </c>
      <c r="J24" s="208" t="b">
        <f t="shared" si="9"/>
        <v>0</v>
      </c>
      <c r="K24" s="211">
        <v>50.0</v>
      </c>
      <c r="L24" s="207" t="str">
        <f t="shared" si="3"/>
        <v>n/a</v>
      </c>
      <c r="M24" s="212" t="str">
        <f t="shared" si="4"/>
        <v>n/a</v>
      </c>
      <c r="N24" s="207" t="str">
        <f t="shared" si="5"/>
        <v>n/a</v>
      </c>
      <c r="O24" s="207">
        <f t="shared" si="6"/>
        <v>0.02</v>
      </c>
    </row>
    <row r="25" ht="15.75" customHeight="1">
      <c r="A25" s="207">
        <v>2.0</v>
      </c>
      <c r="B25" s="6" t="str">
        <f>VLOOKUP($A25, 'Completion rates'!$A:$E, 2, FALSE)</f>
        <v>Killing alchemical hydra (on task)</v>
      </c>
      <c r="C25" s="207">
        <v>4113.0</v>
      </c>
      <c r="D25" s="6" t="str">
        <f>VLOOKUP($C25, 'List of log slots'!$A:$E, 2, FALSE)</f>
        <v>Mystic robe bottom (light)</v>
      </c>
      <c r="E25" s="207">
        <f>VLOOKUP($C25, 'List of log slots'!$A:$E, 5, FALSE)</f>
        <v>4</v>
      </c>
      <c r="F25" s="213" t="b">
        <f>VLOOKUP(C25, 'List of log slots'!$A:$C, 3, FALSE)</f>
        <v>0</v>
      </c>
      <c r="G25" s="209" t="b">
        <f t="shared" si="13"/>
        <v>0</v>
      </c>
      <c r="H25" s="209" t="b">
        <f t="shared" si="7"/>
        <v>1</v>
      </c>
      <c r="I25" s="209" t="b">
        <f t="shared" si="8"/>
        <v>0</v>
      </c>
      <c r="J25" s="208" t="b">
        <f t="shared" si="9"/>
        <v>0</v>
      </c>
      <c r="K25" s="211">
        <v>50.0</v>
      </c>
      <c r="L25" s="207" t="str">
        <f t="shared" si="3"/>
        <v>n/a</v>
      </c>
      <c r="M25" s="212" t="str">
        <f t="shared" si="4"/>
        <v>n/a</v>
      </c>
      <c r="N25" s="207" t="str">
        <f t="shared" si="5"/>
        <v>n/a</v>
      </c>
      <c r="O25" s="207">
        <f t="shared" si="6"/>
        <v>0.02</v>
      </c>
    </row>
    <row r="26" ht="15.75" customHeight="1">
      <c r="A26" s="207">
        <v>2.0</v>
      </c>
      <c r="B26" s="6" t="str">
        <f>VLOOKUP($A26, 'Completion rates'!$A:$E, 2, FALSE)</f>
        <v>Killing alchemical hydra (on task)</v>
      </c>
      <c r="C26" s="207">
        <v>2366.0</v>
      </c>
      <c r="D26" s="6" t="str">
        <f>VLOOKUP($C26, 'List of log slots'!$A:$E, 2, FALSE)</f>
        <v>Shield left half</v>
      </c>
      <c r="E26" s="207">
        <f>VLOOKUP($C26, 'List of log slots'!$A:$E, 5, FALSE)</f>
        <v>5</v>
      </c>
      <c r="F26" s="213" t="b">
        <f>VLOOKUP(C26, 'List of log slots'!$A:$C, 3, FALSE)</f>
        <v>0</v>
      </c>
      <c r="G26" s="209" t="b">
        <f t="shared" si="13"/>
        <v>0</v>
      </c>
      <c r="H26" s="209" t="b">
        <f t="shared" si="7"/>
        <v>1</v>
      </c>
      <c r="I26" s="209" t="b">
        <f t="shared" si="8"/>
        <v>0</v>
      </c>
      <c r="J26" s="208" t="b">
        <f t="shared" si="9"/>
        <v>0</v>
      </c>
      <c r="K26" s="211">
        <v>13647.0</v>
      </c>
      <c r="L26" s="207" t="str">
        <f t="shared" si="3"/>
        <v>n/a</v>
      </c>
      <c r="M26" s="212" t="str">
        <f t="shared" si="4"/>
        <v>n/a</v>
      </c>
      <c r="N26" s="207" t="str">
        <f t="shared" si="5"/>
        <v>n/a</v>
      </c>
      <c r="O26" s="207">
        <f t="shared" si="6"/>
        <v>0.00007327617791</v>
      </c>
    </row>
    <row r="27" ht="15.75" customHeight="1">
      <c r="A27" s="207">
        <v>2.0</v>
      </c>
      <c r="B27" s="6" t="str">
        <f>VLOOKUP($A27, 'Completion rates'!$A:$E, 2, FALSE)</f>
        <v>Killing alchemical hydra (on task)</v>
      </c>
      <c r="C27" s="207">
        <v>1249.0</v>
      </c>
      <c r="D27" s="6" t="str">
        <f>VLOOKUP($C27, 'List of log slots'!$A:$E, 2, FALSE)</f>
        <v>Dragon spear</v>
      </c>
      <c r="E27" s="207">
        <f>VLOOKUP($C27, 'List of log slots'!$A:$E, 5, FALSE)</f>
        <v>5</v>
      </c>
      <c r="F27" s="213" t="b">
        <f>VLOOKUP(C27, 'List of log slots'!$A:$C, 3, FALSE)</f>
        <v>0</v>
      </c>
      <c r="G27" s="209" t="b">
        <f t="shared" si="13"/>
        <v>0</v>
      </c>
      <c r="H27" s="209" t="b">
        <f t="shared" si="7"/>
        <v>1</v>
      </c>
      <c r="I27" s="209" t="b">
        <f t="shared" si="8"/>
        <v>0</v>
      </c>
      <c r="J27" s="208" t="b">
        <f t="shared" si="9"/>
        <v>0</v>
      </c>
      <c r="K27" s="211">
        <v>18197.0</v>
      </c>
      <c r="L27" s="207" t="str">
        <f t="shared" si="3"/>
        <v>n/a</v>
      </c>
      <c r="M27" s="212" t="str">
        <f t="shared" si="4"/>
        <v>n/a</v>
      </c>
      <c r="N27" s="207" t="str">
        <f t="shared" si="5"/>
        <v>n/a</v>
      </c>
      <c r="O27" s="207">
        <f t="shared" si="6"/>
        <v>0.00005495411332</v>
      </c>
    </row>
    <row r="28" ht="15.75" customHeight="1">
      <c r="A28" s="207">
        <v>3.0</v>
      </c>
      <c r="B28" s="6" t="str">
        <f>VLOOKUP($A28, 'Completion rates'!$A:$E, 2, FALSE)</f>
        <v>Killing amoxliatl</v>
      </c>
      <c r="C28" s="207">
        <v>29889.0</v>
      </c>
      <c r="D28" s="6" t="str">
        <f>VLOOKUP($C28, 'List of log slots'!$A:$E, 2, FALSE)</f>
        <v>Glacial temotli</v>
      </c>
      <c r="E28" s="207">
        <f>VLOOKUP($C28, 'List of log slots'!$A:$E, 5, FALSE)</f>
        <v>4</v>
      </c>
      <c r="F28" s="210" t="b">
        <f>VLOOKUP(C28, 'List of log slots'!$A:$C, 3, FALSE)</f>
        <v>0</v>
      </c>
      <c r="G28" s="209" t="b">
        <f t="shared" si="13"/>
        <v>0</v>
      </c>
      <c r="H28" s="209" t="b">
        <f t="shared" si="7"/>
        <v>1</v>
      </c>
      <c r="I28" s="209" t="b">
        <f t="shared" si="8"/>
        <v>0</v>
      </c>
      <c r="J28" s="208" t="b">
        <f t="shared" si="9"/>
        <v>0</v>
      </c>
      <c r="K28" s="211">
        <v>100.0</v>
      </c>
      <c r="L28" s="207" t="str">
        <f t="shared" si="3"/>
        <v>n/a</v>
      </c>
      <c r="M28" s="212" t="str">
        <f t="shared" si="4"/>
        <v>n/a</v>
      </c>
      <c r="N28" s="207" t="str">
        <f t="shared" si="5"/>
        <v>n/a</v>
      </c>
      <c r="O28" s="207">
        <f t="shared" si="6"/>
        <v>0.01</v>
      </c>
    </row>
    <row r="29" ht="15.75" customHeight="1">
      <c r="A29" s="207">
        <v>3.0</v>
      </c>
      <c r="B29" s="6" t="str">
        <f>VLOOKUP($A29, 'Completion rates'!$A:$E, 2, FALSE)</f>
        <v>Killing amoxliatl</v>
      </c>
      <c r="C29" s="207">
        <v>29892.0</v>
      </c>
      <c r="D29" s="6" t="str">
        <f>VLOOKUP($C29, 'List of log slots'!$A:$E, 2, FALSE)</f>
        <v>Pendant of ates (inert)</v>
      </c>
      <c r="E29" s="207">
        <f>VLOOKUP($C29, 'List of log slots'!$A:$E, 5, FALSE)</f>
        <v>4</v>
      </c>
      <c r="F29" s="210" t="b">
        <f>VLOOKUP(C29, 'List of log slots'!$A:$C, 3, FALSE)</f>
        <v>0</v>
      </c>
      <c r="G29" s="209" t="b">
        <f t="shared" si="13"/>
        <v>0</v>
      </c>
      <c r="H29" s="209" t="b">
        <f t="shared" si="7"/>
        <v>1</v>
      </c>
      <c r="I29" s="209" t="b">
        <f t="shared" si="8"/>
        <v>0</v>
      </c>
      <c r="J29" s="208" t="b">
        <f t="shared" si="9"/>
        <v>0</v>
      </c>
      <c r="K29" s="211">
        <v>25.0</v>
      </c>
      <c r="L29" s="207" t="str">
        <f t="shared" si="3"/>
        <v>n/a</v>
      </c>
      <c r="M29" s="212" t="str">
        <f t="shared" si="4"/>
        <v>n/a</v>
      </c>
      <c r="N29" s="207" t="str">
        <f t="shared" si="5"/>
        <v>n/a</v>
      </c>
      <c r="O29" s="207">
        <f t="shared" si="6"/>
        <v>0.04</v>
      </c>
    </row>
    <row r="30" ht="15.75" customHeight="1">
      <c r="A30" s="207">
        <v>3.0</v>
      </c>
      <c r="B30" s="6" t="str">
        <f>VLOOKUP($A30, 'Completion rates'!$A:$E, 2, FALSE)</f>
        <v>Killing amoxliatl</v>
      </c>
      <c r="C30" s="207">
        <v>29895.0</v>
      </c>
      <c r="D30" s="6" t="str">
        <f>VLOOKUP($C30, 'List of log slots'!$A:$E, 2, FALSE)</f>
        <v>Frozen tear</v>
      </c>
      <c r="E30" s="207">
        <f>VLOOKUP($C30, 'List of log slots'!$A:$E, 5, FALSE)</f>
        <v>3</v>
      </c>
      <c r="F30" s="210" t="b">
        <f>VLOOKUP(C30, 'List of log slots'!$A:$C, 3, FALSE)</f>
        <v>0</v>
      </c>
      <c r="G30" s="209" t="b">
        <f t="shared" si="13"/>
        <v>0</v>
      </c>
      <c r="H30" s="209" t="b">
        <f t="shared" si="7"/>
        <v>1</v>
      </c>
      <c r="I30" s="210" t="b">
        <f>TRUE</f>
        <v>1</v>
      </c>
      <c r="J30" s="208" t="b">
        <f t="shared" si="9"/>
        <v>0</v>
      </c>
      <c r="K30" s="211">
        <v>1.0</v>
      </c>
      <c r="L30" s="207" t="str">
        <f t="shared" si="3"/>
        <v>n/a</v>
      </c>
      <c r="M30" s="212">
        <f t="shared" si="4"/>
        <v>1</v>
      </c>
      <c r="N30" s="207" t="str">
        <f t="shared" si="5"/>
        <v>n/a</v>
      </c>
      <c r="O30" s="207" t="str">
        <f t="shared" si="6"/>
        <v>n/a</v>
      </c>
    </row>
    <row r="31" ht="15.75" customHeight="1">
      <c r="A31" s="207">
        <v>3.0</v>
      </c>
      <c r="B31" s="6" t="str">
        <f>VLOOKUP($A31, 'Completion rates'!$A:$E, 2, FALSE)</f>
        <v>Killing amoxliatl</v>
      </c>
      <c r="C31" s="207">
        <v>30154.0</v>
      </c>
      <c r="D31" s="6" t="str">
        <f>VLOOKUP($C31, 'List of log slots'!$A:$E, 2, FALSE)</f>
        <v>Moxi</v>
      </c>
      <c r="E31" s="207">
        <f>VLOOKUP($C31, 'List of log slots'!$A:$E, 5, FALSE)</f>
        <v>6</v>
      </c>
      <c r="F31" s="209" t="b">
        <f>VLOOKUP(C31, 'List of log slots'!$A:$C, 3, FALSE)</f>
        <v>0</v>
      </c>
      <c r="G31" s="209" t="b">
        <f t="shared" si="13"/>
        <v>0</v>
      </c>
      <c r="H31" s="210" t="b">
        <f t="shared" si="7"/>
        <v>1</v>
      </c>
      <c r="I31" s="209" t="b">
        <f t="shared" ref="I31:J31" si="14">FALSE</f>
        <v>0</v>
      </c>
      <c r="J31" s="208" t="b">
        <f t="shared" si="14"/>
        <v>0</v>
      </c>
      <c r="K31" s="211">
        <v>3000.0</v>
      </c>
      <c r="L31" s="207" t="str">
        <f t="shared" si="3"/>
        <v>n/a</v>
      </c>
      <c r="M31" s="212" t="str">
        <f t="shared" si="4"/>
        <v>n/a</v>
      </c>
      <c r="N31" s="207" t="str">
        <f t="shared" si="5"/>
        <v>n/a</v>
      </c>
      <c r="O31" s="207">
        <f t="shared" si="6"/>
        <v>0.0003333333333</v>
      </c>
    </row>
    <row r="32" ht="15.75" customHeight="1">
      <c r="A32" s="207">
        <v>3.0</v>
      </c>
      <c r="B32" s="6" t="str">
        <f>VLOOKUP($A32, 'Completion rates'!$A:$E, 2, FALSE)</f>
        <v>Killing amoxliatl</v>
      </c>
      <c r="C32" s="207">
        <v>30088.0</v>
      </c>
      <c r="D32" s="6" t="str">
        <f>VLOOKUP($C32, 'List of log slots'!$A:$E, 2, FALSE)</f>
        <v>Huasca seed</v>
      </c>
      <c r="E32" s="207">
        <f>VLOOKUP($C32, 'List of log slots'!$A:$E, 5, FALSE)</f>
        <v>4</v>
      </c>
      <c r="F32" s="208" t="b">
        <f>VLOOKUP(C32, 'List of log slots'!$A:$C, 3, FALSE)</f>
        <v>0</v>
      </c>
      <c r="G32" s="209" t="b">
        <f t="shared" si="13"/>
        <v>0</v>
      </c>
      <c r="H32" s="210" t="b">
        <f t="shared" si="7"/>
        <v>1</v>
      </c>
      <c r="I32" s="209" t="b">
        <f t="shared" ref="I32:J32" si="15">FALSE</f>
        <v>0</v>
      </c>
      <c r="J32" s="208" t="b">
        <f t="shared" si="15"/>
        <v>0</v>
      </c>
      <c r="K32" s="211">
        <v>29.0</v>
      </c>
      <c r="L32" s="207" t="str">
        <f t="shared" si="3"/>
        <v>n/a</v>
      </c>
      <c r="M32" s="212" t="str">
        <f t="shared" si="4"/>
        <v>n/a</v>
      </c>
      <c r="N32" s="207" t="str">
        <f t="shared" si="5"/>
        <v>n/a</v>
      </c>
      <c r="O32" s="207">
        <f t="shared" si="6"/>
        <v>0.03448275862</v>
      </c>
    </row>
    <row r="33" ht="15.75" customHeight="1">
      <c r="A33" s="207">
        <v>3.0</v>
      </c>
      <c r="B33" s="6" t="str">
        <f>VLOOKUP($A33, 'Completion rates'!$A:$E, 2, FALSE)</f>
        <v>Killing amoxliatl</v>
      </c>
      <c r="C33" s="207">
        <v>2366.0</v>
      </c>
      <c r="D33" s="6" t="str">
        <f>VLOOKUP($C33, 'List of log slots'!$A:$E, 2, FALSE)</f>
        <v>Shield left half</v>
      </c>
      <c r="E33" s="207">
        <f>VLOOKUP($C33, 'List of log slots'!$A:$E, 5, FALSE)</f>
        <v>5</v>
      </c>
      <c r="F33" s="213" t="b">
        <f>VLOOKUP(C33, 'List of log slots'!$A:$C, 3, FALSE)</f>
        <v>0</v>
      </c>
      <c r="G33" s="209" t="b">
        <f t="shared" si="13"/>
        <v>0</v>
      </c>
      <c r="H33" s="209" t="b">
        <f t="shared" si="7"/>
        <v>1</v>
      </c>
      <c r="I33" s="209" t="b">
        <f t="shared" ref="I33:J33" si="16">FALSE</f>
        <v>0</v>
      </c>
      <c r="J33" s="208" t="b">
        <f t="shared" si="16"/>
        <v>0</v>
      </c>
      <c r="K33" s="211">
        <v>57344.0</v>
      </c>
      <c r="L33" s="207" t="str">
        <f t="shared" si="3"/>
        <v>n/a</v>
      </c>
      <c r="M33" s="212" t="str">
        <f t="shared" si="4"/>
        <v>n/a</v>
      </c>
      <c r="N33" s="207" t="str">
        <f t="shared" si="5"/>
        <v>n/a</v>
      </c>
      <c r="O33" s="207">
        <f t="shared" si="6"/>
        <v>0.00001743861607</v>
      </c>
    </row>
    <row r="34" ht="15.75" customHeight="1">
      <c r="A34" s="207">
        <v>3.0</v>
      </c>
      <c r="B34" s="6" t="str">
        <f>VLOOKUP($A34, 'Completion rates'!$A:$E, 2, FALSE)</f>
        <v>Killing amoxliatl</v>
      </c>
      <c r="C34" s="207">
        <v>1249.0</v>
      </c>
      <c r="D34" s="6" t="str">
        <f>VLOOKUP($C34, 'List of log slots'!$A:$E, 2, FALSE)</f>
        <v>Dragon spear</v>
      </c>
      <c r="E34" s="207">
        <f>VLOOKUP($C34, 'List of log slots'!$A:$E, 5, FALSE)</f>
        <v>5</v>
      </c>
      <c r="F34" s="210" t="b">
        <f>VLOOKUP(C34, 'List of log slots'!$A:$C, 3, FALSE)</f>
        <v>0</v>
      </c>
      <c r="G34" s="209" t="b">
        <f t="shared" si="13"/>
        <v>0</v>
      </c>
      <c r="H34" s="209" t="b">
        <f t="shared" si="7"/>
        <v>1</v>
      </c>
      <c r="I34" s="209" t="b">
        <f t="shared" ref="I34:J34" si="17">FALSE</f>
        <v>0</v>
      </c>
      <c r="J34" s="208" t="b">
        <f t="shared" si="17"/>
        <v>0</v>
      </c>
      <c r="K34" s="211">
        <v>76458.0</v>
      </c>
      <c r="L34" s="207" t="str">
        <f t="shared" si="3"/>
        <v>n/a</v>
      </c>
      <c r="M34" s="212" t="str">
        <f t="shared" si="4"/>
        <v>n/a</v>
      </c>
      <c r="N34" s="207" t="str">
        <f t="shared" si="5"/>
        <v>n/a</v>
      </c>
      <c r="O34" s="207">
        <f t="shared" si="6"/>
        <v>0.00001307907609</v>
      </c>
    </row>
    <row r="35" ht="15.75" customHeight="1">
      <c r="A35" s="207">
        <v>4.0</v>
      </c>
      <c r="B35" s="6" t="str">
        <f>VLOOKUP($A35, 'Completion rates'!$A:$E, 2, FALSE)</f>
        <v>Killing araxxor (on task)</v>
      </c>
      <c r="C35" s="207">
        <v>29781.0</v>
      </c>
      <c r="D35" s="6" t="str">
        <f>VLOOKUP($C35, 'List of log slots'!$A:$E, 2, FALSE)</f>
        <v>Coagulated venom</v>
      </c>
      <c r="E35" s="207">
        <f>VLOOKUP($C35, 'List of log slots'!$A:$E, 5, FALSE)</f>
        <v>7</v>
      </c>
      <c r="F35" s="209" t="b">
        <f>VLOOKUP(C35, 'List of log slots'!$A:$C, 3, FALSE)</f>
        <v>0</v>
      </c>
      <c r="G35" s="209" t="b">
        <f t="shared" si="13"/>
        <v>0</v>
      </c>
      <c r="H35" s="210" t="b">
        <f t="shared" si="7"/>
        <v>1</v>
      </c>
      <c r="I35" s="209" t="b">
        <f t="shared" ref="I35:J35" si="18">FALSE</f>
        <v>0</v>
      </c>
      <c r="J35" s="208" t="b">
        <f t="shared" si="18"/>
        <v>0</v>
      </c>
      <c r="K35" s="211">
        <v>1.0</v>
      </c>
      <c r="L35" s="207" t="str">
        <f t="shared" si="3"/>
        <v>n/a</v>
      </c>
      <c r="M35" s="212" t="str">
        <f t="shared" si="4"/>
        <v>n/a</v>
      </c>
      <c r="N35" s="207" t="str">
        <f t="shared" si="5"/>
        <v>n/a</v>
      </c>
      <c r="O35" s="207">
        <f t="shared" si="6"/>
        <v>1</v>
      </c>
    </row>
    <row r="36" ht="15.75" customHeight="1">
      <c r="A36" s="207">
        <v>4.0</v>
      </c>
      <c r="B36" s="6" t="str">
        <f>VLOOKUP($A36, 'Completion rates'!$A:$E, 2, FALSE)</f>
        <v>Killing araxxor (on task)</v>
      </c>
      <c r="C36" s="207">
        <v>29782.0</v>
      </c>
      <c r="D36" s="6" t="str">
        <f>VLOOKUP($C36, 'List of log slots'!$A:$E, 2, FALSE)</f>
        <v>Spider cave teleport</v>
      </c>
      <c r="E36" s="207">
        <f>VLOOKUP($C36, 'List of log slots'!$A:$E, 5, FALSE)</f>
        <v>5</v>
      </c>
      <c r="F36" s="210" t="b">
        <f>VLOOKUP(C36, 'List of log slots'!$A:$C, 3, FALSE)</f>
        <v>0</v>
      </c>
      <c r="G36" s="209" t="b">
        <f t="shared" si="13"/>
        <v>0</v>
      </c>
      <c r="H36" s="209" t="b">
        <f t="shared" si="7"/>
        <v>1</v>
      </c>
      <c r="I36" s="209" t="b">
        <f t="shared" ref="I36:J36" si="19">FALSE</f>
        <v>0</v>
      </c>
      <c r="J36" s="208" t="b">
        <f t="shared" si="19"/>
        <v>0</v>
      </c>
      <c r="K36" s="211">
        <v>14.0</v>
      </c>
      <c r="L36" s="207" t="str">
        <f t="shared" si="3"/>
        <v>n/a</v>
      </c>
      <c r="M36" s="212" t="str">
        <f t="shared" si="4"/>
        <v>n/a</v>
      </c>
      <c r="N36" s="207" t="str">
        <f t="shared" si="5"/>
        <v>n/a</v>
      </c>
      <c r="O36" s="207">
        <f t="shared" si="6"/>
        <v>0.07142857143</v>
      </c>
    </row>
    <row r="37" ht="15.75" customHeight="1">
      <c r="A37" s="207">
        <v>4.0</v>
      </c>
      <c r="B37" s="6" t="str">
        <f>VLOOKUP($A37, 'Completion rates'!$A:$E, 2, FALSE)</f>
        <v>Killing araxxor (on task)</v>
      </c>
      <c r="C37" s="207">
        <v>29784.0</v>
      </c>
      <c r="D37" s="6" t="str">
        <f>VLOOKUP($C37, 'List of log slots'!$A:$E, 2, FALSE)</f>
        <v>Araxyte venom sack</v>
      </c>
      <c r="E37" s="207">
        <f>VLOOKUP($C37, 'List of log slots'!$A:$E, 5, FALSE)</f>
        <v>5</v>
      </c>
      <c r="F37" s="210" t="b">
        <f>VLOOKUP(C37, 'List of log slots'!$A:$C, 3, FALSE)</f>
        <v>0</v>
      </c>
      <c r="G37" s="209" t="b">
        <f t="shared" si="13"/>
        <v>0</v>
      </c>
      <c r="H37" s="209" t="b">
        <f t="shared" si="7"/>
        <v>1</v>
      </c>
      <c r="I37" s="209" t="b">
        <f t="shared" ref="I37:J37" si="20">FALSE</f>
        <v>0</v>
      </c>
      <c r="J37" s="208" t="b">
        <f t="shared" si="20"/>
        <v>0</v>
      </c>
      <c r="K37" s="211">
        <v>8.0</v>
      </c>
      <c r="L37" s="207" t="str">
        <f t="shared" si="3"/>
        <v>n/a</v>
      </c>
      <c r="M37" s="212" t="str">
        <f t="shared" si="4"/>
        <v>n/a</v>
      </c>
      <c r="N37" s="207" t="str">
        <f t="shared" si="5"/>
        <v>n/a</v>
      </c>
      <c r="O37" s="207">
        <f t="shared" si="6"/>
        <v>0.125</v>
      </c>
    </row>
    <row r="38" ht="15.75" customHeight="1">
      <c r="A38" s="207">
        <v>4.0</v>
      </c>
      <c r="B38" s="6" t="str">
        <f>VLOOKUP($A38, 'Completion rates'!$A:$E, 2, FALSE)</f>
        <v>Killing araxxor (on task)</v>
      </c>
      <c r="C38" s="207">
        <v>29786.0</v>
      </c>
      <c r="D38" s="6" t="str">
        <f>VLOOKUP($C38, 'List of log slots'!$A:$E, 2, FALSE)</f>
        <v>Jar of venom</v>
      </c>
      <c r="E38" s="207">
        <f>VLOOKUP($C38, 'List of log slots'!$A:$E, 5, FALSE)</f>
        <v>7</v>
      </c>
      <c r="F38" s="209" t="b">
        <f>VLOOKUP(C38, 'List of log slots'!$A:$C, 3, FALSE)</f>
        <v>0</v>
      </c>
      <c r="G38" s="209" t="b">
        <f t="shared" si="13"/>
        <v>0</v>
      </c>
      <c r="H38" s="210" t="b">
        <f t="shared" si="7"/>
        <v>1</v>
      </c>
      <c r="I38" s="209" t="b">
        <f t="shared" ref="I38:J38" si="21">FALSE</f>
        <v>0</v>
      </c>
      <c r="J38" s="208" t="b">
        <f t="shared" si="21"/>
        <v>0</v>
      </c>
      <c r="K38" s="211">
        <v>1500.0</v>
      </c>
      <c r="L38" s="207" t="str">
        <f t="shared" si="3"/>
        <v>n/a</v>
      </c>
      <c r="M38" s="212" t="str">
        <f t="shared" si="4"/>
        <v>n/a</v>
      </c>
      <c r="N38" s="207" t="str">
        <f t="shared" si="5"/>
        <v>n/a</v>
      </c>
      <c r="O38" s="207">
        <f t="shared" si="6"/>
        <v>0.0006666666667</v>
      </c>
    </row>
    <row r="39" ht="15.75" customHeight="1">
      <c r="A39" s="207">
        <v>4.0</v>
      </c>
      <c r="B39" s="6" t="str">
        <f>VLOOKUP($A39, 'Completion rates'!$A:$E, 2, FALSE)</f>
        <v>Killing araxxor (on task)</v>
      </c>
      <c r="C39" s="207">
        <v>29788.0</v>
      </c>
      <c r="D39" s="6" t="str">
        <f>VLOOKUP($C39, 'List of log slots'!$A:$E, 2, FALSE)</f>
        <v>Araxyte head</v>
      </c>
      <c r="E39" s="207">
        <f>VLOOKUP($C39, 'List of log slots'!$A:$E, 5, FALSE)</f>
        <v>6</v>
      </c>
      <c r="F39" s="210" t="b">
        <f>VLOOKUP(C39, 'List of log slots'!$A:$C, 3, FALSE)</f>
        <v>0</v>
      </c>
      <c r="G39" s="209" t="b">
        <f t="shared" si="13"/>
        <v>0</v>
      </c>
      <c r="H39" s="209" t="b">
        <f t="shared" si="7"/>
        <v>1</v>
      </c>
      <c r="I39" s="209" t="b">
        <f t="shared" ref="I39:J39" si="22">FALSE</f>
        <v>0</v>
      </c>
      <c r="J39" s="208" t="b">
        <f t="shared" si="22"/>
        <v>0</v>
      </c>
      <c r="K39" s="211">
        <v>250.0</v>
      </c>
      <c r="L39" s="207" t="str">
        <f t="shared" si="3"/>
        <v>n/a</v>
      </c>
      <c r="M39" s="212" t="str">
        <f t="shared" si="4"/>
        <v>n/a</v>
      </c>
      <c r="N39" s="207" t="str">
        <f t="shared" si="5"/>
        <v>n/a</v>
      </c>
      <c r="O39" s="207">
        <f t="shared" si="6"/>
        <v>0.004</v>
      </c>
    </row>
    <row r="40" ht="15.75" customHeight="1">
      <c r="A40" s="207">
        <v>4.0</v>
      </c>
      <c r="B40" s="6" t="str">
        <f>VLOOKUP($A40, 'Completion rates'!$A:$E, 2, FALSE)</f>
        <v>Killing araxxor (on task)</v>
      </c>
      <c r="C40" s="207">
        <v>29790.0</v>
      </c>
      <c r="D40" s="6" t="str">
        <f>VLOOKUP($C40, 'List of log slots'!$A:$E, 2, FALSE)</f>
        <v>Noxious point</v>
      </c>
      <c r="E40" s="207">
        <f>VLOOKUP($C40, 'List of log slots'!$A:$E, 5, FALSE)</f>
        <v>6</v>
      </c>
      <c r="F40" s="210" t="b">
        <f>VLOOKUP(C40, 'List of log slots'!$A:$C, 3, FALSE)</f>
        <v>0</v>
      </c>
      <c r="G40" s="209" t="b">
        <f t="shared" si="13"/>
        <v>0</v>
      </c>
      <c r="H40" s="209" t="b">
        <f t="shared" si="7"/>
        <v>1</v>
      </c>
      <c r="I40" s="209" t="b">
        <f t="shared" ref="I40:J40" si="23">FALSE</f>
        <v>0</v>
      </c>
      <c r="J40" s="208" t="b">
        <f t="shared" si="23"/>
        <v>0</v>
      </c>
      <c r="K40" s="211">
        <v>200.0</v>
      </c>
      <c r="L40" s="207" t="str">
        <f t="shared" si="3"/>
        <v>n/a</v>
      </c>
      <c r="M40" s="212" t="str">
        <f t="shared" si="4"/>
        <v>n/a</v>
      </c>
      <c r="N40" s="207" t="str">
        <f t="shared" si="5"/>
        <v>n/a</v>
      </c>
      <c r="O40" s="207">
        <f t="shared" si="6"/>
        <v>0.005</v>
      </c>
    </row>
    <row r="41" ht="15.75" customHeight="1">
      <c r="A41" s="207">
        <v>4.0</v>
      </c>
      <c r="B41" s="6" t="str">
        <f>VLOOKUP($A41, 'Completion rates'!$A:$E, 2, FALSE)</f>
        <v>Killing araxxor (on task)</v>
      </c>
      <c r="C41" s="207">
        <v>29792.0</v>
      </c>
      <c r="D41" s="6" t="str">
        <f>VLOOKUP($C41, 'List of log slots'!$A:$E, 2, FALSE)</f>
        <v>Noxious blade</v>
      </c>
      <c r="E41" s="207">
        <f>VLOOKUP($C41, 'List of log slots'!$A:$E, 5, FALSE)</f>
        <v>6</v>
      </c>
      <c r="F41" s="210" t="b">
        <f>VLOOKUP(C41, 'List of log slots'!$A:$C, 3, FALSE)</f>
        <v>0</v>
      </c>
      <c r="G41" s="210" t="b">
        <f t="shared" ref="G41:G42" si="25">TRUE</f>
        <v>1</v>
      </c>
      <c r="H41" s="209" t="b">
        <f t="shared" si="7"/>
        <v>0</v>
      </c>
      <c r="I41" s="209" t="b">
        <f t="shared" ref="I41:J41" si="24">FALSE</f>
        <v>0</v>
      </c>
      <c r="J41" s="208" t="b">
        <f t="shared" si="24"/>
        <v>0</v>
      </c>
      <c r="K41" s="211">
        <v>200.0</v>
      </c>
      <c r="L41" s="207" t="str">
        <f t="shared" si="3"/>
        <v>n/a</v>
      </c>
      <c r="M41" s="212" t="str">
        <f t="shared" si="4"/>
        <v>n/a</v>
      </c>
      <c r="N41" s="207" t="str">
        <f t="shared" si="5"/>
        <v>n/a</v>
      </c>
      <c r="O41" s="207">
        <f t="shared" si="6"/>
        <v>0.005</v>
      </c>
    </row>
    <row r="42" ht="15.75" customHeight="1">
      <c r="A42" s="207">
        <v>4.0</v>
      </c>
      <c r="B42" s="6" t="str">
        <f>VLOOKUP($A42, 'Completion rates'!$A:$E, 2, FALSE)</f>
        <v>Killing araxxor (on task)</v>
      </c>
      <c r="C42" s="207">
        <v>29794.0</v>
      </c>
      <c r="D42" s="6" t="str">
        <f>VLOOKUP($C42, 'List of log slots'!$A:$E, 2, FALSE)</f>
        <v>Noxious pommel</v>
      </c>
      <c r="E42" s="207">
        <f>VLOOKUP($C42, 'List of log slots'!$A:$E, 5, FALSE)</f>
        <v>6</v>
      </c>
      <c r="F42" s="210" t="b">
        <f>VLOOKUP(C42, 'List of log slots'!$A:$C, 3, FALSE)</f>
        <v>0</v>
      </c>
      <c r="G42" s="210" t="b">
        <f t="shared" si="25"/>
        <v>1</v>
      </c>
      <c r="H42" s="209" t="b">
        <f t="shared" si="7"/>
        <v>0</v>
      </c>
      <c r="I42" s="209" t="b">
        <f t="shared" ref="I42:J42" si="26">FALSE</f>
        <v>0</v>
      </c>
      <c r="J42" s="208" t="b">
        <f t="shared" si="26"/>
        <v>0</v>
      </c>
      <c r="K42" s="211">
        <v>200.0</v>
      </c>
      <c r="L42" s="207" t="str">
        <f t="shared" si="3"/>
        <v>n/a</v>
      </c>
      <c r="M42" s="212" t="str">
        <f t="shared" si="4"/>
        <v>n/a</v>
      </c>
      <c r="N42" s="207" t="str">
        <f t="shared" si="5"/>
        <v>n/a</v>
      </c>
      <c r="O42" s="207">
        <f t="shared" si="6"/>
        <v>0.005</v>
      </c>
    </row>
    <row r="43" ht="15.75" customHeight="1">
      <c r="A43" s="207">
        <v>4.0</v>
      </c>
      <c r="B43" s="6" t="str">
        <f>VLOOKUP($A43, 'Completion rates'!$A:$E, 2, FALSE)</f>
        <v>Killing araxxor (on task)</v>
      </c>
      <c r="C43" s="207">
        <v>29799.0</v>
      </c>
      <c r="D43" s="6" t="str">
        <f>VLOOKUP($C43, 'List of log slots'!$A:$E, 2, FALSE)</f>
        <v>Araxyte fang</v>
      </c>
      <c r="E43" s="207">
        <f>VLOOKUP($C43, 'List of log slots'!$A:$E, 5, FALSE)</f>
        <v>6</v>
      </c>
      <c r="F43" s="210" t="b">
        <f>VLOOKUP(C43, 'List of log slots'!$A:$C, 3, FALSE)</f>
        <v>0</v>
      </c>
      <c r="G43" s="209" t="b">
        <f t="shared" ref="G43:G450" si="28">FALSE</f>
        <v>0</v>
      </c>
      <c r="H43" s="209" t="b">
        <f t="shared" si="7"/>
        <v>1</v>
      </c>
      <c r="I43" s="209" t="b">
        <f t="shared" ref="I43:J43" si="27">FALSE</f>
        <v>0</v>
      </c>
      <c r="J43" s="208" t="b">
        <f t="shared" si="27"/>
        <v>0</v>
      </c>
      <c r="K43" s="211">
        <v>600.0</v>
      </c>
      <c r="L43" s="207" t="str">
        <f t="shared" si="3"/>
        <v>n/a</v>
      </c>
      <c r="M43" s="212" t="str">
        <f t="shared" si="4"/>
        <v>n/a</v>
      </c>
      <c r="N43" s="207" t="str">
        <f t="shared" si="5"/>
        <v>n/a</v>
      </c>
      <c r="O43" s="207">
        <f t="shared" si="6"/>
        <v>0.001666666667</v>
      </c>
    </row>
    <row r="44" ht="15.75" customHeight="1">
      <c r="A44" s="207">
        <v>4.0</v>
      </c>
      <c r="B44" s="6" t="str">
        <f>VLOOKUP($A44, 'Completion rates'!$A:$E, 2, FALSE)</f>
        <v>Killing araxxor (on task)</v>
      </c>
      <c r="C44" s="207">
        <v>29836.0</v>
      </c>
      <c r="D44" s="6" t="str">
        <f>VLOOKUP($C44, 'List of log slots'!$A:$E, 2, FALSE)</f>
        <v>Nid</v>
      </c>
      <c r="E44" s="207">
        <f>VLOOKUP($C44, 'List of log slots'!$A:$E, 5, FALSE)</f>
        <v>7</v>
      </c>
      <c r="F44" s="208" t="b">
        <f>VLOOKUP(C44, 'List of log slots'!$A:$C, 3, FALSE)</f>
        <v>0</v>
      </c>
      <c r="G44" s="209" t="b">
        <f t="shared" si="28"/>
        <v>0</v>
      </c>
      <c r="H44" s="210" t="b">
        <f t="shared" si="7"/>
        <v>1</v>
      </c>
      <c r="I44" s="209" t="b">
        <f t="shared" ref="I44:J44" si="29">FALSE</f>
        <v>0</v>
      </c>
      <c r="J44" s="208" t="b">
        <f t="shared" si="29"/>
        <v>0</v>
      </c>
      <c r="K44" s="211">
        <v>3000.0</v>
      </c>
      <c r="L44" s="207" t="str">
        <f t="shared" si="3"/>
        <v>n/a</v>
      </c>
      <c r="M44" s="212" t="str">
        <f t="shared" si="4"/>
        <v>n/a</v>
      </c>
      <c r="N44" s="207" t="str">
        <f t="shared" si="5"/>
        <v>n/a</v>
      </c>
      <c r="O44" s="207">
        <f t="shared" si="6"/>
        <v>0.0003333333333</v>
      </c>
    </row>
    <row r="45" ht="15.75" customHeight="1">
      <c r="A45" s="207">
        <v>4.0</v>
      </c>
      <c r="B45" s="6" t="str">
        <f>VLOOKUP($A45, 'Completion rates'!$A:$E, 2, FALSE)</f>
        <v>Killing araxxor (on task)</v>
      </c>
      <c r="C45" s="207">
        <v>29836.0</v>
      </c>
      <c r="D45" s="6" t="str">
        <f>VLOOKUP($C45, 'List of log slots'!$A:$E, 2, FALSE)</f>
        <v>Nid</v>
      </c>
      <c r="E45" s="207">
        <f>VLOOKUP($C45, 'List of log slots'!$A:$E, 5, FALSE)</f>
        <v>7</v>
      </c>
      <c r="F45" s="208" t="b">
        <f>VLOOKUP(C45, 'List of log slots'!$A:$C, 3, FALSE)</f>
        <v>0</v>
      </c>
      <c r="G45" s="209" t="b">
        <f t="shared" si="28"/>
        <v>0</v>
      </c>
      <c r="H45" s="210" t="b">
        <f t="shared" si="7"/>
        <v>1</v>
      </c>
      <c r="I45" s="209" t="b">
        <f t="shared" ref="I45:I151" si="30">FALSE</f>
        <v>0</v>
      </c>
      <c r="J45" s="213" t="b">
        <f>TRUE</f>
        <v>1</v>
      </c>
      <c r="K45" s="211">
        <v>1500.0</v>
      </c>
      <c r="L45" s="207" t="str">
        <f t="shared" si="3"/>
        <v>n/a</v>
      </c>
      <c r="M45" s="212" t="str">
        <f t="shared" si="4"/>
        <v>n/a</v>
      </c>
      <c r="N45" s="207">
        <f t="shared" si="5"/>
        <v>1500</v>
      </c>
      <c r="O45" s="207" t="str">
        <f t="shared" si="6"/>
        <v>n/a</v>
      </c>
    </row>
    <row r="46" ht="15.75" customHeight="1">
      <c r="A46" s="207">
        <v>4.0</v>
      </c>
      <c r="B46" s="6" t="str">
        <f>VLOOKUP($A46, 'Completion rates'!$A:$E, 2, FALSE)</f>
        <v>Killing araxxor (on task)</v>
      </c>
      <c r="C46" s="207">
        <v>2366.0</v>
      </c>
      <c r="D46" s="6" t="str">
        <f>VLOOKUP($C46, 'List of log slots'!$A:$E, 2, FALSE)</f>
        <v>Shield left half</v>
      </c>
      <c r="E46" s="207">
        <f>VLOOKUP($C46, 'List of log slots'!$A:$E, 5, FALSE)</f>
        <v>5</v>
      </c>
      <c r="F46" s="213" t="b">
        <f>VLOOKUP(C46, 'List of log slots'!$A:$C, 3, FALSE)</f>
        <v>0</v>
      </c>
      <c r="G46" s="209" t="b">
        <f t="shared" si="28"/>
        <v>0</v>
      </c>
      <c r="H46" s="209" t="b">
        <f t="shared" si="7"/>
        <v>1</v>
      </c>
      <c r="I46" s="209" t="b">
        <f t="shared" si="30"/>
        <v>0</v>
      </c>
      <c r="J46" s="208" t="b">
        <f t="shared" ref="J46:J152" si="31">FALSE</f>
        <v>0</v>
      </c>
      <c r="K46" s="211">
        <v>31079.0</v>
      </c>
      <c r="L46" s="207" t="str">
        <f t="shared" si="3"/>
        <v>n/a</v>
      </c>
      <c r="M46" s="212" t="str">
        <f t="shared" si="4"/>
        <v>n/a</v>
      </c>
      <c r="N46" s="207" t="str">
        <f t="shared" si="5"/>
        <v>n/a</v>
      </c>
      <c r="O46" s="207">
        <f t="shared" si="6"/>
        <v>0.00003217606744</v>
      </c>
    </row>
    <row r="47" ht="15.75" customHeight="1">
      <c r="A47" s="207">
        <v>4.0</v>
      </c>
      <c r="B47" s="6" t="str">
        <f>VLOOKUP($A47, 'Completion rates'!$A:$E, 2, FALSE)</f>
        <v>Killing araxxor (on task)</v>
      </c>
      <c r="C47" s="207">
        <v>1249.0</v>
      </c>
      <c r="D47" s="6" t="str">
        <f>VLOOKUP($C47, 'List of log slots'!$A:$E, 2, FALSE)</f>
        <v>Dragon spear</v>
      </c>
      <c r="E47" s="207">
        <f>VLOOKUP($C47, 'List of log slots'!$A:$E, 5, FALSE)</f>
        <v>5</v>
      </c>
      <c r="F47" s="213" t="b">
        <f>VLOOKUP(C47, 'List of log slots'!$A:$C, 3, FALSE)</f>
        <v>0</v>
      </c>
      <c r="G47" s="209" t="b">
        <f t="shared" si="28"/>
        <v>0</v>
      </c>
      <c r="H47" s="209" t="b">
        <f t="shared" si="7"/>
        <v>1</v>
      </c>
      <c r="I47" s="209" t="b">
        <f t="shared" si="30"/>
        <v>0</v>
      </c>
      <c r="J47" s="208" t="b">
        <f t="shared" si="31"/>
        <v>0</v>
      </c>
      <c r="K47" s="211">
        <v>41439.0</v>
      </c>
      <c r="L47" s="207" t="str">
        <f t="shared" si="3"/>
        <v>n/a</v>
      </c>
      <c r="M47" s="212" t="str">
        <f t="shared" si="4"/>
        <v>n/a</v>
      </c>
      <c r="N47" s="207" t="str">
        <f t="shared" si="5"/>
        <v>n/a</v>
      </c>
      <c r="O47" s="207">
        <f t="shared" si="6"/>
        <v>0.00002413185646</v>
      </c>
    </row>
    <row r="48" ht="15.75" customHeight="1">
      <c r="A48" s="207">
        <v>5.0</v>
      </c>
      <c r="B48" s="6" t="str">
        <f>VLOOKUP($A48, 'Completion rates'!$A:$E, 2, FALSE)</f>
        <v>Opening barrows chests</v>
      </c>
      <c r="C48" s="207">
        <v>4732.0</v>
      </c>
      <c r="D48" s="6" t="str">
        <f>VLOOKUP($C48, 'List of log slots'!$A:$E, 2, FALSE)</f>
        <v>Karil's coif</v>
      </c>
      <c r="E48" s="207">
        <f>VLOOKUP($C48, 'List of log slots'!$A:$E, 5, FALSE)</f>
        <v>4</v>
      </c>
      <c r="F48" s="208" t="b">
        <f>VLOOKUP(C48, 'List of log slots'!$A:$C, 3, FALSE)</f>
        <v>0</v>
      </c>
      <c r="G48" s="209" t="b">
        <f t="shared" si="28"/>
        <v>0</v>
      </c>
      <c r="H48" s="210" t="b">
        <f t="shared" si="7"/>
        <v>1</v>
      </c>
      <c r="I48" s="209" t="b">
        <f t="shared" si="30"/>
        <v>0</v>
      </c>
      <c r="J48" s="208" t="b">
        <f t="shared" si="31"/>
        <v>0</v>
      </c>
      <c r="K48" s="211">
        <v>350.0</v>
      </c>
      <c r="L48" s="207" t="str">
        <f t="shared" si="3"/>
        <v>n/a</v>
      </c>
      <c r="M48" s="212" t="str">
        <f t="shared" si="4"/>
        <v>n/a</v>
      </c>
      <c r="N48" s="207" t="str">
        <f t="shared" si="5"/>
        <v>n/a</v>
      </c>
      <c r="O48" s="207">
        <f t="shared" si="6"/>
        <v>0.002857142857</v>
      </c>
    </row>
    <row r="49" ht="15.75" customHeight="1">
      <c r="A49" s="207">
        <v>5.0</v>
      </c>
      <c r="B49" s="6" t="str">
        <f>VLOOKUP($A49, 'Completion rates'!$A:$E, 2, FALSE)</f>
        <v>Opening barrows chests</v>
      </c>
      <c r="C49" s="207">
        <v>4708.0</v>
      </c>
      <c r="D49" s="6" t="str">
        <f>VLOOKUP($C49, 'List of log slots'!$A:$E, 2, FALSE)</f>
        <v>Ahrim's hood</v>
      </c>
      <c r="E49" s="207">
        <f>VLOOKUP($C49, 'List of log slots'!$A:$E, 5, FALSE)</f>
        <v>4</v>
      </c>
      <c r="F49" s="208" t="b">
        <f>VLOOKUP(C49, 'List of log slots'!$A:$C, 3, FALSE)</f>
        <v>0</v>
      </c>
      <c r="G49" s="209" t="b">
        <f t="shared" si="28"/>
        <v>0</v>
      </c>
      <c r="H49" s="210" t="b">
        <f t="shared" si="7"/>
        <v>1</v>
      </c>
      <c r="I49" s="209" t="b">
        <f t="shared" si="30"/>
        <v>0</v>
      </c>
      <c r="J49" s="208" t="b">
        <f t="shared" si="31"/>
        <v>0</v>
      </c>
      <c r="K49" s="211">
        <v>350.0</v>
      </c>
      <c r="L49" s="207" t="str">
        <f t="shared" si="3"/>
        <v>n/a</v>
      </c>
      <c r="M49" s="212" t="str">
        <f t="shared" si="4"/>
        <v>n/a</v>
      </c>
      <c r="N49" s="207" t="str">
        <f t="shared" si="5"/>
        <v>n/a</v>
      </c>
      <c r="O49" s="207">
        <f t="shared" si="6"/>
        <v>0.002857142857</v>
      </c>
    </row>
    <row r="50" ht="15.75" customHeight="1">
      <c r="A50" s="207">
        <v>5.0</v>
      </c>
      <c r="B50" s="6" t="str">
        <f>VLOOKUP($A50, 'Completion rates'!$A:$E, 2, FALSE)</f>
        <v>Opening barrows chests</v>
      </c>
      <c r="C50" s="207">
        <v>4716.0</v>
      </c>
      <c r="D50" s="6" t="str">
        <f>VLOOKUP($C50, 'List of log slots'!$A:$E, 2, FALSE)</f>
        <v>Dharok's helm</v>
      </c>
      <c r="E50" s="207">
        <f>VLOOKUP($C50, 'List of log slots'!$A:$E, 5, FALSE)</f>
        <v>4</v>
      </c>
      <c r="F50" s="208" t="b">
        <f>VLOOKUP(C50, 'List of log slots'!$A:$C, 3, FALSE)</f>
        <v>0</v>
      </c>
      <c r="G50" s="209" t="b">
        <f t="shared" si="28"/>
        <v>0</v>
      </c>
      <c r="H50" s="210" t="b">
        <f t="shared" si="7"/>
        <v>1</v>
      </c>
      <c r="I50" s="209" t="b">
        <f t="shared" si="30"/>
        <v>0</v>
      </c>
      <c r="J50" s="208" t="b">
        <f t="shared" si="31"/>
        <v>0</v>
      </c>
      <c r="K50" s="211">
        <v>350.0</v>
      </c>
      <c r="L50" s="207" t="str">
        <f t="shared" si="3"/>
        <v>n/a</v>
      </c>
      <c r="M50" s="212" t="str">
        <f t="shared" si="4"/>
        <v>n/a</v>
      </c>
      <c r="N50" s="207" t="str">
        <f t="shared" si="5"/>
        <v>n/a</v>
      </c>
      <c r="O50" s="207">
        <f t="shared" si="6"/>
        <v>0.002857142857</v>
      </c>
    </row>
    <row r="51" ht="15.75" customHeight="1">
      <c r="A51" s="207">
        <v>5.0</v>
      </c>
      <c r="B51" s="6" t="str">
        <f>VLOOKUP($A51, 'Completion rates'!$A:$E, 2, FALSE)</f>
        <v>Opening barrows chests</v>
      </c>
      <c r="C51" s="207">
        <v>4724.0</v>
      </c>
      <c r="D51" s="6" t="str">
        <f>VLOOKUP($C51, 'List of log slots'!$A:$E, 2, FALSE)</f>
        <v>Guthan's helm</v>
      </c>
      <c r="E51" s="207">
        <f>VLOOKUP($C51, 'List of log slots'!$A:$E, 5, FALSE)</f>
        <v>4</v>
      </c>
      <c r="F51" s="208" t="b">
        <f>VLOOKUP(C51, 'List of log slots'!$A:$C, 3, FALSE)</f>
        <v>0</v>
      </c>
      <c r="G51" s="209" t="b">
        <f t="shared" si="28"/>
        <v>0</v>
      </c>
      <c r="H51" s="210" t="b">
        <f t="shared" si="7"/>
        <v>1</v>
      </c>
      <c r="I51" s="209" t="b">
        <f t="shared" si="30"/>
        <v>0</v>
      </c>
      <c r="J51" s="208" t="b">
        <f t="shared" si="31"/>
        <v>0</v>
      </c>
      <c r="K51" s="211">
        <v>350.0</v>
      </c>
      <c r="L51" s="207" t="str">
        <f t="shared" si="3"/>
        <v>n/a</v>
      </c>
      <c r="M51" s="212" t="str">
        <f t="shared" si="4"/>
        <v>n/a</v>
      </c>
      <c r="N51" s="207" t="str">
        <f t="shared" si="5"/>
        <v>n/a</v>
      </c>
      <c r="O51" s="207">
        <f t="shared" si="6"/>
        <v>0.002857142857</v>
      </c>
    </row>
    <row r="52" ht="15.75" customHeight="1">
      <c r="A52" s="207">
        <v>5.0</v>
      </c>
      <c r="B52" s="6" t="str">
        <f>VLOOKUP($A52, 'Completion rates'!$A:$E, 2, FALSE)</f>
        <v>Opening barrows chests</v>
      </c>
      <c r="C52" s="207">
        <v>4745.0</v>
      </c>
      <c r="D52" s="6" t="str">
        <f>VLOOKUP($C52, 'List of log slots'!$A:$E, 2, FALSE)</f>
        <v>Torag's helm</v>
      </c>
      <c r="E52" s="207">
        <f>VLOOKUP($C52, 'List of log slots'!$A:$E, 5, FALSE)</f>
        <v>4</v>
      </c>
      <c r="F52" s="213" t="b">
        <f>VLOOKUP(C52, 'List of log slots'!$A:$C, 3, FALSE)</f>
        <v>0</v>
      </c>
      <c r="G52" s="209" t="b">
        <f t="shared" si="28"/>
        <v>0</v>
      </c>
      <c r="H52" s="209" t="b">
        <f t="shared" si="7"/>
        <v>1</v>
      </c>
      <c r="I52" s="209" t="b">
        <f t="shared" si="30"/>
        <v>0</v>
      </c>
      <c r="J52" s="208" t="b">
        <f t="shared" si="31"/>
        <v>0</v>
      </c>
      <c r="K52" s="211">
        <v>350.0</v>
      </c>
      <c r="L52" s="207" t="str">
        <f t="shared" si="3"/>
        <v>n/a</v>
      </c>
      <c r="M52" s="212" t="str">
        <f t="shared" si="4"/>
        <v>n/a</v>
      </c>
      <c r="N52" s="207" t="str">
        <f t="shared" si="5"/>
        <v>n/a</v>
      </c>
      <c r="O52" s="207">
        <f t="shared" si="6"/>
        <v>0.002857142857</v>
      </c>
    </row>
    <row r="53" ht="15.75" customHeight="1">
      <c r="A53" s="207">
        <v>5.0</v>
      </c>
      <c r="B53" s="6" t="str">
        <f>VLOOKUP($A53, 'Completion rates'!$A:$E, 2, FALSE)</f>
        <v>Opening barrows chests</v>
      </c>
      <c r="C53" s="207">
        <v>4753.0</v>
      </c>
      <c r="D53" s="6" t="str">
        <f>VLOOKUP($C53, 'List of log slots'!$A:$E, 2, FALSE)</f>
        <v>Verac's helm</v>
      </c>
      <c r="E53" s="207">
        <f>VLOOKUP($C53, 'List of log slots'!$A:$E, 5, FALSE)</f>
        <v>4</v>
      </c>
      <c r="F53" s="213" t="b">
        <f>VLOOKUP(C53, 'List of log slots'!$A:$C, 3, FALSE)</f>
        <v>0</v>
      </c>
      <c r="G53" s="209" t="b">
        <f t="shared" si="28"/>
        <v>0</v>
      </c>
      <c r="H53" s="209" t="b">
        <f t="shared" si="7"/>
        <v>1</v>
      </c>
      <c r="I53" s="209" t="b">
        <f t="shared" si="30"/>
        <v>0</v>
      </c>
      <c r="J53" s="208" t="b">
        <f t="shared" si="31"/>
        <v>0</v>
      </c>
      <c r="K53" s="211">
        <v>350.0</v>
      </c>
      <c r="L53" s="207" t="str">
        <f t="shared" si="3"/>
        <v>n/a</v>
      </c>
      <c r="M53" s="212" t="str">
        <f t="shared" si="4"/>
        <v>n/a</v>
      </c>
      <c r="N53" s="207" t="str">
        <f t="shared" si="5"/>
        <v>n/a</v>
      </c>
      <c r="O53" s="207">
        <f t="shared" si="6"/>
        <v>0.002857142857</v>
      </c>
    </row>
    <row r="54" ht="15.75" customHeight="1">
      <c r="A54" s="207">
        <v>5.0</v>
      </c>
      <c r="B54" s="6" t="str">
        <f>VLOOKUP($A54, 'Completion rates'!$A:$E, 2, FALSE)</f>
        <v>Opening barrows chests</v>
      </c>
      <c r="C54" s="207">
        <v>4736.0</v>
      </c>
      <c r="D54" s="6" t="str">
        <f>VLOOKUP($C54, 'List of log slots'!$A:$E, 2, FALSE)</f>
        <v>Karil's leathertop</v>
      </c>
      <c r="E54" s="207">
        <f>VLOOKUP($C54, 'List of log slots'!$A:$E, 5, FALSE)</f>
        <v>4</v>
      </c>
      <c r="F54" s="213" t="b">
        <f>VLOOKUP(C54, 'List of log slots'!$A:$C, 3, FALSE)</f>
        <v>0</v>
      </c>
      <c r="G54" s="209" t="b">
        <f t="shared" si="28"/>
        <v>0</v>
      </c>
      <c r="H54" s="209" t="b">
        <f t="shared" si="7"/>
        <v>1</v>
      </c>
      <c r="I54" s="209" t="b">
        <f t="shared" si="30"/>
        <v>0</v>
      </c>
      <c r="J54" s="208" t="b">
        <f t="shared" si="31"/>
        <v>0</v>
      </c>
      <c r="K54" s="211">
        <v>350.0</v>
      </c>
      <c r="L54" s="207" t="str">
        <f t="shared" si="3"/>
        <v>n/a</v>
      </c>
      <c r="M54" s="212" t="str">
        <f t="shared" si="4"/>
        <v>n/a</v>
      </c>
      <c r="N54" s="207" t="str">
        <f t="shared" si="5"/>
        <v>n/a</v>
      </c>
      <c r="O54" s="207">
        <f t="shared" si="6"/>
        <v>0.002857142857</v>
      </c>
    </row>
    <row r="55" ht="15.75" customHeight="1">
      <c r="A55" s="207">
        <v>5.0</v>
      </c>
      <c r="B55" s="6" t="str">
        <f>VLOOKUP($A55, 'Completion rates'!$A:$E, 2, FALSE)</f>
        <v>Opening barrows chests</v>
      </c>
      <c r="C55" s="207">
        <v>4712.0</v>
      </c>
      <c r="D55" s="6" t="str">
        <f>VLOOKUP($C55, 'List of log slots'!$A:$E, 2, FALSE)</f>
        <v>Ahrim's robetop</v>
      </c>
      <c r="E55" s="207">
        <f>VLOOKUP($C55, 'List of log slots'!$A:$E, 5, FALSE)</f>
        <v>4</v>
      </c>
      <c r="F55" s="208" t="b">
        <f>VLOOKUP(C55, 'List of log slots'!$A:$C, 3, FALSE)</f>
        <v>0</v>
      </c>
      <c r="G55" s="209" t="b">
        <f t="shared" si="28"/>
        <v>0</v>
      </c>
      <c r="H55" s="210" t="b">
        <f t="shared" si="7"/>
        <v>1</v>
      </c>
      <c r="I55" s="209" t="b">
        <f t="shared" si="30"/>
        <v>0</v>
      </c>
      <c r="J55" s="208" t="b">
        <f t="shared" si="31"/>
        <v>0</v>
      </c>
      <c r="K55" s="211">
        <v>350.0</v>
      </c>
      <c r="L55" s="207" t="str">
        <f t="shared" si="3"/>
        <v>n/a</v>
      </c>
      <c r="M55" s="212" t="str">
        <f t="shared" si="4"/>
        <v>n/a</v>
      </c>
      <c r="N55" s="207" t="str">
        <f t="shared" si="5"/>
        <v>n/a</v>
      </c>
      <c r="O55" s="207">
        <f t="shared" si="6"/>
        <v>0.002857142857</v>
      </c>
    </row>
    <row r="56" ht="15.75" customHeight="1">
      <c r="A56" s="207">
        <v>5.0</v>
      </c>
      <c r="B56" s="6" t="str">
        <f>VLOOKUP($A56, 'Completion rates'!$A:$E, 2, FALSE)</f>
        <v>Opening barrows chests</v>
      </c>
      <c r="C56" s="207">
        <v>4720.0</v>
      </c>
      <c r="D56" s="6" t="str">
        <f>VLOOKUP($C56, 'List of log slots'!$A:$E, 2, FALSE)</f>
        <v>Dharok's platebody</v>
      </c>
      <c r="E56" s="207">
        <f>VLOOKUP($C56, 'List of log slots'!$A:$E, 5, FALSE)</f>
        <v>4</v>
      </c>
      <c r="F56" s="208" t="b">
        <f>VLOOKUP(C56, 'List of log slots'!$A:$C, 3, FALSE)</f>
        <v>0</v>
      </c>
      <c r="G56" s="209" t="b">
        <f t="shared" si="28"/>
        <v>0</v>
      </c>
      <c r="H56" s="210" t="b">
        <f t="shared" si="7"/>
        <v>1</v>
      </c>
      <c r="I56" s="209" t="b">
        <f t="shared" si="30"/>
        <v>0</v>
      </c>
      <c r="J56" s="208" t="b">
        <f t="shared" si="31"/>
        <v>0</v>
      </c>
      <c r="K56" s="211">
        <v>350.0</v>
      </c>
      <c r="L56" s="207" t="str">
        <f t="shared" si="3"/>
        <v>n/a</v>
      </c>
      <c r="M56" s="212" t="str">
        <f t="shared" si="4"/>
        <v>n/a</v>
      </c>
      <c r="N56" s="207" t="str">
        <f t="shared" si="5"/>
        <v>n/a</v>
      </c>
      <c r="O56" s="207">
        <f t="shared" si="6"/>
        <v>0.002857142857</v>
      </c>
    </row>
    <row r="57" ht="15.75" customHeight="1">
      <c r="A57" s="207">
        <v>5.0</v>
      </c>
      <c r="B57" s="6" t="str">
        <f>VLOOKUP($A57, 'Completion rates'!$A:$E, 2, FALSE)</f>
        <v>Opening barrows chests</v>
      </c>
      <c r="C57" s="207">
        <v>4728.0</v>
      </c>
      <c r="D57" s="6" t="str">
        <f>VLOOKUP($C57, 'List of log slots'!$A:$E, 2, FALSE)</f>
        <v>Guthan's platebody</v>
      </c>
      <c r="E57" s="207">
        <f>VLOOKUP($C57, 'List of log slots'!$A:$E, 5, FALSE)</f>
        <v>4</v>
      </c>
      <c r="F57" s="208" t="b">
        <f>VLOOKUP(C57, 'List of log slots'!$A:$C, 3, FALSE)</f>
        <v>0</v>
      </c>
      <c r="G57" s="209" t="b">
        <f t="shared" si="28"/>
        <v>0</v>
      </c>
      <c r="H57" s="210" t="b">
        <f t="shared" si="7"/>
        <v>1</v>
      </c>
      <c r="I57" s="209" t="b">
        <f t="shared" si="30"/>
        <v>0</v>
      </c>
      <c r="J57" s="208" t="b">
        <f t="shared" si="31"/>
        <v>0</v>
      </c>
      <c r="K57" s="211">
        <v>350.0</v>
      </c>
      <c r="L57" s="207" t="str">
        <f t="shared" si="3"/>
        <v>n/a</v>
      </c>
      <c r="M57" s="212" t="str">
        <f t="shared" si="4"/>
        <v>n/a</v>
      </c>
      <c r="N57" s="207" t="str">
        <f t="shared" si="5"/>
        <v>n/a</v>
      </c>
      <c r="O57" s="207">
        <f t="shared" si="6"/>
        <v>0.002857142857</v>
      </c>
    </row>
    <row r="58" ht="15.75" customHeight="1">
      <c r="A58" s="207">
        <v>5.0</v>
      </c>
      <c r="B58" s="6" t="str">
        <f>VLOOKUP($A58, 'Completion rates'!$A:$E, 2, FALSE)</f>
        <v>Opening barrows chests</v>
      </c>
      <c r="C58" s="207">
        <v>4749.0</v>
      </c>
      <c r="D58" s="6" t="str">
        <f>VLOOKUP($C58, 'List of log slots'!$A:$E, 2, FALSE)</f>
        <v>Torag's platebody</v>
      </c>
      <c r="E58" s="207">
        <f>VLOOKUP($C58, 'List of log slots'!$A:$E, 5, FALSE)</f>
        <v>4</v>
      </c>
      <c r="F58" s="208" t="b">
        <f>VLOOKUP(C58, 'List of log slots'!$A:$C, 3, FALSE)</f>
        <v>0</v>
      </c>
      <c r="G58" s="209" t="b">
        <f t="shared" si="28"/>
        <v>0</v>
      </c>
      <c r="H58" s="210" t="b">
        <f t="shared" si="7"/>
        <v>1</v>
      </c>
      <c r="I58" s="209" t="b">
        <f t="shared" si="30"/>
        <v>0</v>
      </c>
      <c r="J58" s="208" t="b">
        <f t="shared" si="31"/>
        <v>0</v>
      </c>
      <c r="K58" s="211">
        <v>350.0</v>
      </c>
      <c r="L58" s="207" t="str">
        <f t="shared" si="3"/>
        <v>n/a</v>
      </c>
      <c r="M58" s="212" t="str">
        <f t="shared" si="4"/>
        <v>n/a</v>
      </c>
      <c r="N58" s="207" t="str">
        <f t="shared" si="5"/>
        <v>n/a</v>
      </c>
      <c r="O58" s="207">
        <f t="shared" si="6"/>
        <v>0.002857142857</v>
      </c>
    </row>
    <row r="59" ht="15.75" customHeight="1">
      <c r="A59" s="207">
        <v>5.0</v>
      </c>
      <c r="B59" s="6" t="str">
        <f>VLOOKUP($A59, 'Completion rates'!$A:$E, 2, FALSE)</f>
        <v>Opening barrows chests</v>
      </c>
      <c r="C59" s="207">
        <v>4757.0</v>
      </c>
      <c r="D59" s="6" t="str">
        <f>VLOOKUP($C59, 'List of log slots'!$A:$E, 2, FALSE)</f>
        <v>Verac's brassard</v>
      </c>
      <c r="E59" s="207">
        <f>VLOOKUP($C59, 'List of log slots'!$A:$E, 5, FALSE)</f>
        <v>4</v>
      </c>
      <c r="F59" s="208" t="b">
        <f>VLOOKUP(C59, 'List of log slots'!$A:$C, 3, FALSE)</f>
        <v>0</v>
      </c>
      <c r="G59" s="209" t="b">
        <f t="shared" si="28"/>
        <v>0</v>
      </c>
      <c r="H59" s="210" t="b">
        <f t="shared" si="7"/>
        <v>1</v>
      </c>
      <c r="I59" s="209" t="b">
        <f t="shared" si="30"/>
        <v>0</v>
      </c>
      <c r="J59" s="208" t="b">
        <f t="shared" si="31"/>
        <v>0</v>
      </c>
      <c r="K59" s="211">
        <v>350.0</v>
      </c>
      <c r="L59" s="207" t="str">
        <f t="shared" si="3"/>
        <v>n/a</v>
      </c>
      <c r="M59" s="212" t="str">
        <f t="shared" si="4"/>
        <v>n/a</v>
      </c>
      <c r="N59" s="207" t="str">
        <f t="shared" si="5"/>
        <v>n/a</v>
      </c>
      <c r="O59" s="207">
        <f t="shared" si="6"/>
        <v>0.002857142857</v>
      </c>
    </row>
    <row r="60" ht="15.75" customHeight="1">
      <c r="A60" s="207">
        <v>5.0</v>
      </c>
      <c r="B60" s="6" t="str">
        <f>VLOOKUP($A60, 'Completion rates'!$A:$E, 2, FALSE)</f>
        <v>Opening barrows chests</v>
      </c>
      <c r="C60" s="207">
        <v>4738.0</v>
      </c>
      <c r="D60" s="6" t="str">
        <f>VLOOKUP($C60, 'List of log slots'!$A:$E, 2, FALSE)</f>
        <v>Karil's leatherskirt</v>
      </c>
      <c r="E60" s="207">
        <f>VLOOKUP($C60, 'List of log slots'!$A:$E, 5, FALSE)</f>
        <v>4</v>
      </c>
      <c r="F60" s="208" t="b">
        <f>VLOOKUP(C60, 'List of log slots'!$A:$C, 3, FALSE)</f>
        <v>0</v>
      </c>
      <c r="G60" s="209" t="b">
        <f t="shared" si="28"/>
        <v>0</v>
      </c>
      <c r="H60" s="210" t="b">
        <f t="shared" si="7"/>
        <v>1</v>
      </c>
      <c r="I60" s="209" t="b">
        <f t="shared" si="30"/>
        <v>0</v>
      </c>
      <c r="J60" s="208" t="b">
        <f t="shared" si="31"/>
        <v>0</v>
      </c>
      <c r="K60" s="211">
        <v>350.0</v>
      </c>
      <c r="L60" s="207" t="str">
        <f t="shared" si="3"/>
        <v>n/a</v>
      </c>
      <c r="M60" s="212" t="str">
        <f t="shared" si="4"/>
        <v>n/a</v>
      </c>
      <c r="N60" s="207" t="str">
        <f t="shared" si="5"/>
        <v>n/a</v>
      </c>
      <c r="O60" s="207">
        <f t="shared" si="6"/>
        <v>0.002857142857</v>
      </c>
    </row>
    <row r="61" ht="15.75" customHeight="1">
      <c r="A61" s="207">
        <v>5.0</v>
      </c>
      <c r="B61" s="6" t="str">
        <f>VLOOKUP($A61, 'Completion rates'!$A:$E, 2, FALSE)</f>
        <v>Opening barrows chests</v>
      </c>
      <c r="C61" s="207">
        <v>4714.0</v>
      </c>
      <c r="D61" s="6" t="str">
        <f>VLOOKUP($C61, 'List of log slots'!$A:$E, 2, FALSE)</f>
        <v>Ahrim's robeskirt</v>
      </c>
      <c r="E61" s="207">
        <f>VLOOKUP($C61, 'List of log slots'!$A:$E, 5, FALSE)</f>
        <v>4</v>
      </c>
      <c r="F61" s="208" t="b">
        <f>VLOOKUP(C61, 'List of log slots'!$A:$C, 3, FALSE)</f>
        <v>0</v>
      </c>
      <c r="G61" s="209" t="b">
        <f t="shared" si="28"/>
        <v>0</v>
      </c>
      <c r="H61" s="210" t="b">
        <f t="shared" si="7"/>
        <v>1</v>
      </c>
      <c r="I61" s="209" t="b">
        <f t="shared" si="30"/>
        <v>0</v>
      </c>
      <c r="J61" s="208" t="b">
        <f t="shared" si="31"/>
        <v>0</v>
      </c>
      <c r="K61" s="211">
        <v>350.0</v>
      </c>
      <c r="L61" s="207" t="str">
        <f t="shared" si="3"/>
        <v>n/a</v>
      </c>
      <c r="M61" s="212" t="str">
        <f t="shared" si="4"/>
        <v>n/a</v>
      </c>
      <c r="N61" s="207" t="str">
        <f t="shared" si="5"/>
        <v>n/a</v>
      </c>
      <c r="O61" s="207">
        <f t="shared" si="6"/>
        <v>0.002857142857</v>
      </c>
    </row>
    <row r="62" ht="15.75" customHeight="1">
      <c r="A62" s="207">
        <v>5.0</v>
      </c>
      <c r="B62" s="6" t="str">
        <f>VLOOKUP($A62, 'Completion rates'!$A:$E, 2, FALSE)</f>
        <v>Opening barrows chests</v>
      </c>
      <c r="C62" s="207">
        <v>4722.0</v>
      </c>
      <c r="D62" s="6" t="str">
        <f>VLOOKUP($C62, 'List of log slots'!$A:$E, 2, FALSE)</f>
        <v>Dharok's platelegs</v>
      </c>
      <c r="E62" s="207">
        <f>VLOOKUP($C62, 'List of log slots'!$A:$E, 5, FALSE)</f>
        <v>4</v>
      </c>
      <c r="F62" s="208" t="b">
        <f>VLOOKUP(C62, 'List of log slots'!$A:$C, 3, FALSE)</f>
        <v>0</v>
      </c>
      <c r="G62" s="209" t="b">
        <f t="shared" si="28"/>
        <v>0</v>
      </c>
      <c r="H62" s="210" t="b">
        <f t="shared" si="7"/>
        <v>1</v>
      </c>
      <c r="I62" s="209" t="b">
        <f t="shared" si="30"/>
        <v>0</v>
      </c>
      <c r="J62" s="208" t="b">
        <f t="shared" si="31"/>
        <v>0</v>
      </c>
      <c r="K62" s="211">
        <v>350.0</v>
      </c>
      <c r="L62" s="207" t="str">
        <f t="shared" si="3"/>
        <v>n/a</v>
      </c>
      <c r="M62" s="212" t="str">
        <f t="shared" si="4"/>
        <v>n/a</v>
      </c>
      <c r="N62" s="207" t="str">
        <f t="shared" si="5"/>
        <v>n/a</v>
      </c>
      <c r="O62" s="207">
        <f t="shared" si="6"/>
        <v>0.002857142857</v>
      </c>
    </row>
    <row r="63" ht="15.75" customHeight="1">
      <c r="A63" s="207">
        <v>5.0</v>
      </c>
      <c r="B63" s="6" t="str">
        <f>VLOOKUP($A63, 'Completion rates'!$A:$E, 2, FALSE)</f>
        <v>Opening barrows chests</v>
      </c>
      <c r="C63" s="207">
        <v>4730.0</v>
      </c>
      <c r="D63" s="6" t="str">
        <f>VLOOKUP($C63, 'List of log slots'!$A:$E, 2, FALSE)</f>
        <v>Guthan's chainskirt</v>
      </c>
      <c r="E63" s="207">
        <f>VLOOKUP($C63, 'List of log slots'!$A:$E, 5, FALSE)</f>
        <v>4</v>
      </c>
      <c r="F63" s="208" t="b">
        <f>VLOOKUP(C63, 'List of log slots'!$A:$C, 3, FALSE)</f>
        <v>0</v>
      </c>
      <c r="G63" s="209" t="b">
        <f t="shared" si="28"/>
        <v>0</v>
      </c>
      <c r="H63" s="210" t="b">
        <f t="shared" si="7"/>
        <v>1</v>
      </c>
      <c r="I63" s="209" t="b">
        <f t="shared" si="30"/>
        <v>0</v>
      </c>
      <c r="J63" s="208" t="b">
        <f t="shared" si="31"/>
        <v>0</v>
      </c>
      <c r="K63" s="211">
        <v>350.0</v>
      </c>
      <c r="L63" s="207" t="str">
        <f t="shared" si="3"/>
        <v>n/a</v>
      </c>
      <c r="M63" s="212" t="str">
        <f t="shared" si="4"/>
        <v>n/a</v>
      </c>
      <c r="N63" s="207" t="str">
        <f t="shared" si="5"/>
        <v>n/a</v>
      </c>
      <c r="O63" s="207">
        <f t="shared" si="6"/>
        <v>0.002857142857</v>
      </c>
    </row>
    <row r="64" ht="15.75" customHeight="1">
      <c r="A64" s="207">
        <v>5.0</v>
      </c>
      <c r="B64" s="6" t="str">
        <f>VLOOKUP($A64, 'Completion rates'!$A:$E, 2, FALSE)</f>
        <v>Opening barrows chests</v>
      </c>
      <c r="C64" s="207">
        <v>4751.0</v>
      </c>
      <c r="D64" s="6" t="str">
        <f>VLOOKUP($C64, 'List of log slots'!$A:$E, 2, FALSE)</f>
        <v>Torag's platelegs</v>
      </c>
      <c r="E64" s="207">
        <f>VLOOKUP($C64, 'List of log slots'!$A:$E, 5, FALSE)</f>
        <v>4</v>
      </c>
      <c r="F64" s="208" t="b">
        <f>VLOOKUP(C64, 'List of log slots'!$A:$C, 3, FALSE)</f>
        <v>0</v>
      </c>
      <c r="G64" s="209" t="b">
        <f t="shared" si="28"/>
        <v>0</v>
      </c>
      <c r="H64" s="210" t="b">
        <f t="shared" si="7"/>
        <v>1</v>
      </c>
      <c r="I64" s="209" t="b">
        <f t="shared" si="30"/>
        <v>0</v>
      </c>
      <c r="J64" s="208" t="b">
        <f t="shared" si="31"/>
        <v>0</v>
      </c>
      <c r="K64" s="211">
        <v>350.0</v>
      </c>
      <c r="L64" s="207" t="str">
        <f t="shared" si="3"/>
        <v>n/a</v>
      </c>
      <c r="M64" s="212" t="str">
        <f t="shared" si="4"/>
        <v>n/a</v>
      </c>
      <c r="N64" s="207" t="str">
        <f t="shared" si="5"/>
        <v>n/a</v>
      </c>
      <c r="O64" s="207">
        <f t="shared" si="6"/>
        <v>0.002857142857</v>
      </c>
    </row>
    <row r="65" ht="15.75" customHeight="1">
      <c r="A65" s="207">
        <v>5.0</v>
      </c>
      <c r="B65" s="6" t="str">
        <f>VLOOKUP($A65, 'Completion rates'!$A:$E, 2, FALSE)</f>
        <v>Opening barrows chests</v>
      </c>
      <c r="C65" s="207">
        <v>4759.0</v>
      </c>
      <c r="D65" s="6" t="str">
        <f>VLOOKUP($C65, 'List of log slots'!$A:$E, 2, FALSE)</f>
        <v>Verac's plateskirt</v>
      </c>
      <c r="E65" s="207">
        <f>VLOOKUP($C65, 'List of log slots'!$A:$E, 5, FALSE)</f>
        <v>4</v>
      </c>
      <c r="F65" s="208" t="b">
        <f>VLOOKUP(C65, 'List of log slots'!$A:$C, 3, FALSE)</f>
        <v>0</v>
      </c>
      <c r="G65" s="209" t="b">
        <f t="shared" si="28"/>
        <v>0</v>
      </c>
      <c r="H65" s="210" t="b">
        <f t="shared" si="7"/>
        <v>1</v>
      </c>
      <c r="I65" s="209" t="b">
        <f t="shared" si="30"/>
        <v>0</v>
      </c>
      <c r="J65" s="208" t="b">
        <f t="shared" si="31"/>
        <v>0</v>
      </c>
      <c r="K65" s="211">
        <v>350.0</v>
      </c>
      <c r="L65" s="207" t="str">
        <f t="shared" si="3"/>
        <v>n/a</v>
      </c>
      <c r="M65" s="212" t="str">
        <f t="shared" si="4"/>
        <v>n/a</v>
      </c>
      <c r="N65" s="207" t="str">
        <f t="shared" si="5"/>
        <v>n/a</v>
      </c>
      <c r="O65" s="207">
        <f t="shared" si="6"/>
        <v>0.002857142857</v>
      </c>
    </row>
    <row r="66" ht="15.75" customHeight="1">
      <c r="A66" s="207">
        <v>5.0</v>
      </c>
      <c r="B66" s="6" t="str">
        <f>VLOOKUP($A66, 'Completion rates'!$A:$E, 2, FALSE)</f>
        <v>Opening barrows chests</v>
      </c>
      <c r="C66" s="207">
        <v>4734.0</v>
      </c>
      <c r="D66" s="6" t="str">
        <f>VLOOKUP($C66, 'List of log slots'!$A:$E, 2, FALSE)</f>
        <v>Karil's crossbow</v>
      </c>
      <c r="E66" s="207">
        <f>VLOOKUP($C66, 'List of log slots'!$A:$E, 5, FALSE)</f>
        <v>4</v>
      </c>
      <c r="F66" s="208" t="b">
        <f>VLOOKUP(C66, 'List of log slots'!$A:$C, 3, FALSE)</f>
        <v>0</v>
      </c>
      <c r="G66" s="209" t="b">
        <f t="shared" si="28"/>
        <v>0</v>
      </c>
      <c r="H66" s="210" t="b">
        <f t="shared" si="7"/>
        <v>1</v>
      </c>
      <c r="I66" s="209" t="b">
        <f t="shared" si="30"/>
        <v>0</v>
      </c>
      <c r="J66" s="208" t="b">
        <f t="shared" si="31"/>
        <v>0</v>
      </c>
      <c r="K66" s="211">
        <v>350.0</v>
      </c>
      <c r="L66" s="207" t="str">
        <f t="shared" si="3"/>
        <v>n/a</v>
      </c>
      <c r="M66" s="212" t="str">
        <f t="shared" si="4"/>
        <v>n/a</v>
      </c>
      <c r="N66" s="207" t="str">
        <f t="shared" si="5"/>
        <v>n/a</v>
      </c>
      <c r="O66" s="207">
        <f t="shared" si="6"/>
        <v>0.002857142857</v>
      </c>
    </row>
    <row r="67" ht="15.75" customHeight="1">
      <c r="A67" s="207">
        <v>5.0</v>
      </c>
      <c r="B67" s="6" t="str">
        <f>VLOOKUP($A67, 'Completion rates'!$A:$E, 2, FALSE)</f>
        <v>Opening barrows chests</v>
      </c>
      <c r="C67" s="207">
        <v>4710.0</v>
      </c>
      <c r="D67" s="6" t="str">
        <f>VLOOKUP($C67, 'List of log slots'!$A:$E, 2, FALSE)</f>
        <v>Ahrim's staff</v>
      </c>
      <c r="E67" s="207">
        <f>VLOOKUP($C67, 'List of log slots'!$A:$E, 5, FALSE)</f>
        <v>4</v>
      </c>
      <c r="F67" s="208" t="b">
        <f>VLOOKUP(C67, 'List of log slots'!$A:$C, 3, FALSE)</f>
        <v>0</v>
      </c>
      <c r="G67" s="209" t="b">
        <f t="shared" si="28"/>
        <v>0</v>
      </c>
      <c r="H67" s="210" t="b">
        <f t="shared" si="7"/>
        <v>1</v>
      </c>
      <c r="I67" s="209" t="b">
        <f t="shared" si="30"/>
        <v>0</v>
      </c>
      <c r="J67" s="208" t="b">
        <f t="shared" si="31"/>
        <v>0</v>
      </c>
      <c r="K67" s="211">
        <v>350.0</v>
      </c>
      <c r="L67" s="207" t="str">
        <f t="shared" si="3"/>
        <v>n/a</v>
      </c>
      <c r="M67" s="212" t="str">
        <f t="shared" si="4"/>
        <v>n/a</v>
      </c>
      <c r="N67" s="207" t="str">
        <f t="shared" si="5"/>
        <v>n/a</v>
      </c>
      <c r="O67" s="207">
        <f t="shared" si="6"/>
        <v>0.002857142857</v>
      </c>
    </row>
    <row r="68" ht="15.75" customHeight="1">
      <c r="A68" s="207">
        <v>5.0</v>
      </c>
      <c r="B68" s="6" t="str">
        <f>VLOOKUP($A68, 'Completion rates'!$A:$E, 2, FALSE)</f>
        <v>Opening barrows chests</v>
      </c>
      <c r="C68" s="207">
        <v>4718.0</v>
      </c>
      <c r="D68" s="6" t="str">
        <f>VLOOKUP($C68, 'List of log slots'!$A:$E, 2, FALSE)</f>
        <v>Dharok's greataxe</v>
      </c>
      <c r="E68" s="207">
        <f>VLOOKUP($C68, 'List of log slots'!$A:$E, 5, FALSE)</f>
        <v>4</v>
      </c>
      <c r="F68" s="208" t="b">
        <f>VLOOKUP(C68, 'List of log slots'!$A:$C, 3, FALSE)</f>
        <v>0</v>
      </c>
      <c r="G68" s="209" t="b">
        <f t="shared" si="28"/>
        <v>0</v>
      </c>
      <c r="H68" s="210" t="b">
        <f t="shared" si="7"/>
        <v>1</v>
      </c>
      <c r="I68" s="209" t="b">
        <f t="shared" si="30"/>
        <v>0</v>
      </c>
      <c r="J68" s="208" t="b">
        <f t="shared" si="31"/>
        <v>0</v>
      </c>
      <c r="K68" s="211">
        <v>350.0</v>
      </c>
      <c r="L68" s="207" t="str">
        <f t="shared" si="3"/>
        <v>n/a</v>
      </c>
      <c r="M68" s="212" t="str">
        <f t="shared" si="4"/>
        <v>n/a</v>
      </c>
      <c r="N68" s="207" t="str">
        <f t="shared" si="5"/>
        <v>n/a</v>
      </c>
      <c r="O68" s="207">
        <f t="shared" si="6"/>
        <v>0.002857142857</v>
      </c>
    </row>
    <row r="69" ht="15.75" customHeight="1">
      <c r="A69" s="207">
        <v>5.0</v>
      </c>
      <c r="B69" s="6" t="str">
        <f>VLOOKUP($A69, 'Completion rates'!$A:$E, 2, FALSE)</f>
        <v>Opening barrows chests</v>
      </c>
      <c r="C69" s="207">
        <v>4726.0</v>
      </c>
      <c r="D69" s="6" t="str">
        <f>VLOOKUP($C69, 'List of log slots'!$A:$E, 2, FALSE)</f>
        <v>Guthan's warspear</v>
      </c>
      <c r="E69" s="207">
        <f>VLOOKUP($C69, 'List of log slots'!$A:$E, 5, FALSE)</f>
        <v>4</v>
      </c>
      <c r="F69" s="208" t="b">
        <f>VLOOKUP(C69, 'List of log slots'!$A:$C, 3, FALSE)</f>
        <v>0</v>
      </c>
      <c r="G69" s="209" t="b">
        <f t="shared" si="28"/>
        <v>0</v>
      </c>
      <c r="H69" s="210" t="b">
        <f t="shared" si="7"/>
        <v>1</v>
      </c>
      <c r="I69" s="209" t="b">
        <f t="shared" si="30"/>
        <v>0</v>
      </c>
      <c r="J69" s="208" t="b">
        <f t="shared" si="31"/>
        <v>0</v>
      </c>
      <c r="K69" s="211">
        <v>350.0</v>
      </c>
      <c r="L69" s="207" t="str">
        <f t="shared" si="3"/>
        <v>n/a</v>
      </c>
      <c r="M69" s="212" t="str">
        <f t="shared" si="4"/>
        <v>n/a</v>
      </c>
      <c r="N69" s="207" t="str">
        <f t="shared" si="5"/>
        <v>n/a</v>
      </c>
      <c r="O69" s="207">
        <f t="shared" si="6"/>
        <v>0.002857142857</v>
      </c>
    </row>
    <row r="70" ht="15.75" customHeight="1">
      <c r="A70" s="207">
        <v>5.0</v>
      </c>
      <c r="B70" s="6" t="str">
        <f>VLOOKUP($A70, 'Completion rates'!$A:$E, 2, FALSE)</f>
        <v>Opening barrows chests</v>
      </c>
      <c r="C70" s="207">
        <v>4747.0</v>
      </c>
      <c r="D70" s="6" t="str">
        <f>VLOOKUP($C70, 'List of log slots'!$A:$E, 2, FALSE)</f>
        <v>Torag's hammers</v>
      </c>
      <c r="E70" s="207">
        <f>VLOOKUP($C70, 'List of log slots'!$A:$E, 5, FALSE)</f>
        <v>4</v>
      </c>
      <c r="F70" s="208" t="b">
        <f>VLOOKUP(C70, 'List of log slots'!$A:$C, 3, FALSE)</f>
        <v>0</v>
      </c>
      <c r="G70" s="209" t="b">
        <f t="shared" si="28"/>
        <v>0</v>
      </c>
      <c r="H70" s="210" t="b">
        <f t="shared" si="7"/>
        <v>1</v>
      </c>
      <c r="I70" s="209" t="b">
        <f t="shared" si="30"/>
        <v>0</v>
      </c>
      <c r="J70" s="208" t="b">
        <f t="shared" si="31"/>
        <v>0</v>
      </c>
      <c r="K70" s="211">
        <v>350.0</v>
      </c>
      <c r="L70" s="207" t="str">
        <f t="shared" si="3"/>
        <v>n/a</v>
      </c>
      <c r="M70" s="212" t="str">
        <f t="shared" si="4"/>
        <v>n/a</v>
      </c>
      <c r="N70" s="207" t="str">
        <f t="shared" si="5"/>
        <v>n/a</v>
      </c>
      <c r="O70" s="207">
        <f t="shared" si="6"/>
        <v>0.002857142857</v>
      </c>
    </row>
    <row r="71" ht="15.75" customHeight="1">
      <c r="A71" s="207">
        <v>5.0</v>
      </c>
      <c r="B71" s="6" t="str">
        <f>VLOOKUP($A71, 'Completion rates'!$A:$E, 2, FALSE)</f>
        <v>Opening barrows chests</v>
      </c>
      <c r="C71" s="207">
        <v>4755.0</v>
      </c>
      <c r="D71" s="6" t="str">
        <f>VLOOKUP($C71, 'List of log slots'!$A:$E, 2, FALSE)</f>
        <v>Verac's flail</v>
      </c>
      <c r="E71" s="207">
        <f>VLOOKUP($C71, 'List of log slots'!$A:$E, 5, FALSE)</f>
        <v>4</v>
      </c>
      <c r="F71" s="208" t="b">
        <f>VLOOKUP(C71, 'List of log slots'!$A:$C, 3, FALSE)</f>
        <v>0</v>
      </c>
      <c r="G71" s="209" t="b">
        <f t="shared" si="28"/>
        <v>0</v>
      </c>
      <c r="H71" s="210" t="b">
        <f t="shared" si="7"/>
        <v>1</v>
      </c>
      <c r="I71" s="209" t="b">
        <f t="shared" si="30"/>
        <v>0</v>
      </c>
      <c r="J71" s="208" t="b">
        <f t="shared" si="31"/>
        <v>0</v>
      </c>
      <c r="K71" s="211">
        <v>350.0</v>
      </c>
      <c r="L71" s="207" t="str">
        <f t="shared" si="3"/>
        <v>n/a</v>
      </c>
      <c r="M71" s="212" t="str">
        <f t="shared" si="4"/>
        <v>n/a</v>
      </c>
      <c r="N71" s="207" t="str">
        <f t="shared" si="5"/>
        <v>n/a</v>
      </c>
      <c r="O71" s="207">
        <f t="shared" si="6"/>
        <v>0.002857142857</v>
      </c>
    </row>
    <row r="72" ht="15.75" customHeight="1">
      <c r="A72" s="212">
        <v>5.0</v>
      </c>
      <c r="B72" s="6" t="str">
        <f>VLOOKUP($A72, 'Completion rates'!$A:$E, 2, FALSE)</f>
        <v>Opening barrows chests</v>
      </c>
      <c r="C72" s="207">
        <v>4740.0</v>
      </c>
      <c r="D72" s="6" t="str">
        <f>VLOOKUP($C72, 'List of log slots'!$A:$E, 2, FALSE)</f>
        <v>Bolt rack</v>
      </c>
      <c r="E72" s="207">
        <f>VLOOKUP($C72, 'List of log slots'!$A:$E, 5, FALSE)</f>
        <v>3</v>
      </c>
      <c r="F72" s="213" t="b">
        <f>VLOOKUP(C72, 'List of log slots'!$A:$C, 3, FALSE)</f>
        <v>0</v>
      </c>
      <c r="G72" s="209" t="b">
        <f t="shared" si="28"/>
        <v>0</v>
      </c>
      <c r="H72" s="209" t="b">
        <f t="shared" si="7"/>
        <v>1</v>
      </c>
      <c r="I72" s="209" t="b">
        <f t="shared" si="30"/>
        <v>0</v>
      </c>
      <c r="J72" s="208" t="b">
        <f t="shared" si="31"/>
        <v>0</v>
      </c>
      <c r="K72" s="214">
        <v>3.0</v>
      </c>
      <c r="L72" s="207" t="str">
        <f t="shared" si="3"/>
        <v>n/a</v>
      </c>
      <c r="M72" s="212" t="str">
        <f t="shared" si="4"/>
        <v>n/a</v>
      </c>
      <c r="N72" s="207" t="str">
        <f t="shared" si="5"/>
        <v>n/a</v>
      </c>
      <c r="O72" s="207">
        <f t="shared" si="6"/>
        <v>0.3333333333</v>
      </c>
    </row>
    <row r="73" ht="15.75" customHeight="1">
      <c r="A73" s="212">
        <v>6.0</v>
      </c>
      <c r="B73" s="6" t="str">
        <f>VLOOKUP($A73, 'Completion rates'!$A:$E, 2, FALSE)</f>
        <v>Killing bryophyta</v>
      </c>
      <c r="C73" s="207">
        <v>22372.0</v>
      </c>
      <c r="D73" s="6" t="str">
        <f>VLOOKUP($C73, 'List of log slots'!$A:$E, 2, FALSE)</f>
        <v>Bryophyta's essence</v>
      </c>
      <c r="E73" s="207">
        <f>VLOOKUP($C73, 'List of log slots'!$A:$E, 5, FALSE)</f>
        <v>6</v>
      </c>
      <c r="F73" s="208" t="b">
        <f>VLOOKUP(C73, 'List of log slots'!$A:$C, 3, FALSE)</f>
        <v>0</v>
      </c>
      <c r="G73" s="209" t="b">
        <f t="shared" si="28"/>
        <v>0</v>
      </c>
      <c r="H73" s="210" t="b">
        <f t="shared" si="7"/>
        <v>1</v>
      </c>
      <c r="I73" s="209" t="b">
        <f t="shared" si="30"/>
        <v>0</v>
      </c>
      <c r="J73" s="208" t="b">
        <f t="shared" si="31"/>
        <v>0</v>
      </c>
      <c r="K73" s="211">
        <v>1770.0</v>
      </c>
      <c r="L73" s="207" t="str">
        <f t="shared" si="3"/>
        <v>n/a</v>
      </c>
      <c r="M73" s="212" t="str">
        <f t="shared" si="4"/>
        <v>n/a</v>
      </c>
      <c r="N73" s="207" t="str">
        <f t="shared" si="5"/>
        <v>n/a</v>
      </c>
      <c r="O73" s="207">
        <f t="shared" si="6"/>
        <v>0.0005649717514</v>
      </c>
    </row>
    <row r="74" ht="15.75" customHeight="1">
      <c r="A74" s="212">
        <v>6.0</v>
      </c>
      <c r="B74" s="6" t="str">
        <f>VLOOKUP($A74, 'Completion rates'!$A:$E, 2, FALSE)</f>
        <v>Killing bryophyta</v>
      </c>
      <c r="C74" s="207">
        <v>6800.0</v>
      </c>
      <c r="D74" s="6" t="str">
        <f>VLOOKUP($C74, 'List of log slots'!$A:$E, 2, FALSE)</f>
        <v>Giant champion scroll</v>
      </c>
      <c r="E74" s="207">
        <f>VLOOKUP($C74, 'List of log slots'!$A:$E, 5, FALSE)</f>
        <v>5</v>
      </c>
      <c r="F74" s="208" t="b">
        <f>VLOOKUP(C74, 'List of log slots'!$A:$C, 3, FALSE)</f>
        <v>0</v>
      </c>
      <c r="G74" s="209" t="b">
        <f t="shared" si="28"/>
        <v>0</v>
      </c>
      <c r="H74" s="210" t="b">
        <f t="shared" si="7"/>
        <v>1</v>
      </c>
      <c r="I74" s="209" t="b">
        <f t="shared" si="30"/>
        <v>0</v>
      </c>
      <c r="J74" s="208" t="b">
        <f t="shared" si="31"/>
        <v>0</v>
      </c>
      <c r="K74" s="211">
        <v>5000.0</v>
      </c>
      <c r="L74" s="207" t="str">
        <f t="shared" si="3"/>
        <v>n/a</v>
      </c>
      <c r="M74" s="212" t="str">
        <f t="shared" si="4"/>
        <v>n/a</v>
      </c>
      <c r="N74" s="207" t="str">
        <f t="shared" si="5"/>
        <v>n/a</v>
      </c>
      <c r="O74" s="207">
        <f t="shared" si="6"/>
        <v>0.0002</v>
      </c>
    </row>
    <row r="75" ht="15.75" customHeight="1">
      <c r="A75" s="212">
        <v>6.0</v>
      </c>
      <c r="B75" s="6" t="str">
        <f>VLOOKUP($A75, 'Completion rates'!$A:$E, 2, FALSE)</f>
        <v>Killing bryophyta</v>
      </c>
      <c r="C75" s="207">
        <v>10976.0</v>
      </c>
      <c r="D75" s="6" t="str">
        <f>VLOOKUP($C75, 'List of log slots'!$A:$E, 2, FALSE)</f>
        <v>Long bone</v>
      </c>
      <c r="E75" s="207">
        <f>VLOOKUP($C75, 'List of log slots'!$A:$E, 5, FALSE)</f>
        <v>3</v>
      </c>
      <c r="F75" s="213" t="b">
        <f>VLOOKUP(C75, 'List of log slots'!$A:$C, 3, FALSE)</f>
        <v>0</v>
      </c>
      <c r="G75" s="209" t="b">
        <f t="shared" si="28"/>
        <v>0</v>
      </c>
      <c r="H75" s="209" t="b">
        <f t="shared" si="7"/>
        <v>1</v>
      </c>
      <c r="I75" s="209" t="b">
        <f t="shared" si="30"/>
        <v>0</v>
      </c>
      <c r="J75" s="208" t="b">
        <f t="shared" si="31"/>
        <v>0</v>
      </c>
      <c r="K75" s="211">
        <v>400.0</v>
      </c>
      <c r="L75" s="207" t="str">
        <f t="shared" si="3"/>
        <v>n/a</v>
      </c>
      <c r="M75" s="212" t="str">
        <f t="shared" si="4"/>
        <v>n/a</v>
      </c>
      <c r="N75" s="207" t="str">
        <f t="shared" si="5"/>
        <v>n/a</v>
      </c>
      <c r="O75" s="207">
        <f t="shared" si="6"/>
        <v>0.0025</v>
      </c>
    </row>
    <row r="76" ht="15.75" customHeight="1">
      <c r="A76" s="212">
        <v>6.0</v>
      </c>
      <c r="B76" s="6" t="str">
        <f>VLOOKUP($A76, 'Completion rates'!$A:$E, 2, FALSE)</f>
        <v>Killing bryophyta</v>
      </c>
      <c r="C76" s="207">
        <v>10977.0</v>
      </c>
      <c r="D76" s="6" t="str">
        <f>VLOOKUP($C76, 'List of log slots'!$A:$E, 2, FALSE)</f>
        <v>Curved bone</v>
      </c>
      <c r="E76" s="207">
        <f>VLOOKUP($C76, 'List of log slots'!$A:$E, 5, FALSE)</f>
        <v>5</v>
      </c>
      <c r="F76" s="208" t="b">
        <f>VLOOKUP(C76, 'List of log slots'!$A:$C, 3, FALSE)</f>
        <v>0</v>
      </c>
      <c r="G76" s="209" t="b">
        <f t="shared" si="28"/>
        <v>0</v>
      </c>
      <c r="H76" s="210" t="b">
        <f t="shared" si="7"/>
        <v>1</v>
      </c>
      <c r="I76" s="209" t="b">
        <f t="shared" si="30"/>
        <v>0</v>
      </c>
      <c r="J76" s="208" t="b">
        <f t="shared" si="31"/>
        <v>0</v>
      </c>
      <c r="K76" s="211">
        <v>5013.0</v>
      </c>
      <c r="L76" s="207" t="str">
        <f t="shared" si="3"/>
        <v>n/a</v>
      </c>
      <c r="M76" s="212" t="str">
        <f t="shared" si="4"/>
        <v>n/a</v>
      </c>
      <c r="N76" s="207" t="str">
        <f t="shared" si="5"/>
        <v>n/a</v>
      </c>
      <c r="O76" s="207">
        <f t="shared" si="6"/>
        <v>0.0001994813485</v>
      </c>
    </row>
    <row r="77" ht="15.75" customHeight="1">
      <c r="A77" s="212">
        <v>6.0</v>
      </c>
      <c r="B77" s="6" t="str">
        <f>VLOOKUP($A77, 'Completion rates'!$A:$E, 2, FALSE)</f>
        <v>Killing bryophyta</v>
      </c>
      <c r="C77" s="207">
        <v>2366.0</v>
      </c>
      <c r="D77" s="6" t="str">
        <f>VLOOKUP($C77, 'List of log slots'!$A:$E, 2, FALSE)</f>
        <v>Shield left half</v>
      </c>
      <c r="E77" s="207">
        <f>VLOOKUP($C77, 'List of log slots'!$A:$E, 5, FALSE)</f>
        <v>5</v>
      </c>
      <c r="F77" s="213" t="b">
        <f>VLOOKUP(C77, 'List of log slots'!$A:$C, 3, FALSE)</f>
        <v>0</v>
      </c>
      <c r="G77" s="209" t="b">
        <f t="shared" si="28"/>
        <v>0</v>
      </c>
      <c r="H77" s="209" t="b">
        <f t="shared" si="7"/>
        <v>1</v>
      </c>
      <c r="I77" s="209" t="b">
        <f t="shared" si="30"/>
        <v>0</v>
      </c>
      <c r="J77" s="208" t="b">
        <f t="shared" si="31"/>
        <v>0</v>
      </c>
      <c r="K77" s="211">
        <v>131072.0</v>
      </c>
      <c r="L77" s="207" t="str">
        <f t="shared" si="3"/>
        <v>n/a</v>
      </c>
      <c r="M77" s="212" t="str">
        <f t="shared" si="4"/>
        <v>n/a</v>
      </c>
      <c r="N77" s="207" t="str">
        <f t="shared" si="5"/>
        <v>n/a</v>
      </c>
      <c r="O77" s="207">
        <f t="shared" si="6"/>
        <v>0.000007629394531</v>
      </c>
    </row>
    <row r="78" ht="15.75" customHeight="1">
      <c r="A78" s="212">
        <v>6.0</v>
      </c>
      <c r="B78" s="6" t="str">
        <f>VLOOKUP($A78, 'Completion rates'!$A:$E, 2, FALSE)</f>
        <v>Killing bryophyta</v>
      </c>
      <c r="C78" s="207">
        <v>1249.0</v>
      </c>
      <c r="D78" s="6" t="str">
        <f>VLOOKUP($C78, 'List of log slots'!$A:$E, 2, FALSE)</f>
        <v>Dragon spear</v>
      </c>
      <c r="E78" s="207">
        <f>VLOOKUP($C78, 'List of log slots'!$A:$E, 5, FALSE)</f>
        <v>5</v>
      </c>
      <c r="F78" s="213" t="b">
        <f>VLOOKUP(C78, 'List of log slots'!$A:$C, 3, FALSE)</f>
        <v>0</v>
      </c>
      <c r="G78" s="209" t="b">
        <f t="shared" si="28"/>
        <v>0</v>
      </c>
      <c r="H78" s="209" t="b">
        <f t="shared" si="7"/>
        <v>1</v>
      </c>
      <c r="I78" s="209" t="b">
        <f t="shared" si="30"/>
        <v>0</v>
      </c>
      <c r="J78" s="208" t="b">
        <f t="shared" si="31"/>
        <v>0</v>
      </c>
      <c r="K78" s="214">
        <v>174763.0</v>
      </c>
      <c r="L78" s="207" t="str">
        <f t="shared" si="3"/>
        <v>n/a</v>
      </c>
      <c r="M78" s="212" t="str">
        <f t="shared" si="4"/>
        <v>n/a</v>
      </c>
      <c r="N78" s="207" t="str">
        <f t="shared" si="5"/>
        <v>n/a</v>
      </c>
      <c r="O78" s="207">
        <f t="shared" si="6"/>
        <v>0.000005722034985</v>
      </c>
    </row>
    <row r="79" ht="15.75" customHeight="1">
      <c r="A79" s="207">
        <v>6.0</v>
      </c>
      <c r="B79" s="6" t="str">
        <f>VLOOKUP($A79, 'Completion rates'!$A:$E, 2, FALSE)</f>
        <v>Killing bryophyta</v>
      </c>
      <c r="C79" s="207">
        <v>22374.0</v>
      </c>
      <c r="D79" s="6" t="str">
        <f>VLOOKUP($C79, 'List of log slots'!$A:$E, 2, FALSE)</f>
        <v>Mossy key</v>
      </c>
      <c r="E79" s="207">
        <f>VLOOKUP($C79, 'List of log slots'!$A:$E, 5, FALSE)</f>
        <v>2</v>
      </c>
      <c r="F79" s="213" t="b">
        <f>VLOOKUP(C79, 'List of log slots'!$A:$C, 3, FALSE)</f>
        <v>0</v>
      </c>
      <c r="G79" s="209" t="b">
        <f t="shared" si="28"/>
        <v>0</v>
      </c>
      <c r="H79" s="209" t="b">
        <f t="shared" si="7"/>
        <v>1</v>
      </c>
      <c r="I79" s="209" t="b">
        <f t="shared" si="30"/>
        <v>0</v>
      </c>
      <c r="J79" s="208" t="b">
        <f t="shared" si="31"/>
        <v>0</v>
      </c>
      <c r="K79" s="211">
        <v>16.0</v>
      </c>
      <c r="L79" s="207" t="str">
        <f t="shared" si="3"/>
        <v>n/a</v>
      </c>
      <c r="M79" s="212" t="str">
        <f t="shared" si="4"/>
        <v>n/a</v>
      </c>
      <c r="N79" s="207" t="str">
        <f t="shared" si="5"/>
        <v>n/a</v>
      </c>
      <c r="O79" s="207">
        <f t="shared" si="6"/>
        <v>0.0625</v>
      </c>
    </row>
    <row r="80" ht="15.75" customHeight="1">
      <c r="A80" s="207">
        <v>7.0</v>
      </c>
      <c r="B80" s="6" t="str">
        <f>VLOOKUP($A80, 'Completion rates'!$A:$E, 2, FALSE)</f>
        <v>Killing artio</v>
      </c>
      <c r="C80" s="207">
        <v>13178.0</v>
      </c>
      <c r="D80" s="6" t="str">
        <f>VLOOKUP($C80, 'List of log slots'!$A:$E, 2, FALSE)</f>
        <v>Callisto cub</v>
      </c>
      <c r="E80" s="207">
        <f>VLOOKUP($C80, 'List of log slots'!$A:$E, 5, FALSE)</f>
        <v>7</v>
      </c>
      <c r="F80" s="208" t="b">
        <f>VLOOKUP(C80, 'List of log slots'!$A:$C, 3, FALSE)</f>
        <v>0</v>
      </c>
      <c r="G80" s="209" t="b">
        <f t="shared" si="28"/>
        <v>0</v>
      </c>
      <c r="H80" s="210" t="b">
        <f t="shared" si="7"/>
        <v>1</v>
      </c>
      <c r="I80" s="209" t="b">
        <f t="shared" si="30"/>
        <v>0</v>
      </c>
      <c r="J80" s="208" t="b">
        <f t="shared" si="31"/>
        <v>0</v>
      </c>
      <c r="K80" s="211">
        <v>2800.0</v>
      </c>
      <c r="L80" s="207" t="str">
        <f t="shared" si="3"/>
        <v>n/a</v>
      </c>
      <c r="M80" s="212" t="str">
        <f t="shared" si="4"/>
        <v>n/a</v>
      </c>
      <c r="N80" s="207" t="str">
        <f t="shared" si="5"/>
        <v>n/a</v>
      </c>
      <c r="O80" s="207">
        <f t="shared" si="6"/>
        <v>0.0003571428571</v>
      </c>
    </row>
    <row r="81" ht="15.75" customHeight="1">
      <c r="A81" s="207">
        <v>7.0</v>
      </c>
      <c r="B81" s="6" t="str">
        <f>VLOOKUP($A81, 'Completion rates'!$A:$E, 2, FALSE)</f>
        <v>Killing artio</v>
      </c>
      <c r="C81" s="207">
        <v>12603.0</v>
      </c>
      <c r="D81" s="6" t="str">
        <f>VLOOKUP($C81, 'List of log slots'!$A:$E, 2, FALSE)</f>
        <v>Tyrannical ring</v>
      </c>
      <c r="E81" s="207">
        <f>VLOOKUP($C81, 'List of log slots'!$A:$E, 5, FALSE)</f>
        <v>5</v>
      </c>
      <c r="F81" s="208" t="b">
        <f>VLOOKUP(C81, 'List of log slots'!$A:$C, 3, FALSE)</f>
        <v>0</v>
      </c>
      <c r="G81" s="209" t="b">
        <f t="shared" si="28"/>
        <v>0</v>
      </c>
      <c r="H81" s="210" t="b">
        <f t="shared" si="7"/>
        <v>1</v>
      </c>
      <c r="I81" s="209" t="b">
        <f t="shared" si="30"/>
        <v>0</v>
      </c>
      <c r="J81" s="208" t="b">
        <f t="shared" si="31"/>
        <v>0</v>
      </c>
      <c r="K81" s="211">
        <v>716.0</v>
      </c>
      <c r="L81" s="207" t="str">
        <f t="shared" si="3"/>
        <v>n/a</v>
      </c>
      <c r="M81" s="212" t="str">
        <f t="shared" si="4"/>
        <v>n/a</v>
      </c>
      <c r="N81" s="207" t="str">
        <f t="shared" si="5"/>
        <v>n/a</v>
      </c>
      <c r="O81" s="207">
        <f t="shared" si="6"/>
        <v>0.001396648045</v>
      </c>
    </row>
    <row r="82" ht="15.75" customHeight="1">
      <c r="A82" s="207">
        <v>7.0</v>
      </c>
      <c r="B82" s="6" t="str">
        <f>VLOOKUP($A82, 'Completion rates'!$A:$E, 2, FALSE)</f>
        <v>Killing artio</v>
      </c>
      <c r="C82" s="207">
        <v>11920.0</v>
      </c>
      <c r="D82" s="6" t="str">
        <f>VLOOKUP($C82, 'List of log slots'!$A:$E, 2, FALSE)</f>
        <v>Dragon pickaxe</v>
      </c>
      <c r="E82" s="207">
        <f>VLOOKUP($C82, 'List of log slots'!$A:$E, 5, FALSE)</f>
        <v>4</v>
      </c>
      <c r="F82" s="213" t="b">
        <f>VLOOKUP(C82, 'List of log slots'!$A:$C, 3, FALSE)</f>
        <v>0</v>
      </c>
      <c r="G82" s="209" t="b">
        <f t="shared" si="28"/>
        <v>0</v>
      </c>
      <c r="H82" s="209" t="b">
        <f t="shared" si="7"/>
        <v>1</v>
      </c>
      <c r="I82" s="209" t="b">
        <f t="shared" si="30"/>
        <v>0</v>
      </c>
      <c r="J82" s="208" t="b">
        <f t="shared" si="31"/>
        <v>0</v>
      </c>
      <c r="K82" s="211">
        <v>358.0</v>
      </c>
      <c r="L82" s="207" t="str">
        <f t="shared" si="3"/>
        <v>n/a</v>
      </c>
      <c r="M82" s="212" t="str">
        <f t="shared" si="4"/>
        <v>n/a</v>
      </c>
      <c r="N82" s="207" t="str">
        <f t="shared" si="5"/>
        <v>n/a</v>
      </c>
      <c r="O82" s="207">
        <f t="shared" si="6"/>
        <v>0.002793296089</v>
      </c>
    </row>
    <row r="83" ht="15.75" customHeight="1">
      <c r="A83" s="207">
        <v>7.0</v>
      </c>
      <c r="B83" s="6" t="str">
        <f>VLOOKUP($A83, 'Completion rates'!$A:$E, 2, FALSE)</f>
        <v>Killing artio</v>
      </c>
      <c r="C83" s="207">
        <v>7158.0</v>
      </c>
      <c r="D83" s="6" t="str">
        <f>VLOOKUP($C83, 'List of log slots'!$A:$E, 2, FALSE)</f>
        <v>Dragon 2h sword</v>
      </c>
      <c r="E83" s="207">
        <f>VLOOKUP($C83, 'List of log slots'!$A:$E, 5, FALSE)</f>
        <v>4</v>
      </c>
      <c r="F83" s="208" t="b">
        <f>VLOOKUP(C83, 'List of log slots'!$A:$C, 3, FALSE)</f>
        <v>0</v>
      </c>
      <c r="G83" s="209" t="b">
        <f t="shared" si="28"/>
        <v>0</v>
      </c>
      <c r="H83" s="210" t="b">
        <f t="shared" si="7"/>
        <v>1</v>
      </c>
      <c r="I83" s="209" t="b">
        <f t="shared" si="30"/>
        <v>0</v>
      </c>
      <c r="J83" s="208" t="b">
        <f t="shared" si="31"/>
        <v>0</v>
      </c>
      <c r="K83" s="211">
        <v>358.0</v>
      </c>
      <c r="L83" s="207" t="str">
        <f t="shared" si="3"/>
        <v>n/a</v>
      </c>
      <c r="M83" s="212" t="str">
        <f t="shared" si="4"/>
        <v>n/a</v>
      </c>
      <c r="N83" s="207" t="str">
        <f t="shared" si="5"/>
        <v>n/a</v>
      </c>
      <c r="O83" s="207">
        <f t="shared" si="6"/>
        <v>0.002793296089</v>
      </c>
    </row>
    <row r="84" ht="15.75" customHeight="1">
      <c r="A84" s="207">
        <v>7.0</v>
      </c>
      <c r="B84" s="6" t="str">
        <f>VLOOKUP($A84, 'Completion rates'!$A:$E, 2, FALSE)</f>
        <v>Killing artio</v>
      </c>
      <c r="C84" s="207">
        <v>27667.0</v>
      </c>
      <c r="D84" s="6" t="str">
        <f>VLOOKUP($C84, 'List of log slots'!$A:$E, 2, FALSE)</f>
        <v>Claws of callisto</v>
      </c>
      <c r="E84" s="207">
        <f>VLOOKUP($C84, 'List of log slots'!$A:$E, 5, FALSE)</f>
        <v>5</v>
      </c>
      <c r="F84" s="208" t="b">
        <f>VLOOKUP(C84, 'List of log slots'!$A:$C, 3, FALSE)</f>
        <v>0</v>
      </c>
      <c r="G84" s="209" t="b">
        <f t="shared" si="28"/>
        <v>0</v>
      </c>
      <c r="H84" s="210" t="b">
        <f t="shared" si="7"/>
        <v>1</v>
      </c>
      <c r="I84" s="209" t="b">
        <f t="shared" si="30"/>
        <v>0</v>
      </c>
      <c r="J84" s="208" t="b">
        <f t="shared" si="31"/>
        <v>0</v>
      </c>
      <c r="K84" s="211">
        <v>618.0</v>
      </c>
      <c r="L84" s="207" t="str">
        <f t="shared" si="3"/>
        <v>n/a</v>
      </c>
      <c r="M84" s="212" t="str">
        <f t="shared" si="4"/>
        <v>n/a</v>
      </c>
      <c r="N84" s="207" t="str">
        <f t="shared" si="5"/>
        <v>n/a</v>
      </c>
      <c r="O84" s="207">
        <f t="shared" si="6"/>
        <v>0.001618122977</v>
      </c>
    </row>
    <row r="85" ht="15.75" customHeight="1">
      <c r="A85" s="207">
        <v>7.0</v>
      </c>
      <c r="B85" s="6" t="str">
        <f>VLOOKUP($A85, 'Completion rates'!$A:$E, 2, FALSE)</f>
        <v>Killing artio</v>
      </c>
      <c r="C85" s="207">
        <v>27681.0</v>
      </c>
      <c r="D85" s="6" t="str">
        <f>VLOOKUP($C85, 'List of log slots'!$A:$E, 2, FALSE)</f>
        <v>Voidwaker hilt</v>
      </c>
      <c r="E85" s="207">
        <f>VLOOKUP($C85, 'List of log slots'!$A:$E, 5, FALSE)</f>
        <v>5</v>
      </c>
      <c r="F85" s="208" t="b">
        <f>VLOOKUP(C85, 'List of log slots'!$A:$C, 3, FALSE)</f>
        <v>0</v>
      </c>
      <c r="G85" s="209" t="b">
        <f t="shared" si="28"/>
        <v>0</v>
      </c>
      <c r="H85" s="210" t="b">
        <f t="shared" si="7"/>
        <v>1</v>
      </c>
      <c r="I85" s="209" t="b">
        <f t="shared" si="30"/>
        <v>0</v>
      </c>
      <c r="J85" s="208" t="b">
        <f t="shared" si="31"/>
        <v>0</v>
      </c>
      <c r="K85" s="211">
        <v>912.0</v>
      </c>
      <c r="L85" s="207" t="str">
        <f t="shared" si="3"/>
        <v>n/a</v>
      </c>
      <c r="M85" s="212" t="str">
        <f t="shared" si="4"/>
        <v>n/a</v>
      </c>
      <c r="N85" s="207" t="str">
        <f t="shared" si="5"/>
        <v>n/a</v>
      </c>
      <c r="O85" s="207">
        <f t="shared" si="6"/>
        <v>0.001096491228</v>
      </c>
    </row>
    <row r="86" ht="15.75" customHeight="1">
      <c r="A86" s="207">
        <v>7.0</v>
      </c>
      <c r="B86" s="6" t="str">
        <f>VLOOKUP($A86, 'Completion rates'!$A:$E, 2, FALSE)</f>
        <v>Killing artio</v>
      </c>
      <c r="C86" s="207">
        <v>10976.0</v>
      </c>
      <c r="D86" s="6" t="str">
        <f>VLOOKUP($C86, 'List of log slots'!$A:$E, 2, FALSE)</f>
        <v>Long bone</v>
      </c>
      <c r="E86" s="207">
        <f>VLOOKUP($C86, 'List of log slots'!$A:$E, 5, FALSE)</f>
        <v>3</v>
      </c>
      <c r="F86" s="213" t="b">
        <f>VLOOKUP(C86, 'List of log slots'!$A:$C, 3, FALSE)</f>
        <v>0</v>
      </c>
      <c r="G86" s="209" t="b">
        <f t="shared" si="28"/>
        <v>0</v>
      </c>
      <c r="H86" s="209" t="b">
        <f t="shared" si="7"/>
        <v>1</v>
      </c>
      <c r="I86" s="209" t="b">
        <f t="shared" si="30"/>
        <v>0</v>
      </c>
      <c r="J86" s="208" t="b">
        <f t="shared" si="31"/>
        <v>0</v>
      </c>
      <c r="K86" s="211">
        <v>400.0</v>
      </c>
      <c r="L86" s="207" t="str">
        <f t="shared" si="3"/>
        <v>n/a</v>
      </c>
      <c r="M86" s="212" t="str">
        <f t="shared" si="4"/>
        <v>n/a</v>
      </c>
      <c r="N86" s="207" t="str">
        <f t="shared" si="5"/>
        <v>n/a</v>
      </c>
      <c r="O86" s="207">
        <f t="shared" si="6"/>
        <v>0.0025</v>
      </c>
    </row>
    <row r="87" ht="15.75" customHeight="1">
      <c r="A87" s="207">
        <v>7.0</v>
      </c>
      <c r="B87" s="6" t="str">
        <f>VLOOKUP($A87, 'Completion rates'!$A:$E, 2, FALSE)</f>
        <v>Killing artio</v>
      </c>
      <c r="C87" s="207">
        <v>10977.0</v>
      </c>
      <c r="D87" s="6" t="str">
        <f>VLOOKUP($C87, 'List of log slots'!$A:$E, 2, FALSE)</f>
        <v>Curved bone</v>
      </c>
      <c r="E87" s="207">
        <f>VLOOKUP($C87, 'List of log slots'!$A:$E, 5, FALSE)</f>
        <v>5</v>
      </c>
      <c r="F87" s="208" t="b">
        <f>VLOOKUP(C87, 'List of log slots'!$A:$C, 3, FALSE)</f>
        <v>0</v>
      </c>
      <c r="G87" s="209" t="b">
        <f t="shared" si="28"/>
        <v>0</v>
      </c>
      <c r="H87" s="210" t="b">
        <f t="shared" si="7"/>
        <v>1</v>
      </c>
      <c r="I87" s="209" t="b">
        <f t="shared" si="30"/>
        <v>0</v>
      </c>
      <c r="J87" s="208" t="b">
        <f t="shared" si="31"/>
        <v>0</v>
      </c>
      <c r="K87" s="211">
        <v>5013.0</v>
      </c>
      <c r="L87" s="207" t="str">
        <f t="shared" si="3"/>
        <v>n/a</v>
      </c>
      <c r="M87" s="212" t="str">
        <f t="shared" si="4"/>
        <v>n/a</v>
      </c>
      <c r="N87" s="207" t="str">
        <f t="shared" si="5"/>
        <v>n/a</v>
      </c>
      <c r="O87" s="207">
        <f t="shared" si="6"/>
        <v>0.0001994813485</v>
      </c>
    </row>
    <row r="88" ht="15.75" customHeight="1">
      <c r="A88" s="207">
        <v>8.0</v>
      </c>
      <c r="B88" s="6" t="str">
        <f>VLOOKUP($A88, 'Completion rates'!$A:$E, 2, FALSE)</f>
        <v>Killing cerberus (on task)</v>
      </c>
      <c r="C88" s="207">
        <v>13247.0</v>
      </c>
      <c r="D88" s="6" t="str">
        <f>VLOOKUP($C88, 'List of log slots'!$A:$E, 2, FALSE)</f>
        <v>Hellpuppy</v>
      </c>
      <c r="E88" s="207">
        <f>VLOOKUP($C88, 'List of log slots'!$A:$E, 5, FALSE)</f>
        <v>7</v>
      </c>
      <c r="F88" s="208" t="b">
        <f>VLOOKUP(C88, 'List of log slots'!$A:$C, 3, FALSE)</f>
        <v>0</v>
      </c>
      <c r="G88" s="209" t="b">
        <f t="shared" si="28"/>
        <v>0</v>
      </c>
      <c r="H88" s="210" t="b">
        <f t="shared" si="7"/>
        <v>1</v>
      </c>
      <c r="I88" s="209" t="b">
        <f t="shared" si="30"/>
        <v>0</v>
      </c>
      <c r="J88" s="208" t="b">
        <f t="shared" si="31"/>
        <v>0</v>
      </c>
      <c r="K88" s="211">
        <v>3000.0</v>
      </c>
      <c r="L88" s="207" t="str">
        <f t="shared" si="3"/>
        <v>n/a</v>
      </c>
      <c r="M88" s="212" t="str">
        <f t="shared" si="4"/>
        <v>n/a</v>
      </c>
      <c r="N88" s="207" t="str">
        <f t="shared" si="5"/>
        <v>n/a</v>
      </c>
      <c r="O88" s="207">
        <f t="shared" si="6"/>
        <v>0.0003333333333</v>
      </c>
    </row>
    <row r="89" ht="15.75" customHeight="1">
      <c r="A89" s="207">
        <v>8.0</v>
      </c>
      <c r="B89" s="6" t="str">
        <f>VLOOKUP($A89, 'Completion rates'!$A:$E, 2, FALSE)</f>
        <v>Killing cerberus (on task)</v>
      </c>
      <c r="C89" s="207">
        <v>13227.0</v>
      </c>
      <c r="D89" s="6" t="str">
        <f>VLOOKUP($C89, 'List of log slots'!$A:$E, 2, FALSE)</f>
        <v>Eternal crystal</v>
      </c>
      <c r="E89" s="207">
        <f>VLOOKUP($C89, 'List of log slots'!$A:$E, 5, FALSE)</f>
        <v>6</v>
      </c>
      <c r="F89" s="213" t="b">
        <f>VLOOKUP(C89, 'List of log slots'!$A:$C, 3, FALSE)</f>
        <v>0</v>
      </c>
      <c r="G89" s="209" t="b">
        <f t="shared" si="28"/>
        <v>0</v>
      </c>
      <c r="H89" s="209" t="b">
        <f t="shared" si="7"/>
        <v>1</v>
      </c>
      <c r="I89" s="209" t="b">
        <f t="shared" si="30"/>
        <v>0</v>
      </c>
      <c r="J89" s="208" t="b">
        <f t="shared" si="31"/>
        <v>0</v>
      </c>
      <c r="K89" s="211">
        <v>512.0</v>
      </c>
      <c r="L89" s="207" t="str">
        <f t="shared" si="3"/>
        <v>n/a</v>
      </c>
      <c r="M89" s="212" t="str">
        <f t="shared" si="4"/>
        <v>n/a</v>
      </c>
      <c r="N89" s="207" t="str">
        <f t="shared" si="5"/>
        <v>n/a</v>
      </c>
      <c r="O89" s="207">
        <f t="shared" si="6"/>
        <v>0.001953125</v>
      </c>
    </row>
    <row r="90" ht="15.75" customHeight="1">
      <c r="A90" s="207">
        <v>8.0</v>
      </c>
      <c r="B90" s="6" t="str">
        <f>VLOOKUP($A90, 'Completion rates'!$A:$E, 2, FALSE)</f>
        <v>Killing cerberus (on task)</v>
      </c>
      <c r="C90" s="207">
        <v>13229.0</v>
      </c>
      <c r="D90" s="6" t="str">
        <f>VLOOKUP($C90, 'List of log slots'!$A:$E, 2, FALSE)</f>
        <v>Pegasian crystal</v>
      </c>
      <c r="E90" s="207">
        <f>VLOOKUP($C90, 'List of log slots'!$A:$E, 5, FALSE)</f>
        <v>6</v>
      </c>
      <c r="F90" s="213" t="b">
        <f>VLOOKUP(C90, 'List of log slots'!$A:$C, 3, FALSE)</f>
        <v>0</v>
      </c>
      <c r="G90" s="209" t="b">
        <f t="shared" si="28"/>
        <v>0</v>
      </c>
      <c r="H90" s="209" t="b">
        <f t="shared" si="7"/>
        <v>1</v>
      </c>
      <c r="I90" s="209" t="b">
        <f t="shared" si="30"/>
        <v>0</v>
      </c>
      <c r="J90" s="208" t="b">
        <f t="shared" si="31"/>
        <v>0</v>
      </c>
      <c r="K90" s="211">
        <v>512.0</v>
      </c>
      <c r="L90" s="207" t="str">
        <f t="shared" si="3"/>
        <v>n/a</v>
      </c>
      <c r="M90" s="212" t="str">
        <f t="shared" si="4"/>
        <v>n/a</v>
      </c>
      <c r="N90" s="207" t="str">
        <f t="shared" si="5"/>
        <v>n/a</v>
      </c>
      <c r="O90" s="207">
        <f t="shared" si="6"/>
        <v>0.001953125</v>
      </c>
    </row>
    <row r="91" ht="15.75" customHeight="1">
      <c r="A91" s="207">
        <v>8.0</v>
      </c>
      <c r="B91" s="6" t="str">
        <f>VLOOKUP($A91, 'Completion rates'!$A:$E, 2, FALSE)</f>
        <v>Killing cerberus (on task)</v>
      </c>
      <c r="C91" s="207">
        <v>13231.0</v>
      </c>
      <c r="D91" s="6" t="str">
        <f>VLOOKUP($C91, 'List of log slots'!$A:$E, 2, FALSE)</f>
        <v>Primordial crystal</v>
      </c>
      <c r="E91" s="207">
        <f>VLOOKUP($C91, 'List of log slots'!$A:$E, 5, FALSE)</f>
        <v>6</v>
      </c>
      <c r="F91" s="208" t="b">
        <f>VLOOKUP(C91, 'List of log slots'!$A:$C, 3, FALSE)</f>
        <v>0</v>
      </c>
      <c r="G91" s="209" t="b">
        <f t="shared" si="28"/>
        <v>0</v>
      </c>
      <c r="H91" s="210" t="b">
        <f t="shared" si="7"/>
        <v>1</v>
      </c>
      <c r="I91" s="209" t="b">
        <f t="shared" si="30"/>
        <v>0</v>
      </c>
      <c r="J91" s="208" t="b">
        <f t="shared" si="31"/>
        <v>0</v>
      </c>
      <c r="K91" s="211">
        <v>512.0</v>
      </c>
      <c r="L91" s="207" t="str">
        <f t="shared" si="3"/>
        <v>n/a</v>
      </c>
      <c r="M91" s="212" t="str">
        <f t="shared" si="4"/>
        <v>n/a</v>
      </c>
      <c r="N91" s="207" t="str">
        <f t="shared" si="5"/>
        <v>n/a</v>
      </c>
      <c r="O91" s="207">
        <f t="shared" si="6"/>
        <v>0.001953125</v>
      </c>
    </row>
    <row r="92" ht="15.75" customHeight="1">
      <c r="A92" s="207">
        <v>8.0</v>
      </c>
      <c r="B92" s="6" t="str">
        <f>VLOOKUP($A92, 'Completion rates'!$A:$E, 2, FALSE)</f>
        <v>Killing cerberus (on task)</v>
      </c>
      <c r="C92" s="207">
        <v>13245.0</v>
      </c>
      <c r="D92" s="6" t="str">
        <f>VLOOKUP($C92, 'List of log slots'!$A:$E, 2, FALSE)</f>
        <v>Jar of souls</v>
      </c>
      <c r="E92" s="207">
        <f>VLOOKUP($C92, 'List of log slots'!$A:$E, 5, FALSE)</f>
        <v>7</v>
      </c>
      <c r="F92" s="208" t="b">
        <f>VLOOKUP(C92, 'List of log slots'!$A:$C, 3, FALSE)</f>
        <v>0</v>
      </c>
      <c r="G92" s="209" t="b">
        <f t="shared" si="28"/>
        <v>0</v>
      </c>
      <c r="H92" s="210" t="b">
        <f t="shared" si="7"/>
        <v>1</v>
      </c>
      <c r="I92" s="209" t="b">
        <f t="shared" si="30"/>
        <v>0</v>
      </c>
      <c r="J92" s="208" t="b">
        <f t="shared" si="31"/>
        <v>0</v>
      </c>
      <c r="K92" s="211">
        <v>2000.0</v>
      </c>
      <c r="L92" s="207" t="str">
        <f t="shared" si="3"/>
        <v>n/a</v>
      </c>
      <c r="M92" s="212" t="str">
        <f t="shared" si="4"/>
        <v>n/a</v>
      </c>
      <c r="N92" s="207" t="str">
        <f t="shared" si="5"/>
        <v>n/a</v>
      </c>
      <c r="O92" s="207">
        <f t="shared" si="6"/>
        <v>0.0005</v>
      </c>
    </row>
    <row r="93" ht="15.75" customHeight="1">
      <c r="A93" s="207">
        <v>8.0</v>
      </c>
      <c r="B93" s="6" t="str">
        <f>VLOOKUP($A93, 'Completion rates'!$A:$E, 2, FALSE)</f>
        <v>Killing cerberus (on task)</v>
      </c>
      <c r="C93" s="207">
        <v>13233.0</v>
      </c>
      <c r="D93" s="6" t="str">
        <f>VLOOKUP($C93, 'List of log slots'!$A:$E, 2, FALSE)</f>
        <v>Smouldering stone</v>
      </c>
      <c r="E93" s="207">
        <f>VLOOKUP($C93, 'List of log slots'!$A:$E, 5, FALSE)</f>
        <v>6</v>
      </c>
      <c r="F93" s="213" t="b">
        <f>VLOOKUP(C93, 'List of log slots'!$A:$C, 3, FALSE)</f>
        <v>0</v>
      </c>
      <c r="G93" s="209" t="b">
        <f t="shared" si="28"/>
        <v>0</v>
      </c>
      <c r="H93" s="209" t="b">
        <f t="shared" si="7"/>
        <v>1</v>
      </c>
      <c r="I93" s="209" t="b">
        <f t="shared" si="30"/>
        <v>0</v>
      </c>
      <c r="J93" s="208" t="b">
        <f t="shared" si="31"/>
        <v>0</v>
      </c>
      <c r="K93" s="211">
        <v>512.0</v>
      </c>
      <c r="L93" s="207" t="str">
        <f t="shared" si="3"/>
        <v>n/a</v>
      </c>
      <c r="M93" s="212" t="str">
        <f t="shared" si="4"/>
        <v>n/a</v>
      </c>
      <c r="N93" s="207" t="str">
        <f t="shared" si="5"/>
        <v>n/a</v>
      </c>
      <c r="O93" s="207">
        <f t="shared" si="6"/>
        <v>0.001953125</v>
      </c>
    </row>
    <row r="94" ht="15.75" customHeight="1">
      <c r="A94" s="207">
        <v>8.0</v>
      </c>
      <c r="B94" s="6" t="str">
        <f>VLOOKUP($A94, 'Completion rates'!$A:$E, 2, FALSE)</f>
        <v>Killing cerberus (on task)</v>
      </c>
      <c r="C94" s="207">
        <v>13249.0</v>
      </c>
      <c r="D94" s="6" t="str">
        <f>VLOOKUP($C94, 'List of log slots'!$A:$E, 2, FALSE)</f>
        <v>Key master teleport</v>
      </c>
      <c r="E94" s="207">
        <f>VLOOKUP($C94, 'List of log slots'!$A:$E, 5, FALSE)</f>
        <v>5</v>
      </c>
      <c r="F94" s="213" t="b">
        <f>VLOOKUP(C94, 'List of log slots'!$A:$C, 3, FALSE)</f>
        <v>0</v>
      </c>
      <c r="G94" s="209" t="b">
        <f t="shared" si="28"/>
        <v>0</v>
      </c>
      <c r="H94" s="209" t="b">
        <f t="shared" si="7"/>
        <v>1</v>
      </c>
      <c r="I94" s="209" t="b">
        <f t="shared" si="30"/>
        <v>0</v>
      </c>
      <c r="J94" s="208" t="b">
        <f t="shared" si="31"/>
        <v>0</v>
      </c>
      <c r="K94" s="211">
        <v>64.0</v>
      </c>
      <c r="L94" s="207" t="str">
        <f t="shared" si="3"/>
        <v>n/a</v>
      </c>
      <c r="M94" s="212" t="str">
        <f t="shared" si="4"/>
        <v>n/a</v>
      </c>
      <c r="N94" s="207" t="str">
        <f t="shared" si="5"/>
        <v>n/a</v>
      </c>
      <c r="O94" s="207">
        <f t="shared" si="6"/>
        <v>0.015625</v>
      </c>
    </row>
    <row r="95" ht="15.75" customHeight="1">
      <c r="A95" s="207">
        <v>8.0</v>
      </c>
      <c r="B95" s="6" t="str">
        <f>VLOOKUP($A95, 'Completion rates'!$A:$E, 2, FALSE)</f>
        <v>Killing cerberus (on task)</v>
      </c>
      <c r="C95" s="207">
        <v>2366.0</v>
      </c>
      <c r="D95" s="6" t="str">
        <f>VLOOKUP($C95, 'List of log slots'!$A:$E, 2, FALSE)</f>
        <v>Shield left half</v>
      </c>
      <c r="E95" s="207">
        <f>VLOOKUP($C95, 'List of log slots'!$A:$E, 5, FALSE)</f>
        <v>5</v>
      </c>
      <c r="F95" s="213" t="b">
        <f>VLOOKUP(C95, 'List of log slots'!$A:$C, 3, FALSE)</f>
        <v>0</v>
      </c>
      <c r="G95" s="209" t="b">
        <f t="shared" si="28"/>
        <v>0</v>
      </c>
      <c r="H95" s="209" t="b">
        <f t="shared" si="7"/>
        <v>1</v>
      </c>
      <c r="I95" s="209" t="b">
        <f t="shared" si="30"/>
        <v>0</v>
      </c>
      <c r="J95" s="208" t="b">
        <f t="shared" si="31"/>
        <v>0</v>
      </c>
      <c r="K95" s="211">
        <v>11531.0</v>
      </c>
      <c r="L95" s="207" t="str">
        <f t="shared" si="3"/>
        <v>n/a</v>
      </c>
      <c r="M95" s="212" t="str">
        <f t="shared" si="4"/>
        <v>n/a</v>
      </c>
      <c r="N95" s="207" t="str">
        <f t="shared" si="5"/>
        <v>n/a</v>
      </c>
      <c r="O95" s="207">
        <f t="shared" si="6"/>
        <v>0.00008672274738</v>
      </c>
    </row>
    <row r="96" ht="15.75" customHeight="1">
      <c r="A96" s="207">
        <v>8.0</v>
      </c>
      <c r="B96" s="6" t="str">
        <f>VLOOKUP($A96, 'Completion rates'!$A:$E, 2, FALSE)</f>
        <v>Killing cerberus (on task)</v>
      </c>
      <c r="C96" s="207">
        <v>1249.0</v>
      </c>
      <c r="D96" s="6" t="str">
        <f>VLOOKUP($C96, 'List of log slots'!$A:$E, 2, FALSE)</f>
        <v>Dragon spear</v>
      </c>
      <c r="E96" s="207">
        <f>VLOOKUP($C96, 'List of log slots'!$A:$E, 5, FALSE)</f>
        <v>5</v>
      </c>
      <c r="F96" s="213" t="b">
        <f>VLOOKUP(C96, 'List of log slots'!$A:$C, 3, FALSE)</f>
        <v>0</v>
      </c>
      <c r="G96" s="209" t="b">
        <f t="shared" si="28"/>
        <v>0</v>
      </c>
      <c r="H96" s="209" t="b">
        <f t="shared" si="7"/>
        <v>1</v>
      </c>
      <c r="I96" s="209" t="b">
        <f t="shared" si="30"/>
        <v>0</v>
      </c>
      <c r="J96" s="208" t="b">
        <f t="shared" si="31"/>
        <v>0</v>
      </c>
      <c r="K96" s="211">
        <v>15374.0</v>
      </c>
      <c r="L96" s="207" t="str">
        <f t="shared" si="3"/>
        <v>n/a</v>
      </c>
      <c r="M96" s="212" t="str">
        <f t="shared" si="4"/>
        <v>n/a</v>
      </c>
      <c r="N96" s="207" t="str">
        <f t="shared" si="5"/>
        <v>n/a</v>
      </c>
      <c r="O96" s="207">
        <f t="shared" si="6"/>
        <v>0.00006504488097</v>
      </c>
    </row>
    <row r="97" ht="15.75" customHeight="1">
      <c r="A97" s="207">
        <v>9.0</v>
      </c>
      <c r="B97" s="6" t="str">
        <f>VLOOKUP($A97, 'Completion rates'!$A:$E, 2, FALSE)</f>
        <v>Killing chaos elemental</v>
      </c>
      <c r="C97" s="207">
        <v>11995.0</v>
      </c>
      <c r="D97" s="6" t="str">
        <f>VLOOKUP($C97, 'List of log slots'!$A:$E, 2, FALSE)</f>
        <v>Pet chaos elemental</v>
      </c>
      <c r="E97" s="207">
        <f>VLOOKUP($C97, 'List of log slots'!$A:$E, 5, FALSE)</f>
        <v>5</v>
      </c>
      <c r="F97" s="208" t="b">
        <f>VLOOKUP(C97, 'List of log slots'!$A:$C, 3, FALSE)</f>
        <v>0</v>
      </c>
      <c r="G97" s="209" t="b">
        <f t="shared" si="28"/>
        <v>0</v>
      </c>
      <c r="H97" s="210" t="b">
        <f t="shared" si="7"/>
        <v>1</v>
      </c>
      <c r="I97" s="209" t="b">
        <f t="shared" si="30"/>
        <v>0</v>
      </c>
      <c r="J97" s="208" t="b">
        <f t="shared" si="31"/>
        <v>0</v>
      </c>
      <c r="K97" s="211">
        <v>300.0</v>
      </c>
      <c r="L97" s="207" t="str">
        <f t="shared" si="3"/>
        <v>n/a</v>
      </c>
      <c r="M97" s="212" t="str">
        <f t="shared" si="4"/>
        <v>n/a</v>
      </c>
      <c r="N97" s="207" t="str">
        <f t="shared" si="5"/>
        <v>n/a</v>
      </c>
      <c r="O97" s="207">
        <f t="shared" si="6"/>
        <v>0.003333333333</v>
      </c>
    </row>
    <row r="98" ht="15.75" customHeight="1">
      <c r="A98" s="207">
        <v>9.0</v>
      </c>
      <c r="B98" s="6" t="str">
        <f>VLOOKUP($A98, 'Completion rates'!$A:$E, 2, FALSE)</f>
        <v>Killing chaos elemental</v>
      </c>
      <c r="C98" s="207">
        <v>11920.0</v>
      </c>
      <c r="D98" s="6" t="str">
        <f>VLOOKUP($C98, 'List of log slots'!$A:$E, 2, FALSE)</f>
        <v>Dragon pickaxe</v>
      </c>
      <c r="E98" s="207">
        <f>VLOOKUP($C98, 'List of log slots'!$A:$E, 5, FALSE)</f>
        <v>4</v>
      </c>
      <c r="F98" s="213" t="b">
        <f>VLOOKUP(C98, 'List of log slots'!$A:$C, 3, FALSE)</f>
        <v>0</v>
      </c>
      <c r="G98" s="209" t="b">
        <f t="shared" si="28"/>
        <v>0</v>
      </c>
      <c r="H98" s="209" t="b">
        <f t="shared" si="7"/>
        <v>1</v>
      </c>
      <c r="I98" s="209" t="b">
        <f t="shared" si="30"/>
        <v>0</v>
      </c>
      <c r="J98" s="208" t="b">
        <f t="shared" si="31"/>
        <v>0</v>
      </c>
      <c r="K98" s="211">
        <v>256.0</v>
      </c>
      <c r="L98" s="207" t="str">
        <f t="shared" si="3"/>
        <v>n/a</v>
      </c>
      <c r="M98" s="212" t="str">
        <f t="shared" si="4"/>
        <v>n/a</v>
      </c>
      <c r="N98" s="207" t="str">
        <f t="shared" si="5"/>
        <v>n/a</v>
      </c>
      <c r="O98" s="207">
        <f t="shared" si="6"/>
        <v>0.00390625</v>
      </c>
    </row>
    <row r="99" ht="15.75" customHeight="1">
      <c r="A99" s="207">
        <v>9.0</v>
      </c>
      <c r="B99" s="6" t="str">
        <f>VLOOKUP($A99, 'Completion rates'!$A:$E, 2, FALSE)</f>
        <v>Killing chaos elemental</v>
      </c>
      <c r="C99" s="207">
        <v>7158.0</v>
      </c>
      <c r="D99" s="6" t="str">
        <f>VLOOKUP($C99, 'List of log slots'!$A:$E, 2, FALSE)</f>
        <v>Dragon 2h sword</v>
      </c>
      <c r="E99" s="207">
        <f>VLOOKUP($C99, 'List of log slots'!$A:$E, 5, FALSE)</f>
        <v>4</v>
      </c>
      <c r="F99" s="208" t="b">
        <f>VLOOKUP(C99, 'List of log slots'!$A:$C, 3, FALSE)</f>
        <v>0</v>
      </c>
      <c r="G99" s="209" t="b">
        <f t="shared" si="28"/>
        <v>0</v>
      </c>
      <c r="H99" s="210" t="b">
        <f t="shared" si="7"/>
        <v>1</v>
      </c>
      <c r="I99" s="209" t="b">
        <f t="shared" si="30"/>
        <v>0</v>
      </c>
      <c r="J99" s="208" t="b">
        <f t="shared" si="31"/>
        <v>0</v>
      </c>
      <c r="K99" s="211">
        <v>128.0</v>
      </c>
      <c r="L99" s="207" t="str">
        <f t="shared" si="3"/>
        <v>n/a</v>
      </c>
      <c r="M99" s="212" t="str">
        <f t="shared" si="4"/>
        <v>n/a</v>
      </c>
      <c r="N99" s="207" t="str">
        <f t="shared" si="5"/>
        <v>n/a</v>
      </c>
      <c r="O99" s="207">
        <f t="shared" si="6"/>
        <v>0.0078125</v>
      </c>
    </row>
    <row r="100" ht="15.75" customHeight="1">
      <c r="A100" s="207">
        <v>9.0</v>
      </c>
      <c r="B100" s="6" t="str">
        <f>VLOOKUP($A100, 'Completion rates'!$A:$E, 2, FALSE)</f>
        <v>Killing chaos elemental</v>
      </c>
      <c r="C100" s="207">
        <v>2366.0</v>
      </c>
      <c r="D100" s="6" t="str">
        <f>VLOOKUP($C100, 'List of log slots'!$A:$E, 2, FALSE)</f>
        <v>Shield left half</v>
      </c>
      <c r="E100" s="207">
        <f>VLOOKUP($C100, 'List of log slots'!$A:$E, 5, FALSE)</f>
        <v>5</v>
      </c>
      <c r="F100" s="213" t="b">
        <f>VLOOKUP(C100, 'List of log slots'!$A:$C, 3, FALSE)</f>
        <v>0</v>
      </c>
      <c r="G100" s="209" t="b">
        <f t="shared" si="28"/>
        <v>0</v>
      </c>
      <c r="H100" s="209" t="b">
        <f t="shared" si="7"/>
        <v>1</v>
      </c>
      <c r="I100" s="209" t="b">
        <f t="shared" si="30"/>
        <v>0</v>
      </c>
      <c r="J100" s="208" t="b">
        <f t="shared" si="31"/>
        <v>0</v>
      </c>
      <c r="K100" s="211">
        <v>4220.0</v>
      </c>
      <c r="L100" s="207" t="str">
        <f t="shared" si="3"/>
        <v>n/a</v>
      </c>
      <c r="M100" s="212" t="str">
        <f t="shared" si="4"/>
        <v>n/a</v>
      </c>
      <c r="N100" s="207" t="str">
        <f t="shared" si="5"/>
        <v>n/a</v>
      </c>
      <c r="O100" s="207">
        <f t="shared" si="6"/>
        <v>0.0002369668246</v>
      </c>
    </row>
    <row r="101" ht="15.75" customHeight="1">
      <c r="A101" s="207">
        <v>9.0</v>
      </c>
      <c r="B101" s="6" t="str">
        <f>VLOOKUP($A101, 'Completion rates'!$A:$E, 2, FALSE)</f>
        <v>Killing chaos elemental</v>
      </c>
      <c r="C101" s="207">
        <v>1249.0</v>
      </c>
      <c r="D101" s="6" t="str">
        <f>VLOOKUP($C101, 'List of log slots'!$A:$E, 2, FALSE)</f>
        <v>Dragon spear</v>
      </c>
      <c r="E101" s="207">
        <f>VLOOKUP($C101, 'List of log slots'!$A:$E, 5, FALSE)</f>
        <v>5</v>
      </c>
      <c r="F101" s="213" t="b">
        <f>VLOOKUP(C101, 'List of log slots'!$A:$C, 3, FALSE)</f>
        <v>0</v>
      </c>
      <c r="G101" s="209" t="b">
        <f t="shared" si="28"/>
        <v>0</v>
      </c>
      <c r="H101" s="209" t="b">
        <f t="shared" si="7"/>
        <v>1</v>
      </c>
      <c r="I101" s="209" t="b">
        <f t="shared" si="30"/>
        <v>0</v>
      </c>
      <c r="J101" s="208" t="b">
        <f t="shared" si="31"/>
        <v>0</v>
      </c>
      <c r="K101" s="211">
        <v>5626.0</v>
      </c>
      <c r="L101" s="207" t="str">
        <f t="shared" si="3"/>
        <v>n/a</v>
      </c>
      <c r="M101" s="212" t="str">
        <f t="shared" si="4"/>
        <v>n/a</v>
      </c>
      <c r="N101" s="207" t="str">
        <f t="shared" si="5"/>
        <v>n/a</v>
      </c>
      <c r="O101" s="207">
        <f t="shared" si="6"/>
        <v>0.0001777461785</v>
      </c>
    </row>
    <row r="102" ht="15.75" customHeight="1">
      <c r="A102" s="207">
        <v>10.0</v>
      </c>
      <c r="B102" s="6" t="str">
        <f>VLOOKUP($A102, 'Completion rates'!$A:$E, 2, FALSE)</f>
        <v>Killing chaos fanatic</v>
      </c>
      <c r="C102" s="207">
        <v>11995.0</v>
      </c>
      <c r="D102" s="6" t="str">
        <f>VLOOKUP($C102, 'List of log slots'!$A:$E, 2, FALSE)</f>
        <v>Pet chaos elemental</v>
      </c>
      <c r="E102" s="207">
        <f>VLOOKUP($C102, 'List of log slots'!$A:$E, 5, FALSE)</f>
        <v>5</v>
      </c>
      <c r="F102" s="208" t="b">
        <f>VLOOKUP(C102, 'List of log slots'!$A:$C, 3, FALSE)</f>
        <v>0</v>
      </c>
      <c r="G102" s="209" t="b">
        <f t="shared" si="28"/>
        <v>0</v>
      </c>
      <c r="H102" s="210" t="b">
        <f t="shared" si="7"/>
        <v>1</v>
      </c>
      <c r="I102" s="209" t="b">
        <f t="shared" si="30"/>
        <v>0</v>
      </c>
      <c r="J102" s="208" t="b">
        <f t="shared" si="31"/>
        <v>0</v>
      </c>
      <c r="K102" s="211">
        <v>1000.0</v>
      </c>
      <c r="L102" s="207" t="str">
        <f t="shared" si="3"/>
        <v>n/a</v>
      </c>
      <c r="M102" s="212" t="str">
        <f t="shared" si="4"/>
        <v>n/a</v>
      </c>
      <c r="N102" s="207" t="str">
        <f t="shared" si="5"/>
        <v>n/a</v>
      </c>
      <c r="O102" s="207">
        <f t="shared" si="6"/>
        <v>0.001</v>
      </c>
    </row>
    <row r="103" ht="15.75" customHeight="1">
      <c r="A103" s="207">
        <v>10.0</v>
      </c>
      <c r="B103" s="6" t="str">
        <f>VLOOKUP($A103, 'Completion rates'!$A:$E, 2, FALSE)</f>
        <v>Killing chaos fanatic</v>
      </c>
      <c r="C103" s="207">
        <v>11928.0</v>
      </c>
      <c r="D103" s="6" t="str">
        <f>VLOOKUP($C103, 'List of log slots'!$A:$E, 2, FALSE)</f>
        <v>Odium shard 1</v>
      </c>
      <c r="E103" s="207">
        <f>VLOOKUP($C103, 'List of log slots'!$A:$E, 5, FALSE)</f>
        <v>4</v>
      </c>
      <c r="F103" s="208" t="b">
        <f>VLOOKUP(C103, 'List of log slots'!$A:$C, 3, FALSE)</f>
        <v>0</v>
      </c>
      <c r="G103" s="209" t="b">
        <f t="shared" si="28"/>
        <v>0</v>
      </c>
      <c r="H103" s="210" t="b">
        <f t="shared" si="7"/>
        <v>1</v>
      </c>
      <c r="I103" s="209" t="b">
        <f t="shared" si="30"/>
        <v>0</v>
      </c>
      <c r="J103" s="208" t="b">
        <f t="shared" si="31"/>
        <v>0</v>
      </c>
      <c r="K103" s="211">
        <v>256.0</v>
      </c>
      <c r="L103" s="207" t="str">
        <f t="shared" si="3"/>
        <v>n/a</v>
      </c>
      <c r="M103" s="212" t="str">
        <f t="shared" si="4"/>
        <v>n/a</v>
      </c>
      <c r="N103" s="207" t="str">
        <f t="shared" si="5"/>
        <v>n/a</v>
      </c>
      <c r="O103" s="207">
        <f t="shared" si="6"/>
        <v>0.00390625</v>
      </c>
    </row>
    <row r="104" ht="15.75" customHeight="1">
      <c r="A104" s="207">
        <v>10.0</v>
      </c>
      <c r="B104" s="6" t="str">
        <f>VLOOKUP($A104, 'Completion rates'!$A:$E, 2, FALSE)</f>
        <v>Killing chaos fanatic</v>
      </c>
      <c r="C104" s="207">
        <v>11931.0</v>
      </c>
      <c r="D104" s="6" t="str">
        <f>VLOOKUP($C104, 'List of log slots'!$A:$E, 2, FALSE)</f>
        <v>Malediction shard 1</v>
      </c>
      <c r="E104" s="207">
        <f>VLOOKUP($C104, 'List of log slots'!$A:$E, 5, FALSE)</f>
        <v>4</v>
      </c>
      <c r="F104" s="208" t="b">
        <f>VLOOKUP(C104, 'List of log slots'!$A:$C, 3, FALSE)</f>
        <v>0</v>
      </c>
      <c r="G104" s="209" t="b">
        <f t="shared" si="28"/>
        <v>0</v>
      </c>
      <c r="H104" s="210" t="b">
        <f t="shared" si="7"/>
        <v>1</v>
      </c>
      <c r="I104" s="209" t="b">
        <f t="shared" si="30"/>
        <v>0</v>
      </c>
      <c r="J104" s="208" t="b">
        <f t="shared" si="31"/>
        <v>0</v>
      </c>
      <c r="K104" s="211">
        <v>256.0</v>
      </c>
      <c r="L104" s="207" t="str">
        <f t="shared" si="3"/>
        <v>n/a</v>
      </c>
      <c r="M104" s="212" t="str">
        <f t="shared" si="4"/>
        <v>n/a</v>
      </c>
      <c r="N104" s="207" t="str">
        <f t="shared" si="5"/>
        <v>n/a</v>
      </c>
      <c r="O104" s="207">
        <f t="shared" si="6"/>
        <v>0.00390625</v>
      </c>
    </row>
    <row r="105" ht="15.75" customHeight="1">
      <c r="A105" s="207">
        <v>10.0</v>
      </c>
      <c r="B105" s="6" t="str">
        <f>VLOOKUP($A105, 'Completion rates'!$A:$E, 2, FALSE)</f>
        <v>Killing chaos fanatic</v>
      </c>
      <c r="C105" s="207">
        <v>2366.0</v>
      </c>
      <c r="D105" s="6" t="str">
        <f>VLOOKUP($C105, 'List of log slots'!$A:$E, 2, FALSE)</f>
        <v>Shield left half</v>
      </c>
      <c r="E105" s="207">
        <f>VLOOKUP($C105, 'List of log slots'!$A:$E, 5, FALSE)</f>
        <v>5</v>
      </c>
      <c r="F105" s="213" t="b">
        <f>VLOOKUP(C105, 'List of log slots'!$A:$C, 3, FALSE)</f>
        <v>0</v>
      </c>
      <c r="G105" s="209" t="b">
        <f t="shared" si="28"/>
        <v>0</v>
      </c>
      <c r="H105" s="209" t="b">
        <f t="shared" si="7"/>
        <v>1</v>
      </c>
      <c r="I105" s="209" t="b">
        <f t="shared" si="30"/>
        <v>0</v>
      </c>
      <c r="J105" s="208" t="b">
        <f t="shared" si="31"/>
        <v>0</v>
      </c>
      <c r="K105" s="211">
        <v>8113.0</v>
      </c>
      <c r="L105" s="207" t="str">
        <f t="shared" si="3"/>
        <v>n/a</v>
      </c>
      <c r="M105" s="212" t="str">
        <f t="shared" si="4"/>
        <v>n/a</v>
      </c>
      <c r="N105" s="207" t="str">
        <f t="shared" si="5"/>
        <v>n/a</v>
      </c>
      <c r="O105" s="207">
        <f t="shared" si="6"/>
        <v>0.0001232589671</v>
      </c>
    </row>
    <row r="106" ht="15.75" customHeight="1">
      <c r="A106" s="207">
        <v>10.0</v>
      </c>
      <c r="B106" s="6" t="str">
        <f>VLOOKUP($A106, 'Completion rates'!$A:$E, 2, FALSE)</f>
        <v>Killing chaos fanatic</v>
      </c>
      <c r="C106" s="207">
        <v>1249.0</v>
      </c>
      <c r="D106" s="6" t="str">
        <f>VLOOKUP($C106, 'List of log slots'!$A:$E, 2, FALSE)</f>
        <v>Dragon spear</v>
      </c>
      <c r="E106" s="207">
        <f>VLOOKUP($C106, 'List of log slots'!$A:$E, 5, FALSE)</f>
        <v>5</v>
      </c>
      <c r="F106" s="213" t="b">
        <f>VLOOKUP(C106, 'List of log slots'!$A:$C, 3, FALSE)</f>
        <v>0</v>
      </c>
      <c r="G106" s="209" t="b">
        <f t="shared" si="28"/>
        <v>0</v>
      </c>
      <c r="H106" s="209" t="b">
        <f t="shared" si="7"/>
        <v>1</v>
      </c>
      <c r="I106" s="209" t="b">
        <f t="shared" si="30"/>
        <v>0</v>
      </c>
      <c r="J106" s="208" t="b">
        <f t="shared" si="31"/>
        <v>0</v>
      </c>
      <c r="K106" s="211">
        <v>10817.0</v>
      </c>
      <c r="L106" s="207" t="str">
        <f t="shared" si="3"/>
        <v>n/a</v>
      </c>
      <c r="M106" s="212" t="str">
        <f t="shared" si="4"/>
        <v>n/a</v>
      </c>
      <c r="N106" s="207" t="str">
        <f t="shared" si="5"/>
        <v>n/a</v>
      </c>
      <c r="O106" s="207">
        <f t="shared" si="6"/>
        <v>0.00009244707405</v>
      </c>
    </row>
    <row r="107" ht="15.75" customHeight="1">
      <c r="A107" s="207">
        <v>11.0</v>
      </c>
      <c r="B107" s="6" t="str">
        <f>VLOOKUP($A107, 'Completion rates'!$A:$E, 2, FALSE)</f>
        <v>Killing commander zilyana</v>
      </c>
      <c r="C107" s="207">
        <v>12651.0</v>
      </c>
      <c r="D107" s="6" t="str">
        <f>VLOOKUP($C107, 'List of log slots'!$A:$E, 2, FALSE)</f>
        <v>Pet zilyana</v>
      </c>
      <c r="E107" s="207">
        <f>VLOOKUP($C107, 'List of log slots'!$A:$E, 5, FALSE)</f>
        <v>7</v>
      </c>
      <c r="F107" s="208" t="b">
        <f>VLOOKUP(C107, 'List of log slots'!$A:$C, 3, FALSE)</f>
        <v>0</v>
      </c>
      <c r="G107" s="209" t="b">
        <f t="shared" si="28"/>
        <v>0</v>
      </c>
      <c r="H107" s="210" t="b">
        <f t="shared" si="7"/>
        <v>1</v>
      </c>
      <c r="I107" s="209" t="b">
        <f t="shared" si="30"/>
        <v>0</v>
      </c>
      <c r="J107" s="208" t="b">
        <f t="shared" si="31"/>
        <v>0</v>
      </c>
      <c r="K107" s="211">
        <v>5000.0</v>
      </c>
      <c r="L107" s="207" t="str">
        <f t="shared" si="3"/>
        <v>n/a</v>
      </c>
      <c r="M107" s="212" t="str">
        <f t="shared" si="4"/>
        <v>n/a</v>
      </c>
      <c r="N107" s="207" t="str">
        <f t="shared" si="5"/>
        <v>n/a</v>
      </c>
      <c r="O107" s="207">
        <f t="shared" si="6"/>
        <v>0.0002</v>
      </c>
    </row>
    <row r="108" ht="15.75" customHeight="1">
      <c r="A108" s="207">
        <v>11.0</v>
      </c>
      <c r="B108" s="6" t="str">
        <f>VLOOKUP($A108, 'Completion rates'!$A:$E, 2, FALSE)</f>
        <v>Killing commander zilyana</v>
      </c>
      <c r="C108" s="207">
        <v>11785.0</v>
      </c>
      <c r="D108" s="6" t="str">
        <f>VLOOKUP($C108, 'List of log slots'!$A:$E, 2, FALSE)</f>
        <v>Armadyl crossbow</v>
      </c>
      <c r="E108" s="207">
        <f>VLOOKUP($C108, 'List of log slots'!$A:$E, 5, FALSE)</f>
        <v>5</v>
      </c>
      <c r="F108" s="208" t="b">
        <f>VLOOKUP(C108, 'List of log slots'!$A:$C, 3, FALSE)</f>
        <v>0</v>
      </c>
      <c r="G108" s="209" t="b">
        <f t="shared" si="28"/>
        <v>0</v>
      </c>
      <c r="H108" s="210" t="b">
        <f t="shared" si="7"/>
        <v>1</v>
      </c>
      <c r="I108" s="209" t="b">
        <f t="shared" si="30"/>
        <v>0</v>
      </c>
      <c r="J108" s="208" t="b">
        <f t="shared" si="31"/>
        <v>0</v>
      </c>
      <c r="K108" s="211">
        <v>508.0</v>
      </c>
      <c r="L108" s="207" t="str">
        <f t="shared" si="3"/>
        <v>n/a</v>
      </c>
      <c r="M108" s="212" t="str">
        <f t="shared" si="4"/>
        <v>n/a</v>
      </c>
      <c r="N108" s="207" t="str">
        <f t="shared" si="5"/>
        <v>n/a</v>
      </c>
      <c r="O108" s="207">
        <f t="shared" si="6"/>
        <v>0.001968503937</v>
      </c>
    </row>
    <row r="109" ht="15.75" customHeight="1">
      <c r="A109" s="207">
        <v>11.0</v>
      </c>
      <c r="B109" s="6" t="str">
        <f>VLOOKUP($A109, 'Completion rates'!$A:$E, 2, FALSE)</f>
        <v>Killing commander zilyana</v>
      </c>
      <c r="C109" s="207">
        <v>11814.0</v>
      </c>
      <c r="D109" s="6" t="str">
        <f>VLOOKUP($C109, 'List of log slots'!$A:$E, 2, FALSE)</f>
        <v>Saradomin hilt</v>
      </c>
      <c r="E109" s="207">
        <f>VLOOKUP($C109, 'List of log slots'!$A:$E, 5, FALSE)</f>
        <v>5</v>
      </c>
      <c r="F109" s="208" t="b">
        <f>VLOOKUP(C109, 'List of log slots'!$A:$C, 3, FALSE)</f>
        <v>0</v>
      </c>
      <c r="G109" s="209" t="b">
        <f t="shared" si="28"/>
        <v>0</v>
      </c>
      <c r="H109" s="210" t="b">
        <f t="shared" si="7"/>
        <v>1</v>
      </c>
      <c r="I109" s="209" t="b">
        <f t="shared" si="30"/>
        <v>0</v>
      </c>
      <c r="J109" s="208" t="b">
        <f t="shared" si="31"/>
        <v>0</v>
      </c>
      <c r="K109" s="211">
        <v>508.0</v>
      </c>
      <c r="L109" s="207" t="str">
        <f t="shared" si="3"/>
        <v>n/a</v>
      </c>
      <c r="M109" s="212" t="str">
        <f t="shared" si="4"/>
        <v>n/a</v>
      </c>
      <c r="N109" s="207" t="str">
        <f t="shared" si="5"/>
        <v>n/a</v>
      </c>
      <c r="O109" s="207">
        <f t="shared" si="6"/>
        <v>0.001968503937</v>
      </c>
    </row>
    <row r="110" ht="15.75" customHeight="1">
      <c r="A110" s="207">
        <v>11.0</v>
      </c>
      <c r="B110" s="6" t="str">
        <f>VLOOKUP($A110, 'Completion rates'!$A:$E, 2, FALSE)</f>
        <v>Killing commander zilyana</v>
      </c>
      <c r="C110" s="207">
        <v>11838.0</v>
      </c>
      <c r="D110" s="6" t="str">
        <f>VLOOKUP($C110, 'List of log slots'!$A:$E, 2, FALSE)</f>
        <v>Saradomin sword</v>
      </c>
      <c r="E110" s="207">
        <f>VLOOKUP($C110, 'List of log slots'!$A:$E, 5, FALSE)</f>
        <v>5</v>
      </c>
      <c r="F110" s="213" t="b">
        <f>VLOOKUP(C110, 'List of log slots'!$A:$C, 3, FALSE)</f>
        <v>0</v>
      </c>
      <c r="G110" s="209" t="b">
        <f t="shared" si="28"/>
        <v>0</v>
      </c>
      <c r="H110" s="209" t="b">
        <f t="shared" si="7"/>
        <v>1</v>
      </c>
      <c r="I110" s="209" t="b">
        <f t="shared" si="30"/>
        <v>0</v>
      </c>
      <c r="J110" s="208" t="b">
        <f t="shared" si="31"/>
        <v>0</v>
      </c>
      <c r="K110" s="211">
        <v>127.0</v>
      </c>
      <c r="L110" s="207" t="str">
        <f t="shared" si="3"/>
        <v>n/a</v>
      </c>
      <c r="M110" s="212" t="str">
        <f t="shared" si="4"/>
        <v>n/a</v>
      </c>
      <c r="N110" s="207" t="str">
        <f t="shared" si="5"/>
        <v>n/a</v>
      </c>
      <c r="O110" s="207">
        <f t="shared" si="6"/>
        <v>0.007874015748</v>
      </c>
    </row>
    <row r="111" ht="15.75" customHeight="1">
      <c r="A111" s="207">
        <v>11.0</v>
      </c>
      <c r="B111" s="6" t="str">
        <f>VLOOKUP($A111, 'Completion rates'!$A:$E, 2, FALSE)</f>
        <v>Killing commander zilyana</v>
      </c>
      <c r="C111" s="207">
        <v>13256.0</v>
      </c>
      <c r="D111" s="6" t="str">
        <f>VLOOKUP($C111, 'List of log slots'!$A:$E, 2, FALSE)</f>
        <v>Saradomin's light</v>
      </c>
      <c r="E111" s="207">
        <f>VLOOKUP($C111, 'List of log slots'!$A:$E, 5, FALSE)</f>
        <v>5</v>
      </c>
      <c r="F111" s="208" t="b">
        <f>VLOOKUP(C111, 'List of log slots'!$A:$C, 3, FALSE)</f>
        <v>0</v>
      </c>
      <c r="G111" s="209" t="b">
        <f t="shared" si="28"/>
        <v>0</v>
      </c>
      <c r="H111" s="210" t="b">
        <f t="shared" si="7"/>
        <v>1</v>
      </c>
      <c r="I111" s="209" t="b">
        <f t="shared" si="30"/>
        <v>0</v>
      </c>
      <c r="J111" s="208" t="b">
        <f t="shared" si="31"/>
        <v>0</v>
      </c>
      <c r="K111" s="211">
        <v>254.0</v>
      </c>
      <c r="L111" s="207" t="str">
        <f t="shared" si="3"/>
        <v>n/a</v>
      </c>
      <c r="M111" s="212" t="str">
        <f t="shared" si="4"/>
        <v>n/a</v>
      </c>
      <c r="N111" s="207" t="str">
        <f t="shared" si="5"/>
        <v>n/a</v>
      </c>
      <c r="O111" s="207">
        <f t="shared" si="6"/>
        <v>0.003937007874</v>
      </c>
    </row>
    <row r="112" ht="15.75" customHeight="1">
      <c r="A112" s="207">
        <v>11.0</v>
      </c>
      <c r="B112" s="6" t="str">
        <f>VLOOKUP($A112, 'Completion rates'!$A:$E, 2, FALSE)</f>
        <v>Killing commander zilyana</v>
      </c>
      <c r="C112" s="207">
        <v>11818.0</v>
      </c>
      <c r="D112" s="6" t="str">
        <f>VLOOKUP($C112, 'List of log slots'!$A:$E, 2, FALSE)</f>
        <v>Godsword shard 1</v>
      </c>
      <c r="E112" s="207">
        <f>VLOOKUP($C112, 'List of log slots'!$A:$E, 5, FALSE)</f>
        <v>5</v>
      </c>
      <c r="F112" s="208" t="b">
        <f>VLOOKUP(C112, 'List of log slots'!$A:$C, 3, FALSE)</f>
        <v>0</v>
      </c>
      <c r="G112" s="209" t="b">
        <f t="shared" si="28"/>
        <v>0</v>
      </c>
      <c r="H112" s="210" t="b">
        <f t="shared" si="7"/>
        <v>1</v>
      </c>
      <c r="I112" s="209" t="b">
        <f t="shared" si="30"/>
        <v>0</v>
      </c>
      <c r="J112" s="208" t="b">
        <f t="shared" si="31"/>
        <v>0</v>
      </c>
      <c r="K112" s="211">
        <v>762.0</v>
      </c>
      <c r="L112" s="207" t="str">
        <f t="shared" si="3"/>
        <v>n/a</v>
      </c>
      <c r="M112" s="212" t="str">
        <f t="shared" si="4"/>
        <v>n/a</v>
      </c>
      <c r="N112" s="207" t="str">
        <f t="shared" si="5"/>
        <v>n/a</v>
      </c>
      <c r="O112" s="207">
        <f t="shared" si="6"/>
        <v>0.001312335958</v>
      </c>
    </row>
    <row r="113" ht="15.75" customHeight="1">
      <c r="A113" s="207">
        <v>11.0</v>
      </c>
      <c r="B113" s="6" t="str">
        <f>VLOOKUP($A113, 'Completion rates'!$A:$E, 2, FALSE)</f>
        <v>Killing commander zilyana</v>
      </c>
      <c r="C113" s="207">
        <v>11820.0</v>
      </c>
      <c r="D113" s="6" t="str">
        <f>VLOOKUP($C113, 'List of log slots'!$A:$E, 2, FALSE)</f>
        <v>Godsword shard 2</v>
      </c>
      <c r="E113" s="207">
        <f>VLOOKUP($C113, 'List of log slots'!$A:$E, 5, FALSE)</f>
        <v>5</v>
      </c>
      <c r="F113" s="208" t="b">
        <f>VLOOKUP(C113, 'List of log slots'!$A:$C, 3, FALSE)</f>
        <v>0</v>
      </c>
      <c r="G113" s="209" t="b">
        <f t="shared" si="28"/>
        <v>0</v>
      </c>
      <c r="H113" s="210" t="b">
        <f t="shared" si="7"/>
        <v>1</v>
      </c>
      <c r="I113" s="209" t="b">
        <f t="shared" si="30"/>
        <v>0</v>
      </c>
      <c r="J113" s="208" t="b">
        <f t="shared" si="31"/>
        <v>0</v>
      </c>
      <c r="K113" s="211">
        <v>762.0</v>
      </c>
      <c r="L113" s="207" t="str">
        <f t="shared" si="3"/>
        <v>n/a</v>
      </c>
      <c r="M113" s="212" t="str">
        <f t="shared" si="4"/>
        <v>n/a</v>
      </c>
      <c r="N113" s="207" t="str">
        <f t="shared" si="5"/>
        <v>n/a</v>
      </c>
      <c r="O113" s="207">
        <f t="shared" si="6"/>
        <v>0.001312335958</v>
      </c>
    </row>
    <row r="114" ht="15.75" customHeight="1">
      <c r="A114" s="207">
        <v>11.0</v>
      </c>
      <c r="B114" s="6" t="str">
        <f>VLOOKUP($A114, 'Completion rates'!$A:$E, 2, FALSE)</f>
        <v>Killing commander zilyana</v>
      </c>
      <c r="C114" s="207">
        <v>11822.0</v>
      </c>
      <c r="D114" s="6" t="str">
        <f>VLOOKUP($C114, 'List of log slots'!$A:$E, 2, FALSE)</f>
        <v>Godsword shard 3</v>
      </c>
      <c r="E114" s="207">
        <f>VLOOKUP($C114, 'List of log slots'!$A:$E, 5, FALSE)</f>
        <v>5</v>
      </c>
      <c r="F114" s="208" t="b">
        <f>VLOOKUP(C114, 'List of log slots'!$A:$C, 3, FALSE)</f>
        <v>0</v>
      </c>
      <c r="G114" s="209" t="b">
        <f t="shared" si="28"/>
        <v>0</v>
      </c>
      <c r="H114" s="210" t="b">
        <f t="shared" si="7"/>
        <v>1</v>
      </c>
      <c r="I114" s="209" t="b">
        <f t="shared" si="30"/>
        <v>0</v>
      </c>
      <c r="J114" s="208" t="b">
        <f t="shared" si="31"/>
        <v>0</v>
      </c>
      <c r="K114" s="211">
        <v>762.0</v>
      </c>
      <c r="L114" s="207" t="str">
        <f t="shared" si="3"/>
        <v>n/a</v>
      </c>
      <c r="M114" s="212" t="str">
        <f t="shared" si="4"/>
        <v>n/a</v>
      </c>
      <c r="N114" s="207" t="str">
        <f t="shared" si="5"/>
        <v>n/a</v>
      </c>
      <c r="O114" s="207">
        <f t="shared" si="6"/>
        <v>0.001312335958</v>
      </c>
    </row>
    <row r="115" ht="15.75" customHeight="1">
      <c r="A115" s="207">
        <v>11.0</v>
      </c>
      <c r="B115" s="6" t="str">
        <f>VLOOKUP($A115, 'Completion rates'!$A:$E, 2, FALSE)</f>
        <v>Killing commander zilyana</v>
      </c>
      <c r="C115" s="207">
        <v>2366.0</v>
      </c>
      <c r="D115" s="6" t="str">
        <f>VLOOKUP($C115, 'List of log slots'!$A:$E, 2, FALSE)</f>
        <v>Shield left half</v>
      </c>
      <c r="E115" s="207">
        <f>VLOOKUP($C115, 'List of log slots'!$A:$E, 5, FALSE)</f>
        <v>5</v>
      </c>
      <c r="F115" s="213" t="b">
        <f>VLOOKUP(C115, 'List of log slots'!$A:$C, 3, FALSE)</f>
        <v>0</v>
      </c>
      <c r="G115" s="209" t="b">
        <f t="shared" si="28"/>
        <v>0</v>
      </c>
      <c r="H115" s="209" t="b">
        <f t="shared" si="7"/>
        <v>1</v>
      </c>
      <c r="I115" s="209" t="b">
        <f t="shared" si="30"/>
        <v>0</v>
      </c>
      <c r="J115" s="208" t="b">
        <f t="shared" si="31"/>
        <v>0</v>
      </c>
      <c r="K115" s="211">
        <v>4221.0</v>
      </c>
      <c r="L115" s="207" t="str">
        <f t="shared" si="3"/>
        <v>n/a</v>
      </c>
      <c r="M115" s="212" t="str">
        <f t="shared" si="4"/>
        <v>n/a</v>
      </c>
      <c r="N115" s="207" t="str">
        <f t="shared" si="5"/>
        <v>n/a</v>
      </c>
      <c r="O115" s="207">
        <f t="shared" si="6"/>
        <v>0.0002369106847</v>
      </c>
    </row>
    <row r="116" ht="15.75" customHeight="1">
      <c r="A116" s="207">
        <v>11.0</v>
      </c>
      <c r="B116" s="6" t="str">
        <f>VLOOKUP($A116, 'Completion rates'!$A:$E, 2, FALSE)</f>
        <v>Killing commander zilyana</v>
      </c>
      <c r="C116" s="207">
        <v>1249.0</v>
      </c>
      <c r="D116" s="6" t="str">
        <f>VLOOKUP($C116, 'List of log slots'!$A:$E, 2, FALSE)</f>
        <v>Dragon spear</v>
      </c>
      <c r="E116" s="207">
        <f>VLOOKUP($C116, 'List of log slots'!$A:$E, 5, FALSE)</f>
        <v>5</v>
      </c>
      <c r="F116" s="213" t="b">
        <f>VLOOKUP(C116, 'List of log slots'!$A:$C, 3, FALSE)</f>
        <v>0</v>
      </c>
      <c r="G116" s="209" t="b">
        <f t="shared" si="28"/>
        <v>0</v>
      </c>
      <c r="H116" s="209" t="b">
        <f t="shared" si="7"/>
        <v>1</v>
      </c>
      <c r="I116" s="209" t="b">
        <f t="shared" si="30"/>
        <v>0</v>
      </c>
      <c r="J116" s="208" t="b">
        <f t="shared" si="31"/>
        <v>0</v>
      </c>
      <c r="K116" s="211">
        <v>5628.0</v>
      </c>
      <c r="L116" s="207" t="str">
        <f t="shared" si="3"/>
        <v>n/a</v>
      </c>
      <c r="M116" s="212" t="str">
        <f t="shared" si="4"/>
        <v>n/a</v>
      </c>
      <c r="N116" s="207" t="str">
        <f t="shared" si="5"/>
        <v>n/a</v>
      </c>
      <c r="O116" s="207">
        <f t="shared" si="6"/>
        <v>0.0001776830135</v>
      </c>
    </row>
    <row r="117" ht="15.75" customHeight="1">
      <c r="A117" s="207">
        <v>12.0</v>
      </c>
      <c r="B117" s="6" t="str">
        <f>VLOOKUP($A117, 'Completion rates'!$A:$E, 2, FALSE)</f>
        <v>Killing corporeal beast</v>
      </c>
      <c r="C117" s="207">
        <v>12816.0</v>
      </c>
      <c r="D117" s="6" t="str">
        <f>VLOOKUP($C117, 'List of log slots'!$A:$E, 2, FALSE)</f>
        <v>Pet dark core</v>
      </c>
      <c r="E117" s="207">
        <f>VLOOKUP($C117, 'List of log slots'!$A:$E, 5, FALSE)</f>
        <v>7</v>
      </c>
      <c r="F117" s="208" t="b">
        <f>VLOOKUP(C117, 'List of log slots'!$A:$C, 3, FALSE)</f>
        <v>0</v>
      </c>
      <c r="G117" s="209" t="b">
        <f t="shared" si="28"/>
        <v>0</v>
      </c>
      <c r="H117" s="210" t="b">
        <f t="shared" si="7"/>
        <v>1</v>
      </c>
      <c r="I117" s="209" t="b">
        <f t="shared" si="30"/>
        <v>0</v>
      </c>
      <c r="J117" s="208" t="b">
        <f t="shared" si="31"/>
        <v>0</v>
      </c>
      <c r="K117" s="211">
        <v>5000.0</v>
      </c>
      <c r="L117" s="207" t="str">
        <f t="shared" si="3"/>
        <v>n/a</v>
      </c>
      <c r="M117" s="212" t="str">
        <f t="shared" si="4"/>
        <v>n/a</v>
      </c>
      <c r="N117" s="207" t="str">
        <f t="shared" si="5"/>
        <v>n/a</v>
      </c>
      <c r="O117" s="207">
        <f t="shared" si="6"/>
        <v>0.0002</v>
      </c>
    </row>
    <row r="118" ht="15.75" customHeight="1">
      <c r="A118" s="207">
        <v>12.0</v>
      </c>
      <c r="B118" s="6" t="str">
        <f>VLOOKUP($A118, 'Completion rates'!$A:$E, 2, FALSE)</f>
        <v>Killing corporeal beast</v>
      </c>
      <c r="C118" s="207">
        <v>12819.0</v>
      </c>
      <c r="D118" s="6" t="str">
        <f>VLOOKUP($C118, 'List of log slots'!$A:$E, 2, FALSE)</f>
        <v>Elysian sigil</v>
      </c>
      <c r="E118" s="207">
        <f>VLOOKUP($C118, 'List of log slots'!$A:$E, 5, FALSE)</f>
        <v>7</v>
      </c>
      <c r="F118" s="208" t="b">
        <f>VLOOKUP(C118, 'List of log slots'!$A:$C, 3, FALSE)</f>
        <v>0</v>
      </c>
      <c r="G118" s="209" t="b">
        <f t="shared" si="28"/>
        <v>0</v>
      </c>
      <c r="H118" s="210" t="b">
        <f t="shared" si="7"/>
        <v>1</v>
      </c>
      <c r="I118" s="209" t="b">
        <f t="shared" si="30"/>
        <v>0</v>
      </c>
      <c r="J118" s="208" t="b">
        <f t="shared" si="31"/>
        <v>0</v>
      </c>
      <c r="K118" s="211">
        <v>4095.0</v>
      </c>
      <c r="L118" s="207" t="str">
        <f t="shared" si="3"/>
        <v>n/a</v>
      </c>
      <c r="M118" s="212" t="str">
        <f t="shared" si="4"/>
        <v>n/a</v>
      </c>
      <c r="N118" s="207" t="str">
        <f t="shared" si="5"/>
        <v>n/a</v>
      </c>
      <c r="O118" s="207">
        <f t="shared" si="6"/>
        <v>0.0002442002442</v>
      </c>
    </row>
    <row r="119" ht="15.75" customHeight="1">
      <c r="A119" s="207">
        <v>12.0</v>
      </c>
      <c r="B119" s="6" t="str">
        <f>VLOOKUP($A119, 'Completion rates'!$A:$E, 2, FALSE)</f>
        <v>Killing corporeal beast</v>
      </c>
      <c r="C119" s="207">
        <v>12823.0</v>
      </c>
      <c r="D119" s="6" t="str">
        <f>VLOOKUP($C119, 'List of log slots'!$A:$E, 2, FALSE)</f>
        <v>Spectral sigil</v>
      </c>
      <c r="E119" s="207">
        <f>VLOOKUP($C119, 'List of log slots'!$A:$E, 5, FALSE)</f>
        <v>6</v>
      </c>
      <c r="F119" s="208" t="b">
        <f>VLOOKUP(C119, 'List of log slots'!$A:$C, 3, FALSE)</f>
        <v>0</v>
      </c>
      <c r="G119" s="209" t="b">
        <f t="shared" si="28"/>
        <v>0</v>
      </c>
      <c r="H119" s="210" t="b">
        <f t="shared" si="7"/>
        <v>1</v>
      </c>
      <c r="I119" s="209" t="b">
        <f t="shared" si="30"/>
        <v>0</v>
      </c>
      <c r="J119" s="208" t="b">
        <f t="shared" si="31"/>
        <v>0</v>
      </c>
      <c r="K119" s="211">
        <v>1365.0</v>
      </c>
      <c r="L119" s="207" t="str">
        <f t="shared" si="3"/>
        <v>n/a</v>
      </c>
      <c r="M119" s="212" t="str">
        <f t="shared" si="4"/>
        <v>n/a</v>
      </c>
      <c r="N119" s="207" t="str">
        <f t="shared" si="5"/>
        <v>n/a</v>
      </c>
      <c r="O119" s="207">
        <f t="shared" si="6"/>
        <v>0.0007326007326</v>
      </c>
    </row>
    <row r="120" ht="15.75" customHeight="1">
      <c r="A120" s="207">
        <v>12.0</v>
      </c>
      <c r="B120" s="6" t="str">
        <f>VLOOKUP($A120, 'Completion rates'!$A:$E, 2, FALSE)</f>
        <v>Killing corporeal beast</v>
      </c>
      <c r="C120" s="207">
        <v>12827.0</v>
      </c>
      <c r="D120" s="6" t="str">
        <f>VLOOKUP($C120, 'List of log slots'!$A:$E, 2, FALSE)</f>
        <v>Arcane sigil</v>
      </c>
      <c r="E120" s="207">
        <f>VLOOKUP($C120, 'List of log slots'!$A:$E, 5, FALSE)</f>
        <v>6</v>
      </c>
      <c r="F120" s="208" t="b">
        <f>VLOOKUP(C120, 'List of log slots'!$A:$C, 3, FALSE)</f>
        <v>0</v>
      </c>
      <c r="G120" s="209" t="b">
        <f t="shared" si="28"/>
        <v>0</v>
      </c>
      <c r="H120" s="210" t="b">
        <f t="shared" si="7"/>
        <v>1</v>
      </c>
      <c r="I120" s="209" t="b">
        <f t="shared" si="30"/>
        <v>0</v>
      </c>
      <c r="J120" s="208" t="b">
        <f t="shared" si="31"/>
        <v>0</v>
      </c>
      <c r="K120" s="211">
        <v>1365.0</v>
      </c>
      <c r="L120" s="207" t="str">
        <f t="shared" si="3"/>
        <v>n/a</v>
      </c>
      <c r="M120" s="212" t="str">
        <f t="shared" si="4"/>
        <v>n/a</v>
      </c>
      <c r="N120" s="207" t="str">
        <f t="shared" si="5"/>
        <v>n/a</v>
      </c>
      <c r="O120" s="207">
        <f t="shared" si="6"/>
        <v>0.0007326007326</v>
      </c>
    </row>
    <row r="121" ht="15.75" customHeight="1">
      <c r="A121" s="207">
        <v>12.0</v>
      </c>
      <c r="B121" s="6" t="str">
        <f>VLOOKUP($A121, 'Completion rates'!$A:$E, 2, FALSE)</f>
        <v>Killing corporeal beast</v>
      </c>
      <c r="C121" s="207">
        <v>12833.0</v>
      </c>
      <c r="D121" s="6" t="str">
        <f>VLOOKUP($C121, 'List of log slots'!$A:$E, 2, FALSE)</f>
        <v>Holy elixir</v>
      </c>
      <c r="E121" s="207">
        <f>VLOOKUP($C121, 'List of log slots'!$A:$E, 5, FALSE)</f>
        <v>5</v>
      </c>
      <c r="F121" s="213" t="b">
        <f>VLOOKUP(C121, 'List of log slots'!$A:$C, 3, FALSE)</f>
        <v>0</v>
      </c>
      <c r="G121" s="209" t="b">
        <f t="shared" si="28"/>
        <v>0</v>
      </c>
      <c r="H121" s="209" t="b">
        <f t="shared" si="7"/>
        <v>1</v>
      </c>
      <c r="I121" s="209" t="b">
        <f t="shared" si="30"/>
        <v>0</v>
      </c>
      <c r="J121" s="208" t="b">
        <f t="shared" si="31"/>
        <v>0</v>
      </c>
      <c r="K121" s="211">
        <v>171.0</v>
      </c>
      <c r="L121" s="207" t="str">
        <f t="shared" si="3"/>
        <v>n/a</v>
      </c>
      <c r="M121" s="212" t="str">
        <f t="shared" si="4"/>
        <v>n/a</v>
      </c>
      <c r="N121" s="207" t="str">
        <f t="shared" si="5"/>
        <v>n/a</v>
      </c>
      <c r="O121" s="207">
        <f t="shared" si="6"/>
        <v>0.005847953216</v>
      </c>
    </row>
    <row r="122" ht="15.75" customHeight="1">
      <c r="A122" s="207">
        <v>12.0</v>
      </c>
      <c r="B122" s="6" t="str">
        <f>VLOOKUP($A122, 'Completion rates'!$A:$E, 2, FALSE)</f>
        <v>Killing corporeal beast</v>
      </c>
      <c r="C122" s="207">
        <v>12829.0</v>
      </c>
      <c r="D122" s="6" t="str">
        <f>VLOOKUP($C122, 'List of log slots'!$A:$E, 2, FALSE)</f>
        <v>Spirit shield</v>
      </c>
      <c r="E122" s="207">
        <f>VLOOKUP($C122, 'List of log slots'!$A:$E, 5, FALSE)</f>
        <v>5</v>
      </c>
      <c r="F122" s="208" t="b">
        <f>VLOOKUP(C122, 'List of log slots'!$A:$C, 3, FALSE)</f>
        <v>0</v>
      </c>
      <c r="G122" s="209" t="b">
        <f t="shared" si="28"/>
        <v>0</v>
      </c>
      <c r="H122" s="210" t="b">
        <f t="shared" si="7"/>
        <v>1</v>
      </c>
      <c r="I122" s="209" t="b">
        <f t="shared" si="30"/>
        <v>0</v>
      </c>
      <c r="J122" s="208" t="b">
        <f t="shared" si="31"/>
        <v>0</v>
      </c>
      <c r="K122" s="211">
        <v>64.0</v>
      </c>
      <c r="L122" s="207" t="str">
        <f t="shared" si="3"/>
        <v>n/a</v>
      </c>
      <c r="M122" s="212" t="str">
        <f t="shared" si="4"/>
        <v>n/a</v>
      </c>
      <c r="N122" s="207" t="str">
        <f t="shared" si="5"/>
        <v>n/a</v>
      </c>
      <c r="O122" s="207">
        <f t="shared" si="6"/>
        <v>0.015625</v>
      </c>
    </row>
    <row r="123" ht="15.75" customHeight="1">
      <c r="A123" s="207">
        <v>12.0</v>
      </c>
      <c r="B123" s="6" t="str">
        <f>VLOOKUP($A123, 'Completion rates'!$A:$E, 2, FALSE)</f>
        <v>Killing corporeal beast</v>
      </c>
      <c r="C123" s="207">
        <v>25521.0</v>
      </c>
      <c r="D123" s="6" t="str">
        <f>VLOOKUP($C123, 'List of log slots'!$A:$E, 2, FALSE)</f>
        <v>Jar of spirits</v>
      </c>
      <c r="E123" s="207">
        <f>VLOOKUP($C123, 'List of log slots'!$A:$E, 5, FALSE)</f>
        <v>6</v>
      </c>
      <c r="F123" s="208" t="b">
        <f>VLOOKUP(C123, 'List of log slots'!$A:$C, 3, FALSE)</f>
        <v>0</v>
      </c>
      <c r="G123" s="209" t="b">
        <f t="shared" si="28"/>
        <v>0</v>
      </c>
      <c r="H123" s="210" t="b">
        <f t="shared" si="7"/>
        <v>1</v>
      </c>
      <c r="I123" s="209" t="b">
        <f t="shared" si="30"/>
        <v>0</v>
      </c>
      <c r="J123" s="208" t="b">
        <f t="shared" si="31"/>
        <v>0</v>
      </c>
      <c r="K123" s="211">
        <v>1000.0</v>
      </c>
      <c r="L123" s="207" t="str">
        <f t="shared" si="3"/>
        <v>n/a</v>
      </c>
      <c r="M123" s="212" t="str">
        <f t="shared" si="4"/>
        <v>n/a</v>
      </c>
      <c r="N123" s="207" t="str">
        <f t="shared" si="5"/>
        <v>n/a</v>
      </c>
      <c r="O123" s="207">
        <f t="shared" si="6"/>
        <v>0.001</v>
      </c>
    </row>
    <row r="124" ht="15.75" customHeight="1">
      <c r="A124" s="207">
        <v>12.0</v>
      </c>
      <c r="B124" s="6" t="str">
        <f>VLOOKUP($A124, 'Completion rates'!$A:$E, 2, FALSE)</f>
        <v>Killing corporeal beast</v>
      </c>
      <c r="C124" s="207">
        <v>2366.0</v>
      </c>
      <c r="D124" s="6" t="str">
        <f>VLOOKUP($C124, 'List of log slots'!$A:$E, 2, FALSE)</f>
        <v>Shield left half</v>
      </c>
      <c r="E124" s="207">
        <f>VLOOKUP($C124, 'List of log slots'!$A:$E, 5, FALSE)</f>
        <v>5</v>
      </c>
      <c r="F124" s="213" t="b">
        <f>VLOOKUP(C124, 'List of log slots'!$A:$C, 3, FALSE)</f>
        <v>0</v>
      </c>
      <c r="G124" s="209" t="b">
        <f t="shared" si="28"/>
        <v>0</v>
      </c>
      <c r="H124" s="209" t="b">
        <f t="shared" si="7"/>
        <v>1</v>
      </c>
      <c r="I124" s="209" t="b">
        <f t="shared" si="30"/>
        <v>0</v>
      </c>
      <c r="J124" s="208" t="b">
        <f t="shared" si="31"/>
        <v>0</v>
      </c>
      <c r="K124" s="211">
        <v>174763.0</v>
      </c>
      <c r="L124" s="207" t="str">
        <f t="shared" si="3"/>
        <v>n/a</v>
      </c>
      <c r="M124" s="212" t="str">
        <f t="shared" si="4"/>
        <v>n/a</v>
      </c>
      <c r="N124" s="207" t="str">
        <f t="shared" si="5"/>
        <v>n/a</v>
      </c>
      <c r="O124" s="207">
        <f t="shared" si="6"/>
        <v>0.000005722034985</v>
      </c>
    </row>
    <row r="125" ht="15.75" customHeight="1">
      <c r="A125" s="207">
        <v>12.0</v>
      </c>
      <c r="B125" s="6" t="str">
        <f>VLOOKUP($A125, 'Completion rates'!$A:$E, 2, FALSE)</f>
        <v>Killing corporeal beast</v>
      </c>
      <c r="C125" s="207">
        <v>1249.0</v>
      </c>
      <c r="D125" s="6" t="str">
        <f>VLOOKUP($C125, 'List of log slots'!$A:$E, 2, FALSE)</f>
        <v>Dragon spear</v>
      </c>
      <c r="E125" s="207">
        <f>VLOOKUP($C125, 'List of log slots'!$A:$E, 5, FALSE)</f>
        <v>5</v>
      </c>
      <c r="F125" s="213" t="b">
        <f>VLOOKUP(C125, 'List of log slots'!$A:$C, 3, FALSE)</f>
        <v>0</v>
      </c>
      <c r="G125" s="209" t="b">
        <f t="shared" si="28"/>
        <v>0</v>
      </c>
      <c r="H125" s="209" t="b">
        <f t="shared" si="7"/>
        <v>1</v>
      </c>
      <c r="I125" s="209" t="b">
        <f t="shared" si="30"/>
        <v>0</v>
      </c>
      <c r="J125" s="208" t="b">
        <f t="shared" si="31"/>
        <v>0</v>
      </c>
      <c r="K125" s="211">
        <v>233017.0</v>
      </c>
      <c r="L125" s="207" t="str">
        <f t="shared" si="3"/>
        <v>n/a</v>
      </c>
      <c r="M125" s="212" t="str">
        <f t="shared" si="4"/>
        <v>n/a</v>
      </c>
      <c r="N125" s="207" t="str">
        <f t="shared" si="5"/>
        <v>n/a</v>
      </c>
      <c r="O125" s="207">
        <f t="shared" si="6"/>
        <v>0.000004291532377</v>
      </c>
    </row>
    <row r="126" ht="15.75" customHeight="1">
      <c r="A126" s="207">
        <v>13.0</v>
      </c>
      <c r="B126" s="6" t="str">
        <f>VLOOKUP($A126, 'Completion rates'!$A:$E, 2, FALSE)</f>
        <v>Killing crazy archaeologist</v>
      </c>
      <c r="C126" s="207">
        <v>11929.0</v>
      </c>
      <c r="D126" s="6" t="str">
        <f>VLOOKUP($C126, 'List of log slots'!$A:$E, 2, FALSE)</f>
        <v>Odium shard 2</v>
      </c>
      <c r="E126" s="207">
        <f>VLOOKUP($C126, 'List of log slots'!$A:$E, 5, FALSE)</f>
        <v>4</v>
      </c>
      <c r="F126" s="208" t="b">
        <f>VLOOKUP(C126, 'List of log slots'!$A:$C, 3, FALSE)</f>
        <v>0</v>
      </c>
      <c r="G126" s="209" t="b">
        <f t="shared" si="28"/>
        <v>0</v>
      </c>
      <c r="H126" s="210" t="b">
        <f t="shared" si="7"/>
        <v>1</v>
      </c>
      <c r="I126" s="209" t="b">
        <f t="shared" si="30"/>
        <v>0</v>
      </c>
      <c r="J126" s="208" t="b">
        <f t="shared" si="31"/>
        <v>0</v>
      </c>
      <c r="K126" s="211">
        <v>256.0</v>
      </c>
      <c r="L126" s="207" t="str">
        <f t="shared" si="3"/>
        <v>n/a</v>
      </c>
      <c r="M126" s="212" t="str">
        <f t="shared" si="4"/>
        <v>n/a</v>
      </c>
      <c r="N126" s="207" t="str">
        <f t="shared" si="5"/>
        <v>n/a</v>
      </c>
      <c r="O126" s="207">
        <f t="shared" si="6"/>
        <v>0.00390625</v>
      </c>
    </row>
    <row r="127" ht="15.75" customHeight="1">
      <c r="A127" s="207">
        <v>13.0</v>
      </c>
      <c r="B127" s="6" t="str">
        <f>VLOOKUP($A127, 'Completion rates'!$A:$E, 2, FALSE)</f>
        <v>Killing crazy archaeologist</v>
      </c>
      <c r="C127" s="207">
        <v>11932.0</v>
      </c>
      <c r="D127" s="6" t="str">
        <f>VLOOKUP($C127, 'List of log slots'!$A:$E, 2, FALSE)</f>
        <v>Malediction shard 2</v>
      </c>
      <c r="E127" s="207">
        <f>VLOOKUP($C127, 'List of log slots'!$A:$E, 5, FALSE)</f>
        <v>4</v>
      </c>
      <c r="F127" s="213" t="b">
        <f>VLOOKUP(C127, 'List of log slots'!$A:$C, 3, FALSE)</f>
        <v>0</v>
      </c>
      <c r="G127" s="209" t="b">
        <f t="shared" si="28"/>
        <v>0</v>
      </c>
      <c r="H127" s="209" t="b">
        <f t="shared" si="7"/>
        <v>1</v>
      </c>
      <c r="I127" s="209" t="b">
        <f t="shared" si="30"/>
        <v>0</v>
      </c>
      <c r="J127" s="208" t="b">
        <f t="shared" si="31"/>
        <v>0</v>
      </c>
      <c r="K127" s="211">
        <v>256.0</v>
      </c>
      <c r="L127" s="207" t="str">
        <f t="shared" si="3"/>
        <v>n/a</v>
      </c>
      <c r="M127" s="212" t="str">
        <f t="shared" si="4"/>
        <v>n/a</v>
      </c>
      <c r="N127" s="207" t="str">
        <f t="shared" si="5"/>
        <v>n/a</v>
      </c>
      <c r="O127" s="207">
        <f t="shared" si="6"/>
        <v>0.00390625</v>
      </c>
    </row>
    <row r="128" ht="15.75" customHeight="1">
      <c r="A128" s="207">
        <v>13.0</v>
      </c>
      <c r="B128" s="6" t="str">
        <f>VLOOKUP($A128, 'Completion rates'!$A:$E, 2, FALSE)</f>
        <v>Killing crazy archaeologist</v>
      </c>
      <c r="C128" s="207">
        <v>11990.0</v>
      </c>
      <c r="D128" s="6" t="str">
        <f>VLOOKUP($C128, 'List of log slots'!$A:$E, 2, FALSE)</f>
        <v>Fedora</v>
      </c>
      <c r="E128" s="207">
        <f>VLOOKUP($C128, 'List of log slots'!$A:$E, 5, FALSE)</f>
        <v>3</v>
      </c>
      <c r="F128" s="213" t="b">
        <f>VLOOKUP(C128, 'List of log slots'!$A:$C, 3, FALSE)</f>
        <v>0</v>
      </c>
      <c r="G128" s="209" t="b">
        <f t="shared" si="28"/>
        <v>0</v>
      </c>
      <c r="H128" s="209" t="b">
        <f t="shared" si="7"/>
        <v>1</v>
      </c>
      <c r="I128" s="209" t="b">
        <f t="shared" si="30"/>
        <v>0</v>
      </c>
      <c r="J128" s="208" t="b">
        <f t="shared" si="31"/>
        <v>0</v>
      </c>
      <c r="K128" s="211">
        <v>128.0</v>
      </c>
      <c r="L128" s="207" t="str">
        <f t="shared" si="3"/>
        <v>n/a</v>
      </c>
      <c r="M128" s="212" t="str">
        <f t="shared" si="4"/>
        <v>n/a</v>
      </c>
      <c r="N128" s="207" t="str">
        <f t="shared" si="5"/>
        <v>n/a</v>
      </c>
      <c r="O128" s="207">
        <f t="shared" si="6"/>
        <v>0.0078125</v>
      </c>
    </row>
    <row r="129" ht="15.75" customHeight="1">
      <c r="A129" s="207">
        <v>13.0</v>
      </c>
      <c r="B129" s="6" t="str">
        <f>VLOOKUP($A129, 'Completion rates'!$A:$E, 2, FALSE)</f>
        <v>Killing crazy archaeologist</v>
      </c>
      <c r="C129" s="207">
        <v>2366.0</v>
      </c>
      <c r="D129" s="6" t="str">
        <f>VLOOKUP($C129, 'List of log slots'!$A:$E, 2, FALSE)</f>
        <v>Shield left half</v>
      </c>
      <c r="E129" s="207">
        <f>VLOOKUP($C129, 'List of log slots'!$A:$E, 5, FALSE)</f>
        <v>5</v>
      </c>
      <c r="F129" s="213" t="b">
        <f>VLOOKUP(C129, 'List of log slots'!$A:$C, 3, FALSE)</f>
        <v>0</v>
      </c>
      <c r="G129" s="209" t="b">
        <f t="shared" si="28"/>
        <v>0</v>
      </c>
      <c r="H129" s="209" t="b">
        <f t="shared" si="7"/>
        <v>1</v>
      </c>
      <c r="I129" s="209" t="b">
        <f t="shared" si="30"/>
        <v>0</v>
      </c>
      <c r="J129" s="208" t="b">
        <f t="shared" si="31"/>
        <v>0</v>
      </c>
      <c r="K129" s="211">
        <v>8113.0</v>
      </c>
      <c r="L129" s="207" t="str">
        <f t="shared" si="3"/>
        <v>n/a</v>
      </c>
      <c r="M129" s="212" t="str">
        <f t="shared" si="4"/>
        <v>n/a</v>
      </c>
      <c r="N129" s="207" t="str">
        <f t="shared" si="5"/>
        <v>n/a</v>
      </c>
      <c r="O129" s="207">
        <f t="shared" si="6"/>
        <v>0.0001232589671</v>
      </c>
    </row>
    <row r="130" ht="15.75" customHeight="1">
      <c r="A130" s="207">
        <v>13.0</v>
      </c>
      <c r="B130" s="6" t="str">
        <f>VLOOKUP($A130, 'Completion rates'!$A:$E, 2, FALSE)</f>
        <v>Killing crazy archaeologist</v>
      </c>
      <c r="C130" s="207">
        <v>1249.0</v>
      </c>
      <c r="D130" s="6" t="str">
        <f>VLOOKUP($C130, 'List of log slots'!$A:$E, 2, FALSE)</f>
        <v>Dragon spear</v>
      </c>
      <c r="E130" s="207">
        <f>VLOOKUP($C130, 'List of log slots'!$A:$E, 5, FALSE)</f>
        <v>5</v>
      </c>
      <c r="F130" s="213" t="b">
        <f>VLOOKUP(C130, 'List of log slots'!$A:$C, 3, FALSE)</f>
        <v>0</v>
      </c>
      <c r="G130" s="209" t="b">
        <f t="shared" si="28"/>
        <v>0</v>
      </c>
      <c r="H130" s="209" t="b">
        <f t="shared" si="7"/>
        <v>1</v>
      </c>
      <c r="I130" s="209" t="b">
        <f t="shared" si="30"/>
        <v>0</v>
      </c>
      <c r="J130" s="208" t="b">
        <f t="shared" si="31"/>
        <v>0</v>
      </c>
      <c r="K130" s="211">
        <v>10817.0</v>
      </c>
      <c r="L130" s="207" t="str">
        <f t="shared" si="3"/>
        <v>n/a</v>
      </c>
      <c r="M130" s="212" t="str">
        <f t="shared" si="4"/>
        <v>n/a</v>
      </c>
      <c r="N130" s="207" t="str">
        <f t="shared" si="5"/>
        <v>n/a</v>
      </c>
      <c r="O130" s="207">
        <f t="shared" si="6"/>
        <v>0.00009244707405</v>
      </c>
    </row>
    <row r="131" ht="15.75" customHeight="1">
      <c r="A131" s="207">
        <v>14.0</v>
      </c>
      <c r="B131" s="6" t="str">
        <f>VLOOKUP($A131, 'Completion rates'!$A:$E, 2, FALSE)</f>
        <v>Killing dagganoth kings (3 kills = 1 of each king)</v>
      </c>
      <c r="C131" s="207">
        <v>12644.0</v>
      </c>
      <c r="D131" s="6" t="str">
        <f>VLOOKUP($C131, 'List of log slots'!$A:$E, 2, FALSE)</f>
        <v>Pet dagannoth prime</v>
      </c>
      <c r="E131" s="207">
        <f>VLOOKUP($C131, 'List of log slots'!$A:$E, 5, FALSE)</f>
        <v>7</v>
      </c>
      <c r="F131" s="208" t="b">
        <f>VLOOKUP(C131, 'List of log slots'!$A:$C, 3, FALSE)</f>
        <v>0</v>
      </c>
      <c r="G131" s="209" t="b">
        <f t="shared" si="28"/>
        <v>0</v>
      </c>
      <c r="H131" s="210" t="b">
        <f t="shared" si="7"/>
        <v>1</v>
      </c>
      <c r="I131" s="209" t="b">
        <f t="shared" si="30"/>
        <v>0</v>
      </c>
      <c r="J131" s="208" t="b">
        <f t="shared" si="31"/>
        <v>0</v>
      </c>
      <c r="K131" s="211">
        <v>15000.0</v>
      </c>
      <c r="L131" s="207" t="str">
        <f t="shared" si="3"/>
        <v>n/a</v>
      </c>
      <c r="M131" s="212" t="str">
        <f t="shared" si="4"/>
        <v>n/a</v>
      </c>
      <c r="N131" s="207" t="str">
        <f t="shared" si="5"/>
        <v>n/a</v>
      </c>
      <c r="O131" s="207">
        <f t="shared" si="6"/>
        <v>0.00006666666667</v>
      </c>
    </row>
    <row r="132" ht="15.75" customHeight="1">
      <c r="A132" s="207">
        <v>14.0</v>
      </c>
      <c r="B132" s="6" t="str">
        <f>VLOOKUP($A132, 'Completion rates'!$A:$E, 2, FALSE)</f>
        <v>Killing dagganoth kings (3 kills = 1 of each king)</v>
      </c>
      <c r="C132" s="207">
        <v>12643.0</v>
      </c>
      <c r="D132" s="6" t="str">
        <f>VLOOKUP($C132, 'List of log slots'!$A:$E, 2, FALSE)</f>
        <v>Pet dagannoth supreme</v>
      </c>
      <c r="E132" s="207">
        <f>VLOOKUP($C132, 'List of log slots'!$A:$E, 5, FALSE)</f>
        <v>7</v>
      </c>
      <c r="F132" s="208" t="b">
        <f>VLOOKUP(C132, 'List of log slots'!$A:$C, 3, FALSE)</f>
        <v>0</v>
      </c>
      <c r="G132" s="209" t="b">
        <f t="shared" si="28"/>
        <v>0</v>
      </c>
      <c r="H132" s="210" t="b">
        <f t="shared" si="7"/>
        <v>1</v>
      </c>
      <c r="I132" s="209" t="b">
        <f t="shared" si="30"/>
        <v>0</v>
      </c>
      <c r="J132" s="208" t="b">
        <f t="shared" si="31"/>
        <v>0</v>
      </c>
      <c r="K132" s="215">
        <v>15000.0</v>
      </c>
      <c r="L132" s="207" t="str">
        <f t="shared" si="3"/>
        <v>n/a</v>
      </c>
      <c r="M132" s="212" t="str">
        <f t="shared" si="4"/>
        <v>n/a</v>
      </c>
      <c r="N132" s="207" t="str">
        <f t="shared" si="5"/>
        <v>n/a</v>
      </c>
      <c r="O132" s="207">
        <f t="shared" si="6"/>
        <v>0.00006666666667</v>
      </c>
    </row>
    <row r="133" ht="15.75" customHeight="1">
      <c r="A133" s="207">
        <v>14.0</v>
      </c>
      <c r="B133" s="6" t="str">
        <f>VLOOKUP($A133, 'Completion rates'!$A:$E, 2, FALSE)</f>
        <v>Killing dagganoth kings (3 kills = 1 of each king)</v>
      </c>
      <c r="C133" s="207">
        <v>12645.0</v>
      </c>
      <c r="D133" s="6" t="str">
        <f>VLOOKUP($C133, 'List of log slots'!$A:$E, 2, FALSE)</f>
        <v>Pet dagannoth rex</v>
      </c>
      <c r="E133" s="207">
        <f>VLOOKUP($C133, 'List of log slots'!$A:$E, 5, FALSE)</f>
        <v>7</v>
      </c>
      <c r="F133" s="208" t="b">
        <f>VLOOKUP(C133, 'List of log slots'!$A:$C, 3, FALSE)</f>
        <v>0</v>
      </c>
      <c r="G133" s="209" t="b">
        <f t="shared" si="28"/>
        <v>0</v>
      </c>
      <c r="H133" s="210" t="b">
        <f t="shared" si="7"/>
        <v>1</v>
      </c>
      <c r="I133" s="209" t="b">
        <f t="shared" si="30"/>
        <v>0</v>
      </c>
      <c r="J133" s="208" t="b">
        <f t="shared" si="31"/>
        <v>0</v>
      </c>
      <c r="K133" s="215">
        <v>15000.0</v>
      </c>
      <c r="L133" s="207" t="str">
        <f t="shared" si="3"/>
        <v>n/a</v>
      </c>
      <c r="M133" s="212" t="str">
        <f t="shared" si="4"/>
        <v>n/a</v>
      </c>
      <c r="N133" s="207" t="str">
        <f t="shared" si="5"/>
        <v>n/a</v>
      </c>
      <c r="O133" s="207">
        <f t="shared" si="6"/>
        <v>0.00006666666667</v>
      </c>
    </row>
    <row r="134" ht="15.75" customHeight="1">
      <c r="A134" s="207">
        <v>14.0</v>
      </c>
      <c r="B134" s="6" t="str">
        <f>VLOOKUP($A134, 'Completion rates'!$A:$E, 2, FALSE)</f>
        <v>Killing dagganoth kings (3 kills = 1 of each king)</v>
      </c>
      <c r="C134" s="207">
        <v>6737.0</v>
      </c>
      <c r="D134" s="6" t="str">
        <f>VLOOKUP($C134, 'List of log slots'!$A:$E, 2, FALSE)</f>
        <v>Berserker ring</v>
      </c>
      <c r="E134" s="207">
        <f>VLOOKUP($C134, 'List of log slots'!$A:$E, 5, FALSE)</f>
        <v>4</v>
      </c>
      <c r="F134" s="208" t="b">
        <f>VLOOKUP(C134, 'List of log slots'!$A:$C, 3, FALSE)</f>
        <v>0</v>
      </c>
      <c r="G134" s="209" t="b">
        <f t="shared" si="28"/>
        <v>0</v>
      </c>
      <c r="H134" s="210" t="b">
        <f t="shared" si="7"/>
        <v>1</v>
      </c>
      <c r="I134" s="209" t="b">
        <f t="shared" si="30"/>
        <v>0</v>
      </c>
      <c r="J134" s="208" t="b">
        <f t="shared" si="31"/>
        <v>0</v>
      </c>
      <c r="K134" s="211">
        <v>384.0</v>
      </c>
      <c r="L134" s="207" t="str">
        <f t="shared" si="3"/>
        <v>n/a</v>
      </c>
      <c r="M134" s="212" t="str">
        <f t="shared" si="4"/>
        <v>n/a</v>
      </c>
      <c r="N134" s="207" t="str">
        <f t="shared" si="5"/>
        <v>n/a</v>
      </c>
      <c r="O134" s="207">
        <f t="shared" si="6"/>
        <v>0.002604166667</v>
      </c>
    </row>
    <row r="135" ht="15.75" customHeight="1">
      <c r="A135" s="207">
        <v>14.0</v>
      </c>
      <c r="B135" s="6" t="str">
        <f>VLOOKUP($A135, 'Completion rates'!$A:$E, 2, FALSE)</f>
        <v>Killing dagganoth kings (3 kills = 1 of each king)</v>
      </c>
      <c r="C135" s="207">
        <v>6733.0</v>
      </c>
      <c r="D135" s="6" t="str">
        <f>VLOOKUP($C135, 'List of log slots'!$A:$E, 2, FALSE)</f>
        <v>Archers ring</v>
      </c>
      <c r="E135" s="207">
        <f>VLOOKUP($C135, 'List of log slots'!$A:$E, 5, FALSE)</f>
        <v>4</v>
      </c>
      <c r="F135" s="213" t="b">
        <f>VLOOKUP(C135, 'List of log slots'!$A:$C, 3, FALSE)</f>
        <v>0</v>
      </c>
      <c r="G135" s="209" t="b">
        <f t="shared" si="28"/>
        <v>0</v>
      </c>
      <c r="H135" s="209" t="b">
        <f t="shared" si="7"/>
        <v>1</v>
      </c>
      <c r="I135" s="209" t="b">
        <f t="shared" si="30"/>
        <v>0</v>
      </c>
      <c r="J135" s="208" t="b">
        <f t="shared" si="31"/>
        <v>0</v>
      </c>
      <c r="K135" s="211">
        <v>384.0</v>
      </c>
      <c r="L135" s="207" t="str">
        <f t="shared" si="3"/>
        <v>n/a</v>
      </c>
      <c r="M135" s="212" t="str">
        <f t="shared" si="4"/>
        <v>n/a</v>
      </c>
      <c r="N135" s="207" t="str">
        <f t="shared" si="5"/>
        <v>n/a</v>
      </c>
      <c r="O135" s="207">
        <f t="shared" si="6"/>
        <v>0.002604166667</v>
      </c>
    </row>
    <row r="136" ht="15.75" customHeight="1">
      <c r="A136" s="207">
        <v>14.0</v>
      </c>
      <c r="B136" s="6" t="str">
        <f>VLOOKUP($A136, 'Completion rates'!$A:$E, 2, FALSE)</f>
        <v>Killing dagganoth kings (3 kills = 1 of each king)</v>
      </c>
      <c r="C136" s="207">
        <v>6731.0</v>
      </c>
      <c r="D136" s="6" t="str">
        <f>VLOOKUP($C136, 'List of log slots'!$A:$E, 2, FALSE)</f>
        <v>Seers ring</v>
      </c>
      <c r="E136" s="207">
        <f>VLOOKUP($C136, 'List of log slots'!$A:$E, 5, FALSE)</f>
        <v>4</v>
      </c>
      <c r="F136" s="208" t="b">
        <f>VLOOKUP(C136, 'List of log slots'!$A:$C, 3, FALSE)</f>
        <v>0</v>
      </c>
      <c r="G136" s="209" t="b">
        <f t="shared" si="28"/>
        <v>0</v>
      </c>
      <c r="H136" s="210" t="b">
        <f t="shared" si="7"/>
        <v>1</v>
      </c>
      <c r="I136" s="209" t="b">
        <f t="shared" si="30"/>
        <v>0</v>
      </c>
      <c r="J136" s="208" t="b">
        <f t="shared" si="31"/>
        <v>0</v>
      </c>
      <c r="K136" s="211">
        <v>384.0</v>
      </c>
      <c r="L136" s="207" t="str">
        <f t="shared" si="3"/>
        <v>n/a</v>
      </c>
      <c r="M136" s="212" t="str">
        <f t="shared" si="4"/>
        <v>n/a</v>
      </c>
      <c r="N136" s="207" t="str">
        <f t="shared" si="5"/>
        <v>n/a</v>
      </c>
      <c r="O136" s="207">
        <f t="shared" si="6"/>
        <v>0.002604166667</v>
      </c>
    </row>
    <row r="137" ht="15.75" customHeight="1">
      <c r="A137" s="207">
        <v>14.0</v>
      </c>
      <c r="B137" s="6" t="str">
        <f>VLOOKUP($A137, 'Completion rates'!$A:$E, 2, FALSE)</f>
        <v>Killing dagganoth kings (3 kills = 1 of each king)</v>
      </c>
      <c r="C137" s="207">
        <v>6735.0</v>
      </c>
      <c r="D137" s="6" t="str">
        <f>VLOOKUP($C137, 'List of log slots'!$A:$E, 2, FALSE)</f>
        <v>Warrior ring</v>
      </c>
      <c r="E137" s="207">
        <f>VLOOKUP($C137, 'List of log slots'!$A:$E, 5, FALSE)</f>
        <v>4</v>
      </c>
      <c r="F137" s="208" t="b">
        <f>VLOOKUP(C137, 'List of log slots'!$A:$C, 3, FALSE)</f>
        <v>0</v>
      </c>
      <c r="G137" s="209" t="b">
        <f t="shared" si="28"/>
        <v>0</v>
      </c>
      <c r="H137" s="210" t="b">
        <f t="shared" si="7"/>
        <v>1</v>
      </c>
      <c r="I137" s="209" t="b">
        <f t="shared" si="30"/>
        <v>0</v>
      </c>
      <c r="J137" s="208" t="b">
        <f t="shared" si="31"/>
        <v>0</v>
      </c>
      <c r="K137" s="211">
        <v>384.0</v>
      </c>
      <c r="L137" s="207" t="str">
        <f t="shared" si="3"/>
        <v>n/a</v>
      </c>
      <c r="M137" s="212" t="str">
        <f t="shared" si="4"/>
        <v>n/a</v>
      </c>
      <c r="N137" s="207" t="str">
        <f t="shared" si="5"/>
        <v>n/a</v>
      </c>
      <c r="O137" s="207">
        <f t="shared" si="6"/>
        <v>0.002604166667</v>
      </c>
    </row>
    <row r="138" ht="15.75" customHeight="1">
      <c r="A138" s="207">
        <v>14.0</v>
      </c>
      <c r="B138" s="6" t="str">
        <f>VLOOKUP($A138, 'Completion rates'!$A:$E, 2, FALSE)</f>
        <v>Killing dagganoth kings (3 kills = 1 of each king)</v>
      </c>
      <c r="C138" s="207">
        <v>6739.0</v>
      </c>
      <c r="D138" s="6" t="str">
        <f>VLOOKUP($C138, 'List of log slots'!$A:$E, 2, FALSE)</f>
        <v>Dragon axe</v>
      </c>
      <c r="E138" s="207">
        <f>VLOOKUP($C138, 'List of log slots'!$A:$E, 5, FALSE)</f>
        <v>4</v>
      </c>
      <c r="F138" s="213" t="b">
        <f>VLOOKUP(C138, 'List of log slots'!$A:$C, 3, FALSE)</f>
        <v>0</v>
      </c>
      <c r="G138" s="209" t="b">
        <f t="shared" si="28"/>
        <v>0</v>
      </c>
      <c r="H138" s="209" t="b">
        <f t="shared" si="7"/>
        <v>1</v>
      </c>
      <c r="I138" s="209" t="b">
        <f t="shared" si="30"/>
        <v>0</v>
      </c>
      <c r="J138" s="208" t="b">
        <f t="shared" si="31"/>
        <v>0</v>
      </c>
      <c r="K138" s="211">
        <v>128.0</v>
      </c>
      <c r="L138" s="207" t="str">
        <f t="shared" si="3"/>
        <v>n/a</v>
      </c>
      <c r="M138" s="212" t="str">
        <f t="shared" si="4"/>
        <v>n/a</v>
      </c>
      <c r="N138" s="207" t="str">
        <f t="shared" si="5"/>
        <v>n/a</v>
      </c>
      <c r="O138" s="207">
        <f t="shared" si="6"/>
        <v>0.0078125</v>
      </c>
    </row>
    <row r="139" ht="15.75" customHeight="1">
      <c r="A139" s="207">
        <v>14.0</v>
      </c>
      <c r="B139" s="6" t="str">
        <f>VLOOKUP($A139, 'Completion rates'!$A:$E, 2, FALSE)</f>
        <v>Killing dagganoth kings (3 kills = 1 of each king)</v>
      </c>
      <c r="C139" s="207">
        <v>6724.0</v>
      </c>
      <c r="D139" s="6" t="str">
        <f>VLOOKUP($C139, 'List of log slots'!$A:$E, 2, FALSE)</f>
        <v>Seercull</v>
      </c>
      <c r="E139" s="207">
        <f>VLOOKUP($C139, 'List of log slots'!$A:$E, 5, FALSE)</f>
        <v>4</v>
      </c>
      <c r="F139" s="213" t="b">
        <f>VLOOKUP(C139, 'List of log slots'!$A:$C, 3, FALSE)</f>
        <v>0</v>
      </c>
      <c r="G139" s="209" t="b">
        <f t="shared" si="28"/>
        <v>0</v>
      </c>
      <c r="H139" s="209" t="b">
        <f t="shared" si="7"/>
        <v>1</v>
      </c>
      <c r="I139" s="209" t="b">
        <f t="shared" si="30"/>
        <v>0</v>
      </c>
      <c r="J139" s="208" t="b">
        <f t="shared" si="31"/>
        <v>0</v>
      </c>
      <c r="K139" s="211">
        <v>384.0</v>
      </c>
      <c r="L139" s="207" t="str">
        <f t="shared" si="3"/>
        <v>n/a</v>
      </c>
      <c r="M139" s="212" t="str">
        <f t="shared" si="4"/>
        <v>n/a</v>
      </c>
      <c r="N139" s="207" t="str">
        <f t="shared" si="5"/>
        <v>n/a</v>
      </c>
      <c r="O139" s="207">
        <f t="shared" si="6"/>
        <v>0.002604166667</v>
      </c>
    </row>
    <row r="140" ht="15.75" customHeight="1">
      <c r="A140" s="207">
        <v>14.0</v>
      </c>
      <c r="B140" s="6" t="str">
        <f>VLOOKUP($A140, 'Completion rates'!$A:$E, 2, FALSE)</f>
        <v>Killing dagganoth kings (3 kills = 1 of each king)</v>
      </c>
      <c r="C140" s="207">
        <v>6562.0</v>
      </c>
      <c r="D140" s="6" t="str">
        <f>VLOOKUP($C140, 'List of log slots'!$A:$E, 2, FALSE)</f>
        <v>Mud battlestaff</v>
      </c>
      <c r="E140" s="207">
        <f>VLOOKUP($C140, 'List of log slots'!$A:$E, 5, FALSE)</f>
        <v>4</v>
      </c>
      <c r="F140" s="208" t="b">
        <f>VLOOKUP(C140, 'List of log slots'!$A:$C, 3, FALSE)</f>
        <v>0</v>
      </c>
      <c r="G140" s="209" t="b">
        <f t="shared" si="28"/>
        <v>0</v>
      </c>
      <c r="H140" s="210" t="b">
        <f t="shared" si="7"/>
        <v>1</v>
      </c>
      <c r="I140" s="209" t="b">
        <f t="shared" si="30"/>
        <v>0</v>
      </c>
      <c r="J140" s="208" t="b">
        <f t="shared" si="31"/>
        <v>0</v>
      </c>
      <c r="K140" s="211">
        <v>384.0</v>
      </c>
      <c r="L140" s="207" t="str">
        <f t="shared" si="3"/>
        <v>n/a</v>
      </c>
      <c r="M140" s="212" t="str">
        <f t="shared" si="4"/>
        <v>n/a</v>
      </c>
      <c r="N140" s="207" t="str">
        <f t="shared" si="5"/>
        <v>n/a</v>
      </c>
      <c r="O140" s="207">
        <f t="shared" si="6"/>
        <v>0.002604166667</v>
      </c>
    </row>
    <row r="141" ht="15.75" customHeight="1">
      <c r="A141" s="207">
        <v>14.0</v>
      </c>
      <c r="B141" s="6" t="str">
        <f>VLOOKUP($A141, 'Completion rates'!$A:$E, 2, FALSE)</f>
        <v>Killing dagganoth kings (3 kills = 1 of each king)</v>
      </c>
      <c r="C141" s="207">
        <v>2366.0</v>
      </c>
      <c r="D141" s="6" t="str">
        <f>VLOOKUP($C141, 'List of log slots'!$A:$E, 2, FALSE)</f>
        <v>Shield left half</v>
      </c>
      <c r="E141" s="207">
        <f>VLOOKUP($C141, 'List of log slots'!$A:$E, 5, FALSE)</f>
        <v>5</v>
      </c>
      <c r="F141" s="213" t="b">
        <f>VLOOKUP(C141, 'List of log slots'!$A:$C, 3, FALSE)</f>
        <v>0</v>
      </c>
      <c r="G141" s="209" t="b">
        <f t="shared" si="28"/>
        <v>0</v>
      </c>
      <c r="H141" s="209" t="b">
        <f t="shared" si="7"/>
        <v>1</v>
      </c>
      <c r="I141" s="209" t="b">
        <f t="shared" si="30"/>
        <v>0</v>
      </c>
      <c r="J141" s="208" t="b">
        <f t="shared" si="31"/>
        <v>0</v>
      </c>
      <c r="K141" s="211">
        <v>3995.0</v>
      </c>
      <c r="L141" s="207" t="str">
        <f t="shared" si="3"/>
        <v>n/a</v>
      </c>
      <c r="M141" s="212" t="str">
        <f t="shared" si="4"/>
        <v>n/a</v>
      </c>
      <c r="N141" s="207" t="str">
        <f t="shared" si="5"/>
        <v>n/a</v>
      </c>
      <c r="O141" s="207">
        <f t="shared" si="6"/>
        <v>0.0002503128911</v>
      </c>
    </row>
    <row r="142" ht="15.75" customHeight="1">
      <c r="A142" s="212">
        <v>14.0</v>
      </c>
      <c r="B142" s="6" t="str">
        <f>VLOOKUP($A142, 'Completion rates'!$A:$E, 2, FALSE)</f>
        <v>Killing dagganoth kings (3 kills = 1 of each king)</v>
      </c>
      <c r="C142" s="212">
        <v>1249.0</v>
      </c>
      <c r="D142" s="6" t="str">
        <f>VLOOKUP($C142, 'List of log slots'!$A:$E, 2, FALSE)</f>
        <v>Dragon spear</v>
      </c>
      <c r="E142" s="207">
        <f>VLOOKUP($C142, 'List of log slots'!$A:$E, 5, FALSE)</f>
        <v>5</v>
      </c>
      <c r="F142" s="213" t="b">
        <f>VLOOKUP(C142, 'List of log slots'!$A:$C, 3, FALSE)</f>
        <v>0</v>
      </c>
      <c r="G142" s="209" t="b">
        <f t="shared" si="28"/>
        <v>0</v>
      </c>
      <c r="H142" s="209" t="b">
        <f t="shared" si="7"/>
        <v>1</v>
      </c>
      <c r="I142" s="209" t="b">
        <f t="shared" si="30"/>
        <v>0</v>
      </c>
      <c r="J142" s="208" t="b">
        <f t="shared" si="31"/>
        <v>0</v>
      </c>
      <c r="K142" s="214">
        <v>5326.0</v>
      </c>
      <c r="L142" s="207" t="str">
        <f t="shared" si="3"/>
        <v>n/a</v>
      </c>
      <c r="M142" s="212" t="str">
        <f t="shared" si="4"/>
        <v>n/a</v>
      </c>
      <c r="N142" s="207" t="str">
        <f t="shared" si="5"/>
        <v>n/a</v>
      </c>
      <c r="O142" s="207">
        <f t="shared" si="6"/>
        <v>0.0001877581675</v>
      </c>
    </row>
    <row r="143" ht="15.75" customHeight="1">
      <c r="A143" s="212">
        <v>15.0</v>
      </c>
      <c r="B143" s="6" t="str">
        <f>VLOOKUP($A143, 'Completion rates'!$A:$E, 2, FALSE)</f>
        <v>Killing deranged archaeologist</v>
      </c>
      <c r="C143" s="207">
        <v>30895.0</v>
      </c>
      <c r="D143" s="6" t="str">
        <f>VLOOKUP($C143, 'List of log slots'!$A:$E, 2, FALSE)</f>
        <v>Steel ring</v>
      </c>
      <c r="E143" s="207">
        <f>VLOOKUP($C143, 'List of log slots'!$A:$E, 5, FALSE)</f>
        <v>3</v>
      </c>
      <c r="F143" s="208" t="b">
        <f>VLOOKUP(C143, 'List of log slots'!$A:$C, 3, FALSE)</f>
        <v>0</v>
      </c>
      <c r="G143" s="209" t="b">
        <f t="shared" si="28"/>
        <v>0</v>
      </c>
      <c r="H143" s="210" t="b">
        <f t="shared" si="7"/>
        <v>1</v>
      </c>
      <c r="I143" s="209" t="b">
        <f t="shared" si="30"/>
        <v>0</v>
      </c>
      <c r="J143" s="208" t="b">
        <f t="shared" si="31"/>
        <v>0</v>
      </c>
      <c r="K143" s="214">
        <v>44.0</v>
      </c>
      <c r="L143" s="207" t="str">
        <f t="shared" si="3"/>
        <v>n/a</v>
      </c>
      <c r="M143" s="212" t="str">
        <f t="shared" si="4"/>
        <v>n/a</v>
      </c>
      <c r="N143" s="207" t="str">
        <f t="shared" si="5"/>
        <v>n/a</v>
      </c>
      <c r="O143" s="207">
        <f t="shared" si="6"/>
        <v>0.02272727273</v>
      </c>
    </row>
    <row r="144" ht="15.75" customHeight="1">
      <c r="A144" s="212">
        <v>15.0</v>
      </c>
      <c r="B144" s="6" t="str">
        <f>VLOOKUP($A144, 'Completion rates'!$A:$E, 2, FALSE)</f>
        <v>Killing deranged archaeologist</v>
      </c>
      <c r="C144" s="207">
        <v>10976.0</v>
      </c>
      <c r="D144" s="6" t="str">
        <f>VLOOKUP($C144, 'List of log slots'!$A:$E, 2, FALSE)</f>
        <v>Long bone</v>
      </c>
      <c r="E144" s="207">
        <f>VLOOKUP($C144, 'List of log slots'!$A:$E, 5, FALSE)</f>
        <v>3</v>
      </c>
      <c r="F144" s="213" t="b">
        <f>VLOOKUP(C144, 'List of log slots'!$A:$C, 3, FALSE)</f>
        <v>0</v>
      </c>
      <c r="G144" s="209" t="b">
        <f t="shared" si="28"/>
        <v>0</v>
      </c>
      <c r="H144" s="209" t="b">
        <f t="shared" si="7"/>
        <v>1</v>
      </c>
      <c r="I144" s="209" t="b">
        <f t="shared" si="30"/>
        <v>0</v>
      </c>
      <c r="J144" s="208" t="b">
        <f t="shared" si="31"/>
        <v>0</v>
      </c>
      <c r="K144" s="214">
        <v>66.0</v>
      </c>
      <c r="L144" s="207" t="str">
        <f t="shared" si="3"/>
        <v>n/a</v>
      </c>
      <c r="M144" s="212" t="str">
        <f t="shared" si="4"/>
        <v>n/a</v>
      </c>
      <c r="N144" s="207" t="str">
        <f t="shared" si="5"/>
        <v>n/a</v>
      </c>
      <c r="O144" s="207">
        <f t="shared" si="6"/>
        <v>0.01515151515</v>
      </c>
    </row>
    <row r="145" ht="15.75" customHeight="1">
      <c r="A145" s="212">
        <v>15.0</v>
      </c>
      <c r="B145" s="6" t="str">
        <f>VLOOKUP($A145, 'Completion rates'!$A:$E, 2, FALSE)</f>
        <v>Killing deranged archaeologist</v>
      </c>
      <c r="C145" s="207">
        <v>2366.0</v>
      </c>
      <c r="D145" s="6" t="str">
        <f>VLOOKUP($C145, 'List of log slots'!$A:$E, 2, FALSE)</f>
        <v>Shield left half</v>
      </c>
      <c r="E145" s="207">
        <f>VLOOKUP($C145, 'List of log slots'!$A:$E, 5, FALSE)</f>
        <v>5</v>
      </c>
      <c r="F145" s="213" t="b">
        <f>VLOOKUP(C145, 'List of log slots'!$A:$C, 3, FALSE)</f>
        <v>0</v>
      </c>
      <c r="G145" s="209" t="b">
        <f t="shared" si="28"/>
        <v>0</v>
      </c>
      <c r="H145" s="209" t="b">
        <f t="shared" si="7"/>
        <v>1</v>
      </c>
      <c r="I145" s="209" t="b">
        <f t="shared" si="30"/>
        <v>0</v>
      </c>
      <c r="J145" s="208" t="b">
        <f t="shared" si="31"/>
        <v>0</v>
      </c>
      <c r="K145" s="214">
        <v>5535.0</v>
      </c>
      <c r="L145" s="207" t="str">
        <f t="shared" si="3"/>
        <v>n/a</v>
      </c>
      <c r="M145" s="212" t="str">
        <f t="shared" si="4"/>
        <v>n/a</v>
      </c>
      <c r="N145" s="207" t="str">
        <f t="shared" si="5"/>
        <v>n/a</v>
      </c>
      <c r="O145" s="207">
        <f t="shared" si="6"/>
        <v>0.0001806684734</v>
      </c>
    </row>
    <row r="146" ht="15.75" customHeight="1">
      <c r="A146" s="212">
        <v>15.0</v>
      </c>
      <c r="B146" s="6" t="str">
        <f>VLOOKUP($A146, 'Completion rates'!$A:$E, 2, FALSE)</f>
        <v>Killing deranged archaeologist</v>
      </c>
      <c r="C146" s="212">
        <v>1249.0</v>
      </c>
      <c r="D146" s="6" t="str">
        <f>VLOOKUP($C146, 'List of log slots'!$A:$E, 2, FALSE)</f>
        <v>Dragon spear</v>
      </c>
      <c r="E146" s="207">
        <f>VLOOKUP($C146, 'List of log slots'!$A:$E, 5, FALSE)</f>
        <v>5</v>
      </c>
      <c r="F146" s="213" t="b">
        <f>VLOOKUP(C146, 'List of log slots'!$A:$C, 3, FALSE)</f>
        <v>0</v>
      </c>
      <c r="G146" s="209" t="b">
        <f t="shared" si="28"/>
        <v>0</v>
      </c>
      <c r="H146" s="209" t="b">
        <f t="shared" si="7"/>
        <v>1</v>
      </c>
      <c r="I146" s="209" t="b">
        <f t="shared" si="30"/>
        <v>0</v>
      </c>
      <c r="J146" s="208" t="b">
        <f t="shared" si="31"/>
        <v>0</v>
      </c>
      <c r="K146" s="214">
        <v>7380.0</v>
      </c>
      <c r="L146" s="207" t="str">
        <f t="shared" si="3"/>
        <v>n/a</v>
      </c>
      <c r="M146" s="212" t="str">
        <f t="shared" si="4"/>
        <v>n/a</v>
      </c>
      <c r="N146" s="207" t="str">
        <f t="shared" si="5"/>
        <v>n/a</v>
      </c>
      <c r="O146" s="207">
        <f t="shared" si="6"/>
        <v>0.000135501355</v>
      </c>
    </row>
    <row r="147" ht="15.75" customHeight="1">
      <c r="A147" s="212">
        <v>16.0</v>
      </c>
      <c r="B147" s="6" t="str">
        <f>VLOOKUP($A147, 'Completion rates'!$A:$E, 2, FALSE)</f>
        <v>Delving to depth 10 (doom of mokhaiotl)</v>
      </c>
      <c r="C147" s="212">
        <v>31130.0</v>
      </c>
      <c r="D147" s="6" t="str">
        <f>VLOOKUP($C147, 'List of log slots'!$A:$E, 2, FALSE)</f>
        <v>Dom</v>
      </c>
      <c r="E147" s="207">
        <f>VLOOKUP($C147, 'List of log slots'!$A:$E, 5, FALSE)</f>
        <v>7</v>
      </c>
      <c r="F147" s="208" t="b">
        <f>VLOOKUP(C147, 'List of log slots'!$A:$C, 3, FALSE)</f>
        <v>0</v>
      </c>
      <c r="G147" s="209" t="b">
        <f t="shared" si="28"/>
        <v>0</v>
      </c>
      <c r="H147" s="210" t="b">
        <f t="shared" si="7"/>
        <v>1</v>
      </c>
      <c r="I147" s="209" t="b">
        <f t="shared" si="30"/>
        <v>0</v>
      </c>
      <c r="J147" s="208" t="b">
        <f t="shared" si="31"/>
        <v>0</v>
      </c>
      <c r="K147" s="214">
        <v>81.0</v>
      </c>
      <c r="L147" s="207" t="str">
        <f t="shared" si="3"/>
        <v>n/a</v>
      </c>
      <c r="M147" s="212" t="str">
        <f t="shared" si="4"/>
        <v>n/a</v>
      </c>
      <c r="N147" s="207" t="str">
        <f t="shared" si="5"/>
        <v>n/a</v>
      </c>
      <c r="O147" s="207">
        <f t="shared" si="6"/>
        <v>0.01234567901</v>
      </c>
    </row>
    <row r="148" ht="15.75" customHeight="1">
      <c r="A148" s="212">
        <v>16.0</v>
      </c>
      <c r="B148" s="6" t="str">
        <f>VLOOKUP($A148, 'Completion rates'!$A:$E, 2, FALSE)</f>
        <v>Delving to depth 10 (doom of mokhaiotl)</v>
      </c>
      <c r="C148" s="212">
        <v>31088.0</v>
      </c>
      <c r="D148" s="6" t="str">
        <f>VLOOKUP($C148, 'List of log slots'!$A:$E, 2, FALSE)</f>
        <v>Avernic treads</v>
      </c>
      <c r="E148" s="207">
        <f>VLOOKUP($C148, 'List of log slots'!$A:$E, 5, FALSE)</f>
        <v>7</v>
      </c>
      <c r="F148" s="208" t="b">
        <f>VLOOKUP(C148, 'List of log slots'!$A:$C, 3, FALSE)</f>
        <v>0</v>
      </c>
      <c r="G148" s="209" t="b">
        <f t="shared" si="28"/>
        <v>0</v>
      </c>
      <c r="H148" s="210" t="b">
        <f t="shared" si="7"/>
        <v>1</v>
      </c>
      <c r="I148" s="209" t="b">
        <f t="shared" si="30"/>
        <v>0</v>
      </c>
      <c r="J148" s="208" t="b">
        <f t="shared" si="31"/>
        <v>0</v>
      </c>
      <c r="K148" s="214">
        <v>100.0</v>
      </c>
      <c r="L148" s="207" t="str">
        <f t="shared" si="3"/>
        <v>n/a</v>
      </c>
      <c r="M148" s="212" t="str">
        <f t="shared" si="4"/>
        <v>n/a</v>
      </c>
      <c r="N148" s="207" t="str">
        <f t="shared" si="5"/>
        <v>n/a</v>
      </c>
      <c r="O148" s="207">
        <f t="shared" si="6"/>
        <v>0.01</v>
      </c>
    </row>
    <row r="149" ht="15.75" customHeight="1">
      <c r="A149" s="212">
        <v>16.0</v>
      </c>
      <c r="B149" s="6" t="str">
        <f>VLOOKUP($A149, 'Completion rates'!$A:$E, 2, FALSE)</f>
        <v>Delving to depth 10 (doom of mokhaiotl)</v>
      </c>
      <c r="C149" s="212">
        <v>31115.0</v>
      </c>
      <c r="D149" s="6" t="str">
        <f>VLOOKUP($C149, 'List of log slots'!$A:$E, 2, FALSE)</f>
        <v>Eye of ayak (uncharged)</v>
      </c>
      <c r="E149" s="207">
        <f>VLOOKUP($C149, 'List of log slots'!$A:$E, 5, FALSE)</f>
        <v>7</v>
      </c>
      <c r="F149" s="208" t="b">
        <f>VLOOKUP(C149, 'List of log slots'!$A:$C, 3, FALSE)</f>
        <v>0</v>
      </c>
      <c r="G149" s="209" t="b">
        <f t="shared" si="28"/>
        <v>0</v>
      </c>
      <c r="H149" s="210" t="b">
        <f t="shared" si="7"/>
        <v>1</v>
      </c>
      <c r="I149" s="209" t="b">
        <f t="shared" si="30"/>
        <v>0</v>
      </c>
      <c r="J149" s="208" t="b">
        <f t="shared" si="31"/>
        <v>0</v>
      </c>
      <c r="K149" s="214">
        <v>96.0</v>
      </c>
      <c r="L149" s="207" t="str">
        <f t="shared" si="3"/>
        <v>n/a</v>
      </c>
      <c r="M149" s="212" t="str">
        <f t="shared" si="4"/>
        <v>n/a</v>
      </c>
      <c r="N149" s="207" t="str">
        <f t="shared" si="5"/>
        <v>n/a</v>
      </c>
      <c r="O149" s="207">
        <f t="shared" si="6"/>
        <v>0.01041666667</v>
      </c>
    </row>
    <row r="150" ht="15.75" customHeight="1">
      <c r="A150" s="212">
        <v>16.0</v>
      </c>
      <c r="B150" s="6" t="str">
        <f>VLOOKUP($A150, 'Completion rates'!$A:$E, 2, FALSE)</f>
        <v>Delving to depth 10 (doom of mokhaiotl)</v>
      </c>
      <c r="C150" s="212">
        <v>31109.0</v>
      </c>
      <c r="D150" s="6" t="str">
        <f>VLOOKUP($C150, 'List of log slots'!$A:$E, 2, FALSE)</f>
        <v>Mokhaiotl cloth</v>
      </c>
      <c r="E150" s="207">
        <f>VLOOKUP($C150, 'List of log slots'!$A:$E, 5, FALSE)</f>
        <v>7</v>
      </c>
      <c r="F150" s="208" t="b">
        <f>VLOOKUP(C150, 'List of log slots'!$A:$C, 3, FALSE)</f>
        <v>0</v>
      </c>
      <c r="G150" s="209" t="b">
        <f t="shared" si="28"/>
        <v>0</v>
      </c>
      <c r="H150" s="210" t="b">
        <f t="shared" si="7"/>
        <v>1</v>
      </c>
      <c r="I150" s="209" t="b">
        <f t="shared" si="30"/>
        <v>0</v>
      </c>
      <c r="J150" s="208" t="b">
        <f t="shared" si="31"/>
        <v>0</v>
      </c>
      <c r="K150" s="214">
        <v>92.0</v>
      </c>
      <c r="L150" s="207" t="str">
        <f t="shared" si="3"/>
        <v>n/a</v>
      </c>
      <c r="M150" s="212" t="str">
        <f t="shared" si="4"/>
        <v>n/a</v>
      </c>
      <c r="N150" s="207" t="str">
        <f t="shared" si="5"/>
        <v>n/a</v>
      </c>
      <c r="O150" s="207">
        <f t="shared" si="6"/>
        <v>0.01086956522</v>
      </c>
    </row>
    <row r="151" ht="15.75" customHeight="1">
      <c r="A151" s="212">
        <v>16.0</v>
      </c>
      <c r="B151" s="6" t="str">
        <f>VLOOKUP($A151, 'Completion rates'!$A:$E, 2, FALSE)</f>
        <v>Delving to depth 10 (doom of mokhaiotl)</v>
      </c>
      <c r="C151" s="212">
        <v>31099.0</v>
      </c>
      <c r="D151" s="6" t="str">
        <f>VLOOKUP($C151, 'List of log slots'!$A:$E, 2, FALSE)</f>
        <v>Mokhaiotl waystone</v>
      </c>
      <c r="E151" s="207">
        <f>VLOOKUP($C151, 'List of log slots'!$A:$E, 5, FALSE)</f>
        <v>5</v>
      </c>
      <c r="F151" s="208" t="b">
        <f>VLOOKUP(C151, 'List of log slots'!$A:$C, 3, FALSE)</f>
        <v>0</v>
      </c>
      <c r="G151" s="209" t="b">
        <f t="shared" si="28"/>
        <v>0</v>
      </c>
      <c r="H151" s="210" t="b">
        <f t="shared" si="7"/>
        <v>1</v>
      </c>
      <c r="I151" s="209" t="b">
        <f t="shared" si="30"/>
        <v>0</v>
      </c>
      <c r="J151" s="208" t="b">
        <f t="shared" si="31"/>
        <v>0</v>
      </c>
      <c r="K151" s="214">
        <v>2.0</v>
      </c>
      <c r="L151" s="207" t="str">
        <f t="shared" si="3"/>
        <v>n/a</v>
      </c>
      <c r="M151" s="212" t="str">
        <f t="shared" si="4"/>
        <v>n/a</v>
      </c>
      <c r="N151" s="207" t="str">
        <f t="shared" si="5"/>
        <v>n/a</v>
      </c>
      <c r="O151" s="207">
        <f t="shared" si="6"/>
        <v>0.5</v>
      </c>
    </row>
    <row r="152" ht="15.75" customHeight="1">
      <c r="A152" s="212">
        <v>16.0</v>
      </c>
      <c r="B152" s="6" t="str">
        <f>VLOOKUP($A152, 'Completion rates'!$A:$E, 2, FALSE)</f>
        <v>Delving to depth 10 (doom of mokhaiotl)</v>
      </c>
      <c r="C152" s="207">
        <v>31111.0</v>
      </c>
      <c r="D152" s="6" t="str">
        <f>VLOOKUP($C152, 'List of log slots'!$A:$E, 2, FALSE)</f>
        <v>Demon tear</v>
      </c>
      <c r="E152" s="207">
        <f>VLOOKUP($C152, 'List of log slots'!$A:$E, 5, FALSE)</f>
        <v>4</v>
      </c>
      <c r="F152" s="208" t="b">
        <f>VLOOKUP(C152, 'List of log slots'!$A:$C, 3, FALSE)</f>
        <v>0</v>
      </c>
      <c r="G152" s="209" t="b">
        <f t="shared" si="28"/>
        <v>0</v>
      </c>
      <c r="H152" s="210" t="b">
        <f t="shared" si="7"/>
        <v>1</v>
      </c>
      <c r="I152" s="210" t="b">
        <f>TRUE</f>
        <v>1</v>
      </c>
      <c r="J152" s="208" t="b">
        <f t="shared" si="31"/>
        <v>0</v>
      </c>
      <c r="K152" s="214">
        <v>1.0</v>
      </c>
      <c r="L152" s="207" t="str">
        <f t="shared" si="3"/>
        <v>n/a</v>
      </c>
      <c r="M152" s="212">
        <f t="shared" si="4"/>
        <v>1</v>
      </c>
      <c r="N152" s="207" t="str">
        <f t="shared" si="5"/>
        <v>n/a</v>
      </c>
      <c r="O152" s="207" t="str">
        <f t="shared" si="6"/>
        <v>n/a</v>
      </c>
    </row>
    <row r="153" ht="15.75" customHeight="1">
      <c r="A153" s="207">
        <v>16.0</v>
      </c>
      <c r="B153" s="6" t="str">
        <f>VLOOKUP($A153, 'Completion rates'!$A:$E, 2, FALSE)</f>
        <v>Delving to depth 10 (doom of mokhaiotl)</v>
      </c>
      <c r="C153" s="207">
        <v>28924.0</v>
      </c>
      <c r="D153" s="6" t="str">
        <f>VLOOKUP($C153, 'List of log slots'!$A:$E, 2, FALSE)</f>
        <v>Sunfire splinters</v>
      </c>
      <c r="E153" s="207">
        <f>VLOOKUP($C153, 'List of log slots'!$A:$E, 5, FALSE)</f>
        <v>2</v>
      </c>
      <c r="F153" s="213" t="b">
        <f>VLOOKUP(C153, 'List of log slots'!$A:$C, 3, FALSE)</f>
        <v>0</v>
      </c>
      <c r="G153" s="209" t="b">
        <f t="shared" si="28"/>
        <v>0</v>
      </c>
      <c r="H153" s="209" t="b">
        <f t="shared" si="7"/>
        <v>1</v>
      </c>
      <c r="I153" s="209" t="b">
        <f t="shared" ref="I153:J153" si="32">FALSE</f>
        <v>0</v>
      </c>
      <c r="J153" s="208" t="b">
        <f t="shared" si="32"/>
        <v>0</v>
      </c>
      <c r="K153" s="214">
        <v>10.0</v>
      </c>
      <c r="L153" s="212" t="str">
        <f t="shared" si="3"/>
        <v>n/a</v>
      </c>
      <c r="M153" s="212" t="str">
        <f t="shared" si="4"/>
        <v>n/a</v>
      </c>
      <c r="N153" s="207" t="str">
        <f t="shared" si="5"/>
        <v>n/a</v>
      </c>
      <c r="O153" s="207">
        <f t="shared" si="6"/>
        <v>0.1</v>
      </c>
    </row>
    <row r="154" ht="15.75" customHeight="1">
      <c r="A154" s="207">
        <v>17.0</v>
      </c>
      <c r="B154" s="6" t="str">
        <f>VLOOKUP($A154, 'Completion rates'!$A:$E, 2, FALSE)</f>
        <v>Killing duke sucellus</v>
      </c>
      <c r="C154" s="207">
        <v>28250.0</v>
      </c>
      <c r="D154" s="6" t="str">
        <f>VLOOKUP($C154, 'List of log slots'!$A:$E, 2, FALSE)</f>
        <v>Baron</v>
      </c>
      <c r="E154" s="207">
        <f>VLOOKUP($C154, 'List of log slots'!$A:$E, 5, FALSE)</f>
        <v>7</v>
      </c>
      <c r="F154" s="208" t="b">
        <f>VLOOKUP(C154, 'List of log slots'!$A:$C, 3, FALSE)</f>
        <v>0</v>
      </c>
      <c r="G154" s="209" t="b">
        <f t="shared" si="28"/>
        <v>0</v>
      </c>
      <c r="H154" s="210" t="b">
        <f t="shared" si="7"/>
        <v>1</v>
      </c>
      <c r="I154" s="209" t="b">
        <f t="shared" ref="I154:J154" si="33">FALSE</f>
        <v>0</v>
      </c>
      <c r="J154" s="208" t="b">
        <f t="shared" si="33"/>
        <v>0</v>
      </c>
      <c r="K154" s="211">
        <v>2500.0</v>
      </c>
      <c r="L154" s="207" t="str">
        <f t="shared" si="3"/>
        <v>n/a</v>
      </c>
      <c r="M154" s="212" t="str">
        <f t="shared" si="4"/>
        <v>n/a</v>
      </c>
      <c r="N154" s="207" t="str">
        <f t="shared" si="5"/>
        <v>n/a</v>
      </c>
      <c r="O154" s="207">
        <f t="shared" si="6"/>
        <v>0.0004</v>
      </c>
    </row>
    <row r="155" ht="15.75" customHeight="1">
      <c r="A155" s="207">
        <v>17.0</v>
      </c>
      <c r="B155" s="6" t="str">
        <f>VLOOKUP($A155, 'Completion rates'!$A:$E, 2, FALSE)</f>
        <v>Killing duke sucellus</v>
      </c>
      <c r="C155" s="207">
        <v>28321.0</v>
      </c>
      <c r="D155" s="6" t="str">
        <f>VLOOKUP($C155, 'List of log slots'!$A:$E, 2, FALSE)</f>
        <v>Eye of the duke</v>
      </c>
      <c r="E155" s="207">
        <f>VLOOKUP($C155, 'List of log slots'!$A:$E, 5, FALSE)</f>
        <v>6</v>
      </c>
      <c r="F155" s="208" t="b">
        <f>VLOOKUP(C155, 'List of log slots'!$A:$C, 3, FALSE)</f>
        <v>0</v>
      </c>
      <c r="G155" s="209" t="b">
        <f t="shared" si="28"/>
        <v>0</v>
      </c>
      <c r="H155" s="210" t="b">
        <f t="shared" si="7"/>
        <v>1</v>
      </c>
      <c r="I155" s="209" t="b">
        <f t="shared" ref="I155:J155" si="34">FALSE</f>
        <v>0</v>
      </c>
      <c r="J155" s="208" t="b">
        <f t="shared" si="34"/>
        <v>0</v>
      </c>
      <c r="K155" s="211">
        <v>720.0</v>
      </c>
      <c r="L155" s="207" t="str">
        <f t="shared" si="3"/>
        <v>n/a</v>
      </c>
      <c r="M155" s="212" t="str">
        <f t="shared" si="4"/>
        <v>n/a</v>
      </c>
      <c r="N155" s="207" t="str">
        <f t="shared" si="5"/>
        <v>n/a</v>
      </c>
      <c r="O155" s="207">
        <f t="shared" si="6"/>
        <v>0.001388888889</v>
      </c>
    </row>
    <row r="156" ht="15.75" customHeight="1">
      <c r="A156" s="207">
        <v>17.0</v>
      </c>
      <c r="B156" s="6" t="str">
        <f>VLOOKUP($A156, 'Completion rates'!$A:$E, 2, FALSE)</f>
        <v>Killing duke sucellus</v>
      </c>
      <c r="C156" s="207">
        <v>26241.0</v>
      </c>
      <c r="D156" s="6" t="str">
        <f>VLOOKUP($C156, 'List of log slots'!$A:$E, 2, FALSE)</f>
        <v>Virtus mask</v>
      </c>
      <c r="E156" s="207">
        <f>VLOOKUP($C156, 'List of log slots'!$A:$E, 5, FALSE)</f>
        <v>7</v>
      </c>
      <c r="F156" s="208" t="b">
        <f>VLOOKUP(C156, 'List of log slots'!$A:$C, 3, FALSE)</f>
        <v>0</v>
      </c>
      <c r="G156" s="209" t="b">
        <f t="shared" si="28"/>
        <v>0</v>
      </c>
      <c r="H156" s="210" t="b">
        <f t="shared" si="7"/>
        <v>1</v>
      </c>
      <c r="I156" s="209" t="b">
        <f t="shared" ref="I156:J156" si="35">FALSE</f>
        <v>0</v>
      </c>
      <c r="J156" s="208" t="b">
        <f t="shared" si="35"/>
        <v>0</v>
      </c>
      <c r="K156" s="211">
        <v>2160.0</v>
      </c>
      <c r="L156" s="207" t="str">
        <f t="shared" si="3"/>
        <v>n/a</v>
      </c>
      <c r="M156" s="212" t="str">
        <f t="shared" si="4"/>
        <v>n/a</v>
      </c>
      <c r="N156" s="207" t="str">
        <f t="shared" si="5"/>
        <v>n/a</v>
      </c>
      <c r="O156" s="207">
        <f t="shared" si="6"/>
        <v>0.000462962963</v>
      </c>
    </row>
    <row r="157" ht="15.75" customHeight="1">
      <c r="A157" s="207">
        <v>17.0</v>
      </c>
      <c r="B157" s="6" t="str">
        <f>VLOOKUP($A157, 'Completion rates'!$A:$E, 2, FALSE)</f>
        <v>Killing duke sucellus</v>
      </c>
      <c r="C157" s="207">
        <v>26243.0</v>
      </c>
      <c r="D157" s="6" t="str">
        <f>VLOOKUP($C157, 'List of log slots'!$A:$E, 2, FALSE)</f>
        <v>Virtus robe top</v>
      </c>
      <c r="E157" s="207">
        <f>VLOOKUP($C157, 'List of log slots'!$A:$E, 5, FALSE)</f>
        <v>7</v>
      </c>
      <c r="F157" s="208" t="b">
        <f>VLOOKUP(C157, 'List of log slots'!$A:$C, 3, FALSE)</f>
        <v>0</v>
      </c>
      <c r="G157" s="209" t="b">
        <f t="shared" si="28"/>
        <v>0</v>
      </c>
      <c r="H157" s="210" t="b">
        <f t="shared" si="7"/>
        <v>1</v>
      </c>
      <c r="I157" s="209" t="b">
        <f t="shared" ref="I157:J157" si="36">FALSE</f>
        <v>0</v>
      </c>
      <c r="J157" s="208" t="b">
        <f t="shared" si="36"/>
        <v>0</v>
      </c>
      <c r="K157" s="211">
        <v>2160.0</v>
      </c>
      <c r="L157" s="207" t="str">
        <f t="shared" si="3"/>
        <v>n/a</v>
      </c>
      <c r="M157" s="212" t="str">
        <f t="shared" si="4"/>
        <v>n/a</v>
      </c>
      <c r="N157" s="207" t="str">
        <f t="shared" si="5"/>
        <v>n/a</v>
      </c>
      <c r="O157" s="207">
        <f t="shared" si="6"/>
        <v>0.000462962963</v>
      </c>
    </row>
    <row r="158" ht="15.75" customHeight="1">
      <c r="A158" s="207">
        <v>17.0</v>
      </c>
      <c r="B158" s="6" t="str">
        <f>VLOOKUP($A158, 'Completion rates'!$A:$E, 2, FALSE)</f>
        <v>Killing duke sucellus</v>
      </c>
      <c r="C158" s="207">
        <v>26245.0</v>
      </c>
      <c r="D158" s="6" t="str">
        <f>VLOOKUP($C158, 'List of log slots'!$A:$E, 2, FALSE)</f>
        <v>Virtus robe bottom</v>
      </c>
      <c r="E158" s="207">
        <f>VLOOKUP($C158, 'List of log slots'!$A:$E, 5, FALSE)</f>
        <v>7</v>
      </c>
      <c r="F158" s="208" t="b">
        <f>VLOOKUP(C158, 'List of log slots'!$A:$C, 3, FALSE)</f>
        <v>0</v>
      </c>
      <c r="G158" s="209" t="b">
        <f t="shared" si="28"/>
        <v>0</v>
      </c>
      <c r="H158" s="210" t="b">
        <f t="shared" si="7"/>
        <v>1</v>
      </c>
      <c r="I158" s="209" t="b">
        <f t="shared" ref="I158:J158" si="37">FALSE</f>
        <v>0</v>
      </c>
      <c r="J158" s="208" t="b">
        <f t="shared" si="37"/>
        <v>0</v>
      </c>
      <c r="K158" s="215">
        <v>2160.0</v>
      </c>
      <c r="L158" s="207" t="str">
        <f t="shared" si="3"/>
        <v>n/a</v>
      </c>
      <c r="M158" s="212" t="str">
        <f t="shared" si="4"/>
        <v>n/a</v>
      </c>
      <c r="N158" s="207" t="str">
        <f t="shared" si="5"/>
        <v>n/a</v>
      </c>
      <c r="O158" s="207">
        <f t="shared" si="6"/>
        <v>0.000462962963</v>
      </c>
    </row>
    <row r="159" ht="15.75" customHeight="1">
      <c r="A159" s="207">
        <v>17.0</v>
      </c>
      <c r="B159" s="6" t="str">
        <f>VLOOKUP($A159, 'Completion rates'!$A:$E, 2, FALSE)</f>
        <v>Killing duke sucellus</v>
      </c>
      <c r="C159" s="207">
        <v>28281.0</v>
      </c>
      <c r="D159" s="6" t="str">
        <f>VLOOKUP($C159, 'List of log slots'!$A:$E, 2, FALSE)</f>
        <v>Magus vestige</v>
      </c>
      <c r="E159" s="207">
        <f>VLOOKUP($C159, 'List of log slots'!$A:$E, 5, FALSE)</f>
        <v>6</v>
      </c>
      <c r="F159" s="208" t="b">
        <f>VLOOKUP(C159, 'List of log slots'!$A:$C, 3, FALSE)</f>
        <v>0</v>
      </c>
      <c r="G159" s="209" t="b">
        <f t="shared" si="28"/>
        <v>0</v>
      </c>
      <c r="H159" s="210" t="b">
        <f t="shared" si="7"/>
        <v>1</v>
      </c>
      <c r="I159" s="209" t="b">
        <f t="shared" ref="I159:J159" si="38">FALSE</f>
        <v>0</v>
      </c>
      <c r="J159" s="208" t="b">
        <f t="shared" si="38"/>
        <v>0</v>
      </c>
      <c r="K159" s="211">
        <v>720.0</v>
      </c>
      <c r="L159" s="207" t="str">
        <f t="shared" si="3"/>
        <v>n/a</v>
      </c>
      <c r="M159" s="212" t="str">
        <f t="shared" si="4"/>
        <v>n/a</v>
      </c>
      <c r="N159" s="207" t="str">
        <f t="shared" si="5"/>
        <v>n/a</v>
      </c>
      <c r="O159" s="207">
        <f t="shared" si="6"/>
        <v>0.001388888889</v>
      </c>
    </row>
    <row r="160" ht="15.75" customHeight="1">
      <c r="A160" s="207">
        <v>17.0</v>
      </c>
      <c r="B160" s="6" t="str">
        <f>VLOOKUP($A160, 'Completion rates'!$A:$E, 2, FALSE)</f>
        <v>Killing duke sucellus</v>
      </c>
      <c r="C160" s="207">
        <v>28270.0</v>
      </c>
      <c r="D160" s="6" t="str">
        <f>VLOOKUP($C160, 'List of log slots'!$A:$E, 2, FALSE)</f>
        <v>Ice quartz</v>
      </c>
      <c r="E160" s="207">
        <f>VLOOKUP($C160, 'List of log slots'!$A:$E, 5, FALSE)</f>
        <v>5</v>
      </c>
      <c r="F160" s="208" t="b">
        <f>VLOOKUP(C160, 'List of log slots'!$A:$C, 3, FALSE)</f>
        <v>0</v>
      </c>
      <c r="G160" s="209" t="b">
        <f t="shared" si="28"/>
        <v>0</v>
      </c>
      <c r="H160" s="210" t="b">
        <f t="shared" si="7"/>
        <v>1</v>
      </c>
      <c r="I160" s="209" t="b">
        <f t="shared" ref="I160:J160" si="39">FALSE</f>
        <v>0</v>
      </c>
      <c r="J160" s="208" t="b">
        <f t="shared" si="39"/>
        <v>0</v>
      </c>
      <c r="K160" s="211">
        <v>215.0</v>
      </c>
      <c r="L160" s="207" t="str">
        <f t="shared" si="3"/>
        <v>n/a</v>
      </c>
      <c r="M160" s="212" t="str">
        <f t="shared" si="4"/>
        <v>n/a</v>
      </c>
      <c r="N160" s="207" t="str">
        <f t="shared" si="5"/>
        <v>n/a</v>
      </c>
      <c r="O160" s="207">
        <f t="shared" si="6"/>
        <v>0.004651162791</v>
      </c>
    </row>
    <row r="161" ht="15.75" customHeight="1">
      <c r="A161" s="207">
        <v>17.0</v>
      </c>
      <c r="B161" s="6" t="str">
        <f>VLOOKUP($A161, 'Completion rates'!$A:$E, 2, FALSE)</f>
        <v>Killing duke sucellus</v>
      </c>
      <c r="C161" s="207">
        <v>28333.0</v>
      </c>
      <c r="D161" s="6" t="str">
        <f>VLOOKUP($C161, 'List of log slots'!$A:$E, 2, FALSE)</f>
        <v>Frozen tablet</v>
      </c>
      <c r="E161" s="207">
        <f>VLOOKUP($C161, 'List of log slots'!$A:$E, 5, FALSE)</f>
        <v>5</v>
      </c>
      <c r="F161" s="208" t="b">
        <f>VLOOKUP(C161, 'List of log slots'!$A:$C, 3, FALSE)</f>
        <v>0</v>
      </c>
      <c r="G161" s="209" t="b">
        <f t="shared" si="28"/>
        <v>0</v>
      </c>
      <c r="H161" s="210" t="b">
        <f t="shared" si="7"/>
        <v>1</v>
      </c>
      <c r="I161" s="209" t="b">
        <f t="shared" ref="I161:J161" si="40">FALSE</f>
        <v>0</v>
      </c>
      <c r="J161" s="208" t="b">
        <f t="shared" si="40"/>
        <v>0</v>
      </c>
      <c r="K161" s="211">
        <v>25.0</v>
      </c>
      <c r="L161" s="207" t="str">
        <f t="shared" si="3"/>
        <v>n/a</v>
      </c>
      <c r="M161" s="212" t="str">
        <f t="shared" si="4"/>
        <v>n/a</v>
      </c>
      <c r="N161" s="207" t="str">
        <f t="shared" si="5"/>
        <v>n/a</v>
      </c>
      <c r="O161" s="207">
        <f t="shared" si="6"/>
        <v>0.04</v>
      </c>
    </row>
    <row r="162" ht="15.75" customHeight="1">
      <c r="A162" s="207">
        <v>17.0</v>
      </c>
      <c r="B162" s="6" t="str">
        <f>VLOOKUP($A162, 'Completion rates'!$A:$E, 2, FALSE)</f>
        <v>Killing duke sucellus</v>
      </c>
      <c r="C162" s="207">
        <v>28276.0</v>
      </c>
      <c r="D162" s="6" t="str">
        <f>VLOOKUP($C162, 'List of log slots'!$A:$E, 2, FALSE)</f>
        <v>Chromium ingot</v>
      </c>
      <c r="E162" s="207">
        <f>VLOOKUP($C162, 'List of log slots'!$A:$E, 5, FALSE)</f>
        <v>5</v>
      </c>
      <c r="F162" s="213" t="b">
        <f>VLOOKUP(C162, 'List of log slots'!$A:$C, 3, FALSE)</f>
        <v>0</v>
      </c>
      <c r="G162" s="209" t="b">
        <f t="shared" si="28"/>
        <v>0</v>
      </c>
      <c r="H162" s="209" t="b">
        <f t="shared" si="7"/>
        <v>1</v>
      </c>
      <c r="I162" s="209" t="b">
        <f t="shared" ref="I162:J162" si="41">FALSE</f>
        <v>0</v>
      </c>
      <c r="J162" s="208" t="b">
        <f t="shared" si="41"/>
        <v>0</v>
      </c>
      <c r="K162" s="214">
        <v>240.0</v>
      </c>
      <c r="L162" s="212" t="str">
        <f t="shared" si="3"/>
        <v>n/a</v>
      </c>
      <c r="M162" s="212" t="str">
        <f t="shared" si="4"/>
        <v>n/a</v>
      </c>
      <c r="N162" s="207" t="str">
        <f t="shared" si="5"/>
        <v>n/a</v>
      </c>
      <c r="O162" s="207">
        <f t="shared" si="6"/>
        <v>0.004166666667</v>
      </c>
    </row>
    <row r="163" ht="15.75" customHeight="1">
      <c r="A163" s="207">
        <v>17.0</v>
      </c>
      <c r="B163" s="6" t="str">
        <f>VLOOKUP($A163, 'Completion rates'!$A:$E, 2, FALSE)</f>
        <v>Killing duke sucellus</v>
      </c>
      <c r="C163" s="207">
        <v>28334.0</v>
      </c>
      <c r="D163" s="6" t="str">
        <f>VLOOKUP($C163, 'List of log slots'!$A:$E, 2, FALSE)</f>
        <v>Awakener's orb</v>
      </c>
      <c r="E163" s="207">
        <f>VLOOKUP($C163, 'List of log slots'!$A:$E, 5, FALSE)</f>
        <v>5</v>
      </c>
      <c r="F163" s="213" t="b">
        <f>VLOOKUP(C163, 'List of log slots'!$A:$C, 3, FALSE)</f>
        <v>0</v>
      </c>
      <c r="G163" s="209" t="b">
        <f t="shared" si="28"/>
        <v>0</v>
      </c>
      <c r="H163" s="209" t="b">
        <f t="shared" si="7"/>
        <v>1</v>
      </c>
      <c r="I163" s="209" t="b">
        <f t="shared" ref="I163:J163" si="42">FALSE</f>
        <v>0</v>
      </c>
      <c r="J163" s="208" t="b">
        <f t="shared" si="42"/>
        <v>0</v>
      </c>
      <c r="K163" s="211">
        <v>48.0</v>
      </c>
      <c r="L163" s="207" t="str">
        <f t="shared" si="3"/>
        <v>n/a</v>
      </c>
      <c r="M163" s="212" t="str">
        <f t="shared" si="4"/>
        <v>n/a</v>
      </c>
      <c r="N163" s="207" t="str">
        <f t="shared" si="5"/>
        <v>n/a</v>
      </c>
      <c r="O163" s="207">
        <f t="shared" si="6"/>
        <v>0.02083333333</v>
      </c>
    </row>
    <row r="164" ht="15.75" customHeight="1">
      <c r="A164" s="207">
        <v>18.0</v>
      </c>
      <c r="B164" s="6" t="str">
        <f>VLOOKUP($A164, 'Completion rates'!$A:$E, 2, FALSE)</f>
        <v>Finishing fight caves (and gambling cape, on task)</v>
      </c>
      <c r="C164" s="207">
        <v>13225.0</v>
      </c>
      <c r="D164" s="6" t="str">
        <f>VLOOKUP($C164, 'List of log slots'!$A:$E, 2, FALSE)</f>
        <v>Tzrek-jad</v>
      </c>
      <c r="E164" s="207">
        <f>VLOOKUP($C164, 'List of log slots'!$A:$E, 5, FALSE)</f>
        <v>6</v>
      </c>
      <c r="F164" s="208" t="b">
        <f>VLOOKUP(C164, 'List of log slots'!$A:$C, 3, FALSE)</f>
        <v>0</v>
      </c>
      <c r="G164" s="209" t="b">
        <f t="shared" si="28"/>
        <v>0</v>
      </c>
      <c r="H164" s="210" t="b">
        <f t="shared" si="7"/>
        <v>1</v>
      </c>
      <c r="I164" s="209" t="b">
        <f t="shared" ref="I164:J164" si="43">FALSE</f>
        <v>0</v>
      </c>
      <c r="J164" s="208" t="b">
        <f t="shared" si="43"/>
        <v>0</v>
      </c>
      <c r="K164" s="211">
        <v>67.0</v>
      </c>
      <c r="L164" s="207" t="str">
        <f t="shared" si="3"/>
        <v>n/a</v>
      </c>
      <c r="M164" s="212" t="str">
        <f t="shared" si="4"/>
        <v>n/a</v>
      </c>
      <c r="N164" s="207" t="str">
        <f t="shared" si="5"/>
        <v>n/a</v>
      </c>
      <c r="O164" s="207">
        <f t="shared" si="6"/>
        <v>0.01492537313</v>
      </c>
    </row>
    <row r="165" ht="15.75" customHeight="1">
      <c r="A165" s="207">
        <v>18.0</v>
      </c>
      <c r="B165" s="6" t="str">
        <f>VLOOKUP($A165, 'Completion rates'!$A:$E, 2, FALSE)</f>
        <v>Finishing fight caves (and gambling cape, on task)</v>
      </c>
      <c r="C165" s="207">
        <v>6570.0</v>
      </c>
      <c r="D165" s="6" t="str">
        <f>VLOOKUP($C165, 'List of log slots'!$A:$E, 2, FALSE)</f>
        <v>Fire cape</v>
      </c>
      <c r="E165" s="207">
        <f>VLOOKUP($C165, 'List of log slots'!$A:$E, 5, FALSE)</f>
        <v>4</v>
      </c>
      <c r="F165" s="213" t="b">
        <f>VLOOKUP(C165, 'List of log slots'!$A:$C, 3, FALSE)</f>
        <v>0</v>
      </c>
      <c r="G165" s="209" t="b">
        <f t="shared" si="28"/>
        <v>0</v>
      </c>
      <c r="H165" s="209" t="b">
        <f t="shared" si="7"/>
        <v>1</v>
      </c>
      <c r="I165" s="210" t="b">
        <f>TRUE</f>
        <v>1</v>
      </c>
      <c r="J165" s="208" t="b">
        <f>FALSE</f>
        <v>0</v>
      </c>
      <c r="K165" s="211">
        <v>1.0</v>
      </c>
      <c r="L165" s="207" t="str">
        <f t="shared" si="3"/>
        <v>n/a</v>
      </c>
      <c r="M165" s="212">
        <f t="shared" si="4"/>
        <v>1</v>
      </c>
      <c r="N165" s="207" t="str">
        <f t="shared" si="5"/>
        <v>n/a</v>
      </c>
      <c r="O165" s="207" t="str">
        <f t="shared" si="6"/>
        <v>n/a</v>
      </c>
    </row>
    <row r="166" ht="15.75" customHeight="1">
      <c r="A166" s="207">
        <v>19.0</v>
      </c>
      <c r="B166" s="6" t="str">
        <f>VLOOKUP($A166, 'Completion rates'!$A:$E, 2, FALSE)</f>
        <v>Killing sol heredit (and gambling quiver, fortis colosseum)</v>
      </c>
      <c r="C166" s="207">
        <v>28960.0</v>
      </c>
      <c r="D166" s="6" t="str">
        <f>VLOOKUP($C166, 'List of log slots'!$A:$E, 2, FALSE)</f>
        <v>Smol heredit</v>
      </c>
      <c r="E166" s="207">
        <f>VLOOKUP($C166, 'List of log slots'!$A:$E, 5, FALSE)</f>
        <v>8</v>
      </c>
      <c r="F166" s="208" t="b">
        <f>VLOOKUP(C166, 'List of log slots'!$A:$C, 3, FALSE)</f>
        <v>0</v>
      </c>
      <c r="G166" s="209" t="b">
        <f t="shared" si="28"/>
        <v>0</v>
      </c>
      <c r="H166" s="210" t="b">
        <f t="shared" si="7"/>
        <v>1</v>
      </c>
      <c r="I166" s="209" t="b">
        <f t="shared" ref="I166:J166" si="44">FALSE</f>
        <v>0</v>
      </c>
      <c r="J166" s="208" t="b">
        <f t="shared" si="44"/>
        <v>0</v>
      </c>
      <c r="K166" s="211">
        <v>100.0</v>
      </c>
      <c r="L166" s="207" t="str">
        <f t="shared" si="3"/>
        <v>n/a</v>
      </c>
      <c r="M166" s="212" t="str">
        <f t="shared" si="4"/>
        <v>n/a</v>
      </c>
      <c r="N166" s="207" t="str">
        <f t="shared" si="5"/>
        <v>n/a</v>
      </c>
      <c r="O166" s="207">
        <f t="shared" si="6"/>
        <v>0.01</v>
      </c>
    </row>
    <row r="167" ht="15.75" customHeight="1">
      <c r="A167" s="207">
        <v>19.0</v>
      </c>
      <c r="B167" s="6" t="str">
        <f>VLOOKUP($A167, 'Completion rates'!$A:$E, 2, FALSE)</f>
        <v>Killing sol heredit (and gambling quiver, fortis colosseum)</v>
      </c>
      <c r="C167" s="207">
        <v>28947.0</v>
      </c>
      <c r="D167" s="6" t="str">
        <f>VLOOKUP($C167, 'List of log slots'!$A:$E, 2, FALSE)</f>
        <v>Dizana's quiver</v>
      </c>
      <c r="E167" s="207">
        <f>VLOOKUP($C167, 'List of log slots'!$A:$E, 5, FALSE)</f>
        <v>6</v>
      </c>
      <c r="F167" s="208" t="b">
        <f>VLOOKUP(C167, 'List of log slots'!$A:$C, 3, FALSE)</f>
        <v>0</v>
      </c>
      <c r="G167" s="209" t="b">
        <f t="shared" si="28"/>
        <v>0</v>
      </c>
      <c r="H167" s="210" t="b">
        <f t="shared" si="7"/>
        <v>1</v>
      </c>
      <c r="I167" s="210" t="b">
        <f>TRUE</f>
        <v>1</v>
      </c>
      <c r="J167" s="208" t="b">
        <f>FALSE</f>
        <v>0</v>
      </c>
      <c r="K167" s="211">
        <v>1.0</v>
      </c>
      <c r="L167" s="207" t="str">
        <f t="shared" si="3"/>
        <v>n/a</v>
      </c>
      <c r="M167" s="212">
        <f t="shared" si="4"/>
        <v>1</v>
      </c>
      <c r="N167" s="207" t="str">
        <f t="shared" si="5"/>
        <v>n/a</v>
      </c>
      <c r="O167" s="207" t="str">
        <f t="shared" si="6"/>
        <v>n/a</v>
      </c>
    </row>
    <row r="168" ht="15.75" customHeight="1">
      <c r="A168" s="207">
        <v>19.0</v>
      </c>
      <c r="B168" s="6" t="str">
        <f>VLOOKUP($A168, 'Completion rates'!$A:$E, 2, FALSE)</f>
        <v>Killing sol heredit (and gambling quiver, fortis colosseum)</v>
      </c>
      <c r="C168" s="207">
        <v>28936.0</v>
      </c>
      <c r="D168" s="6" t="str">
        <f>VLOOKUP($C168, 'List of log slots'!$A:$E, 2, FALSE)</f>
        <v>Sunfire fanatic cuirass</v>
      </c>
      <c r="E168" s="207">
        <f>VLOOKUP($C168, 'List of log slots'!$A:$E, 5, FALSE)</f>
        <v>7</v>
      </c>
      <c r="F168" s="208" t="b">
        <f>VLOOKUP(C168, 'List of log slots'!$A:$C, 3, FALSE)</f>
        <v>0</v>
      </c>
      <c r="G168" s="209" t="b">
        <f t="shared" si="28"/>
        <v>0</v>
      </c>
      <c r="H168" s="210" t="b">
        <f t="shared" si="7"/>
        <v>1</v>
      </c>
      <c r="I168" s="209" t="b">
        <f t="shared" ref="I168:I172" si="45">FALSE</f>
        <v>0</v>
      </c>
      <c r="J168" s="213" t="b">
        <f t="shared" ref="J168:J170" si="46">TRUE</f>
        <v>1</v>
      </c>
      <c r="K168" s="211">
        <v>8.0</v>
      </c>
      <c r="L168" s="207" t="str">
        <f t="shared" si="3"/>
        <v>n/a</v>
      </c>
      <c r="M168" s="212" t="str">
        <f t="shared" si="4"/>
        <v>n/a</v>
      </c>
      <c r="N168" s="207">
        <f t="shared" si="5"/>
        <v>8</v>
      </c>
      <c r="O168" s="207" t="str">
        <f t="shared" si="6"/>
        <v>n/a</v>
      </c>
    </row>
    <row r="169" ht="15.75" customHeight="1">
      <c r="A169" s="207">
        <v>19.0</v>
      </c>
      <c r="B169" s="6" t="str">
        <f>VLOOKUP($A169, 'Completion rates'!$A:$E, 2, FALSE)</f>
        <v>Killing sol heredit (and gambling quiver, fortis colosseum)</v>
      </c>
      <c r="C169" s="207">
        <v>28939.0</v>
      </c>
      <c r="D169" s="6" t="str">
        <f>VLOOKUP($C169, 'List of log slots'!$A:$E, 2, FALSE)</f>
        <v>Sunfire fanatic chausses</v>
      </c>
      <c r="E169" s="207">
        <f>VLOOKUP($C169, 'List of log slots'!$A:$E, 5, FALSE)</f>
        <v>7</v>
      </c>
      <c r="F169" s="208" t="b">
        <f>VLOOKUP(C169, 'List of log slots'!$A:$C, 3, FALSE)</f>
        <v>0</v>
      </c>
      <c r="G169" s="209" t="b">
        <f t="shared" si="28"/>
        <v>0</v>
      </c>
      <c r="H169" s="210" t="b">
        <f t="shared" si="7"/>
        <v>1</v>
      </c>
      <c r="I169" s="209" t="b">
        <f t="shared" si="45"/>
        <v>0</v>
      </c>
      <c r="J169" s="213" t="b">
        <f t="shared" si="46"/>
        <v>1</v>
      </c>
      <c r="K169" s="211">
        <v>8.0</v>
      </c>
      <c r="L169" s="207" t="str">
        <f t="shared" si="3"/>
        <v>n/a</v>
      </c>
      <c r="M169" s="212" t="str">
        <f t="shared" si="4"/>
        <v>n/a</v>
      </c>
      <c r="N169" s="207">
        <f t="shared" si="5"/>
        <v>8</v>
      </c>
      <c r="O169" s="207" t="str">
        <f t="shared" si="6"/>
        <v>n/a</v>
      </c>
    </row>
    <row r="170" ht="15.75" customHeight="1">
      <c r="A170" s="207">
        <v>19.0</v>
      </c>
      <c r="B170" s="6" t="str">
        <f>VLOOKUP($A170, 'Completion rates'!$A:$E, 2, FALSE)</f>
        <v>Killing sol heredit (and gambling quiver, fortis colosseum)</v>
      </c>
      <c r="C170" s="207">
        <v>28933.0</v>
      </c>
      <c r="D170" s="6" t="str">
        <f>VLOOKUP($C170, 'List of log slots'!$A:$E, 2, FALSE)</f>
        <v>Sunfire fanatic helm</v>
      </c>
      <c r="E170" s="207">
        <f>VLOOKUP($C170, 'List of log slots'!$A:$E, 5, FALSE)</f>
        <v>7</v>
      </c>
      <c r="F170" s="208" t="b">
        <f>VLOOKUP(C170, 'List of log slots'!$A:$C, 3, FALSE)</f>
        <v>0</v>
      </c>
      <c r="G170" s="209" t="b">
        <f t="shared" si="28"/>
        <v>0</v>
      </c>
      <c r="H170" s="210" t="b">
        <f t="shared" si="7"/>
        <v>1</v>
      </c>
      <c r="I170" s="209" t="b">
        <f t="shared" si="45"/>
        <v>0</v>
      </c>
      <c r="J170" s="213" t="b">
        <f t="shared" si="46"/>
        <v>1</v>
      </c>
      <c r="K170" s="211">
        <v>8.0</v>
      </c>
      <c r="L170" s="207" t="str">
        <f t="shared" si="3"/>
        <v>n/a</v>
      </c>
      <c r="M170" s="212" t="str">
        <f t="shared" si="4"/>
        <v>n/a</v>
      </c>
      <c r="N170" s="207">
        <f t="shared" si="5"/>
        <v>8</v>
      </c>
      <c r="O170" s="207" t="str">
        <f t="shared" si="6"/>
        <v>n/a</v>
      </c>
    </row>
    <row r="171" ht="15.75" customHeight="1">
      <c r="A171" s="207">
        <v>19.0</v>
      </c>
      <c r="B171" s="6" t="str">
        <f>VLOOKUP($A171, 'Completion rates'!$A:$E, 2, FALSE)</f>
        <v>Killing sol heredit (and gambling quiver, fortis colosseum)</v>
      </c>
      <c r="C171" s="207">
        <v>28942.0</v>
      </c>
      <c r="D171" s="6" t="str">
        <f>VLOOKUP($C171, 'List of log slots'!$A:$E, 2, FALSE)</f>
        <v>Echo crystal</v>
      </c>
      <c r="E171" s="207">
        <f>VLOOKUP($C171, 'List of log slots'!$A:$E, 5, FALSE)</f>
        <v>7</v>
      </c>
      <c r="F171" s="208" t="b">
        <f>VLOOKUP(C171, 'List of log slots'!$A:$C, 3, FALSE)</f>
        <v>0</v>
      </c>
      <c r="G171" s="209" t="b">
        <f t="shared" si="28"/>
        <v>0</v>
      </c>
      <c r="H171" s="210" t="b">
        <f t="shared" si="7"/>
        <v>1</v>
      </c>
      <c r="I171" s="209" t="b">
        <f t="shared" si="45"/>
        <v>0</v>
      </c>
      <c r="J171" s="208" t="b">
        <f t="shared" ref="J171:J173" si="47">FALSE</f>
        <v>0</v>
      </c>
      <c r="K171" s="211">
        <v>12.0</v>
      </c>
      <c r="L171" s="207" t="str">
        <f t="shared" si="3"/>
        <v>n/a</v>
      </c>
      <c r="M171" s="212" t="str">
        <f t="shared" si="4"/>
        <v>n/a</v>
      </c>
      <c r="N171" s="207" t="str">
        <f t="shared" si="5"/>
        <v>n/a</v>
      </c>
      <c r="O171" s="207">
        <f t="shared" si="6"/>
        <v>0.08333333333</v>
      </c>
    </row>
    <row r="172" ht="15.75" customHeight="1">
      <c r="A172" s="207">
        <v>19.0</v>
      </c>
      <c r="B172" s="6" t="str">
        <f>VLOOKUP($A172, 'Completion rates'!$A:$E, 2, FALSE)</f>
        <v>Killing sol heredit (and gambling quiver, fortis colosseum)</v>
      </c>
      <c r="C172" s="207">
        <v>28919.0</v>
      </c>
      <c r="D172" s="6" t="str">
        <f>VLOOKUP($C172, 'List of log slots'!$A:$E, 2, FALSE)</f>
        <v>Tonalztics of ralos</v>
      </c>
      <c r="E172" s="207">
        <f>VLOOKUP($C172, 'List of log slots'!$A:$E, 5, FALSE)</f>
        <v>8</v>
      </c>
      <c r="F172" s="208" t="b">
        <f>VLOOKUP(C172, 'List of log slots'!$A:$C, 3, FALSE)</f>
        <v>0</v>
      </c>
      <c r="G172" s="209" t="b">
        <f t="shared" si="28"/>
        <v>0</v>
      </c>
      <c r="H172" s="210" t="b">
        <f t="shared" si="7"/>
        <v>1</v>
      </c>
      <c r="I172" s="209" t="b">
        <f t="shared" si="45"/>
        <v>0</v>
      </c>
      <c r="J172" s="208" t="b">
        <f t="shared" si="47"/>
        <v>0</v>
      </c>
      <c r="K172" s="211">
        <v>83.0</v>
      </c>
      <c r="L172" s="207" t="str">
        <f t="shared" si="3"/>
        <v>n/a</v>
      </c>
      <c r="M172" s="212" t="str">
        <f t="shared" si="4"/>
        <v>n/a</v>
      </c>
      <c r="N172" s="207" t="str">
        <f t="shared" si="5"/>
        <v>n/a</v>
      </c>
      <c r="O172" s="207">
        <f t="shared" si="6"/>
        <v>0.01204819277</v>
      </c>
    </row>
    <row r="173" ht="15.75" customHeight="1">
      <c r="A173" s="207">
        <v>19.0</v>
      </c>
      <c r="B173" s="6" t="str">
        <f>VLOOKUP($A173, 'Completion rates'!$A:$E, 2, FALSE)</f>
        <v>Killing sol heredit (and gambling quiver, fortis colosseum)</v>
      </c>
      <c r="C173" s="207">
        <v>28924.0</v>
      </c>
      <c r="D173" s="6" t="str">
        <f>VLOOKUP($C173, 'List of log slots'!$A:$E, 2, FALSE)</f>
        <v>Sunfire splinters</v>
      </c>
      <c r="E173" s="207">
        <f>VLOOKUP($C173, 'List of log slots'!$A:$E, 5, FALSE)</f>
        <v>2</v>
      </c>
      <c r="F173" s="213" t="b">
        <f>VLOOKUP(C173, 'List of log slots'!$A:$C, 3, FALSE)</f>
        <v>0</v>
      </c>
      <c r="G173" s="209" t="b">
        <f t="shared" si="28"/>
        <v>0</v>
      </c>
      <c r="H173" s="209" t="b">
        <f t="shared" si="7"/>
        <v>1</v>
      </c>
      <c r="I173" s="210" t="b">
        <f>TRUE</f>
        <v>1</v>
      </c>
      <c r="J173" s="208" t="b">
        <f t="shared" si="47"/>
        <v>0</v>
      </c>
      <c r="K173" s="211">
        <v>1.0</v>
      </c>
      <c r="L173" s="207" t="str">
        <f t="shared" si="3"/>
        <v>n/a</v>
      </c>
      <c r="M173" s="212">
        <f t="shared" si="4"/>
        <v>1</v>
      </c>
      <c r="N173" s="207" t="str">
        <f t="shared" si="5"/>
        <v>n/a</v>
      </c>
      <c r="O173" s="207" t="str">
        <f t="shared" si="6"/>
        <v>n/a</v>
      </c>
    </row>
    <row r="174" ht="15.75" customHeight="1">
      <c r="A174" s="207">
        <v>20.0</v>
      </c>
      <c r="B174" s="6" t="str">
        <f>VLOOKUP($A174, 'Completion rates'!$A:$E, 2, FALSE)</f>
        <v>Opening reward chest (gauntlet)</v>
      </c>
      <c r="C174" s="207">
        <v>23757.0</v>
      </c>
      <c r="D174" s="6" t="str">
        <f>VLOOKUP($C174, 'List of log slots'!$A:$E, 2, FALSE)</f>
        <v>Youngllef</v>
      </c>
      <c r="E174" s="207">
        <f>VLOOKUP($C174, 'List of log slots'!$A:$E, 5, FALSE)</f>
        <v>7</v>
      </c>
      <c r="F174" s="208" t="b">
        <f>VLOOKUP(C174, 'List of log slots'!$A:$C, 3, FALSE)</f>
        <v>0</v>
      </c>
      <c r="G174" s="209" t="b">
        <f t="shared" si="28"/>
        <v>0</v>
      </c>
      <c r="H174" s="210" t="b">
        <f t="shared" si="7"/>
        <v>1</v>
      </c>
      <c r="I174" s="209" t="b">
        <f t="shared" ref="I174:J174" si="48">FALSE</f>
        <v>0</v>
      </c>
      <c r="J174" s="208" t="b">
        <f t="shared" si="48"/>
        <v>0</v>
      </c>
      <c r="K174" s="211">
        <v>2000.0</v>
      </c>
      <c r="L174" s="207" t="str">
        <f t="shared" si="3"/>
        <v>n/a</v>
      </c>
      <c r="M174" s="212" t="str">
        <f t="shared" si="4"/>
        <v>n/a</v>
      </c>
      <c r="N174" s="207" t="str">
        <f t="shared" si="5"/>
        <v>n/a</v>
      </c>
      <c r="O174" s="207">
        <f t="shared" si="6"/>
        <v>0.0005</v>
      </c>
    </row>
    <row r="175" ht="15.75" customHeight="1">
      <c r="A175" s="207">
        <v>20.0</v>
      </c>
      <c r="B175" s="6" t="str">
        <f>VLOOKUP($A175, 'Completion rates'!$A:$E, 2, FALSE)</f>
        <v>Opening reward chest (gauntlet)</v>
      </c>
      <c r="C175" s="207">
        <v>23956.0</v>
      </c>
      <c r="D175" s="6" t="str">
        <f>VLOOKUP($C175, 'List of log slots'!$A:$E, 2, FALSE)</f>
        <v>Crystal armour seed</v>
      </c>
      <c r="E175" s="207">
        <f>VLOOKUP($C175, 'List of log slots'!$A:$E, 5, FALSE)</f>
        <v>5</v>
      </c>
      <c r="F175" s="208" t="b">
        <f>VLOOKUP(C175, 'List of log slots'!$A:$C, 3, FALSE)</f>
        <v>0</v>
      </c>
      <c r="G175" s="209" t="b">
        <f t="shared" si="28"/>
        <v>0</v>
      </c>
      <c r="H175" s="210" t="b">
        <f t="shared" si="7"/>
        <v>1</v>
      </c>
      <c r="I175" s="209" t="b">
        <f t="shared" ref="I175:J175" si="49">FALSE</f>
        <v>0</v>
      </c>
      <c r="J175" s="208" t="b">
        <f t="shared" si="49"/>
        <v>0</v>
      </c>
      <c r="K175" s="211">
        <v>120.0</v>
      </c>
      <c r="L175" s="207" t="str">
        <f t="shared" si="3"/>
        <v>n/a</v>
      </c>
      <c r="M175" s="212" t="str">
        <f t="shared" si="4"/>
        <v>n/a</v>
      </c>
      <c r="N175" s="207" t="str">
        <f t="shared" si="5"/>
        <v>n/a</v>
      </c>
      <c r="O175" s="207">
        <f t="shared" si="6"/>
        <v>0.008333333333</v>
      </c>
    </row>
    <row r="176" ht="15.75" customHeight="1">
      <c r="A176" s="207">
        <v>20.0</v>
      </c>
      <c r="B176" s="6" t="str">
        <f>VLOOKUP($A176, 'Completion rates'!$A:$E, 2, FALSE)</f>
        <v>Opening reward chest (gauntlet)</v>
      </c>
      <c r="C176" s="207">
        <v>4207.0</v>
      </c>
      <c r="D176" s="6" t="str">
        <f>VLOOKUP($C176, 'List of log slots'!$A:$E, 2, FALSE)</f>
        <v>Crystal weapon seed</v>
      </c>
      <c r="E176" s="207">
        <f>VLOOKUP($C176, 'List of log slots'!$A:$E, 5, FALSE)</f>
        <v>5</v>
      </c>
      <c r="F176" s="213" t="b">
        <f>VLOOKUP(C176, 'List of log slots'!$A:$C, 3, FALSE)</f>
        <v>0</v>
      </c>
      <c r="G176" s="209" t="b">
        <f t="shared" si="28"/>
        <v>0</v>
      </c>
      <c r="H176" s="209" t="b">
        <f t="shared" si="7"/>
        <v>1</v>
      </c>
      <c r="I176" s="209" t="b">
        <f t="shared" ref="I176:J176" si="50">FALSE</f>
        <v>0</v>
      </c>
      <c r="J176" s="208" t="b">
        <f t="shared" si="50"/>
        <v>0</v>
      </c>
      <c r="K176" s="214">
        <v>120.0</v>
      </c>
      <c r="L176" s="212" t="str">
        <f t="shared" si="3"/>
        <v>n/a</v>
      </c>
      <c r="M176" s="212" t="str">
        <f t="shared" si="4"/>
        <v>n/a</v>
      </c>
      <c r="N176" s="207" t="str">
        <f t="shared" si="5"/>
        <v>n/a</v>
      </c>
      <c r="O176" s="207">
        <f t="shared" si="6"/>
        <v>0.008333333333</v>
      </c>
    </row>
    <row r="177" ht="15.75" customHeight="1">
      <c r="A177" s="207">
        <v>20.0</v>
      </c>
      <c r="B177" s="6" t="str">
        <f>VLOOKUP($A177, 'Completion rates'!$A:$E, 2, FALSE)</f>
        <v>Opening reward chest (gauntlet)</v>
      </c>
      <c r="C177" s="207">
        <v>25859.0</v>
      </c>
      <c r="D177" s="6" t="str">
        <f>VLOOKUP($C177, 'List of log slots'!$A:$E, 2, FALSE)</f>
        <v>Enhanced crystal weapon seed</v>
      </c>
      <c r="E177" s="207">
        <f>VLOOKUP($C177, 'List of log slots'!$A:$E, 5, FALSE)</f>
        <v>7</v>
      </c>
      <c r="F177" s="208" t="b">
        <f>VLOOKUP(C177, 'List of log slots'!$A:$C, 3, FALSE)</f>
        <v>0</v>
      </c>
      <c r="G177" s="209" t="b">
        <f t="shared" si="28"/>
        <v>0</v>
      </c>
      <c r="H177" s="210" t="b">
        <f t="shared" si="7"/>
        <v>1</v>
      </c>
      <c r="I177" s="209" t="b">
        <f t="shared" ref="I177:J177" si="51">FALSE</f>
        <v>0</v>
      </c>
      <c r="J177" s="208" t="b">
        <f t="shared" si="51"/>
        <v>0</v>
      </c>
      <c r="K177" s="214">
        <v>2000.0</v>
      </c>
      <c r="L177" s="212" t="str">
        <f t="shared" si="3"/>
        <v>n/a</v>
      </c>
      <c r="M177" s="212" t="str">
        <f t="shared" si="4"/>
        <v>n/a</v>
      </c>
      <c r="N177" s="207" t="str">
        <f t="shared" si="5"/>
        <v>n/a</v>
      </c>
      <c r="O177" s="207">
        <f t="shared" si="6"/>
        <v>0.0005</v>
      </c>
    </row>
    <row r="178" ht="15.75" customHeight="1">
      <c r="A178" s="207">
        <v>21.0</v>
      </c>
      <c r="B178" s="6" t="str">
        <f>VLOOKUP($A178, 'Completion rates'!$A:$E, 2, FALSE)</f>
        <v>Opening reward chest (corrupted gauntlet)</v>
      </c>
      <c r="C178" s="207">
        <v>23757.0</v>
      </c>
      <c r="D178" s="6" t="str">
        <f>VLOOKUP($C178, 'List of log slots'!$A:$E, 2, FALSE)</f>
        <v>Youngllef</v>
      </c>
      <c r="E178" s="207">
        <f>VLOOKUP($C178, 'List of log slots'!$A:$E, 5, FALSE)</f>
        <v>7</v>
      </c>
      <c r="F178" s="208" t="b">
        <f>VLOOKUP(C178, 'List of log slots'!$A:$C, 3, FALSE)</f>
        <v>0</v>
      </c>
      <c r="G178" s="209" t="b">
        <f t="shared" si="28"/>
        <v>0</v>
      </c>
      <c r="H178" s="210" t="b">
        <f t="shared" si="7"/>
        <v>1</v>
      </c>
      <c r="I178" s="209" t="b">
        <f t="shared" ref="I178:J178" si="52">FALSE</f>
        <v>0</v>
      </c>
      <c r="J178" s="208" t="b">
        <f t="shared" si="52"/>
        <v>0</v>
      </c>
      <c r="K178" s="211">
        <v>800.0</v>
      </c>
      <c r="L178" s="207" t="str">
        <f t="shared" si="3"/>
        <v>n/a</v>
      </c>
      <c r="M178" s="212" t="str">
        <f t="shared" si="4"/>
        <v>n/a</v>
      </c>
      <c r="N178" s="207" t="str">
        <f t="shared" si="5"/>
        <v>n/a</v>
      </c>
      <c r="O178" s="207">
        <f t="shared" si="6"/>
        <v>0.00125</v>
      </c>
    </row>
    <row r="179" ht="15.75" customHeight="1">
      <c r="A179" s="207">
        <v>21.0</v>
      </c>
      <c r="B179" s="6" t="str">
        <f>VLOOKUP($A179, 'Completion rates'!$A:$E, 2, FALSE)</f>
        <v>Opening reward chest (corrupted gauntlet)</v>
      </c>
      <c r="C179" s="207">
        <v>23956.0</v>
      </c>
      <c r="D179" s="6" t="str">
        <f>VLOOKUP($C179, 'List of log slots'!$A:$E, 2, FALSE)</f>
        <v>Crystal armour seed</v>
      </c>
      <c r="E179" s="207">
        <f>VLOOKUP($C179, 'List of log slots'!$A:$E, 5, FALSE)</f>
        <v>5</v>
      </c>
      <c r="F179" s="208" t="b">
        <f>VLOOKUP(C179, 'List of log slots'!$A:$C, 3, FALSE)</f>
        <v>0</v>
      </c>
      <c r="G179" s="209" t="b">
        <f t="shared" si="28"/>
        <v>0</v>
      </c>
      <c r="H179" s="210" t="b">
        <f t="shared" si="7"/>
        <v>1</v>
      </c>
      <c r="I179" s="209" t="b">
        <f t="shared" ref="I179:J179" si="53">FALSE</f>
        <v>0</v>
      </c>
      <c r="J179" s="208" t="b">
        <f t="shared" si="53"/>
        <v>0</v>
      </c>
      <c r="K179" s="211">
        <v>50.0</v>
      </c>
      <c r="L179" s="207" t="str">
        <f t="shared" si="3"/>
        <v>n/a</v>
      </c>
      <c r="M179" s="212" t="str">
        <f t="shared" si="4"/>
        <v>n/a</v>
      </c>
      <c r="N179" s="207" t="str">
        <f t="shared" si="5"/>
        <v>n/a</v>
      </c>
      <c r="O179" s="207">
        <f t="shared" si="6"/>
        <v>0.02</v>
      </c>
    </row>
    <row r="180" ht="15.75" customHeight="1">
      <c r="A180" s="207">
        <v>21.0</v>
      </c>
      <c r="B180" s="6" t="str">
        <f>VLOOKUP($A180, 'Completion rates'!$A:$E, 2, FALSE)</f>
        <v>Opening reward chest (corrupted gauntlet)</v>
      </c>
      <c r="C180" s="207">
        <v>4207.0</v>
      </c>
      <c r="D180" s="6" t="str">
        <f>VLOOKUP($C180, 'List of log slots'!$A:$E, 2, FALSE)</f>
        <v>Crystal weapon seed</v>
      </c>
      <c r="E180" s="207">
        <f>VLOOKUP($C180, 'List of log slots'!$A:$E, 5, FALSE)</f>
        <v>5</v>
      </c>
      <c r="F180" s="213" t="b">
        <f>VLOOKUP(C180, 'List of log slots'!$A:$C, 3, FALSE)</f>
        <v>0</v>
      </c>
      <c r="G180" s="209" t="b">
        <f t="shared" si="28"/>
        <v>0</v>
      </c>
      <c r="H180" s="209" t="b">
        <f t="shared" si="7"/>
        <v>1</v>
      </c>
      <c r="I180" s="209" t="b">
        <f t="shared" ref="I180:J180" si="54">FALSE</f>
        <v>0</v>
      </c>
      <c r="J180" s="208" t="b">
        <f t="shared" si="54"/>
        <v>0</v>
      </c>
      <c r="K180" s="211">
        <v>50.0</v>
      </c>
      <c r="L180" s="207" t="str">
        <f t="shared" si="3"/>
        <v>n/a</v>
      </c>
      <c r="M180" s="212" t="str">
        <f t="shared" si="4"/>
        <v>n/a</v>
      </c>
      <c r="N180" s="207" t="str">
        <f t="shared" si="5"/>
        <v>n/a</v>
      </c>
      <c r="O180" s="207">
        <f t="shared" si="6"/>
        <v>0.02</v>
      </c>
    </row>
    <row r="181" ht="15.75" customHeight="1">
      <c r="A181" s="207">
        <v>21.0</v>
      </c>
      <c r="B181" s="6" t="str">
        <f>VLOOKUP($A181, 'Completion rates'!$A:$E, 2, FALSE)</f>
        <v>Opening reward chest (corrupted gauntlet)</v>
      </c>
      <c r="C181" s="207">
        <v>25859.0</v>
      </c>
      <c r="D181" s="6" t="str">
        <f>VLOOKUP($C181, 'List of log slots'!$A:$E, 2, FALSE)</f>
        <v>Enhanced crystal weapon seed</v>
      </c>
      <c r="E181" s="207">
        <f>VLOOKUP($C181, 'List of log slots'!$A:$E, 5, FALSE)</f>
        <v>7</v>
      </c>
      <c r="F181" s="208" t="b">
        <f>VLOOKUP(C181, 'List of log slots'!$A:$C, 3, FALSE)</f>
        <v>0</v>
      </c>
      <c r="G181" s="209" t="b">
        <f t="shared" si="28"/>
        <v>0</v>
      </c>
      <c r="H181" s="210" t="b">
        <f t="shared" si="7"/>
        <v>1</v>
      </c>
      <c r="I181" s="209" t="b">
        <f t="shared" ref="I181:J181" si="55">FALSE</f>
        <v>0</v>
      </c>
      <c r="J181" s="208" t="b">
        <f t="shared" si="55"/>
        <v>0</v>
      </c>
      <c r="K181" s="211">
        <v>400.0</v>
      </c>
      <c r="L181" s="207" t="str">
        <f t="shared" si="3"/>
        <v>n/a</v>
      </c>
      <c r="M181" s="212" t="str">
        <f t="shared" si="4"/>
        <v>n/a</v>
      </c>
      <c r="N181" s="207" t="str">
        <f t="shared" si="5"/>
        <v>n/a</v>
      </c>
      <c r="O181" s="207">
        <f t="shared" si="6"/>
        <v>0.0025</v>
      </c>
    </row>
    <row r="182" ht="15.75" customHeight="1">
      <c r="A182" s="207">
        <v>21.0</v>
      </c>
      <c r="B182" s="6" t="str">
        <f>VLOOKUP($A182, 'Completion rates'!$A:$E, 2, FALSE)</f>
        <v>Opening reward chest (corrupted gauntlet)</v>
      </c>
      <c r="C182" s="207">
        <v>23859.0</v>
      </c>
      <c r="D182" s="6" t="str">
        <f>VLOOKUP($C182, 'List of log slots'!$A:$E, 2, FALSE)</f>
        <v>Gauntlet cape</v>
      </c>
      <c r="E182" s="207">
        <f>VLOOKUP($C182, 'List of log slots'!$A:$E, 5, FALSE)</f>
        <v>4</v>
      </c>
      <c r="F182" s="213" t="b">
        <f>VLOOKUP(C182, 'List of log slots'!$A:$C, 3, FALSE)</f>
        <v>0</v>
      </c>
      <c r="G182" s="209" t="b">
        <f t="shared" si="28"/>
        <v>0</v>
      </c>
      <c r="H182" s="209" t="b">
        <f t="shared" si="7"/>
        <v>1</v>
      </c>
      <c r="I182" s="210" t="b">
        <f>TRUE</f>
        <v>1</v>
      </c>
      <c r="J182" s="208" t="b">
        <f>FALSE</f>
        <v>0</v>
      </c>
      <c r="K182" s="211">
        <v>1.0</v>
      </c>
      <c r="L182" s="207" t="str">
        <f t="shared" si="3"/>
        <v>n/a</v>
      </c>
      <c r="M182" s="212">
        <f t="shared" si="4"/>
        <v>1</v>
      </c>
      <c r="N182" s="207" t="str">
        <f t="shared" si="5"/>
        <v>n/a</v>
      </c>
      <c r="O182" s="207" t="str">
        <f t="shared" si="6"/>
        <v>n/a</v>
      </c>
    </row>
    <row r="183" ht="15.75" customHeight="1">
      <c r="A183" s="207">
        <v>22.0</v>
      </c>
      <c r="B183" s="6" t="str">
        <f>VLOOKUP($A183, 'Completion rates'!$A:$E, 2, FALSE)</f>
        <v>Killing general graardor</v>
      </c>
      <c r="C183" s="207">
        <v>11818.0</v>
      </c>
      <c r="D183" s="6" t="str">
        <f>VLOOKUP($C183, 'List of log slots'!$A:$E, 2, FALSE)</f>
        <v>Godsword shard 1</v>
      </c>
      <c r="E183" s="207">
        <f>VLOOKUP($C183, 'List of log slots'!$A:$E, 5, FALSE)</f>
        <v>5</v>
      </c>
      <c r="F183" s="208" t="b">
        <f>VLOOKUP(C183, 'List of log slots'!$A:$C, 3, FALSE)</f>
        <v>0</v>
      </c>
      <c r="G183" s="209" t="b">
        <f t="shared" si="28"/>
        <v>0</v>
      </c>
      <c r="H183" s="210" t="b">
        <f t="shared" si="7"/>
        <v>1</v>
      </c>
      <c r="I183" s="209" t="b">
        <f t="shared" ref="I183:J183" si="56">FALSE</f>
        <v>0</v>
      </c>
      <c r="J183" s="208" t="b">
        <f t="shared" si="56"/>
        <v>0</v>
      </c>
      <c r="K183" s="211">
        <v>762.0</v>
      </c>
      <c r="L183" s="207" t="str">
        <f t="shared" si="3"/>
        <v>n/a</v>
      </c>
      <c r="M183" s="212" t="str">
        <f t="shared" si="4"/>
        <v>n/a</v>
      </c>
      <c r="N183" s="207" t="str">
        <f t="shared" si="5"/>
        <v>n/a</v>
      </c>
      <c r="O183" s="207">
        <f t="shared" si="6"/>
        <v>0.001312335958</v>
      </c>
    </row>
    <row r="184" ht="15.75" customHeight="1">
      <c r="A184" s="207">
        <v>22.0</v>
      </c>
      <c r="B184" s="6" t="str">
        <f>VLOOKUP($A184, 'Completion rates'!$A:$E, 2, FALSE)</f>
        <v>Killing general graardor</v>
      </c>
      <c r="C184" s="207">
        <v>11820.0</v>
      </c>
      <c r="D184" s="6" t="str">
        <f>VLOOKUP($C184, 'List of log slots'!$A:$E, 2, FALSE)</f>
        <v>Godsword shard 2</v>
      </c>
      <c r="E184" s="207">
        <f>VLOOKUP($C184, 'List of log slots'!$A:$E, 5, FALSE)</f>
        <v>5</v>
      </c>
      <c r="F184" s="208" t="b">
        <f>VLOOKUP(C184, 'List of log slots'!$A:$C, 3, FALSE)</f>
        <v>0</v>
      </c>
      <c r="G184" s="209" t="b">
        <f t="shared" si="28"/>
        <v>0</v>
      </c>
      <c r="H184" s="210" t="b">
        <f t="shared" si="7"/>
        <v>1</v>
      </c>
      <c r="I184" s="209" t="b">
        <f t="shared" ref="I184:J184" si="57">FALSE</f>
        <v>0</v>
      </c>
      <c r="J184" s="208" t="b">
        <f t="shared" si="57"/>
        <v>0</v>
      </c>
      <c r="K184" s="211">
        <v>762.0</v>
      </c>
      <c r="L184" s="207" t="str">
        <f t="shared" si="3"/>
        <v>n/a</v>
      </c>
      <c r="M184" s="212" t="str">
        <f t="shared" si="4"/>
        <v>n/a</v>
      </c>
      <c r="N184" s="207" t="str">
        <f t="shared" si="5"/>
        <v>n/a</v>
      </c>
      <c r="O184" s="207">
        <f t="shared" si="6"/>
        <v>0.001312335958</v>
      </c>
    </row>
    <row r="185" ht="15.75" customHeight="1">
      <c r="A185" s="207">
        <v>22.0</v>
      </c>
      <c r="B185" s="6" t="str">
        <f>VLOOKUP($A185, 'Completion rates'!$A:$E, 2, FALSE)</f>
        <v>Killing general graardor</v>
      </c>
      <c r="C185" s="207">
        <v>11822.0</v>
      </c>
      <c r="D185" s="6" t="str">
        <f>VLOOKUP($C185, 'List of log slots'!$A:$E, 2, FALSE)</f>
        <v>Godsword shard 3</v>
      </c>
      <c r="E185" s="207">
        <f>VLOOKUP($C185, 'List of log slots'!$A:$E, 5, FALSE)</f>
        <v>5</v>
      </c>
      <c r="F185" s="208" t="b">
        <f>VLOOKUP(C185, 'List of log slots'!$A:$C, 3, FALSE)</f>
        <v>0</v>
      </c>
      <c r="G185" s="209" t="b">
        <f t="shared" si="28"/>
        <v>0</v>
      </c>
      <c r="H185" s="210" t="b">
        <f t="shared" si="7"/>
        <v>1</v>
      </c>
      <c r="I185" s="209" t="b">
        <f t="shared" ref="I185:J185" si="58">FALSE</f>
        <v>0</v>
      </c>
      <c r="J185" s="208" t="b">
        <f t="shared" si="58"/>
        <v>0</v>
      </c>
      <c r="K185" s="211">
        <v>762.0</v>
      </c>
      <c r="L185" s="207" t="str">
        <f t="shared" si="3"/>
        <v>n/a</v>
      </c>
      <c r="M185" s="212" t="str">
        <f t="shared" si="4"/>
        <v>n/a</v>
      </c>
      <c r="N185" s="207" t="str">
        <f t="shared" si="5"/>
        <v>n/a</v>
      </c>
      <c r="O185" s="207">
        <f t="shared" si="6"/>
        <v>0.001312335958</v>
      </c>
    </row>
    <row r="186" ht="15.75" customHeight="1">
      <c r="A186" s="207">
        <v>22.0</v>
      </c>
      <c r="B186" s="6" t="str">
        <f>VLOOKUP($A186, 'Completion rates'!$A:$E, 2, FALSE)</f>
        <v>Killing general graardor</v>
      </c>
      <c r="C186" s="207">
        <v>12650.0</v>
      </c>
      <c r="D186" s="6" t="str">
        <f>VLOOKUP($C186, 'List of log slots'!$A:$E, 2, FALSE)</f>
        <v>Pet general graardor</v>
      </c>
      <c r="E186" s="207">
        <f>VLOOKUP($C186, 'List of log slots'!$A:$E, 5, FALSE)</f>
        <v>7</v>
      </c>
      <c r="F186" s="208" t="b">
        <f>VLOOKUP(C186, 'List of log slots'!$A:$C, 3, FALSE)</f>
        <v>0</v>
      </c>
      <c r="G186" s="209" t="b">
        <f t="shared" si="28"/>
        <v>0</v>
      </c>
      <c r="H186" s="210" t="b">
        <f t="shared" si="7"/>
        <v>1</v>
      </c>
      <c r="I186" s="209" t="b">
        <f t="shared" ref="I186:J186" si="59">FALSE</f>
        <v>0</v>
      </c>
      <c r="J186" s="208" t="b">
        <f t="shared" si="59"/>
        <v>0</v>
      </c>
      <c r="K186" s="211">
        <v>5000.0</v>
      </c>
      <c r="L186" s="207" t="str">
        <f t="shared" si="3"/>
        <v>n/a</v>
      </c>
      <c r="M186" s="212" t="str">
        <f t="shared" si="4"/>
        <v>n/a</v>
      </c>
      <c r="N186" s="207" t="str">
        <f t="shared" si="5"/>
        <v>n/a</v>
      </c>
      <c r="O186" s="207">
        <f t="shared" si="6"/>
        <v>0.0002</v>
      </c>
    </row>
    <row r="187" ht="15.75" customHeight="1">
      <c r="A187" s="207">
        <v>22.0</v>
      </c>
      <c r="B187" s="6" t="str">
        <f>VLOOKUP($A187, 'Completion rates'!$A:$E, 2, FALSE)</f>
        <v>Killing general graardor</v>
      </c>
      <c r="C187" s="207">
        <v>11832.0</v>
      </c>
      <c r="D187" s="6" t="str">
        <f>VLOOKUP($C187, 'List of log slots'!$A:$E, 2, FALSE)</f>
        <v>Bandos chestplate</v>
      </c>
      <c r="E187" s="207">
        <f>VLOOKUP($C187, 'List of log slots'!$A:$E, 5, FALSE)</f>
        <v>5</v>
      </c>
      <c r="F187" s="208" t="b">
        <f>VLOOKUP(C187, 'List of log slots'!$A:$C, 3, FALSE)</f>
        <v>0</v>
      </c>
      <c r="G187" s="209" t="b">
        <f t="shared" si="28"/>
        <v>0</v>
      </c>
      <c r="H187" s="210" t="b">
        <f t="shared" si="7"/>
        <v>1</v>
      </c>
      <c r="I187" s="209" t="b">
        <f t="shared" ref="I187:J187" si="60">FALSE</f>
        <v>0</v>
      </c>
      <c r="J187" s="208" t="b">
        <f t="shared" si="60"/>
        <v>0</v>
      </c>
      <c r="K187" s="211">
        <v>381.0</v>
      </c>
      <c r="L187" s="207" t="str">
        <f t="shared" si="3"/>
        <v>n/a</v>
      </c>
      <c r="M187" s="212" t="str">
        <f t="shared" si="4"/>
        <v>n/a</v>
      </c>
      <c r="N187" s="207" t="str">
        <f t="shared" si="5"/>
        <v>n/a</v>
      </c>
      <c r="O187" s="207">
        <f t="shared" si="6"/>
        <v>0.002624671916</v>
      </c>
    </row>
    <row r="188" ht="15.75" customHeight="1">
      <c r="A188" s="207">
        <v>22.0</v>
      </c>
      <c r="B188" s="6" t="str">
        <f>VLOOKUP($A188, 'Completion rates'!$A:$E, 2, FALSE)</f>
        <v>Killing general graardor</v>
      </c>
      <c r="C188" s="207">
        <v>11834.0</v>
      </c>
      <c r="D188" s="6" t="str">
        <f>VLOOKUP($C188, 'List of log slots'!$A:$E, 2, FALSE)</f>
        <v>Bandos tassets</v>
      </c>
      <c r="E188" s="207">
        <f>VLOOKUP($C188, 'List of log slots'!$A:$E, 5, FALSE)</f>
        <v>5</v>
      </c>
      <c r="F188" s="208" t="b">
        <f>VLOOKUP(C188, 'List of log slots'!$A:$C, 3, FALSE)</f>
        <v>0</v>
      </c>
      <c r="G188" s="209" t="b">
        <f t="shared" si="28"/>
        <v>0</v>
      </c>
      <c r="H188" s="210" t="b">
        <f t="shared" si="7"/>
        <v>1</v>
      </c>
      <c r="I188" s="209" t="b">
        <f t="shared" ref="I188:J188" si="61">FALSE</f>
        <v>0</v>
      </c>
      <c r="J188" s="208" t="b">
        <f t="shared" si="61"/>
        <v>0</v>
      </c>
      <c r="K188" s="214">
        <v>381.0</v>
      </c>
      <c r="L188" s="212" t="str">
        <f t="shared" si="3"/>
        <v>n/a</v>
      </c>
      <c r="M188" s="212" t="str">
        <f t="shared" si="4"/>
        <v>n/a</v>
      </c>
      <c r="N188" s="207" t="str">
        <f t="shared" si="5"/>
        <v>n/a</v>
      </c>
      <c r="O188" s="207">
        <f t="shared" si="6"/>
        <v>0.002624671916</v>
      </c>
    </row>
    <row r="189" ht="15.75" customHeight="1">
      <c r="A189" s="207">
        <v>22.0</v>
      </c>
      <c r="B189" s="6" t="str">
        <f>VLOOKUP($A189, 'Completion rates'!$A:$E, 2, FALSE)</f>
        <v>Killing general graardor</v>
      </c>
      <c r="C189" s="207">
        <v>11836.0</v>
      </c>
      <c r="D189" s="6" t="str">
        <f>VLOOKUP($C189, 'List of log slots'!$A:$E, 2, FALSE)</f>
        <v>Bandos boots</v>
      </c>
      <c r="E189" s="207">
        <f>VLOOKUP($C189, 'List of log slots'!$A:$E, 5, FALSE)</f>
        <v>5</v>
      </c>
      <c r="F189" s="213" t="b">
        <f>VLOOKUP(C189, 'List of log slots'!$A:$C, 3, FALSE)</f>
        <v>0</v>
      </c>
      <c r="G189" s="209" t="b">
        <f t="shared" si="28"/>
        <v>0</v>
      </c>
      <c r="H189" s="209" t="b">
        <f t="shared" si="7"/>
        <v>1</v>
      </c>
      <c r="I189" s="209" t="b">
        <f t="shared" ref="I189:J189" si="62">FALSE</f>
        <v>0</v>
      </c>
      <c r="J189" s="208" t="b">
        <f t="shared" si="62"/>
        <v>0</v>
      </c>
      <c r="K189" s="211">
        <v>381.0</v>
      </c>
      <c r="L189" s="207" t="str">
        <f t="shared" si="3"/>
        <v>n/a</v>
      </c>
      <c r="M189" s="212" t="str">
        <f t="shared" si="4"/>
        <v>n/a</v>
      </c>
      <c r="N189" s="207" t="str">
        <f t="shared" si="5"/>
        <v>n/a</v>
      </c>
      <c r="O189" s="207">
        <f t="shared" si="6"/>
        <v>0.002624671916</v>
      </c>
    </row>
    <row r="190" ht="15.75" customHeight="1">
      <c r="A190" s="207">
        <v>22.0</v>
      </c>
      <c r="B190" s="6" t="str">
        <f>VLOOKUP($A190, 'Completion rates'!$A:$E, 2, FALSE)</f>
        <v>Killing general graardor</v>
      </c>
      <c r="C190" s="207">
        <v>11812.0</v>
      </c>
      <c r="D190" s="6" t="str">
        <f>VLOOKUP($C190, 'List of log slots'!$A:$E, 2, FALSE)</f>
        <v>Bandos hilt</v>
      </c>
      <c r="E190" s="207">
        <f>VLOOKUP($C190, 'List of log slots'!$A:$E, 5, FALSE)</f>
        <v>5</v>
      </c>
      <c r="F190" s="208" t="b">
        <f>VLOOKUP(C190, 'List of log slots'!$A:$C, 3, FALSE)</f>
        <v>0</v>
      </c>
      <c r="G190" s="209" t="b">
        <f t="shared" si="28"/>
        <v>0</v>
      </c>
      <c r="H190" s="210" t="b">
        <f t="shared" si="7"/>
        <v>1</v>
      </c>
      <c r="I190" s="209" t="b">
        <f t="shared" ref="I190:J190" si="63">FALSE</f>
        <v>0</v>
      </c>
      <c r="J190" s="208" t="b">
        <f t="shared" si="63"/>
        <v>0</v>
      </c>
      <c r="K190" s="211">
        <v>508.0</v>
      </c>
      <c r="L190" s="207" t="str">
        <f t="shared" si="3"/>
        <v>n/a</v>
      </c>
      <c r="M190" s="212" t="str">
        <f t="shared" si="4"/>
        <v>n/a</v>
      </c>
      <c r="N190" s="207" t="str">
        <f t="shared" si="5"/>
        <v>n/a</v>
      </c>
      <c r="O190" s="207">
        <f t="shared" si="6"/>
        <v>0.001968503937</v>
      </c>
    </row>
    <row r="191" ht="15.75" customHeight="1">
      <c r="A191" s="207">
        <v>22.0</v>
      </c>
      <c r="B191" s="6" t="str">
        <f>VLOOKUP($A191, 'Completion rates'!$A:$E, 2, FALSE)</f>
        <v>Killing general graardor</v>
      </c>
      <c r="C191" s="207">
        <v>10976.0</v>
      </c>
      <c r="D191" s="6" t="str">
        <f>VLOOKUP($C191, 'List of log slots'!$A:$E, 2, FALSE)</f>
        <v>Long bone</v>
      </c>
      <c r="E191" s="207">
        <f>VLOOKUP($C191, 'List of log slots'!$A:$E, 5, FALSE)</f>
        <v>3</v>
      </c>
      <c r="F191" s="213" t="b">
        <f>VLOOKUP(C191, 'List of log slots'!$A:$C, 3, FALSE)</f>
        <v>0</v>
      </c>
      <c r="G191" s="209" t="b">
        <f t="shared" si="28"/>
        <v>0</v>
      </c>
      <c r="H191" s="209" t="b">
        <f t="shared" si="7"/>
        <v>1</v>
      </c>
      <c r="I191" s="209" t="b">
        <f t="shared" ref="I191:J191" si="64">FALSE</f>
        <v>0</v>
      </c>
      <c r="J191" s="208" t="b">
        <f t="shared" si="64"/>
        <v>0</v>
      </c>
      <c r="K191" s="211">
        <v>400.0</v>
      </c>
      <c r="L191" s="207" t="str">
        <f t="shared" si="3"/>
        <v>n/a</v>
      </c>
      <c r="M191" s="212" t="str">
        <f t="shared" si="4"/>
        <v>n/a</v>
      </c>
      <c r="N191" s="207" t="str">
        <f t="shared" si="5"/>
        <v>n/a</v>
      </c>
      <c r="O191" s="207">
        <f t="shared" si="6"/>
        <v>0.0025</v>
      </c>
    </row>
    <row r="192" ht="15.75" customHeight="1">
      <c r="A192" s="207">
        <v>22.0</v>
      </c>
      <c r="B192" s="6" t="str">
        <f>VLOOKUP($A192, 'Completion rates'!$A:$E, 2, FALSE)</f>
        <v>Killing general graardor</v>
      </c>
      <c r="C192" s="207">
        <v>10977.0</v>
      </c>
      <c r="D192" s="6" t="str">
        <f>VLOOKUP($C192, 'List of log slots'!$A:$E, 2, FALSE)</f>
        <v>Curved bone</v>
      </c>
      <c r="E192" s="207">
        <f>VLOOKUP($C192, 'List of log slots'!$A:$E, 5, FALSE)</f>
        <v>5</v>
      </c>
      <c r="F192" s="208" t="b">
        <f>VLOOKUP(C192, 'List of log slots'!$A:$C, 3, FALSE)</f>
        <v>0</v>
      </c>
      <c r="G192" s="209" t="b">
        <f t="shared" si="28"/>
        <v>0</v>
      </c>
      <c r="H192" s="210" t="b">
        <f t="shared" si="7"/>
        <v>1</v>
      </c>
      <c r="I192" s="209" t="b">
        <f t="shared" ref="I192:J192" si="65">FALSE</f>
        <v>0</v>
      </c>
      <c r="J192" s="208" t="b">
        <f t="shared" si="65"/>
        <v>0</v>
      </c>
      <c r="K192" s="211">
        <v>5013.0</v>
      </c>
      <c r="L192" s="207" t="str">
        <f t="shared" si="3"/>
        <v>n/a</v>
      </c>
      <c r="M192" s="212" t="str">
        <f t="shared" si="4"/>
        <v>n/a</v>
      </c>
      <c r="N192" s="207" t="str">
        <f t="shared" si="5"/>
        <v>n/a</v>
      </c>
      <c r="O192" s="207">
        <f t="shared" si="6"/>
        <v>0.0001994813485</v>
      </c>
    </row>
    <row r="193" ht="15.75" customHeight="1">
      <c r="A193" s="207">
        <v>22.0</v>
      </c>
      <c r="B193" s="6" t="str">
        <f>VLOOKUP($A193, 'Completion rates'!$A:$E, 2, FALSE)</f>
        <v>Killing general graardor</v>
      </c>
      <c r="C193" s="207">
        <v>2366.0</v>
      </c>
      <c r="D193" s="6" t="str">
        <f>VLOOKUP($C193, 'List of log slots'!$A:$E, 2, FALSE)</f>
        <v>Shield left half</v>
      </c>
      <c r="E193" s="207">
        <f>VLOOKUP($C193, 'List of log slots'!$A:$E, 5, FALSE)</f>
        <v>5</v>
      </c>
      <c r="F193" s="213" t="b">
        <f>VLOOKUP(C193, 'List of log slots'!$A:$C, 3, FALSE)</f>
        <v>0</v>
      </c>
      <c r="G193" s="209" t="b">
        <f t="shared" si="28"/>
        <v>0</v>
      </c>
      <c r="H193" s="209" t="b">
        <f t="shared" si="7"/>
        <v>1</v>
      </c>
      <c r="I193" s="209" t="b">
        <f t="shared" ref="I193:J193" si="66">FALSE</f>
        <v>0</v>
      </c>
      <c r="J193" s="208" t="b">
        <f t="shared" si="66"/>
        <v>0</v>
      </c>
      <c r="K193" s="211">
        <v>4221.0</v>
      </c>
      <c r="L193" s="207" t="str">
        <f t="shared" si="3"/>
        <v>n/a</v>
      </c>
      <c r="M193" s="212" t="str">
        <f t="shared" si="4"/>
        <v>n/a</v>
      </c>
      <c r="N193" s="207" t="str">
        <f t="shared" si="5"/>
        <v>n/a</v>
      </c>
      <c r="O193" s="207">
        <f t="shared" si="6"/>
        <v>0.0002369106847</v>
      </c>
    </row>
    <row r="194" ht="15.75" customHeight="1">
      <c r="A194" s="207">
        <v>22.0</v>
      </c>
      <c r="B194" s="6" t="str">
        <f>VLOOKUP($A194, 'Completion rates'!$A:$E, 2, FALSE)</f>
        <v>Killing general graardor</v>
      </c>
      <c r="C194" s="207">
        <v>1249.0</v>
      </c>
      <c r="D194" s="6" t="str">
        <f>VLOOKUP($C194, 'List of log slots'!$A:$E, 2, FALSE)</f>
        <v>Dragon spear</v>
      </c>
      <c r="E194" s="207">
        <f>VLOOKUP($C194, 'List of log slots'!$A:$E, 5, FALSE)</f>
        <v>5</v>
      </c>
      <c r="F194" s="213" t="b">
        <f>VLOOKUP(C194, 'List of log slots'!$A:$C, 3, FALSE)</f>
        <v>0</v>
      </c>
      <c r="G194" s="209" t="b">
        <f t="shared" si="28"/>
        <v>0</v>
      </c>
      <c r="H194" s="209" t="b">
        <f t="shared" si="7"/>
        <v>1</v>
      </c>
      <c r="I194" s="209" t="b">
        <f t="shared" ref="I194:J194" si="67">FALSE</f>
        <v>0</v>
      </c>
      <c r="J194" s="208" t="b">
        <f t="shared" si="67"/>
        <v>0</v>
      </c>
      <c r="K194" s="211">
        <v>5628.0</v>
      </c>
      <c r="L194" s="207" t="str">
        <f t="shared" si="3"/>
        <v>n/a</v>
      </c>
      <c r="M194" s="212" t="str">
        <f t="shared" si="4"/>
        <v>n/a</v>
      </c>
      <c r="N194" s="207" t="str">
        <f t="shared" si="5"/>
        <v>n/a</v>
      </c>
      <c r="O194" s="207">
        <f t="shared" si="6"/>
        <v>0.0001776830135</v>
      </c>
    </row>
    <row r="195" ht="15.75" customHeight="1">
      <c r="A195" s="207">
        <v>23.0</v>
      </c>
      <c r="B195" s="6" t="str">
        <f>VLOOKUP($A195, 'Completion rates'!$A:$E, 2, FALSE)</f>
        <v>Killing giant mole</v>
      </c>
      <c r="C195" s="207">
        <v>12646.0</v>
      </c>
      <c r="D195" s="6" t="str">
        <f>VLOOKUP($C195, 'List of log slots'!$A:$E, 2, FALSE)</f>
        <v>Baby mole</v>
      </c>
      <c r="E195" s="207">
        <f>VLOOKUP($C195, 'List of log slots'!$A:$E, 5, FALSE)</f>
        <v>5</v>
      </c>
      <c r="F195" s="208" t="b">
        <f>VLOOKUP(C195, 'List of log slots'!$A:$C, 3, FALSE)</f>
        <v>0</v>
      </c>
      <c r="G195" s="209" t="b">
        <f t="shared" si="28"/>
        <v>0</v>
      </c>
      <c r="H195" s="210" t="b">
        <f t="shared" si="7"/>
        <v>1</v>
      </c>
      <c r="I195" s="209" t="b">
        <f t="shared" ref="I195:J195" si="68">FALSE</f>
        <v>0</v>
      </c>
      <c r="J195" s="208" t="b">
        <f t="shared" si="68"/>
        <v>0</v>
      </c>
      <c r="K195" s="211">
        <v>3000.0</v>
      </c>
      <c r="L195" s="207" t="str">
        <f t="shared" si="3"/>
        <v>n/a</v>
      </c>
      <c r="M195" s="212" t="str">
        <f t="shared" si="4"/>
        <v>n/a</v>
      </c>
      <c r="N195" s="207" t="str">
        <f t="shared" si="5"/>
        <v>n/a</v>
      </c>
      <c r="O195" s="207">
        <f t="shared" si="6"/>
        <v>0.0003333333333</v>
      </c>
    </row>
    <row r="196" ht="15.75" customHeight="1">
      <c r="A196" s="207">
        <v>23.0</v>
      </c>
      <c r="B196" s="6" t="str">
        <f>VLOOKUP($A196, 'Completion rates'!$A:$E, 2, FALSE)</f>
        <v>Killing giant mole</v>
      </c>
      <c r="C196" s="207">
        <v>7418.0</v>
      </c>
      <c r="D196" s="6" t="str">
        <f>VLOOKUP($C196, 'List of log slots'!$A:$E, 2, FALSE)</f>
        <v>Mole skin</v>
      </c>
      <c r="E196" s="207">
        <f>VLOOKUP($C196, 'List of log slots'!$A:$E, 5, FALSE)</f>
        <v>3</v>
      </c>
      <c r="F196" s="213" t="b">
        <f>VLOOKUP(C196, 'List of log slots'!$A:$C, 3, FALSE)</f>
        <v>0</v>
      </c>
      <c r="G196" s="209" t="b">
        <f t="shared" si="28"/>
        <v>0</v>
      </c>
      <c r="H196" s="209" t="b">
        <f t="shared" si="7"/>
        <v>1</v>
      </c>
      <c r="I196" s="210" t="b">
        <f t="shared" ref="I196:I197" si="69">TRUE</f>
        <v>1</v>
      </c>
      <c r="J196" s="208" t="b">
        <f t="shared" ref="J196:J197" si="70">FALSE</f>
        <v>0</v>
      </c>
      <c r="K196" s="214">
        <v>1.0</v>
      </c>
      <c r="L196" s="212" t="str">
        <f t="shared" si="3"/>
        <v>n/a</v>
      </c>
      <c r="M196" s="212">
        <f t="shared" si="4"/>
        <v>1</v>
      </c>
      <c r="N196" s="207" t="str">
        <f t="shared" si="5"/>
        <v>n/a</v>
      </c>
      <c r="O196" s="207" t="str">
        <f t="shared" si="6"/>
        <v>n/a</v>
      </c>
    </row>
    <row r="197" ht="15.75" customHeight="1">
      <c r="A197" s="207">
        <v>23.0</v>
      </c>
      <c r="B197" s="6" t="str">
        <f>VLOOKUP($A197, 'Completion rates'!$A:$E, 2, FALSE)</f>
        <v>Killing giant mole</v>
      </c>
      <c r="C197" s="207">
        <v>7416.0</v>
      </c>
      <c r="D197" s="6" t="str">
        <f>VLOOKUP($C197, 'List of log slots'!$A:$E, 2, FALSE)</f>
        <v>Mole claw</v>
      </c>
      <c r="E197" s="207">
        <f>VLOOKUP($C197, 'List of log slots'!$A:$E, 5, FALSE)</f>
        <v>3</v>
      </c>
      <c r="F197" s="213" t="b">
        <f>VLOOKUP(C197, 'List of log slots'!$A:$C, 3, FALSE)</f>
        <v>0</v>
      </c>
      <c r="G197" s="209" t="b">
        <f t="shared" si="28"/>
        <v>0</v>
      </c>
      <c r="H197" s="209" t="b">
        <f t="shared" si="7"/>
        <v>1</v>
      </c>
      <c r="I197" s="210" t="b">
        <f t="shared" si="69"/>
        <v>1</v>
      </c>
      <c r="J197" s="208" t="b">
        <f t="shared" si="70"/>
        <v>0</v>
      </c>
      <c r="K197" s="211">
        <v>1.0</v>
      </c>
      <c r="L197" s="207" t="str">
        <f t="shared" si="3"/>
        <v>n/a</v>
      </c>
      <c r="M197" s="212">
        <f t="shared" si="4"/>
        <v>1</v>
      </c>
      <c r="N197" s="207" t="str">
        <f t="shared" si="5"/>
        <v>n/a</v>
      </c>
      <c r="O197" s="207" t="str">
        <f t="shared" si="6"/>
        <v>n/a</v>
      </c>
    </row>
    <row r="198" ht="15.75" customHeight="1">
      <c r="A198" s="207">
        <v>23.0</v>
      </c>
      <c r="B198" s="6" t="str">
        <f>VLOOKUP($A198, 'Completion rates'!$A:$E, 2, FALSE)</f>
        <v>Killing giant mole</v>
      </c>
      <c r="C198" s="207">
        <v>10976.0</v>
      </c>
      <c r="D198" s="6" t="str">
        <f>VLOOKUP($C198, 'List of log slots'!$A:$E, 2, FALSE)</f>
        <v>Long bone</v>
      </c>
      <c r="E198" s="207">
        <f>VLOOKUP($C198, 'List of log slots'!$A:$E, 5, FALSE)</f>
        <v>3</v>
      </c>
      <c r="F198" s="213" t="b">
        <f>VLOOKUP(C198, 'List of log slots'!$A:$C, 3, FALSE)</f>
        <v>0</v>
      </c>
      <c r="G198" s="209" t="b">
        <f t="shared" si="28"/>
        <v>0</v>
      </c>
      <c r="H198" s="209" t="b">
        <f t="shared" si="7"/>
        <v>1</v>
      </c>
      <c r="I198" s="209" t="b">
        <f t="shared" ref="I198:J198" si="71">FALSE</f>
        <v>0</v>
      </c>
      <c r="J198" s="208" t="b">
        <f t="shared" si="71"/>
        <v>0</v>
      </c>
      <c r="K198" s="211">
        <v>400.0</v>
      </c>
      <c r="L198" s="207" t="str">
        <f t="shared" si="3"/>
        <v>n/a</v>
      </c>
      <c r="M198" s="212" t="str">
        <f t="shared" si="4"/>
        <v>n/a</v>
      </c>
      <c r="N198" s="207" t="str">
        <f t="shared" si="5"/>
        <v>n/a</v>
      </c>
      <c r="O198" s="207">
        <f t="shared" si="6"/>
        <v>0.0025</v>
      </c>
    </row>
    <row r="199" ht="15.75" customHeight="1">
      <c r="A199" s="207">
        <v>23.0</v>
      </c>
      <c r="B199" s="6" t="str">
        <f>VLOOKUP($A199, 'Completion rates'!$A:$E, 2, FALSE)</f>
        <v>Killing giant mole</v>
      </c>
      <c r="C199" s="207">
        <v>10977.0</v>
      </c>
      <c r="D199" s="6" t="str">
        <f>VLOOKUP($C199, 'List of log slots'!$A:$E, 2, FALSE)</f>
        <v>Curved bone</v>
      </c>
      <c r="E199" s="207">
        <f>VLOOKUP($C199, 'List of log slots'!$A:$E, 5, FALSE)</f>
        <v>5</v>
      </c>
      <c r="F199" s="208" t="b">
        <f>VLOOKUP(C199, 'List of log slots'!$A:$C, 3, FALSE)</f>
        <v>0</v>
      </c>
      <c r="G199" s="209" t="b">
        <f t="shared" si="28"/>
        <v>0</v>
      </c>
      <c r="H199" s="210" t="b">
        <f t="shared" si="7"/>
        <v>1</v>
      </c>
      <c r="I199" s="209" t="b">
        <f t="shared" ref="I199:J199" si="72">FALSE</f>
        <v>0</v>
      </c>
      <c r="J199" s="208" t="b">
        <f t="shared" si="72"/>
        <v>0</v>
      </c>
      <c r="K199" s="211">
        <v>5013.0</v>
      </c>
      <c r="L199" s="207" t="str">
        <f t="shared" si="3"/>
        <v>n/a</v>
      </c>
      <c r="M199" s="212" t="str">
        <f t="shared" si="4"/>
        <v>n/a</v>
      </c>
      <c r="N199" s="207" t="str">
        <f t="shared" si="5"/>
        <v>n/a</v>
      </c>
      <c r="O199" s="207">
        <f t="shared" si="6"/>
        <v>0.0001994813485</v>
      </c>
    </row>
    <row r="200" ht="15.75" customHeight="1">
      <c r="A200" s="207">
        <v>23.0</v>
      </c>
      <c r="B200" s="6" t="str">
        <f>VLOOKUP($A200, 'Completion rates'!$A:$E, 2, FALSE)</f>
        <v>Killing giant mole</v>
      </c>
      <c r="C200" s="207">
        <v>2366.0</v>
      </c>
      <c r="D200" s="6" t="str">
        <f>VLOOKUP($C200, 'List of log slots'!$A:$E, 2, FALSE)</f>
        <v>Shield left half</v>
      </c>
      <c r="E200" s="207">
        <f>VLOOKUP($C200, 'List of log slots'!$A:$E, 5, FALSE)</f>
        <v>5</v>
      </c>
      <c r="F200" s="213" t="b">
        <f>VLOOKUP(C200, 'List of log slots'!$A:$C, 3, FALSE)</f>
        <v>0</v>
      </c>
      <c r="G200" s="209" t="b">
        <f t="shared" si="28"/>
        <v>0</v>
      </c>
      <c r="H200" s="209" t="b">
        <f t="shared" si="7"/>
        <v>1</v>
      </c>
      <c r="I200" s="209" t="b">
        <f t="shared" ref="I200:J200" si="73">FALSE</f>
        <v>0</v>
      </c>
      <c r="J200" s="208" t="b">
        <f t="shared" si="73"/>
        <v>0</v>
      </c>
      <c r="K200" s="211">
        <v>7869.0</v>
      </c>
      <c r="L200" s="207" t="str">
        <f t="shared" si="3"/>
        <v>n/a</v>
      </c>
      <c r="M200" s="212" t="str">
        <f t="shared" si="4"/>
        <v>n/a</v>
      </c>
      <c r="N200" s="207" t="str">
        <f t="shared" si="5"/>
        <v>n/a</v>
      </c>
      <c r="O200" s="207">
        <f t="shared" si="6"/>
        <v>0.0001270809506</v>
      </c>
    </row>
    <row r="201" ht="15.75" customHeight="1">
      <c r="A201" s="207">
        <v>23.0</v>
      </c>
      <c r="B201" s="6" t="str">
        <f>VLOOKUP($A201, 'Completion rates'!$A:$E, 2, FALSE)</f>
        <v>Killing giant mole</v>
      </c>
      <c r="C201" s="207">
        <v>1249.0</v>
      </c>
      <c r="D201" s="6" t="str">
        <f>VLOOKUP($C201, 'List of log slots'!$A:$E, 2, FALSE)</f>
        <v>Dragon spear</v>
      </c>
      <c r="E201" s="207">
        <f>VLOOKUP($C201, 'List of log slots'!$A:$E, 5, FALSE)</f>
        <v>5</v>
      </c>
      <c r="F201" s="213" t="b">
        <f>VLOOKUP(C201, 'List of log slots'!$A:$C, 3, FALSE)</f>
        <v>0</v>
      </c>
      <c r="G201" s="209" t="b">
        <f t="shared" si="28"/>
        <v>0</v>
      </c>
      <c r="H201" s="209" t="b">
        <f t="shared" si="7"/>
        <v>1</v>
      </c>
      <c r="I201" s="209" t="b">
        <f t="shared" ref="I201:J201" si="74">FALSE</f>
        <v>0</v>
      </c>
      <c r="J201" s="208" t="b">
        <f t="shared" si="74"/>
        <v>0</v>
      </c>
      <c r="K201" s="211">
        <v>10492.0</v>
      </c>
      <c r="L201" s="207" t="str">
        <f t="shared" si="3"/>
        <v>n/a</v>
      </c>
      <c r="M201" s="212" t="str">
        <f t="shared" si="4"/>
        <v>n/a</v>
      </c>
      <c r="N201" s="207" t="str">
        <f t="shared" si="5"/>
        <v>n/a</v>
      </c>
      <c r="O201" s="207">
        <f t="shared" si="6"/>
        <v>0.00009531071292</v>
      </c>
    </row>
    <row r="202" ht="15.75" customHeight="1">
      <c r="A202" s="207">
        <v>24.0</v>
      </c>
      <c r="B202" s="6" t="str">
        <f>VLOOKUP($A202, 'Completion rates'!$A:$E, 2, FALSE)</f>
        <v>Killing grotesque guardians (on task)</v>
      </c>
      <c r="C202" s="207">
        <v>21748.0</v>
      </c>
      <c r="D202" s="6" t="str">
        <f>VLOOKUP($C202, 'List of log slots'!$A:$E, 2, FALSE)</f>
        <v>Noon</v>
      </c>
      <c r="E202" s="207">
        <f>VLOOKUP($C202, 'List of log slots'!$A:$E, 5, FALSE)</f>
        <v>7</v>
      </c>
      <c r="F202" s="208" t="b">
        <f>VLOOKUP(C202, 'List of log slots'!$A:$C, 3, FALSE)</f>
        <v>0</v>
      </c>
      <c r="G202" s="209" t="b">
        <f t="shared" si="28"/>
        <v>0</v>
      </c>
      <c r="H202" s="210" t="b">
        <f t="shared" si="7"/>
        <v>1</v>
      </c>
      <c r="I202" s="209" t="b">
        <f t="shared" ref="I202:J202" si="75">FALSE</f>
        <v>0</v>
      </c>
      <c r="J202" s="208" t="b">
        <f t="shared" si="75"/>
        <v>0</v>
      </c>
      <c r="K202" s="211">
        <v>3000.0</v>
      </c>
      <c r="L202" s="207" t="str">
        <f t="shared" si="3"/>
        <v>n/a</v>
      </c>
      <c r="M202" s="212" t="str">
        <f t="shared" si="4"/>
        <v>n/a</v>
      </c>
      <c r="N202" s="207" t="str">
        <f t="shared" si="5"/>
        <v>n/a</v>
      </c>
      <c r="O202" s="207">
        <f t="shared" si="6"/>
        <v>0.0003333333333</v>
      </c>
    </row>
    <row r="203" ht="15.75" customHeight="1">
      <c r="A203" s="207">
        <v>24.0</v>
      </c>
      <c r="B203" s="6" t="str">
        <f>VLOOKUP($A203, 'Completion rates'!$A:$E, 2, FALSE)</f>
        <v>Killing grotesque guardians (on task)</v>
      </c>
      <c r="C203" s="207">
        <v>21730.0</v>
      </c>
      <c r="D203" s="6" t="str">
        <f>VLOOKUP($C203, 'List of log slots'!$A:$E, 2, FALSE)</f>
        <v>Black tourmaline core</v>
      </c>
      <c r="E203" s="207">
        <f>VLOOKUP($C203, 'List of log slots'!$A:$E, 5, FALSE)</f>
        <v>6</v>
      </c>
      <c r="F203" s="213" t="b">
        <f>VLOOKUP(C203, 'List of log slots'!$A:$C, 3, FALSE)</f>
        <v>0</v>
      </c>
      <c r="G203" s="209" t="b">
        <f t="shared" si="28"/>
        <v>0</v>
      </c>
      <c r="H203" s="209" t="b">
        <f t="shared" si="7"/>
        <v>1</v>
      </c>
      <c r="I203" s="209" t="b">
        <f t="shared" ref="I203:J203" si="76">FALSE</f>
        <v>0</v>
      </c>
      <c r="J203" s="208" t="b">
        <f t="shared" si="76"/>
        <v>0</v>
      </c>
      <c r="K203" s="211">
        <v>500.0</v>
      </c>
      <c r="L203" s="207" t="str">
        <f t="shared" si="3"/>
        <v>n/a</v>
      </c>
      <c r="M203" s="212" t="str">
        <f t="shared" si="4"/>
        <v>n/a</v>
      </c>
      <c r="N203" s="207" t="str">
        <f t="shared" si="5"/>
        <v>n/a</v>
      </c>
      <c r="O203" s="207">
        <f t="shared" si="6"/>
        <v>0.002</v>
      </c>
    </row>
    <row r="204" ht="15.75" customHeight="1">
      <c r="A204" s="207">
        <v>24.0</v>
      </c>
      <c r="B204" s="6" t="str">
        <f>VLOOKUP($A204, 'Completion rates'!$A:$E, 2, FALSE)</f>
        <v>Killing grotesque guardians (on task)</v>
      </c>
      <c r="C204" s="207">
        <v>21736.0</v>
      </c>
      <c r="D204" s="6" t="str">
        <f>VLOOKUP($C204, 'List of log slots'!$A:$E, 2, FALSE)</f>
        <v>Granite gloves</v>
      </c>
      <c r="E204" s="207">
        <f>VLOOKUP($C204, 'List of log slots'!$A:$E, 5, FALSE)</f>
        <v>6</v>
      </c>
      <c r="F204" s="208" t="b">
        <f>VLOOKUP(C204, 'List of log slots'!$A:$C, 3, FALSE)</f>
        <v>0</v>
      </c>
      <c r="G204" s="209" t="b">
        <f t="shared" si="28"/>
        <v>0</v>
      </c>
      <c r="H204" s="210" t="b">
        <f t="shared" si="7"/>
        <v>1</v>
      </c>
      <c r="I204" s="209" t="b">
        <f t="shared" ref="I204:J204" si="77">FALSE</f>
        <v>0</v>
      </c>
      <c r="J204" s="208" t="b">
        <f t="shared" si="77"/>
        <v>0</v>
      </c>
      <c r="K204" s="211">
        <v>250.0</v>
      </c>
      <c r="L204" s="207" t="str">
        <f t="shared" si="3"/>
        <v>n/a</v>
      </c>
      <c r="M204" s="212" t="str">
        <f t="shared" si="4"/>
        <v>n/a</v>
      </c>
      <c r="N204" s="207" t="str">
        <f t="shared" si="5"/>
        <v>n/a</v>
      </c>
      <c r="O204" s="207">
        <f t="shared" si="6"/>
        <v>0.004</v>
      </c>
    </row>
    <row r="205" ht="15.75" customHeight="1">
      <c r="A205" s="207">
        <v>24.0</v>
      </c>
      <c r="B205" s="6" t="str">
        <f>VLOOKUP($A205, 'Completion rates'!$A:$E, 2, FALSE)</f>
        <v>Killing grotesque guardians (on task)</v>
      </c>
      <c r="C205" s="207">
        <v>21739.0</v>
      </c>
      <c r="D205" s="6" t="str">
        <f>VLOOKUP($C205, 'List of log slots'!$A:$E, 2, FALSE)</f>
        <v>Granite ring</v>
      </c>
      <c r="E205" s="207">
        <f>VLOOKUP($C205, 'List of log slots'!$A:$E, 5, FALSE)</f>
        <v>6</v>
      </c>
      <c r="F205" s="208" t="b">
        <f>VLOOKUP(C205, 'List of log slots'!$A:$C, 3, FALSE)</f>
        <v>0</v>
      </c>
      <c r="G205" s="209" t="b">
        <f t="shared" si="28"/>
        <v>0</v>
      </c>
      <c r="H205" s="210" t="b">
        <f t="shared" si="7"/>
        <v>1</v>
      </c>
      <c r="I205" s="209" t="b">
        <f t="shared" ref="I205:J205" si="78">FALSE</f>
        <v>0</v>
      </c>
      <c r="J205" s="208" t="b">
        <f t="shared" si="78"/>
        <v>0</v>
      </c>
      <c r="K205" s="211">
        <v>250.0</v>
      </c>
      <c r="L205" s="207" t="str">
        <f t="shared" si="3"/>
        <v>n/a</v>
      </c>
      <c r="M205" s="212" t="str">
        <f t="shared" si="4"/>
        <v>n/a</v>
      </c>
      <c r="N205" s="207" t="str">
        <f t="shared" si="5"/>
        <v>n/a</v>
      </c>
      <c r="O205" s="207">
        <f t="shared" si="6"/>
        <v>0.004</v>
      </c>
    </row>
    <row r="206" ht="15.75" customHeight="1">
      <c r="A206" s="207">
        <v>24.0</v>
      </c>
      <c r="B206" s="6" t="str">
        <f>VLOOKUP($A206, 'Completion rates'!$A:$E, 2, FALSE)</f>
        <v>Killing grotesque guardians (on task)</v>
      </c>
      <c r="C206" s="207">
        <v>21742.0</v>
      </c>
      <c r="D206" s="6" t="str">
        <f>VLOOKUP($C206, 'List of log slots'!$A:$E, 2, FALSE)</f>
        <v>Granite hammer</v>
      </c>
      <c r="E206" s="207">
        <f>VLOOKUP($C206, 'List of log slots'!$A:$E, 5, FALSE)</f>
        <v>6</v>
      </c>
      <c r="F206" s="208" t="b">
        <f>VLOOKUP(C206, 'List of log slots'!$A:$C, 3, FALSE)</f>
        <v>0</v>
      </c>
      <c r="G206" s="209" t="b">
        <f t="shared" si="28"/>
        <v>0</v>
      </c>
      <c r="H206" s="210" t="b">
        <f t="shared" si="7"/>
        <v>1</v>
      </c>
      <c r="I206" s="209" t="b">
        <f t="shared" ref="I206:J206" si="79">FALSE</f>
        <v>0</v>
      </c>
      <c r="J206" s="208" t="b">
        <f t="shared" si="79"/>
        <v>0</v>
      </c>
      <c r="K206" s="211">
        <v>375.0</v>
      </c>
      <c r="L206" s="207" t="str">
        <f t="shared" si="3"/>
        <v>n/a</v>
      </c>
      <c r="M206" s="212" t="str">
        <f t="shared" si="4"/>
        <v>n/a</v>
      </c>
      <c r="N206" s="207" t="str">
        <f t="shared" si="5"/>
        <v>n/a</v>
      </c>
      <c r="O206" s="207">
        <f t="shared" si="6"/>
        <v>0.002666666667</v>
      </c>
    </row>
    <row r="207" ht="15.75" customHeight="1">
      <c r="A207" s="207">
        <v>24.0</v>
      </c>
      <c r="B207" s="6" t="str">
        <f>VLOOKUP($A207, 'Completion rates'!$A:$E, 2, FALSE)</f>
        <v>Killing grotesque guardians (on task)</v>
      </c>
      <c r="C207" s="207">
        <v>21745.0</v>
      </c>
      <c r="D207" s="6" t="str">
        <f>VLOOKUP($C207, 'List of log slots'!$A:$E, 2, FALSE)</f>
        <v>Jar of stone</v>
      </c>
      <c r="E207" s="207">
        <f>VLOOKUP($C207, 'List of log slots'!$A:$E, 5, FALSE)</f>
        <v>7</v>
      </c>
      <c r="F207" s="208" t="b">
        <f>VLOOKUP(C207, 'List of log slots'!$A:$C, 3, FALSE)</f>
        <v>0</v>
      </c>
      <c r="G207" s="209" t="b">
        <f t="shared" si="28"/>
        <v>0</v>
      </c>
      <c r="H207" s="210" t="b">
        <f t="shared" si="7"/>
        <v>1</v>
      </c>
      <c r="I207" s="209" t="b">
        <f t="shared" ref="I207:J207" si="80">FALSE</f>
        <v>0</v>
      </c>
      <c r="J207" s="208" t="b">
        <f t="shared" si="80"/>
        <v>0</v>
      </c>
      <c r="K207" s="211">
        <v>5000.0</v>
      </c>
      <c r="L207" s="207" t="str">
        <f t="shared" si="3"/>
        <v>n/a</v>
      </c>
      <c r="M207" s="212" t="str">
        <f t="shared" si="4"/>
        <v>n/a</v>
      </c>
      <c r="N207" s="207" t="str">
        <f t="shared" si="5"/>
        <v>n/a</v>
      </c>
      <c r="O207" s="207">
        <f t="shared" si="6"/>
        <v>0.0002</v>
      </c>
    </row>
    <row r="208" ht="15.75" customHeight="1">
      <c r="A208" s="207">
        <v>24.0</v>
      </c>
      <c r="B208" s="6" t="str">
        <f>VLOOKUP($A208, 'Completion rates'!$A:$E, 2, FALSE)</f>
        <v>Killing grotesque guardians (on task)</v>
      </c>
      <c r="C208" s="207">
        <v>21726.0</v>
      </c>
      <c r="D208" s="6" t="str">
        <f>VLOOKUP($C208, 'List of log slots'!$A:$E, 2, FALSE)</f>
        <v>Granite dust</v>
      </c>
      <c r="E208" s="207">
        <f>VLOOKUP($C208, 'List of log slots'!$A:$E, 5, FALSE)</f>
        <v>4</v>
      </c>
      <c r="F208" s="213" t="b">
        <f>VLOOKUP(C208, 'List of log slots'!$A:$C, 3, FALSE)</f>
        <v>0</v>
      </c>
      <c r="G208" s="209" t="b">
        <f t="shared" si="28"/>
        <v>0</v>
      </c>
      <c r="H208" s="209" t="b">
        <f t="shared" si="7"/>
        <v>1</v>
      </c>
      <c r="I208" s="210" t="b">
        <f>TRUE</f>
        <v>1</v>
      </c>
      <c r="J208" s="208" t="b">
        <f>FALSE</f>
        <v>0</v>
      </c>
      <c r="K208" s="211">
        <v>1.0</v>
      </c>
      <c r="L208" s="207" t="str">
        <f t="shared" si="3"/>
        <v>n/a</v>
      </c>
      <c r="M208" s="212">
        <f t="shared" si="4"/>
        <v>1</v>
      </c>
      <c r="N208" s="207" t="str">
        <f t="shared" si="5"/>
        <v>n/a</v>
      </c>
      <c r="O208" s="207" t="str">
        <f t="shared" si="6"/>
        <v>n/a</v>
      </c>
    </row>
    <row r="209" ht="15.75" customHeight="1">
      <c r="A209" s="207">
        <v>24.0</v>
      </c>
      <c r="B209" s="6" t="str">
        <f>VLOOKUP($A209, 'Completion rates'!$A:$E, 2, FALSE)</f>
        <v>Killing grotesque guardians (on task)</v>
      </c>
      <c r="C209" s="207">
        <v>4153.0</v>
      </c>
      <c r="D209" s="6" t="str">
        <f>VLOOKUP($C209, 'List of log slots'!$A:$E, 2, FALSE)</f>
        <v>Granite maul</v>
      </c>
      <c r="E209" s="207">
        <f>VLOOKUP($C209, 'List of log slots'!$A:$E, 5, FALSE)</f>
        <v>4</v>
      </c>
      <c r="F209" s="213" t="b">
        <f>VLOOKUP(C209, 'List of log slots'!$A:$C, 3, FALSE)</f>
        <v>0</v>
      </c>
      <c r="G209" s="209" t="b">
        <f t="shared" si="28"/>
        <v>0</v>
      </c>
      <c r="H209" s="209" t="b">
        <f t="shared" si="7"/>
        <v>1</v>
      </c>
      <c r="I209" s="209" t="b">
        <f t="shared" ref="I209:J209" si="81">FALSE</f>
        <v>0</v>
      </c>
      <c r="J209" s="208" t="b">
        <f t="shared" si="81"/>
        <v>0</v>
      </c>
      <c r="K209" s="211">
        <v>125.0</v>
      </c>
      <c r="L209" s="207" t="str">
        <f t="shared" si="3"/>
        <v>n/a</v>
      </c>
      <c r="M209" s="212" t="str">
        <f t="shared" si="4"/>
        <v>n/a</v>
      </c>
      <c r="N209" s="207" t="str">
        <f t="shared" si="5"/>
        <v>n/a</v>
      </c>
      <c r="O209" s="207">
        <f t="shared" si="6"/>
        <v>0.008</v>
      </c>
    </row>
    <row r="210" ht="15.75" customHeight="1">
      <c r="A210" s="207">
        <v>24.0</v>
      </c>
      <c r="B210" s="6" t="str">
        <f>VLOOKUP($A210, 'Completion rates'!$A:$E, 2, FALSE)</f>
        <v>Killing grotesque guardians (on task)</v>
      </c>
      <c r="C210" s="207">
        <v>4129.0</v>
      </c>
      <c r="D210" s="6" t="str">
        <f>VLOOKUP($C210, 'List of log slots'!$A:$E, 2, FALSE)</f>
        <v>Adamant boots</v>
      </c>
      <c r="E210" s="207">
        <f>VLOOKUP($C210, 'List of log slots'!$A:$E, 5, FALSE)</f>
        <v>4</v>
      </c>
      <c r="F210" s="213" t="b">
        <f>VLOOKUP(C210, 'List of log slots'!$A:$C, 3, FALSE)</f>
        <v>0</v>
      </c>
      <c r="G210" s="209" t="b">
        <f t="shared" si="28"/>
        <v>0</v>
      </c>
      <c r="H210" s="209" t="b">
        <f t="shared" si="7"/>
        <v>1</v>
      </c>
      <c r="I210" s="209" t="b">
        <f t="shared" ref="I210:J210" si="82">FALSE</f>
        <v>0</v>
      </c>
      <c r="J210" s="208" t="b">
        <f t="shared" si="82"/>
        <v>0</v>
      </c>
      <c r="K210" s="211">
        <v>68.0</v>
      </c>
      <c r="L210" s="207" t="str">
        <f t="shared" si="3"/>
        <v>n/a</v>
      </c>
      <c r="M210" s="212" t="str">
        <f t="shared" si="4"/>
        <v>n/a</v>
      </c>
      <c r="N210" s="207" t="str">
        <f t="shared" si="5"/>
        <v>n/a</v>
      </c>
      <c r="O210" s="207">
        <f t="shared" si="6"/>
        <v>0.01470588235</v>
      </c>
    </row>
    <row r="211" ht="15.75" customHeight="1">
      <c r="A211" s="207">
        <v>25.0</v>
      </c>
      <c r="B211" s="6" t="str">
        <f>VLOOKUP($A211, 'Completion rates'!$A:$E, 2, FALSE)</f>
        <v>Harvesting hespori</v>
      </c>
      <c r="C211" s="207">
        <v>22994.0</v>
      </c>
      <c r="D211" s="6" t="str">
        <f>VLOOKUP($C211, 'List of log slots'!$A:$E, 2, FALSE)</f>
        <v>Bottomless compost bucket</v>
      </c>
      <c r="E211" s="207">
        <f>VLOOKUP($C211, 'List of log slots'!$A:$E, 5, FALSE)</f>
        <v>4</v>
      </c>
      <c r="F211" s="213" t="b">
        <f>VLOOKUP(C211, 'List of log slots'!$A:$C, 3, FALSE)</f>
        <v>0</v>
      </c>
      <c r="G211" s="209" t="b">
        <f t="shared" si="28"/>
        <v>0</v>
      </c>
      <c r="H211" s="209" t="b">
        <f t="shared" si="7"/>
        <v>1</v>
      </c>
      <c r="I211" s="209" t="b">
        <f t="shared" ref="I211:J211" si="83">FALSE</f>
        <v>0</v>
      </c>
      <c r="J211" s="208" t="b">
        <f t="shared" si="83"/>
        <v>0</v>
      </c>
      <c r="K211" s="211">
        <v>35.0</v>
      </c>
      <c r="L211" s="207" t="str">
        <f t="shared" si="3"/>
        <v>n/a</v>
      </c>
      <c r="M211" s="212" t="str">
        <f t="shared" si="4"/>
        <v>n/a</v>
      </c>
      <c r="N211" s="207" t="str">
        <f t="shared" si="5"/>
        <v>n/a</v>
      </c>
      <c r="O211" s="207">
        <f t="shared" si="6"/>
        <v>0.02857142857</v>
      </c>
    </row>
    <row r="212" ht="15.75" customHeight="1">
      <c r="A212" s="207">
        <v>25.0</v>
      </c>
      <c r="B212" s="6" t="str">
        <f>VLOOKUP($A212, 'Completion rates'!$A:$E, 2, FALSE)</f>
        <v>Harvesting hespori</v>
      </c>
      <c r="C212" s="207">
        <v>22883.0</v>
      </c>
      <c r="D212" s="6" t="str">
        <f>VLOOKUP($C212, 'List of log slots'!$A:$E, 2, FALSE)</f>
        <v>Iasor seed</v>
      </c>
      <c r="E212" s="207">
        <f>VLOOKUP($C212, 'List of log slots'!$A:$E, 5, FALSE)</f>
        <v>3</v>
      </c>
      <c r="F212" s="213" t="b">
        <f>VLOOKUP(C212, 'List of log slots'!$A:$C, 3, FALSE)</f>
        <v>0</v>
      </c>
      <c r="G212" s="209" t="b">
        <f t="shared" si="28"/>
        <v>0</v>
      </c>
      <c r="H212" s="209" t="b">
        <f t="shared" si="7"/>
        <v>1</v>
      </c>
      <c r="I212" s="209" t="b">
        <f t="shared" ref="I212:J212" si="84">FALSE</f>
        <v>0</v>
      </c>
      <c r="J212" s="208" t="b">
        <f t="shared" si="84"/>
        <v>0</v>
      </c>
      <c r="K212" s="211">
        <v>3.0</v>
      </c>
      <c r="L212" s="207" t="str">
        <f t="shared" si="3"/>
        <v>n/a</v>
      </c>
      <c r="M212" s="212" t="str">
        <f t="shared" si="4"/>
        <v>n/a</v>
      </c>
      <c r="N212" s="207" t="str">
        <f t="shared" si="5"/>
        <v>n/a</v>
      </c>
      <c r="O212" s="207">
        <f t="shared" si="6"/>
        <v>0.3333333333</v>
      </c>
    </row>
    <row r="213" ht="15.75" customHeight="1">
      <c r="A213" s="207">
        <v>25.0</v>
      </c>
      <c r="B213" s="6" t="str">
        <f>VLOOKUP($A213, 'Completion rates'!$A:$E, 2, FALSE)</f>
        <v>Harvesting hespori</v>
      </c>
      <c r="C213" s="207">
        <v>22885.0</v>
      </c>
      <c r="D213" s="6" t="str">
        <f>VLOOKUP($C213, 'List of log slots'!$A:$E, 2, FALSE)</f>
        <v>Kronos seed</v>
      </c>
      <c r="E213" s="207">
        <f>VLOOKUP($C213, 'List of log slots'!$A:$E, 5, FALSE)</f>
        <v>3</v>
      </c>
      <c r="F213" s="210" t="b">
        <f>VLOOKUP(C213, 'List of log slots'!$A:$C, 3, FALSE)</f>
        <v>0</v>
      </c>
      <c r="G213" s="209" t="b">
        <f t="shared" si="28"/>
        <v>0</v>
      </c>
      <c r="H213" s="209" t="b">
        <f t="shared" si="7"/>
        <v>1</v>
      </c>
      <c r="I213" s="209" t="b">
        <f t="shared" ref="I213:J213" si="85">FALSE</f>
        <v>0</v>
      </c>
      <c r="J213" s="208" t="b">
        <f t="shared" si="85"/>
        <v>0</v>
      </c>
      <c r="K213" s="211">
        <v>3.0</v>
      </c>
      <c r="L213" s="207" t="str">
        <f t="shared" si="3"/>
        <v>n/a</v>
      </c>
      <c r="M213" s="212" t="str">
        <f t="shared" si="4"/>
        <v>n/a</v>
      </c>
      <c r="N213" s="207" t="str">
        <f t="shared" si="5"/>
        <v>n/a</v>
      </c>
      <c r="O213" s="207">
        <f t="shared" si="6"/>
        <v>0.3333333333</v>
      </c>
    </row>
    <row r="214" ht="15.75" customHeight="1">
      <c r="A214" s="207">
        <v>25.0</v>
      </c>
      <c r="B214" s="6" t="str">
        <f>VLOOKUP($A214, 'Completion rates'!$A:$E, 2, FALSE)</f>
        <v>Harvesting hespori</v>
      </c>
      <c r="C214" s="207">
        <v>22881.0</v>
      </c>
      <c r="D214" s="6" t="str">
        <f>VLOOKUP($C214, 'List of log slots'!$A:$E, 2, FALSE)</f>
        <v>Attas seed</v>
      </c>
      <c r="E214" s="207">
        <f>VLOOKUP($C214, 'List of log slots'!$A:$E, 5, FALSE)</f>
        <v>3</v>
      </c>
      <c r="F214" s="210" t="b">
        <f>VLOOKUP(C214, 'List of log slots'!$A:$C, 3, FALSE)</f>
        <v>0</v>
      </c>
      <c r="G214" s="209" t="b">
        <f t="shared" si="28"/>
        <v>0</v>
      </c>
      <c r="H214" s="209" t="b">
        <f t="shared" si="7"/>
        <v>1</v>
      </c>
      <c r="I214" s="209" t="b">
        <f t="shared" ref="I214:J214" si="86">FALSE</f>
        <v>0</v>
      </c>
      <c r="J214" s="208" t="b">
        <f t="shared" si="86"/>
        <v>0</v>
      </c>
      <c r="K214" s="211">
        <v>3.0</v>
      </c>
      <c r="L214" s="207" t="str">
        <f t="shared" si="3"/>
        <v>n/a</v>
      </c>
      <c r="M214" s="212" t="str">
        <f t="shared" si="4"/>
        <v>n/a</v>
      </c>
      <c r="N214" s="207" t="str">
        <f t="shared" si="5"/>
        <v>n/a</v>
      </c>
      <c r="O214" s="207">
        <f t="shared" si="6"/>
        <v>0.3333333333</v>
      </c>
    </row>
    <row r="215" ht="15.75" customHeight="1">
      <c r="A215" s="207">
        <v>26.0</v>
      </c>
      <c r="B215" s="6" t="str">
        <f>VLOOKUP($A215, 'Completion rates'!$A:$E, 2, FALSE)</f>
        <v>Killing the hueycoatl (1+2)</v>
      </c>
      <c r="C215" s="207">
        <v>30152.0</v>
      </c>
      <c r="D215" s="6" t="str">
        <f>VLOOKUP($C215, 'List of log slots'!$A:$E, 2, FALSE)</f>
        <v>Huberte</v>
      </c>
      <c r="E215" s="207">
        <f>VLOOKUP($C215, 'List of log slots'!$A:$E, 5, FALSE)</f>
        <v>6</v>
      </c>
      <c r="F215" s="209" t="b">
        <f>VLOOKUP(C215, 'List of log slots'!$A:$C, 3, FALSE)</f>
        <v>0</v>
      </c>
      <c r="G215" s="209" t="b">
        <f t="shared" si="28"/>
        <v>0</v>
      </c>
      <c r="H215" s="210" t="b">
        <f t="shared" si="7"/>
        <v>1</v>
      </c>
      <c r="I215" s="209" t="b">
        <f t="shared" ref="I215:J215" si="87">FALSE</f>
        <v>0</v>
      </c>
      <c r="J215" s="208" t="b">
        <f t="shared" si="87"/>
        <v>0</v>
      </c>
      <c r="K215" s="214">
        <v>400.0</v>
      </c>
      <c r="L215" s="207" t="str">
        <f t="shared" si="3"/>
        <v>n/a</v>
      </c>
      <c r="M215" s="212" t="str">
        <f t="shared" si="4"/>
        <v>n/a</v>
      </c>
      <c r="N215" s="207" t="str">
        <f t="shared" si="5"/>
        <v>n/a</v>
      </c>
      <c r="O215" s="207">
        <f t="shared" si="6"/>
        <v>0.0025</v>
      </c>
    </row>
    <row r="216" ht="15.75" customHeight="1">
      <c r="A216" s="207">
        <v>26.0</v>
      </c>
      <c r="B216" s="6" t="str">
        <f>VLOOKUP($A216, 'Completion rates'!$A:$E, 2, FALSE)</f>
        <v>Killing the hueycoatl (1+2)</v>
      </c>
      <c r="C216" s="207">
        <v>30070.0</v>
      </c>
      <c r="D216" s="6" t="str">
        <f>VLOOKUP($C216, 'List of log slots'!$A:$E, 2, FALSE)</f>
        <v>Dragon hunter wand</v>
      </c>
      <c r="E216" s="207">
        <f>VLOOKUP($C216, 'List of log slots'!$A:$E, 5, FALSE)</f>
        <v>5</v>
      </c>
      <c r="F216" s="209" t="b">
        <f>VLOOKUP(C216, 'List of log slots'!$A:$C, 3, FALSE)</f>
        <v>0</v>
      </c>
      <c r="G216" s="209" t="b">
        <f t="shared" si="28"/>
        <v>0</v>
      </c>
      <c r="H216" s="210" t="b">
        <f t="shared" si="7"/>
        <v>1</v>
      </c>
      <c r="I216" s="209" t="b">
        <f t="shared" ref="I216:J216" si="88">FALSE</f>
        <v>0</v>
      </c>
      <c r="J216" s="208" t="b">
        <f t="shared" si="88"/>
        <v>0</v>
      </c>
      <c r="K216" s="211">
        <v>104.0</v>
      </c>
      <c r="L216" s="207" t="str">
        <f t="shared" si="3"/>
        <v>n/a</v>
      </c>
      <c r="M216" s="212" t="str">
        <f t="shared" si="4"/>
        <v>n/a</v>
      </c>
      <c r="N216" s="207" t="str">
        <f t="shared" si="5"/>
        <v>n/a</v>
      </c>
      <c r="O216" s="207">
        <f t="shared" si="6"/>
        <v>0.009615384615</v>
      </c>
    </row>
    <row r="217" ht="15.75" customHeight="1">
      <c r="A217" s="207">
        <v>26.0</v>
      </c>
      <c r="B217" s="6" t="str">
        <f>VLOOKUP($A217, 'Completion rates'!$A:$E, 2, FALSE)</f>
        <v>Killing the hueycoatl (1+2)</v>
      </c>
      <c r="C217" s="207">
        <v>30066.0</v>
      </c>
      <c r="D217" s="6" t="str">
        <f>VLOOKUP($C217, 'List of log slots'!$A:$E, 2, FALSE)</f>
        <v>Tome of earth (empty)</v>
      </c>
      <c r="E217" s="207">
        <f>VLOOKUP($C217, 'List of log slots'!$A:$E, 5, FALSE)</f>
        <v>5</v>
      </c>
      <c r="F217" s="209" t="b">
        <f>VLOOKUP(C217, 'List of log slots'!$A:$C, 3, FALSE)</f>
        <v>0</v>
      </c>
      <c r="G217" s="209" t="b">
        <f t="shared" si="28"/>
        <v>0</v>
      </c>
      <c r="H217" s="210" t="b">
        <f t="shared" si="7"/>
        <v>1</v>
      </c>
      <c r="I217" s="209" t="b">
        <f t="shared" ref="I217:J217" si="89">FALSE</f>
        <v>0</v>
      </c>
      <c r="J217" s="208" t="b">
        <f t="shared" si="89"/>
        <v>0</v>
      </c>
      <c r="K217" s="211">
        <v>92.0</v>
      </c>
      <c r="L217" s="207" t="str">
        <f t="shared" si="3"/>
        <v>n/a</v>
      </c>
      <c r="M217" s="212" t="str">
        <f t="shared" si="4"/>
        <v>n/a</v>
      </c>
      <c r="N217" s="207" t="str">
        <f t="shared" si="5"/>
        <v>n/a</v>
      </c>
      <c r="O217" s="207">
        <f t="shared" si="6"/>
        <v>0.01086956522</v>
      </c>
    </row>
    <row r="218" ht="15.75" customHeight="1">
      <c r="A218" s="207">
        <v>26.0</v>
      </c>
      <c r="B218" s="6" t="str">
        <f>VLOOKUP($A218, 'Completion rates'!$A:$E, 2, FALSE)</f>
        <v>Killing the hueycoatl (1+2)</v>
      </c>
      <c r="C218" s="207">
        <v>30068.0</v>
      </c>
      <c r="D218" s="6" t="str">
        <f>VLOOKUP($C218, 'List of log slots'!$A:$E, 2, FALSE)</f>
        <v>Soiled page</v>
      </c>
      <c r="E218" s="207">
        <f>VLOOKUP($C218, 'List of log slots'!$A:$E, 5, FALSE)</f>
        <v>4</v>
      </c>
      <c r="F218" s="210" t="b">
        <f>VLOOKUP(C218, 'List of log slots'!$A:$C, 3, FALSE)</f>
        <v>0</v>
      </c>
      <c r="G218" s="209" t="b">
        <f t="shared" si="28"/>
        <v>0</v>
      </c>
      <c r="H218" s="209" t="b">
        <f t="shared" si="7"/>
        <v>1</v>
      </c>
      <c r="I218" s="209" t="b">
        <f t="shared" ref="I218:J218" si="90">FALSE</f>
        <v>0</v>
      </c>
      <c r="J218" s="208" t="b">
        <f t="shared" si="90"/>
        <v>0</v>
      </c>
      <c r="K218" s="214">
        <v>14.0</v>
      </c>
      <c r="L218" s="207" t="str">
        <f t="shared" si="3"/>
        <v>n/a</v>
      </c>
      <c r="M218" s="212" t="str">
        <f t="shared" si="4"/>
        <v>n/a</v>
      </c>
      <c r="N218" s="207" t="str">
        <f t="shared" si="5"/>
        <v>n/a</v>
      </c>
      <c r="O218" s="207">
        <f t="shared" si="6"/>
        <v>0.07142857143</v>
      </c>
    </row>
    <row r="219" ht="15.75" customHeight="1">
      <c r="A219" s="207">
        <v>26.0</v>
      </c>
      <c r="B219" s="6" t="str">
        <f>VLOOKUP($A219, 'Completion rates'!$A:$E, 2, FALSE)</f>
        <v>Killing the hueycoatl (1+2)</v>
      </c>
      <c r="C219" s="207">
        <v>30085.0</v>
      </c>
      <c r="D219" s="6" t="str">
        <f>VLOOKUP($C219, 'List of log slots'!$A:$E, 2, FALSE)</f>
        <v>Hueycoatl hide</v>
      </c>
      <c r="E219" s="207">
        <f>VLOOKUP($C219, 'List of log slots'!$A:$E, 5, FALSE)</f>
        <v>4</v>
      </c>
      <c r="F219" s="208" t="b">
        <f>VLOOKUP(C219, 'List of log slots'!$A:$C, 3, FALSE)</f>
        <v>0</v>
      </c>
      <c r="G219" s="209" t="b">
        <f t="shared" si="28"/>
        <v>0</v>
      </c>
      <c r="H219" s="210" t="b">
        <f t="shared" si="7"/>
        <v>1</v>
      </c>
      <c r="I219" s="209" t="b">
        <f t="shared" ref="I219:J219" si="91">FALSE</f>
        <v>0</v>
      </c>
      <c r="J219" s="208" t="b">
        <f t="shared" si="91"/>
        <v>0</v>
      </c>
      <c r="K219" s="211">
        <v>30.0</v>
      </c>
      <c r="L219" s="207" t="str">
        <f t="shared" si="3"/>
        <v>n/a</v>
      </c>
      <c r="M219" s="212" t="str">
        <f t="shared" si="4"/>
        <v>n/a</v>
      </c>
      <c r="N219" s="207" t="str">
        <f t="shared" si="5"/>
        <v>n/a</v>
      </c>
      <c r="O219" s="207">
        <f t="shared" si="6"/>
        <v>0.03333333333</v>
      </c>
    </row>
    <row r="220" ht="15.75" customHeight="1">
      <c r="A220" s="207">
        <v>26.0</v>
      </c>
      <c r="B220" s="6" t="str">
        <f>VLOOKUP($A220, 'Completion rates'!$A:$E, 2, FALSE)</f>
        <v>Killing the hueycoatl (1+2)</v>
      </c>
      <c r="C220" s="207">
        <v>30088.0</v>
      </c>
      <c r="D220" s="6" t="str">
        <f>VLOOKUP($C220, 'List of log slots'!$A:$E, 2, FALSE)</f>
        <v>Huasca seed</v>
      </c>
      <c r="E220" s="207">
        <f>VLOOKUP($C220, 'List of log slots'!$A:$E, 5, FALSE)</f>
        <v>4</v>
      </c>
      <c r="F220" s="208" t="b">
        <f>VLOOKUP(C220, 'List of log slots'!$A:$C, 3, FALSE)</f>
        <v>0</v>
      </c>
      <c r="G220" s="209" t="b">
        <f t="shared" si="28"/>
        <v>0</v>
      </c>
      <c r="H220" s="210" t="b">
        <f t="shared" si="7"/>
        <v>1</v>
      </c>
      <c r="I220" s="209" t="b">
        <f t="shared" ref="I220:J220" si="92">FALSE</f>
        <v>0</v>
      </c>
      <c r="J220" s="208" t="b">
        <f t="shared" si="92"/>
        <v>0</v>
      </c>
      <c r="K220" s="211">
        <v>34.0</v>
      </c>
      <c r="L220" s="207" t="str">
        <f t="shared" si="3"/>
        <v>n/a</v>
      </c>
      <c r="M220" s="212" t="str">
        <f t="shared" si="4"/>
        <v>n/a</v>
      </c>
      <c r="N220" s="207" t="str">
        <f t="shared" si="5"/>
        <v>n/a</v>
      </c>
      <c r="O220" s="207">
        <f t="shared" si="6"/>
        <v>0.02941176471</v>
      </c>
    </row>
    <row r="221" ht="15.75" customHeight="1">
      <c r="A221" s="207">
        <v>27.0</v>
      </c>
      <c r="B221" s="6" t="str">
        <f>VLOOKUP($A221, 'Completion rates'!$A:$E, 2, FALSE)</f>
        <v>Finishing inferno (and gambling cape, on task)</v>
      </c>
      <c r="C221" s="207">
        <v>21291.0</v>
      </c>
      <c r="D221" s="6" t="str">
        <f>VLOOKUP($C221, 'List of log slots'!$A:$E, 2, FALSE)</f>
        <v>Jal-nib-rek</v>
      </c>
      <c r="E221" s="207">
        <f>VLOOKUP($C221, 'List of log slots'!$A:$E, 5, FALSE)</f>
        <v>8</v>
      </c>
      <c r="F221" s="208" t="b">
        <f>VLOOKUP(C221, 'List of log slots'!$A:$C, 3, FALSE)</f>
        <v>0</v>
      </c>
      <c r="G221" s="209" t="b">
        <f t="shared" si="28"/>
        <v>0</v>
      </c>
      <c r="H221" s="210" t="b">
        <f t="shared" si="7"/>
        <v>1</v>
      </c>
      <c r="I221" s="209" t="b">
        <f t="shared" ref="I221:J221" si="93">FALSE</f>
        <v>0</v>
      </c>
      <c r="J221" s="208" t="b">
        <f t="shared" si="93"/>
        <v>0</v>
      </c>
      <c r="K221" s="211">
        <v>43.0</v>
      </c>
      <c r="L221" s="207" t="str">
        <f t="shared" si="3"/>
        <v>n/a</v>
      </c>
      <c r="M221" s="212" t="str">
        <f t="shared" si="4"/>
        <v>n/a</v>
      </c>
      <c r="N221" s="207" t="str">
        <f t="shared" si="5"/>
        <v>n/a</v>
      </c>
      <c r="O221" s="207">
        <f t="shared" si="6"/>
        <v>0.02325581395</v>
      </c>
    </row>
    <row r="222" ht="15.75" customHeight="1">
      <c r="A222" s="207">
        <v>27.0</v>
      </c>
      <c r="B222" s="6" t="str">
        <f>VLOOKUP($A222, 'Completion rates'!$A:$E, 2, FALSE)</f>
        <v>Finishing inferno (and gambling cape, on task)</v>
      </c>
      <c r="C222" s="207">
        <v>21295.0</v>
      </c>
      <c r="D222" s="6" t="str">
        <f>VLOOKUP($C222, 'List of log slots'!$A:$E, 2, FALSE)</f>
        <v>Infernal cape</v>
      </c>
      <c r="E222" s="207">
        <f>VLOOKUP($C222, 'List of log slots'!$A:$E, 5, FALSE)</f>
        <v>6</v>
      </c>
      <c r="F222" s="208" t="b">
        <f>VLOOKUP(C222, 'List of log slots'!$A:$C, 3, FALSE)</f>
        <v>0</v>
      </c>
      <c r="G222" s="209" t="b">
        <f t="shared" si="28"/>
        <v>0</v>
      </c>
      <c r="H222" s="210" t="b">
        <f t="shared" si="7"/>
        <v>1</v>
      </c>
      <c r="I222" s="210" t="b">
        <f>TRUE</f>
        <v>1</v>
      </c>
      <c r="J222" s="208" t="b">
        <f>FALSE</f>
        <v>0</v>
      </c>
      <c r="K222" s="211">
        <v>1.0</v>
      </c>
      <c r="L222" s="207" t="str">
        <f t="shared" si="3"/>
        <v>n/a</v>
      </c>
      <c r="M222" s="212">
        <f t="shared" si="4"/>
        <v>1</v>
      </c>
      <c r="N222" s="207" t="str">
        <f t="shared" si="5"/>
        <v>n/a</v>
      </c>
      <c r="O222" s="207" t="str">
        <f t="shared" si="6"/>
        <v>n/a</v>
      </c>
    </row>
    <row r="223" ht="15.75" customHeight="1">
      <c r="A223" s="207">
        <v>28.0</v>
      </c>
      <c r="B223" s="6" t="str">
        <f>VLOOKUP($A223, 'Completion rates'!$A:$E, 2, FALSE)</f>
        <v>Killing kalphite queen</v>
      </c>
      <c r="C223" s="207">
        <v>11920.0</v>
      </c>
      <c r="D223" s="6" t="str">
        <f>VLOOKUP($C223, 'List of log slots'!$A:$E, 2, FALSE)</f>
        <v>Dragon pickaxe</v>
      </c>
      <c r="E223" s="207">
        <f>VLOOKUP($C223, 'List of log slots'!$A:$E, 5, FALSE)</f>
        <v>4</v>
      </c>
      <c r="F223" s="213" t="b">
        <f>VLOOKUP(C223, 'List of log slots'!$A:$C, 3, FALSE)</f>
        <v>0</v>
      </c>
      <c r="G223" s="209" t="b">
        <f t="shared" si="28"/>
        <v>0</v>
      </c>
      <c r="H223" s="209" t="b">
        <f t="shared" si="7"/>
        <v>1</v>
      </c>
      <c r="I223" s="209" t="b">
        <f t="shared" ref="I223:J223" si="94">FALSE</f>
        <v>0</v>
      </c>
      <c r="J223" s="208" t="b">
        <f t="shared" si="94"/>
        <v>0</v>
      </c>
      <c r="K223" s="211">
        <v>400.0</v>
      </c>
      <c r="L223" s="207" t="str">
        <f t="shared" si="3"/>
        <v>n/a</v>
      </c>
      <c r="M223" s="212" t="str">
        <f t="shared" si="4"/>
        <v>n/a</v>
      </c>
      <c r="N223" s="207" t="str">
        <f t="shared" si="5"/>
        <v>n/a</v>
      </c>
      <c r="O223" s="207">
        <f t="shared" si="6"/>
        <v>0.0025</v>
      </c>
    </row>
    <row r="224" ht="15.75" customHeight="1">
      <c r="A224" s="207">
        <v>28.0</v>
      </c>
      <c r="B224" s="6" t="str">
        <f>VLOOKUP($A224, 'Completion rates'!$A:$E, 2, FALSE)</f>
        <v>Killing kalphite queen</v>
      </c>
      <c r="C224" s="207">
        <v>7158.0</v>
      </c>
      <c r="D224" s="6" t="str">
        <f>VLOOKUP($C224, 'List of log slots'!$A:$E, 2, FALSE)</f>
        <v>Dragon 2h sword</v>
      </c>
      <c r="E224" s="207">
        <f>VLOOKUP($C224, 'List of log slots'!$A:$E, 5, FALSE)</f>
        <v>4</v>
      </c>
      <c r="F224" s="208" t="b">
        <f>VLOOKUP(C224, 'List of log slots'!$A:$C, 3, FALSE)</f>
        <v>0</v>
      </c>
      <c r="G224" s="209" t="b">
        <f t="shared" si="28"/>
        <v>0</v>
      </c>
      <c r="H224" s="210" t="b">
        <f t="shared" si="7"/>
        <v>1</v>
      </c>
      <c r="I224" s="209" t="b">
        <f t="shared" ref="I224:J224" si="95">FALSE</f>
        <v>0</v>
      </c>
      <c r="J224" s="208" t="b">
        <f t="shared" si="95"/>
        <v>0</v>
      </c>
      <c r="K224" s="211">
        <v>256.0</v>
      </c>
      <c r="L224" s="207" t="str">
        <f t="shared" si="3"/>
        <v>n/a</v>
      </c>
      <c r="M224" s="212" t="str">
        <f t="shared" si="4"/>
        <v>n/a</v>
      </c>
      <c r="N224" s="207" t="str">
        <f t="shared" si="5"/>
        <v>n/a</v>
      </c>
      <c r="O224" s="207">
        <f t="shared" si="6"/>
        <v>0.00390625</v>
      </c>
    </row>
    <row r="225" ht="15.75" customHeight="1">
      <c r="A225" s="207">
        <v>28.0</v>
      </c>
      <c r="B225" s="6" t="str">
        <f>VLOOKUP($A225, 'Completion rates'!$A:$E, 2, FALSE)</f>
        <v>Killing kalphite queen</v>
      </c>
      <c r="C225" s="207">
        <v>12647.0</v>
      </c>
      <c r="D225" s="6" t="str">
        <f>VLOOKUP($C225, 'List of log slots'!$A:$E, 2, FALSE)</f>
        <v>Kalphite princess</v>
      </c>
      <c r="E225" s="207">
        <f>VLOOKUP($C225, 'List of log slots'!$A:$E, 5, FALSE)</f>
        <v>7</v>
      </c>
      <c r="F225" s="208" t="b">
        <f>VLOOKUP(C225, 'List of log slots'!$A:$C, 3, FALSE)</f>
        <v>0</v>
      </c>
      <c r="G225" s="209" t="b">
        <f t="shared" si="28"/>
        <v>0</v>
      </c>
      <c r="H225" s="210" t="b">
        <f t="shared" si="7"/>
        <v>1</v>
      </c>
      <c r="I225" s="209" t="b">
        <f t="shared" ref="I225:J225" si="96">FALSE</f>
        <v>0</v>
      </c>
      <c r="J225" s="208" t="b">
        <f t="shared" si="96"/>
        <v>0</v>
      </c>
      <c r="K225" s="211">
        <v>3000.0</v>
      </c>
      <c r="L225" s="207" t="str">
        <f t="shared" si="3"/>
        <v>n/a</v>
      </c>
      <c r="M225" s="212" t="str">
        <f t="shared" si="4"/>
        <v>n/a</v>
      </c>
      <c r="N225" s="207" t="str">
        <f t="shared" si="5"/>
        <v>n/a</v>
      </c>
      <c r="O225" s="207">
        <f t="shared" si="6"/>
        <v>0.0003333333333</v>
      </c>
    </row>
    <row r="226" ht="15.75" customHeight="1">
      <c r="A226" s="207">
        <v>28.0</v>
      </c>
      <c r="B226" s="6" t="str">
        <f>VLOOKUP($A226, 'Completion rates'!$A:$E, 2, FALSE)</f>
        <v>Killing kalphite queen</v>
      </c>
      <c r="C226" s="207">
        <v>7981.0</v>
      </c>
      <c r="D226" s="6" t="str">
        <f>VLOOKUP($C226, 'List of log slots'!$A:$E, 2, FALSE)</f>
        <v>Kq head</v>
      </c>
      <c r="E226" s="207">
        <f>VLOOKUP($C226, 'List of log slots'!$A:$E, 5, FALSE)</f>
        <v>5</v>
      </c>
      <c r="F226" s="213" t="b">
        <f>VLOOKUP(C226, 'List of log slots'!$A:$C, 3, FALSE)</f>
        <v>0</v>
      </c>
      <c r="G226" s="209" t="b">
        <f t="shared" si="28"/>
        <v>0</v>
      </c>
      <c r="H226" s="209" t="b">
        <f t="shared" si="7"/>
        <v>1</v>
      </c>
      <c r="I226" s="209" t="b">
        <f t="shared" ref="I226:J226" si="97">FALSE</f>
        <v>0</v>
      </c>
      <c r="J226" s="208" t="b">
        <f t="shared" si="97"/>
        <v>0</v>
      </c>
      <c r="K226" s="211">
        <v>128.0</v>
      </c>
      <c r="L226" s="207" t="str">
        <f t="shared" si="3"/>
        <v>n/a</v>
      </c>
      <c r="M226" s="212" t="str">
        <f t="shared" si="4"/>
        <v>n/a</v>
      </c>
      <c r="N226" s="207" t="str">
        <f t="shared" si="5"/>
        <v>n/a</v>
      </c>
      <c r="O226" s="207">
        <f t="shared" si="6"/>
        <v>0.0078125</v>
      </c>
    </row>
    <row r="227" ht="15.75" customHeight="1">
      <c r="A227" s="207">
        <v>28.0</v>
      </c>
      <c r="B227" s="6" t="str">
        <f>VLOOKUP($A227, 'Completion rates'!$A:$E, 2, FALSE)</f>
        <v>Killing kalphite queen</v>
      </c>
      <c r="C227" s="207">
        <v>12885.0</v>
      </c>
      <c r="D227" s="6" t="str">
        <f>VLOOKUP($C227, 'List of log slots'!$A:$E, 2, FALSE)</f>
        <v>Jar of sand</v>
      </c>
      <c r="E227" s="207">
        <f>VLOOKUP($C227, 'List of log slots'!$A:$E, 5, FALSE)</f>
        <v>7</v>
      </c>
      <c r="F227" s="208" t="b">
        <f>VLOOKUP(C227, 'List of log slots'!$A:$C, 3, FALSE)</f>
        <v>0</v>
      </c>
      <c r="G227" s="209" t="b">
        <f t="shared" si="28"/>
        <v>0</v>
      </c>
      <c r="H227" s="210" t="b">
        <f t="shared" si="7"/>
        <v>1</v>
      </c>
      <c r="I227" s="209" t="b">
        <f t="shared" ref="I227:J227" si="98">FALSE</f>
        <v>0</v>
      </c>
      <c r="J227" s="208" t="b">
        <f t="shared" si="98"/>
        <v>0</v>
      </c>
      <c r="K227" s="211">
        <v>2000.0</v>
      </c>
      <c r="L227" s="207" t="str">
        <f t="shared" si="3"/>
        <v>n/a</v>
      </c>
      <c r="M227" s="212" t="str">
        <f t="shared" si="4"/>
        <v>n/a</v>
      </c>
      <c r="N227" s="207" t="str">
        <f t="shared" si="5"/>
        <v>n/a</v>
      </c>
      <c r="O227" s="207">
        <f t="shared" si="6"/>
        <v>0.0005</v>
      </c>
    </row>
    <row r="228" ht="15.75" customHeight="1">
      <c r="A228" s="207">
        <v>28.0</v>
      </c>
      <c r="B228" s="6" t="str">
        <f>VLOOKUP($A228, 'Completion rates'!$A:$E, 2, FALSE)</f>
        <v>Killing kalphite queen</v>
      </c>
      <c r="C228" s="207">
        <v>3140.0</v>
      </c>
      <c r="D228" s="6" t="str">
        <f>VLOOKUP($C228, 'List of log slots'!$A:$E, 2, FALSE)</f>
        <v>Dragon chainbody</v>
      </c>
      <c r="E228" s="207">
        <f>VLOOKUP($C228, 'List of log slots'!$A:$E, 5, FALSE)</f>
        <v>5</v>
      </c>
      <c r="F228" s="213" t="b">
        <f>VLOOKUP(C228, 'List of log slots'!$A:$C, 3, FALSE)</f>
        <v>0</v>
      </c>
      <c r="G228" s="209" t="b">
        <f t="shared" si="28"/>
        <v>0</v>
      </c>
      <c r="H228" s="209" t="b">
        <f t="shared" si="7"/>
        <v>1</v>
      </c>
      <c r="I228" s="209" t="b">
        <f t="shared" ref="I228:J228" si="99">FALSE</f>
        <v>0</v>
      </c>
      <c r="J228" s="208" t="b">
        <f t="shared" si="99"/>
        <v>0</v>
      </c>
      <c r="K228" s="211">
        <v>128.0</v>
      </c>
      <c r="L228" s="207" t="str">
        <f t="shared" si="3"/>
        <v>n/a</v>
      </c>
      <c r="M228" s="212" t="str">
        <f t="shared" si="4"/>
        <v>n/a</v>
      </c>
      <c r="N228" s="207" t="str">
        <f t="shared" si="5"/>
        <v>n/a</v>
      </c>
      <c r="O228" s="207">
        <f t="shared" si="6"/>
        <v>0.0078125</v>
      </c>
    </row>
    <row r="229" ht="15.75" customHeight="1">
      <c r="A229" s="207">
        <v>28.0</v>
      </c>
      <c r="B229" s="6" t="str">
        <f>VLOOKUP($A229, 'Completion rates'!$A:$E, 2, FALSE)</f>
        <v>Killing kalphite queen</v>
      </c>
      <c r="C229" s="207">
        <v>2366.0</v>
      </c>
      <c r="D229" s="6" t="str">
        <f>VLOOKUP($C229, 'List of log slots'!$A:$E, 2, FALSE)</f>
        <v>Shield left half</v>
      </c>
      <c r="E229" s="207">
        <f>VLOOKUP($C229, 'List of log slots'!$A:$E, 5, FALSE)</f>
        <v>5</v>
      </c>
      <c r="F229" s="213" t="b">
        <f>VLOOKUP(C229, 'List of log slots'!$A:$C, 3, FALSE)</f>
        <v>0</v>
      </c>
      <c r="G229" s="209" t="b">
        <f t="shared" si="28"/>
        <v>0</v>
      </c>
      <c r="H229" s="209" t="b">
        <f t="shared" si="7"/>
        <v>1</v>
      </c>
      <c r="I229" s="209" t="b">
        <f t="shared" ref="I229:J229" si="100">FALSE</f>
        <v>0</v>
      </c>
      <c r="J229" s="208" t="b">
        <f t="shared" si="100"/>
        <v>0</v>
      </c>
      <c r="K229" s="211">
        <v>34592.0</v>
      </c>
      <c r="L229" s="207" t="str">
        <f t="shared" si="3"/>
        <v>n/a</v>
      </c>
      <c r="M229" s="212" t="str">
        <f t="shared" si="4"/>
        <v>n/a</v>
      </c>
      <c r="N229" s="207" t="str">
        <f t="shared" si="5"/>
        <v>n/a</v>
      </c>
      <c r="O229" s="207">
        <f t="shared" si="6"/>
        <v>0.00002890841813</v>
      </c>
    </row>
    <row r="230" ht="15.75" customHeight="1">
      <c r="A230" s="207">
        <v>28.0</v>
      </c>
      <c r="B230" s="6" t="str">
        <f>VLOOKUP($A230, 'Completion rates'!$A:$E, 2, FALSE)</f>
        <v>Killing kalphite queen</v>
      </c>
      <c r="C230" s="207">
        <v>1249.0</v>
      </c>
      <c r="D230" s="6" t="str">
        <f>VLOOKUP($C230, 'List of log slots'!$A:$E, 2, FALSE)</f>
        <v>Dragon spear</v>
      </c>
      <c r="E230" s="207">
        <f>VLOOKUP($C230, 'List of log slots'!$A:$E, 5, FALSE)</f>
        <v>5</v>
      </c>
      <c r="F230" s="213" t="b">
        <f>VLOOKUP(C230, 'List of log slots'!$A:$C, 3, FALSE)</f>
        <v>0</v>
      </c>
      <c r="G230" s="209" t="b">
        <f t="shared" si="28"/>
        <v>0</v>
      </c>
      <c r="H230" s="209" t="b">
        <f t="shared" si="7"/>
        <v>1</v>
      </c>
      <c r="I230" s="209" t="b">
        <f t="shared" ref="I230:J230" si="101">FALSE</f>
        <v>0</v>
      </c>
      <c r="J230" s="208" t="b">
        <f t="shared" si="101"/>
        <v>0</v>
      </c>
      <c r="K230" s="211">
        <v>46123.0</v>
      </c>
      <c r="L230" s="207" t="str">
        <f t="shared" si="3"/>
        <v>n/a</v>
      </c>
      <c r="M230" s="212" t="str">
        <f t="shared" si="4"/>
        <v>n/a</v>
      </c>
      <c r="N230" s="207" t="str">
        <f t="shared" si="5"/>
        <v>n/a</v>
      </c>
      <c r="O230" s="207">
        <f t="shared" si="6"/>
        <v>0.00002168115691</v>
      </c>
    </row>
    <row r="231" ht="15.75" customHeight="1">
      <c r="A231" s="207">
        <v>29.0</v>
      </c>
      <c r="B231" s="6" t="str">
        <f>VLOOKUP($A231, 'Completion rates'!$A:$E, 2, FALSE)</f>
        <v>Killing king black dragon</v>
      </c>
      <c r="C231" s="207">
        <v>11920.0</v>
      </c>
      <c r="D231" s="6" t="str">
        <f>VLOOKUP($C231, 'List of log slots'!$A:$E, 2, FALSE)</f>
        <v>Dragon pickaxe</v>
      </c>
      <c r="E231" s="207">
        <f>VLOOKUP($C231, 'List of log slots'!$A:$E, 5, FALSE)</f>
        <v>4</v>
      </c>
      <c r="F231" s="213" t="b">
        <f>VLOOKUP(C231, 'List of log slots'!$A:$C, 3, FALSE)</f>
        <v>0</v>
      </c>
      <c r="G231" s="209" t="b">
        <f t="shared" si="28"/>
        <v>0</v>
      </c>
      <c r="H231" s="209" t="b">
        <f t="shared" si="7"/>
        <v>1</v>
      </c>
      <c r="I231" s="209" t="b">
        <f t="shared" ref="I231:J231" si="102">FALSE</f>
        <v>0</v>
      </c>
      <c r="J231" s="208" t="b">
        <f t="shared" si="102"/>
        <v>0</v>
      </c>
      <c r="K231" s="211">
        <v>1000.0</v>
      </c>
      <c r="L231" s="207" t="str">
        <f t="shared" si="3"/>
        <v>n/a</v>
      </c>
      <c r="M231" s="212" t="str">
        <f t="shared" si="4"/>
        <v>n/a</v>
      </c>
      <c r="N231" s="207" t="str">
        <f t="shared" si="5"/>
        <v>n/a</v>
      </c>
      <c r="O231" s="207">
        <f t="shared" si="6"/>
        <v>0.001</v>
      </c>
    </row>
    <row r="232" ht="15.75" customHeight="1">
      <c r="A232" s="207">
        <v>29.0</v>
      </c>
      <c r="B232" s="6" t="str">
        <f>VLOOKUP($A232, 'Completion rates'!$A:$E, 2, FALSE)</f>
        <v>Killing king black dragon</v>
      </c>
      <c r="C232" s="207">
        <v>12653.0</v>
      </c>
      <c r="D232" s="6" t="str">
        <f>VLOOKUP($C232, 'List of log slots'!$A:$E, 2, FALSE)</f>
        <v>Prince black dragon</v>
      </c>
      <c r="E232" s="207">
        <f>VLOOKUP($C232, 'List of log slots'!$A:$E, 5, FALSE)</f>
        <v>7</v>
      </c>
      <c r="F232" s="208" t="b">
        <f>VLOOKUP(C232, 'List of log slots'!$A:$C, 3, FALSE)</f>
        <v>0</v>
      </c>
      <c r="G232" s="209" t="b">
        <f t="shared" si="28"/>
        <v>0</v>
      </c>
      <c r="H232" s="210" t="b">
        <f t="shared" si="7"/>
        <v>1</v>
      </c>
      <c r="I232" s="209" t="b">
        <f t="shared" ref="I232:J232" si="103">FALSE</f>
        <v>0</v>
      </c>
      <c r="J232" s="208" t="b">
        <f t="shared" si="103"/>
        <v>0</v>
      </c>
      <c r="K232" s="211">
        <v>3000.0</v>
      </c>
      <c r="L232" s="207" t="str">
        <f t="shared" si="3"/>
        <v>n/a</v>
      </c>
      <c r="M232" s="212" t="str">
        <f t="shared" si="4"/>
        <v>n/a</v>
      </c>
      <c r="N232" s="207" t="str">
        <f t="shared" si="5"/>
        <v>n/a</v>
      </c>
      <c r="O232" s="207">
        <f t="shared" si="6"/>
        <v>0.0003333333333</v>
      </c>
    </row>
    <row r="233" ht="15.75" customHeight="1">
      <c r="A233" s="207">
        <v>29.0</v>
      </c>
      <c r="B233" s="6" t="str">
        <f>VLOOKUP($A233, 'Completion rates'!$A:$E, 2, FALSE)</f>
        <v>Killing king black dragon</v>
      </c>
      <c r="C233" s="207">
        <v>7980.0</v>
      </c>
      <c r="D233" s="6" t="str">
        <f>VLOOKUP($C233, 'List of log slots'!$A:$E, 2, FALSE)</f>
        <v>Kbd heads</v>
      </c>
      <c r="E233" s="207">
        <f>VLOOKUP($C233, 'List of log slots'!$A:$E, 5, FALSE)</f>
        <v>5</v>
      </c>
      <c r="F233" s="208" t="b">
        <f>VLOOKUP(C233, 'List of log slots'!$A:$C, 3, FALSE)</f>
        <v>0</v>
      </c>
      <c r="G233" s="209" t="b">
        <f t="shared" si="28"/>
        <v>0</v>
      </c>
      <c r="H233" s="210" t="b">
        <f t="shared" si="7"/>
        <v>1</v>
      </c>
      <c r="I233" s="209" t="b">
        <f t="shared" ref="I233:J233" si="104">FALSE</f>
        <v>0</v>
      </c>
      <c r="J233" s="208" t="b">
        <f t="shared" si="104"/>
        <v>0</v>
      </c>
      <c r="K233" s="211">
        <v>128.0</v>
      </c>
      <c r="L233" s="207" t="str">
        <f t="shared" si="3"/>
        <v>n/a</v>
      </c>
      <c r="M233" s="212" t="str">
        <f t="shared" si="4"/>
        <v>n/a</v>
      </c>
      <c r="N233" s="207" t="str">
        <f t="shared" si="5"/>
        <v>n/a</v>
      </c>
      <c r="O233" s="207">
        <f t="shared" si="6"/>
        <v>0.0078125</v>
      </c>
    </row>
    <row r="234" ht="15.75" customHeight="1">
      <c r="A234" s="207">
        <v>29.0</v>
      </c>
      <c r="B234" s="6" t="str">
        <f>VLOOKUP($A234, 'Completion rates'!$A:$E, 2, FALSE)</f>
        <v>Killing king black dragon</v>
      </c>
      <c r="C234" s="207">
        <v>11286.0</v>
      </c>
      <c r="D234" s="6" t="str">
        <f>VLOOKUP($C234, 'List of log slots'!$A:$E, 2, FALSE)</f>
        <v>Draconic visage</v>
      </c>
      <c r="E234" s="207">
        <f>VLOOKUP($C234, 'List of log slots'!$A:$E, 5, FALSE)</f>
        <v>6</v>
      </c>
      <c r="F234" s="208" t="b">
        <f>VLOOKUP(C234, 'List of log slots'!$A:$C, 3, FALSE)</f>
        <v>0</v>
      </c>
      <c r="G234" s="209" t="b">
        <f t="shared" si="28"/>
        <v>0</v>
      </c>
      <c r="H234" s="210" t="b">
        <f t="shared" si="7"/>
        <v>1</v>
      </c>
      <c r="I234" s="209" t="b">
        <f t="shared" ref="I234:J234" si="105">FALSE</f>
        <v>0</v>
      </c>
      <c r="J234" s="208" t="b">
        <f t="shared" si="105"/>
        <v>0</v>
      </c>
      <c r="K234" s="211">
        <v>5000.0</v>
      </c>
      <c r="L234" s="207" t="str">
        <f t="shared" si="3"/>
        <v>n/a</v>
      </c>
      <c r="M234" s="212" t="str">
        <f t="shared" si="4"/>
        <v>n/a</v>
      </c>
      <c r="N234" s="207" t="str">
        <f t="shared" si="5"/>
        <v>n/a</v>
      </c>
      <c r="O234" s="207">
        <f t="shared" si="6"/>
        <v>0.0002</v>
      </c>
    </row>
    <row r="235" ht="15.75" customHeight="1">
      <c r="A235" s="207">
        <v>29.0</v>
      </c>
      <c r="B235" s="6" t="str">
        <f>VLOOKUP($A235, 'Completion rates'!$A:$E, 2, FALSE)</f>
        <v>Killing king black dragon</v>
      </c>
      <c r="C235" s="207">
        <v>2366.0</v>
      </c>
      <c r="D235" s="6" t="str">
        <f>VLOOKUP($C235, 'List of log slots'!$A:$E, 2, FALSE)</f>
        <v>Shield left half</v>
      </c>
      <c r="E235" s="207">
        <f>VLOOKUP($C235, 'List of log slots'!$A:$E, 5, FALSE)</f>
        <v>5</v>
      </c>
      <c r="F235" s="213" t="b">
        <f>VLOOKUP(C235, 'List of log slots'!$A:$C, 3, FALSE)</f>
        <v>0</v>
      </c>
      <c r="G235" s="209" t="b">
        <f t="shared" si="28"/>
        <v>0</v>
      </c>
      <c r="H235" s="209" t="b">
        <f t="shared" si="7"/>
        <v>1</v>
      </c>
      <c r="I235" s="209" t="b">
        <f t="shared" ref="I235:J235" si="106">FALSE</f>
        <v>0</v>
      </c>
      <c r="J235" s="208" t="b">
        <f t="shared" si="106"/>
        <v>0</v>
      </c>
      <c r="K235" s="211">
        <v>4254.0</v>
      </c>
      <c r="L235" s="207" t="str">
        <f t="shared" si="3"/>
        <v>n/a</v>
      </c>
      <c r="M235" s="212" t="str">
        <f t="shared" si="4"/>
        <v>n/a</v>
      </c>
      <c r="N235" s="207" t="str">
        <f t="shared" si="5"/>
        <v>n/a</v>
      </c>
      <c r="O235" s="207">
        <f t="shared" si="6"/>
        <v>0.0002350728726</v>
      </c>
    </row>
    <row r="236" ht="15.75" customHeight="1">
      <c r="A236" s="207">
        <v>29.0</v>
      </c>
      <c r="B236" s="6" t="str">
        <f>VLOOKUP($A236, 'Completion rates'!$A:$E, 2, FALSE)</f>
        <v>Killing king black dragon</v>
      </c>
      <c r="C236" s="207">
        <v>1249.0</v>
      </c>
      <c r="D236" s="6" t="str">
        <f>VLOOKUP($C236, 'List of log slots'!$A:$E, 2, FALSE)</f>
        <v>Dragon spear</v>
      </c>
      <c r="E236" s="207">
        <f>VLOOKUP($C236, 'List of log slots'!$A:$E, 5, FALSE)</f>
        <v>5</v>
      </c>
      <c r="F236" s="213" t="b">
        <f>VLOOKUP(C236, 'List of log slots'!$A:$C, 3, FALSE)</f>
        <v>0</v>
      </c>
      <c r="G236" s="209" t="b">
        <f t="shared" si="28"/>
        <v>0</v>
      </c>
      <c r="H236" s="209" t="b">
        <f t="shared" si="7"/>
        <v>1</v>
      </c>
      <c r="I236" s="209" t="b">
        <f t="shared" ref="I236:J236" si="107">FALSE</f>
        <v>0</v>
      </c>
      <c r="J236" s="208" t="b">
        <f t="shared" si="107"/>
        <v>0</v>
      </c>
      <c r="K236" s="211">
        <v>5672.0</v>
      </c>
      <c r="L236" s="207" t="str">
        <f t="shared" si="3"/>
        <v>n/a</v>
      </c>
      <c r="M236" s="212" t="str">
        <f t="shared" si="4"/>
        <v>n/a</v>
      </c>
      <c r="N236" s="207" t="str">
        <f t="shared" si="5"/>
        <v>n/a</v>
      </c>
      <c r="O236" s="207">
        <f t="shared" si="6"/>
        <v>0.0001763046544</v>
      </c>
    </row>
    <row r="237" ht="15.75" customHeight="1">
      <c r="A237" s="207">
        <v>30.0</v>
      </c>
      <c r="B237" s="6" t="str">
        <f>VLOOKUP($A237, 'Completion rates'!$A:$E, 2, FALSE)</f>
        <v>Killing kraken (on task)</v>
      </c>
      <c r="C237" s="207">
        <v>12655.0</v>
      </c>
      <c r="D237" s="6" t="str">
        <f>VLOOKUP($C237, 'List of log slots'!$A:$E, 2, FALSE)</f>
        <v>Pet kraken</v>
      </c>
      <c r="E237" s="207">
        <f>VLOOKUP($C237, 'List of log slots'!$A:$E, 5, FALSE)</f>
        <v>6</v>
      </c>
      <c r="F237" s="208" t="b">
        <f>VLOOKUP(C237, 'List of log slots'!$A:$C, 3, FALSE)</f>
        <v>0</v>
      </c>
      <c r="G237" s="209" t="b">
        <f t="shared" si="28"/>
        <v>0</v>
      </c>
      <c r="H237" s="210" t="b">
        <f t="shared" si="7"/>
        <v>1</v>
      </c>
      <c r="I237" s="209" t="b">
        <f t="shared" ref="I237:J237" si="108">FALSE</f>
        <v>0</v>
      </c>
      <c r="J237" s="208" t="b">
        <f t="shared" si="108"/>
        <v>0</v>
      </c>
      <c r="K237" s="211">
        <v>3000.0</v>
      </c>
      <c r="L237" s="207" t="str">
        <f t="shared" si="3"/>
        <v>n/a</v>
      </c>
      <c r="M237" s="212" t="str">
        <f t="shared" si="4"/>
        <v>n/a</v>
      </c>
      <c r="N237" s="207" t="str">
        <f t="shared" si="5"/>
        <v>n/a</v>
      </c>
      <c r="O237" s="207">
        <f t="shared" si="6"/>
        <v>0.0003333333333</v>
      </c>
    </row>
    <row r="238" ht="15.75" customHeight="1">
      <c r="A238" s="207">
        <v>30.0</v>
      </c>
      <c r="B238" s="6" t="str">
        <f>VLOOKUP($A238, 'Completion rates'!$A:$E, 2, FALSE)</f>
        <v>Killing kraken (on task)</v>
      </c>
      <c r="C238" s="207">
        <v>12004.0</v>
      </c>
      <c r="D238" s="6" t="str">
        <f>VLOOKUP($C238, 'List of log slots'!$A:$E, 2, FALSE)</f>
        <v>Kraken tentacle</v>
      </c>
      <c r="E238" s="207">
        <f>VLOOKUP($C238, 'List of log slots'!$A:$E, 5, FALSE)</f>
        <v>5</v>
      </c>
      <c r="F238" s="213" t="b">
        <f>VLOOKUP(C238, 'List of log slots'!$A:$C, 3, FALSE)</f>
        <v>0</v>
      </c>
      <c r="G238" s="209" t="b">
        <f t="shared" si="28"/>
        <v>0</v>
      </c>
      <c r="H238" s="209" t="b">
        <f t="shared" si="7"/>
        <v>1</v>
      </c>
      <c r="I238" s="209" t="b">
        <f t="shared" ref="I238:J238" si="109">FALSE</f>
        <v>0</v>
      </c>
      <c r="J238" s="208" t="b">
        <f t="shared" si="109"/>
        <v>0</v>
      </c>
      <c r="K238" s="211">
        <v>400.0</v>
      </c>
      <c r="L238" s="207" t="str">
        <f t="shared" si="3"/>
        <v>n/a</v>
      </c>
      <c r="M238" s="212" t="str">
        <f t="shared" si="4"/>
        <v>n/a</v>
      </c>
      <c r="N238" s="207" t="str">
        <f t="shared" si="5"/>
        <v>n/a</v>
      </c>
      <c r="O238" s="207">
        <f t="shared" si="6"/>
        <v>0.0025</v>
      </c>
    </row>
    <row r="239" ht="15.75" customHeight="1">
      <c r="A239" s="207">
        <v>30.0</v>
      </c>
      <c r="B239" s="6" t="str">
        <f>VLOOKUP($A239, 'Completion rates'!$A:$E, 2, FALSE)</f>
        <v>Killing kraken (on task)</v>
      </c>
      <c r="C239" s="207">
        <v>11905.0</v>
      </c>
      <c r="D239" s="6" t="str">
        <f>VLOOKUP($C239, 'List of log slots'!$A:$E, 2, FALSE)</f>
        <v>Trident of the seas (full)</v>
      </c>
      <c r="E239" s="207">
        <f>VLOOKUP($C239, 'List of log slots'!$A:$E, 5, FALSE)</f>
        <v>5</v>
      </c>
      <c r="F239" s="213" t="b">
        <f>VLOOKUP(C239, 'List of log slots'!$A:$C, 3, FALSE)</f>
        <v>0</v>
      </c>
      <c r="G239" s="209" t="b">
        <f t="shared" si="28"/>
        <v>0</v>
      </c>
      <c r="H239" s="209" t="b">
        <f t="shared" si="7"/>
        <v>1</v>
      </c>
      <c r="I239" s="209" t="b">
        <f t="shared" ref="I239:J239" si="110">FALSE</f>
        <v>0</v>
      </c>
      <c r="J239" s="208" t="b">
        <f t="shared" si="110"/>
        <v>0</v>
      </c>
      <c r="K239" s="211">
        <v>512.0</v>
      </c>
      <c r="L239" s="207" t="str">
        <f t="shared" si="3"/>
        <v>n/a</v>
      </c>
      <c r="M239" s="212" t="str">
        <f t="shared" si="4"/>
        <v>n/a</v>
      </c>
      <c r="N239" s="207" t="str">
        <f t="shared" si="5"/>
        <v>n/a</v>
      </c>
      <c r="O239" s="207">
        <f t="shared" si="6"/>
        <v>0.001953125</v>
      </c>
    </row>
    <row r="240" ht="15.75" customHeight="1">
      <c r="A240" s="207">
        <v>30.0</v>
      </c>
      <c r="B240" s="6" t="str">
        <f>VLOOKUP($A240, 'Completion rates'!$A:$E, 2, FALSE)</f>
        <v>Killing kraken (on task)</v>
      </c>
      <c r="C240" s="207">
        <v>12007.0</v>
      </c>
      <c r="D240" s="6" t="str">
        <f>VLOOKUP($C240, 'List of log slots'!$A:$E, 2, FALSE)</f>
        <v>Jar of dirt</v>
      </c>
      <c r="E240" s="207">
        <f>VLOOKUP($C240, 'List of log slots'!$A:$E, 5, FALSE)</f>
        <v>6</v>
      </c>
      <c r="F240" s="208" t="b">
        <f>VLOOKUP(C240, 'List of log slots'!$A:$C, 3, FALSE)</f>
        <v>0</v>
      </c>
      <c r="G240" s="209" t="b">
        <f t="shared" si="28"/>
        <v>0</v>
      </c>
      <c r="H240" s="210" t="b">
        <f t="shared" si="7"/>
        <v>1</v>
      </c>
      <c r="I240" s="209" t="b">
        <f t="shared" ref="I240:J240" si="111">FALSE</f>
        <v>0</v>
      </c>
      <c r="J240" s="208" t="b">
        <f t="shared" si="111"/>
        <v>0</v>
      </c>
      <c r="K240" s="211">
        <v>1000.0</v>
      </c>
      <c r="L240" s="207" t="str">
        <f t="shared" si="3"/>
        <v>n/a</v>
      </c>
      <c r="M240" s="212" t="str">
        <f t="shared" si="4"/>
        <v>n/a</v>
      </c>
      <c r="N240" s="207" t="str">
        <f t="shared" si="5"/>
        <v>n/a</v>
      </c>
      <c r="O240" s="207">
        <f t="shared" si="6"/>
        <v>0.001</v>
      </c>
    </row>
    <row r="241" ht="15.75" customHeight="1">
      <c r="A241" s="207">
        <v>30.0</v>
      </c>
      <c r="B241" s="6" t="str">
        <f>VLOOKUP($A241, 'Completion rates'!$A:$E, 2, FALSE)</f>
        <v>Killing kraken (on task)</v>
      </c>
      <c r="C241" s="207">
        <v>2366.0</v>
      </c>
      <c r="D241" s="6" t="str">
        <f>VLOOKUP($C241, 'List of log slots'!$A:$E, 2, FALSE)</f>
        <v>Shield left half</v>
      </c>
      <c r="E241" s="207">
        <f>VLOOKUP($C241, 'List of log slots'!$A:$E, 5, FALSE)</f>
        <v>5</v>
      </c>
      <c r="F241" s="213" t="b">
        <f>VLOOKUP(C241, 'List of log slots'!$A:$C, 3, FALSE)</f>
        <v>0</v>
      </c>
      <c r="G241" s="209" t="b">
        <f t="shared" si="28"/>
        <v>0</v>
      </c>
      <c r="H241" s="209" t="b">
        <f t="shared" si="7"/>
        <v>1</v>
      </c>
      <c r="I241" s="209" t="b">
        <f t="shared" ref="I241:J241" si="112">FALSE</f>
        <v>0</v>
      </c>
      <c r="J241" s="208" t="b">
        <f t="shared" si="112"/>
        <v>0</v>
      </c>
      <c r="K241" s="211">
        <v>262144.0</v>
      </c>
      <c r="L241" s="207" t="str">
        <f t="shared" si="3"/>
        <v>n/a</v>
      </c>
      <c r="M241" s="212" t="str">
        <f t="shared" si="4"/>
        <v>n/a</v>
      </c>
      <c r="N241" s="207" t="str">
        <f t="shared" si="5"/>
        <v>n/a</v>
      </c>
      <c r="O241" s="207">
        <f t="shared" si="6"/>
        <v>0.000003814697266</v>
      </c>
    </row>
    <row r="242" ht="15.75" customHeight="1">
      <c r="A242" s="207">
        <v>30.0</v>
      </c>
      <c r="B242" s="6" t="str">
        <f>VLOOKUP($A242, 'Completion rates'!$A:$E, 2, FALSE)</f>
        <v>Killing kraken (on task)</v>
      </c>
      <c r="C242" s="207">
        <v>1249.0</v>
      </c>
      <c r="D242" s="6" t="str">
        <f>VLOOKUP($C242, 'List of log slots'!$A:$E, 2, FALSE)</f>
        <v>Dragon spear</v>
      </c>
      <c r="E242" s="207">
        <f>VLOOKUP($C242, 'List of log slots'!$A:$E, 5, FALSE)</f>
        <v>5</v>
      </c>
      <c r="F242" s="213" t="b">
        <f>VLOOKUP(C242, 'List of log slots'!$A:$C, 3, FALSE)</f>
        <v>0</v>
      </c>
      <c r="G242" s="209" t="b">
        <f t="shared" si="28"/>
        <v>0</v>
      </c>
      <c r="H242" s="209" t="b">
        <f t="shared" si="7"/>
        <v>1</v>
      </c>
      <c r="I242" s="209" t="b">
        <f t="shared" ref="I242:J242" si="113">FALSE</f>
        <v>0</v>
      </c>
      <c r="J242" s="208" t="b">
        <f t="shared" si="113"/>
        <v>0</v>
      </c>
      <c r="K242" s="211">
        <v>349525.0</v>
      </c>
      <c r="L242" s="207" t="str">
        <f t="shared" si="3"/>
        <v>n/a</v>
      </c>
      <c r="M242" s="212" t="str">
        <f t="shared" si="4"/>
        <v>n/a</v>
      </c>
      <c r="N242" s="207" t="str">
        <f t="shared" si="5"/>
        <v>n/a</v>
      </c>
      <c r="O242" s="207">
        <f t="shared" si="6"/>
        <v>0.000002861025678</v>
      </c>
    </row>
    <row r="243" ht="15.75" customHeight="1">
      <c r="A243" s="207">
        <v>31.0</v>
      </c>
      <c r="B243" s="6" t="str">
        <f>VLOOKUP($A243, 'Completion rates'!$A:$E, 2, FALSE)</f>
        <v>Killing kree'arra</v>
      </c>
      <c r="C243" s="207">
        <v>11818.0</v>
      </c>
      <c r="D243" s="6" t="str">
        <f>VLOOKUP($C243, 'List of log slots'!$A:$E, 2, FALSE)</f>
        <v>Godsword shard 1</v>
      </c>
      <c r="E243" s="207">
        <f>VLOOKUP($C243, 'List of log slots'!$A:$E, 5, FALSE)</f>
        <v>5</v>
      </c>
      <c r="F243" s="208" t="b">
        <f>VLOOKUP(C243, 'List of log slots'!$A:$C, 3, FALSE)</f>
        <v>0</v>
      </c>
      <c r="G243" s="209" t="b">
        <f t="shared" si="28"/>
        <v>0</v>
      </c>
      <c r="H243" s="210" t="b">
        <f t="shared" si="7"/>
        <v>1</v>
      </c>
      <c r="I243" s="209" t="b">
        <f t="shared" ref="I243:J243" si="114">FALSE</f>
        <v>0</v>
      </c>
      <c r="J243" s="208" t="b">
        <f t="shared" si="114"/>
        <v>0</v>
      </c>
      <c r="K243" s="211">
        <v>762.0</v>
      </c>
      <c r="L243" s="207" t="str">
        <f t="shared" si="3"/>
        <v>n/a</v>
      </c>
      <c r="M243" s="212" t="str">
        <f t="shared" si="4"/>
        <v>n/a</v>
      </c>
      <c r="N243" s="207" t="str">
        <f t="shared" si="5"/>
        <v>n/a</v>
      </c>
      <c r="O243" s="207">
        <f t="shared" si="6"/>
        <v>0.001312335958</v>
      </c>
    </row>
    <row r="244" ht="15.75" customHeight="1">
      <c r="A244" s="207">
        <v>31.0</v>
      </c>
      <c r="B244" s="6" t="str">
        <f>VLOOKUP($A244, 'Completion rates'!$A:$E, 2, FALSE)</f>
        <v>Killing kree'arra</v>
      </c>
      <c r="C244" s="207">
        <v>11820.0</v>
      </c>
      <c r="D244" s="6" t="str">
        <f>VLOOKUP($C244, 'List of log slots'!$A:$E, 2, FALSE)</f>
        <v>Godsword shard 2</v>
      </c>
      <c r="E244" s="207">
        <f>VLOOKUP($C244, 'List of log slots'!$A:$E, 5, FALSE)</f>
        <v>5</v>
      </c>
      <c r="F244" s="208" t="b">
        <f>VLOOKUP(C244, 'List of log slots'!$A:$C, 3, FALSE)</f>
        <v>0</v>
      </c>
      <c r="G244" s="209" t="b">
        <f t="shared" si="28"/>
        <v>0</v>
      </c>
      <c r="H244" s="210" t="b">
        <f t="shared" si="7"/>
        <v>1</v>
      </c>
      <c r="I244" s="209" t="b">
        <f t="shared" ref="I244:J244" si="115">FALSE</f>
        <v>0</v>
      </c>
      <c r="J244" s="208" t="b">
        <f t="shared" si="115"/>
        <v>0</v>
      </c>
      <c r="K244" s="211">
        <v>762.0</v>
      </c>
      <c r="L244" s="207" t="str">
        <f t="shared" si="3"/>
        <v>n/a</v>
      </c>
      <c r="M244" s="212" t="str">
        <f t="shared" si="4"/>
        <v>n/a</v>
      </c>
      <c r="N244" s="207" t="str">
        <f t="shared" si="5"/>
        <v>n/a</v>
      </c>
      <c r="O244" s="207">
        <f t="shared" si="6"/>
        <v>0.001312335958</v>
      </c>
    </row>
    <row r="245" ht="15.75" customHeight="1">
      <c r="A245" s="207">
        <v>31.0</v>
      </c>
      <c r="B245" s="6" t="str">
        <f>VLOOKUP($A245, 'Completion rates'!$A:$E, 2, FALSE)</f>
        <v>Killing kree'arra</v>
      </c>
      <c r="C245" s="207">
        <v>11822.0</v>
      </c>
      <c r="D245" s="6" t="str">
        <f>VLOOKUP($C245, 'List of log slots'!$A:$E, 2, FALSE)</f>
        <v>Godsword shard 3</v>
      </c>
      <c r="E245" s="207">
        <f>VLOOKUP($C245, 'List of log slots'!$A:$E, 5, FALSE)</f>
        <v>5</v>
      </c>
      <c r="F245" s="208" t="b">
        <f>VLOOKUP(C245, 'List of log slots'!$A:$C, 3, FALSE)</f>
        <v>0</v>
      </c>
      <c r="G245" s="209" t="b">
        <f t="shared" si="28"/>
        <v>0</v>
      </c>
      <c r="H245" s="210" t="b">
        <f t="shared" si="7"/>
        <v>1</v>
      </c>
      <c r="I245" s="209" t="b">
        <f t="shared" ref="I245:J245" si="116">FALSE</f>
        <v>0</v>
      </c>
      <c r="J245" s="208" t="b">
        <f t="shared" si="116"/>
        <v>0</v>
      </c>
      <c r="K245" s="211">
        <v>762.0</v>
      </c>
      <c r="L245" s="207" t="str">
        <f t="shared" si="3"/>
        <v>n/a</v>
      </c>
      <c r="M245" s="212" t="str">
        <f t="shared" si="4"/>
        <v>n/a</v>
      </c>
      <c r="N245" s="207" t="str">
        <f t="shared" si="5"/>
        <v>n/a</v>
      </c>
      <c r="O245" s="207">
        <f t="shared" si="6"/>
        <v>0.001312335958</v>
      </c>
    </row>
    <row r="246" ht="15.75" customHeight="1">
      <c r="A246" s="207">
        <v>31.0</v>
      </c>
      <c r="B246" s="6" t="str">
        <f>VLOOKUP($A246, 'Completion rates'!$A:$E, 2, FALSE)</f>
        <v>Killing kree'arra</v>
      </c>
      <c r="C246" s="207">
        <v>12649.0</v>
      </c>
      <c r="D246" s="6" t="str">
        <f>VLOOKUP($C246, 'List of log slots'!$A:$E, 2, FALSE)</f>
        <v>Pet kree'arra</v>
      </c>
      <c r="E246" s="207">
        <f>VLOOKUP($C246, 'List of log slots'!$A:$E, 5, FALSE)</f>
        <v>7</v>
      </c>
      <c r="F246" s="208" t="b">
        <f>VLOOKUP(C246, 'List of log slots'!$A:$C, 3, FALSE)</f>
        <v>0</v>
      </c>
      <c r="G246" s="209" t="b">
        <f t="shared" si="28"/>
        <v>0</v>
      </c>
      <c r="H246" s="210" t="b">
        <f t="shared" si="7"/>
        <v>1</v>
      </c>
      <c r="I246" s="209" t="b">
        <f t="shared" ref="I246:J246" si="117">FALSE</f>
        <v>0</v>
      </c>
      <c r="J246" s="208" t="b">
        <f t="shared" si="117"/>
        <v>0</v>
      </c>
      <c r="K246" s="211">
        <v>5000.0</v>
      </c>
      <c r="L246" s="207" t="str">
        <f t="shared" si="3"/>
        <v>n/a</v>
      </c>
      <c r="M246" s="212" t="str">
        <f t="shared" si="4"/>
        <v>n/a</v>
      </c>
      <c r="N246" s="207" t="str">
        <f t="shared" si="5"/>
        <v>n/a</v>
      </c>
      <c r="O246" s="207">
        <f t="shared" si="6"/>
        <v>0.0002</v>
      </c>
    </row>
    <row r="247" ht="15.75" customHeight="1">
      <c r="A247" s="207">
        <v>31.0</v>
      </c>
      <c r="B247" s="6" t="str">
        <f>VLOOKUP($A247, 'Completion rates'!$A:$E, 2, FALSE)</f>
        <v>Killing kree'arra</v>
      </c>
      <c r="C247" s="207">
        <v>11826.0</v>
      </c>
      <c r="D247" s="6" t="str">
        <f>VLOOKUP($C247, 'List of log slots'!$A:$E, 2, FALSE)</f>
        <v>Armadyl helmet</v>
      </c>
      <c r="E247" s="207">
        <f>VLOOKUP($C247, 'List of log slots'!$A:$E, 5, FALSE)</f>
        <v>5</v>
      </c>
      <c r="F247" s="208" t="b">
        <f>VLOOKUP(C247, 'List of log slots'!$A:$C, 3, FALSE)</f>
        <v>0</v>
      </c>
      <c r="G247" s="209" t="b">
        <f t="shared" si="28"/>
        <v>0</v>
      </c>
      <c r="H247" s="210" t="b">
        <f t="shared" si="7"/>
        <v>1</v>
      </c>
      <c r="I247" s="209" t="b">
        <f t="shared" ref="I247:J247" si="118">FALSE</f>
        <v>0</v>
      </c>
      <c r="J247" s="208" t="b">
        <f t="shared" si="118"/>
        <v>0</v>
      </c>
      <c r="K247" s="211">
        <v>381.0</v>
      </c>
      <c r="L247" s="207" t="str">
        <f t="shared" si="3"/>
        <v>n/a</v>
      </c>
      <c r="M247" s="212" t="str">
        <f t="shared" si="4"/>
        <v>n/a</v>
      </c>
      <c r="N247" s="207" t="str">
        <f t="shared" si="5"/>
        <v>n/a</v>
      </c>
      <c r="O247" s="207">
        <f t="shared" si="6"/>
        <v>0.002624671916</v>
      </c>
    </row>
    <row r="248" ht="15.75" customHeight="1">
      <c r="A248" s="207">
        <v>31.0</v>
      </c>
      <c r="B248" s="6" t="str">
        <f>VLOOKUP($A248, 'Completion rates'!$A:$E, 2, FALSE)</f>
        <v>Killing kree'arra</v>
      </c>
      <c r="C248" s="207">
        <v>11828.0</v>
      </c>
      <c r="D248" s="6" t="str">
        <f>VLOOKUP($C248, 'List of log slots'!$A:$E, 2, FALSE)</f>
        <v>Armadyl chestplate</v>
      </c>
      <c r="E248" s="207">
        <f>VLOOKUP($C248, 'List of log slots'!$A:$E, 5, FALSE)</f>
        <v>5</v>
      </c>
      <c r="F248" s="208" t="b">
        <f>VLOOKUP(C248, 'List of log slots'!$A:$C, 3, FALSE)</f>
        <v>0</v>
      </c>
      <c r="G248" s="209" t="b">
        <f t="shared" si="28"/>
        <v>0</v>
      </c>
      <c r="H248" s="210" t="b">
        <f t="shared" si="7"/>
        <v>1</v>
      </c>
      <c r="I248" s="209" t="b">
        <f t="shared" ref="I248:J248" si="119">FALSE</f>
        <v>0</v>
      </c>
      <c r="J248" s="208" t="b">
        <f t="shared" si="119"/>
        <v>0</v>
      </c>
      <c r="K248" s="211">
        <v>381.0</v>
      </c>
      <c r="L248" s="207" t="str">
        <f t="shared" si="3"/>
        <v>n/a</v>
      </c>
      <c r="M248" s="212" t="str">
        <f t="shared" si="4"/>
        <v>n/a</v>
      </c>
      <c r="N248" s="207" t="str">
        <f t="shared" si="5"/>
        <v>n/a</v>
      </c>
      <c r="O248" s="207">
        <f t="shared" si="6"/>
        <v>0.002624671916</v>
      </c>
    </row>
    <row r="249" ht="15.75" customHeight="1">
      <c r="A249" s="207">
        <v>31.0</v>
      </c>
      <c r="B249" s="6" t="str">
        <f>VLOOKUP($A249, 'Completion rates'!$A:$E, 2, FALSE)</f>
        <v>Killing kree'arra</v>
      </c>
      <c r="C249" s="207">
        <v>11830.0</v>
      </c>
      <c r="D249" s="6" t="str">
        <f>VLOOKUP($C249, 'List of log slots'!$A:$E, 2, FALSE)</f>
        <v>Armadyl chainskirt</v>
      </c>
      <c r="E249" s="207">
        <f>VLOOKUP($C249, 'List of log slots'!$A:$E, 5, FALSE)</f>
        <v>5</v>
      </c>
      <c r="F249" s="208" t="b">
        <f>VLOOKUP(C249, 'List of log slots'!$A:$C, 3, FALSE)</f>
        <v>0</v>
      </c>
      <c r="G249" s="209" t="b">
        <f t="shared" si="28"/>
        <v>0</v>
      </c>
      <c r="H249" s="210" t="b">
        <f t="shared" si="7"/>
        <v>1</v>
      </c>
      <c r="I249" s="209" t="b">
        <f t="shared" ref="I249:J249" si="120">FALSE</f>
        <v>0</v>
      </c>
      <c r="J249" s="208" t="b">
        <f t="shared" si="120"/>
        <v>0</v>
      </c>
      <c r="K249" s="211">
        <v>381.0</v>
      </c>
      <c r="L249" s="207" t="str">
        <f t="shared" si="3"/>
        <v>n/a</v>
      </c>
      <c r="M249" s="212" t="str">
        <f t="shared" si="4"/>
        <v>n/a</v>
      </c>
      <c r="N249" s="207" t="str">
        <f t="shared" si="5"/>
        <v>n/a</v>
      </c>
      <c r="O249" s="207">
        <f t="shared" si="6"/>
        <v>0.002624671916</v>
      </c>
    </row>
    <row r="250" ht="15.75" customHeight="1">
      <c r="A250" s="207">
        <v>31.0</v>
      </c>
      <c r="B250" s="6" t="str">
        <f>VLOOKUP($A250, 'Completion rates'!$A:$E, 2, FALSE)</f>
        <v>Killing kree'arra</v>
      </c>
      <c r="C250" s="207">
        <v>11810.0</v>
      </c>
      <c r="D250" s="6" t="str">
        <f>VLOOKUP($C250, 'List of log slots'!$A:$E, 2, FALSE)</f>
        <v>Armadyl hilt</v>
      </c>
      <c r="E250" s="207">
        <f>VLOOKUP($C250, 'List of log slots'!$A:$E, 5, FALSE)</f>
        <v>5</v>
      </c>
      <c r="F250" s="208" t="b">
        <f>VLOOKUP(C250, 'List of log slots'!$A:$C, 3, FALSE)</f>
        <v>0</v>
      </c>
      <c r="G250" s="209" t="b">
        <f t="shared" si="28"/>
        <v>0</v>
      </c>
      <c r="H250" s="210" t="b">
        <f t="shared" si="7"/>
        <v>1</v>
      </c>
      <c r="I250" s="209" t="b">
        <f t="shared" ref="I250:J250" si="121">FALSE</f>
        <v>0</v>
      </c>
      <c r="J250" s="208" t="b">
        <f t="shared" si="121"/>
        <v>0</v>
      </c>
      <c r="K250" s="211">
        <v>508.0</v>
      </c>
      <c r="L250" s="207" t="str">
        <f t="shared" si="3"/>
        <v>n/a</v>
      </c>
      <c r="M250" s="212" t="str">
        <f t="shared" si="4"/>
        <v>n/a</v>
      </c>
      <c r="N250" s="207" t="str">
        <f t="shared" si="5"/>
        <v>n/a</v>
      </c>
      <c r="O250" s="207">
        <f t="shared" si="6"/>
        <v>0.001968503937</v>
      </c>
    </row>
    <row r="251" ht="15.75" customHeight="1">
      <c r="A251" s="207">
        <v>31.0</v>
      </c>
      <c r="B251" s="6" t="str">
        <f>VLOOKUP($A251, 'Completion rates'!$A:$E, 2, FALSE)</f>
        <v>Killing kree'arra</v>
      </c>
      <c r="C251" s="207">
        <v>10976.0</v>
      </c>
      <c r="D251" s="6" t="str">
        <f>VLOOKUP($C251, 'List of log slots'!$A:$E, 2, FALSE)</f>
        <v>Long bone</v>
      </c>
      <c r="E251" s="207">
        <f>VLOOKUP($C251, 'List of log slots'!$A:$E, 5, FALSE)</f>
        <v>3</v>
      </c>
      <c r="F251" s="213" t="b">
        <f>VLOOKUP(C251, 'List of log slots'!$A:$C, 3, FALSE)</f>
        <v>0</v>
      </c>
      <c r="G251" s="209" t="b">
        <f t="shared" si="28"/>
        <v>0</v>
      </c>
      <c r="H251" s="209" t="b">
        <f t="shared" si="7"/>
        <v>1</v>
      </c>
      <c r="I251" s="209" t="b">
        <f t="shared" ref="I251:J251" si="122">FALSE</f>
        <v>0</v>
      </c>
      <c r="J251" s="208" t="b">
        <f t="shared" si="122"/>
        <v>0</v>
      </c>
      <c r="K251" s="211">
        <v>400.0</v>
      </c>
      <c r="L251" s="207" t="str">
        <f t="shared" si="3"/>
        <v>n/a</v>
      </c>
      <c r="M251" s="212" t="str">
        <f t="shared" si="4"/>
        <v>n/a</v>
      </c>
      <c r="N251" s="207" t="str">
        <f t="shared" si="5"/>
        <v>n/a</v>
      </c>
      <c r="O251" s="207">
        <f t="shared" si="6"/>
        <v>0.0025</v>
      </c>
    </row>
    <row r="252" ht="15.75" customHeight="1">
      <c r="A252" s="207">
        <v>31.0</v>
      </c>
      <c r="B252" s="6" t="str">
        <f>VLOOKUP($A252, 'Completion rates'!$A:$E, 2, FALSE)</f>
        <v>Killing kree'arra</v>
      </c>
      <c r="C252" s="207">
        <v>10977.0</v>
      </c>
      <c r="D252" s="6" t="str">
        <f>VLOOKUP($C252, 'List of log slots'!$A:$E, 2, FALSE)</f>
        <v>Curved bone</v>
      </c>
      <c r="E252" s="207">
        <f>VLOOKUP($C252, 'List of log slots'!$A:$E, 5, FALSE)</f>
        <v>5</v>
      </c>
      <c r="F252" s="208" t="b">
        <f>VLOOKUP(C252, 'List of log slots'!$A:$C, 3, FALSE)</f>
        <v>0</v>
      </c>
      <c r="G252" s="209" t="b">
        <f t="shared" si="28"/>
        <v>0</v>
      </c>
      <c r="H252" s="210" t="b">
        <f t="shared" si="7"/>
        <v>1</v>
      </c>
      <c r="I252" s="209" t="b">
        <f t="shared" ref="I252:J252" si="123">FALSE</f>
        <v>0</v>
      </c>
      <c r="J252" s="208" t="b">
        <f t="shared" si="123"/>
        <v>0</v>
      </c>
      <c r="K252" s="211">
        <v>5013.0</v>
      </c>
      <c r="L252" s="207" t="str">
        <f t="shared" si="3"/>
        <v>n/a</v>
      </c>
      <c r="M252" s="212" t="str">
        <f t="shared" si="4"/>
        <v>n/a</v>
      </c>
      <c r="N252" s="207" t="str">
        <f t="shared" si="5"/>
        <v>n/a</v>
      </c>
      <c r="O252" s="207">
        <f t="shared" si="6"/>
        <v>0.0001994813485</v>
      </c>
    </row>
    <row r="253" ht="15.75" customHeight="1">
      <c r="A253" s="207">
        <v>31.0</v>
      </c>
      <c r="B253" s="6" t="str">
        <f>VLOOKUP($A253, 'Completion rates'!$A:$E, 2, FALSE)</f>
        <v>Killing kree'arra</v>
      </c>
      <c r="C253" s="207">
        <v>2366.0</v>
      </c>
      <c r="D253" s="6" t="str">
        <f>VLOOKUP($C253, 'List of log slots'!$A:$E, 2, FALSE)</f>
        <v>Shield left half</v>
      </c>
      <c r="E253" s="207">
        <f>VLOOKUP($C253, 'List of log slots'!$A:$E, 5, FALSE)</f>
        <v>5</v>
      </c>
      <c r="F253" s="213" t="b">
        <f>VLOOKUP(C253, 'List of log slots'!$A:$C, 3, FALSE)</f>
        <v>0</v>
      </c>
      <c r="G253" s="209" t="b">
        <f t="shared" si="28"/>
        <v>0</v>
      </c>
      <c r="H253" s="209" t="b">
        <f t="shared" si="7"/>
        <v>1</v>
      </c>
      <c r="I253" s="209" t="b">
        <f t="shared" ref="I253:J253" si="124">FALSE</f>
        <v>0</v>
      </c>
      <c r="J253" s="208" t="b">
        <f t="shared" si="124"/>
        <v>0</v>
      </c>
      <c r="K253" s="211">
        <v>4221.0</v>
      </c>
      <c r="L253" s="207" t="str">
        <f t="shared" si="3"/>
        <v>n/a</v>
      </c>
      <c r="M253" s="212" t="str">
        <f t="shared" si="4"/>
        <v>n/a</v>
      </c>
      <c r="N253" s="207" t="str">
        <f t="shared" si="5"/>
        <v>n/a</v>
      </c>
      <c r="O253" s="207">
        <f t="shared" si="6"/>
        <v>0.0002369106847</v>
      </c>
    </row>
    <row r="254" ht="15.75" customHeight="1">
      <c r="A254" s="207">
        <v>31.0</v>
      </c>
      <c r="B254" s="6" t="str">
        <f>VLOOKUP($A254, 'Completion rates'!$A:$E, 2, FALSE)</f>
        <v>Killing kree'arra</v>
      </c>
      <c r="C254" s="207">
        <v>1249.0</v>
      </c>
      <c r="D254" s="6" t="str">
        <f>VLOOKUP($C254, 'List of log slots'!$A:$E, 2, FALSE)</f>
        <v>Dragon spear</v>
      </c>
      <c r="E254" s="207">
        <f>VLOOKUP($C254, 'List of log slots'!$A:$E, 5, FALSE)</f>
        <v>5</v>
      </c>
      <c r="F254" s="213" t="b">
        <f>VLOOKUP(C254, 'List of log slots'!$A:$C, 3, FALSE)</f>
        <v>0</v>
      </c>
      <c r="G254" s="209" t="b">
        <f t="shared" si="28"/>
        <v>0</v>
      </c>
      <c r="H254" s="209" t="b">
        <f t="shared" si="7"/>
        <v>1</v>
      </c>
      <c r="I254" s="209" t="b">
        <f t="shared" ref="I254:J254" si="125">FALSE</f>
        <v>0</v>
      </c>
      <c r="J254" s="208" t="b">
        <f t="shared" si="125"/>
        <v>0</v>
      </c>
      <c r="K254" s="211">
        <v>5628.0</v>
      </c>
      <c r="L254" s="207" t="str">
        <f t="shared" si="3"/>
        <v>n/a</v>
      </c>
      <c r="M254" s="212" t="str">
        <f t="shared" si="4"/>
        <v>n/a</v>
      </c>
      <c r="N254" s="207" t="str">
        <f t="shared" si="5"/>
        <v>n/a</v>
      </c>
      <c r="O254" s="207">
        <f t="shared" si="6"/>
        <v>0.0001776830135</v>
      </c>
    </row>
    <row r="255" ht="15.75" customHeight="1">
      <c r="A255" s="207">
        <v>32.0</v>
      </c>
      <c r="B255" s="6" t="str">
        <f>VLOOKUP($A255, 'Completion rates'!$A:$E, 2, FALSE)</f>
        <v>Killing k'ril tsutsaroth</v>
      </c>
      <c r="C255" s="207">
        <v>11818.0</v>
      </c>
      <c r="D255" s="6" t="str">
        <f>VLOOKUP($C255, 'List of log slots'!$A:$E, 2, FALSE)</f>
        <v>Godsword shard 1</v>
      </c>
      <c r="E255" s="207">
        <f>VLOOKUP($C255, 'List of log slots'!$A:$E, 5, FALSE)</f>
        <v>5</v>
      </c>
      <c r="F255" s="208" t="b">
        <f>VLOOKUP(C255, 'List of log slots'!$A:$C, 3, FALSE)</f>
        <v>0</v>
      </c>
      <c r="G255" s="209" t="b">
        <f t="shared" si="28"/>
        <v>0</v>
      </c>
      <c r="H255" s="210" t="b">
        <f t="shared" si="7"/>
        <v>1</v>
      </c>
      <c r="I255" s="209" t="b">
        <f t="shared" ref="I255:J255" si="126">FALSE</f>
        <v>0</v>
      </c>
      <c r="J255" s="208" t="b">
        <f t="shared" si="126"/>
        <v>0</v>
      </c>
      <c r="K255" s="211">
        <v>762.0</v>
      </c>
      <c r="L255" s="207" t="str">
        <f t="shared" si="3"/>
        <v>n/a</v>
      </c>
      <c r="M255" s="212" t="str">
        <f t="shared" si="4"/>
        <v>n/a</v>
      </c>
      <c r="N255" s="207" t="str">
        <f t="shared" si="5"/>
        <v>n/a</v>
      </c>
      <c r="O255" s="207">
        <f t="shared" si="6"/>
        <v>0.001312335958</v>
      </c>
    </row>
    <row r="256" ht="15.75" customHeight="1">
      <c r="A256" s="207">
        <v>32.0</v>
      </c>
      <c r="B256" s="6" t="str">
        <f>VLOOKUP($A256, 'Completion rates'!$A:$E, 2, FALSE)</f>
        <v>Killing k'ril tsutsaroth</v>
      </c>
      <c r="C256" s="207">
        <v>11820.0</v>
      </c>
      <c r="D256" s="6" t="str">
        <f>VLOOKUP($C256, 'List of log slots'!$A:$E, 2, FALSE)</f>
        <v>Godsword shard 2</v>
      </c>
      <c r="E256" s="207">
        <f>VLOOKUP($C256, 'List of log slots'!$A:$E, 5, FALSE)</f>
        <v>5</v>
      </c>
      <c r="F256" s="208" t="b">
        <f>VLOOKUP(C256, 'List of log slots'!$A:$C, 3, FALSE)</f>
        <v>0</v>
      </c>
      <c r="G256" s="209" t="b">
        <f t="shared" si="28"/>
        <v>0</v>
      </c>
      <c r="H256" s="210" t="b">
        <f t="shared" si="7"/>
        <v>1</v>
      </c>
      <c r="I256" s="209" t="b">
        <f t="shared" ref="I256:J256" si="127">FALSE</f>
        <v>0</v>
      </c>
      <c r="J256" s="208" t="b">
        <f t="shared" si="127"/>
        <v>0</v>
      </c>
      <c r="K256" s="211">
        <v>762.0</v>
      </c>
      <c r="L256" s="207" t="str">
        <f t="shared" si="3"/>
        <v>n/a</v>
      </c>
      <c r="M256" s="212" t="str">
        <f t="shared" si="4"/>
        <v>n/a</v>
      </c>
      <c r="N256" s="207" t="str">
        <f t="shared" si="5"/>
        <v>n/a</v>
      </c>
      <c r="O256" s="207">
        <f t="shared" si="6"/>
        <v>0.001312335958</v>
      </c>
    </row>
    <row r="257" ht="15.75" customHeight="1">
      <c r="A257" s="207">
        <v>32.0</v>
      </c>
      <c r="B257" s="6" t="str">
        <f>VLOOKUP($A257, 'Completion rates'!$A:$E, 2, FALSE)</f>
        <v>Killing k'ril tsutsaroth</v>
      </c>
      <c r="C257" s="207">
        <v>11822.0</v>
      </c>
      <c r="D257" s="6" t="str">
        <f>VLOOKUP($C257, 'List of log slots'!$A:$E, 2, FALSE)</f>
        <v>Godsword shard 3</v>
      </c>
      <c r="E257" s="207">
        <f>VLOOKUP($C257, 'List of log slots'!$A:$E, 5, FALSE)</f>
        <v>5</v>
      </c>
      <c r="F257" s="208" t="b">
        <f>VLOOKUP(C257, 'List of log slots'!$A:$C, 3, FALSE)</f>
        <v>0</v>
      </c>
      <c r="G257" s="209" t="b">
        <f t="shared" si="28"/>
        <v>0</v>
      </c>
      <c r="H257" s="210" t="b">
        <f t="shared" si="7"/>
        <v>1</v>
      </c>
      <c r="I257" s="209" t="b">
        <f t="shared" ref="I257:J257" si="128">FALSE</f>
        <v>0</v>
      </c>
      <c r="J257" s="208" t="b">
        <f t="shared" si="128"/>
        <v>0</v>
      </c>
      <c r="K257" s="211">
        <v>762.0</v>
      </c>
      <c r="L257" s="207" t="str">
        <f t="shared" si="3"/>
        <v>n/a</v>
      </c>
      <c r="M257" s="212" t="str">
        <f t="shared" si="4"/>
        <v>n/a</v>
      </c>
      <c r="N257" s="207" t="str">
        <f t="shared" si="5"/>
        <v>n/a</v>
      </c>
      <c r="O257" s="207">
        <f t="shared" si="6"/>
        <v>0.001312335958</v>
      </c>
    </row>
    <row r="258" ht="15.75" customHeight="1">
      <c r="A258" s="207">
        <v>32.0</v>
      </c>
      <c r="B258" s="6" t="str">
        <f>VLOOKUP($A258, 'Completion rates'!$A:$E, 2, FALSE)</f>
        <v>Killing k'ril tsutsaroth</v>
      </c>
      <c r="C258" s="207">
        <v>12652.0</v>
      </c>
      <c r="D258" s="6" t="str">
        <f>VLOOKUP($C258, 'List of log slots'!$A:$E, 2, FALSE)</f>
        <v>Pet k'ril tsutsaroth</v>
      </c>
      <c r="E258" s="207">
        <f>VLOOKUP($C258, 'List of log slots'!$A:$E, 5, FALSE)</f>
        <v>7</v>
      </c>
      <c r="F258" s="208" t="b">
        <f>VLOOKUP(C258, 'List of log slots'!$A:$C, 3, FALSE)</f>
        <v>0</v>
      </c>
      <c r="G258" s="209" t="b">
        <f t="shared" si="28"/>
        <v>0</v>
      </c>
      <c r="H258" s="210" t="b">
        <f t="shared" si="7"/>
        <v>1</v>
      </c>
      <c r="I258" s="209" t="b">
        <f t="shared" ref="I258:J258" si="129">FALSE</f>
        <v>0</v>
      </c>
      <c r="J258" s="208" t="b">
        <f t="shared" si="129"/>
        <v>0</v>
      </c>
      <c r="K258" s="211">
        <v>5000.0</v>
      </c>
      <c r="L258" s="207" t="str">
        <f t="shared" si="3"/>
        <v>n/a</v>
      </c>
      <c r="M258" s="212" t="str">
        <f t="shared" si="4"/>
        <v>n/a</v>
      </c>
      <c r="N258" s="207" t="str">
        <f t="shared" si="5"/>
        <v>n/a</v>
      </c>
      <c r="O258" s="207">
        <f t="shared" si="6"/>
        <v>0.0002</v>
      </c>
    </row>
    <row r="259" ht="15.75" customHeight="1">
      <c r="A259" s="207">
        <v>32.0</v>
      </c>
      <c r="B259" s="6" t="str">
        <f>VLOOKUP($A259, 'Completion rates'!$A:$E, 2, FALSE)</f>
        <v>Killing k'ril tsutsaroth</v>
      </c>
      <c r="C259" s="207">
        <v>11791.0</v>
      </c>
      <c r="D259" s="6" t="str">
        <f>VLOOKUP($C259, 'List of log slots'!$A:$E, 2, FALSE)</f>
        <v>Staff of the dead</v>
      </c>
      <c r="E259" s="207">
        <f>VLOOKUP($C259, 'List of log slots'!$A:$E, 5, FALSE)</f>
        <v>5</v>
      </c>
      <c r="F259" s="208" t="b">
        <f>VLOOKUP(C259, 'List of log slots'!$A:$C, 3, FALSE)</f>
        <v>0</v>
      </c>
      <c r="G259" s="209" t="b">
        <f t="shared" si="28"/>
        <v>0</v>
      </c>
      <c r="H259" s="210" t="b">
        <f t="shared" si="7"/>
        <v>1</v>
      </c>
      <c r="I259" s="209" t="b">
        <f t="shared" ref="I259:J259" si="130">FALSE</f>
        <v>0</v>
      </c>
      <c r="J259" s="208" t="b">
        <f t="shared" si="130"/>
        <v>0</v>
      </c>
      <c r="K259" s="211">
        <v>508.0</v>
      </c>
      <c r="L259" s="207" t="str">
        <f t="shared" si="3"/>
        <v>n/a</v>
      </c>
      <c r="M259" s="212" t="str">
        <f t="shared" si="4"/>
        <v>n/a</v>
      </c>
      <c r="N259" s="207" t="str">
        <f t="shared" si="5"/>
        <v>n/a</v>
      </c>
      <c r="O259" s="207">
        <f t="shared" si="6"/>
        <v>0.001968503937</v>
      </c>
    </row>
    <row r="260" ht="15.75" customHeight="1">
      <c r="A260" s="207">
        <v>32.0</v>
      </c>
      <c r="B260" s="6" t="str">
        <f>VLOOKUP($A260, 'Completion rates'!$A:$E, 2, FALSE)</f>
        <v>Killing k'ril tsutsaroth</v>
      </c>
      <c r="C260" s="207">
        <v>11824.0</v>
      </c>
      <c r="D260" s="6" t="str">
        <f>VLOOKUP($C260, 'List of log slots'!$A:$E, 2, FALSE)</f>
        <v>Zamorakian spear</v>
      </c>
      <c r="E260" s="207">
        <f>VLOOKUP($C260, 'List of log slots'!$A:$E, 5, FALSE)</f>
        <v>5</v>
      </c>
      <c r="F260" s="208" t="b">
        <f>VLOOKUP(C260, 'List of log slots'!$A:$C, 3, FALSE)</f>
        <v>0</v>
      </c>
      <c r="G260" s="209" t="b">
        <f t="shared" si="28"/>
        <v>0</v>
      </c>
      <c r="H260" s="210" t="b">
        <f t="shared" si="7"/>
        <v>1</v>
      </c>
      <c r="I260" s="209" t="b">
        <f t="shared" ref="I260:J260" si="131">FALSE</f>
        <v>0</v>
      </c>
      <c r="J260" s="208" t="b">
        <f t="shared" si="131"/>
        <v>0</v>
      </c>
      <c r="K260" s="211">
        <v>127.0</v>
      </c>
      <c r="L260" s="207" t="str">
        <f t="shared" si="3"/>
        <v>n/a</v>
      </c>
      <c r="M260" s="212" t="str">
        <f t="shared" si="4"/>
        <v>n/a</v>
      </c>
      <c r="N260" s="207" t="str">
        <f t="shared" si="5"/>
        <v>n/a</v>
      </c>
      <c r="O260" s="207">
        <f t="shared" si="6"/>
        <v>0.007874015748</v>
      </c>
    </row>
    <row r="261" ht="15.75" customHeight="1">
      <c r="A261" s="207">
        <v>32.0</v>
      </c>
      <c r="B261" s="6" t="str">
        <f>VLOOKUP($A261, 'Completion rates'!$A:$E, 2, FALSE)</f>
        <v>Killing k'ril tsutsaroth</v>
      </c>
      <c r="C261" s="207">
        <v>11787.0</v>
      </c>
      <c r="D261" s="6" t="str">
        <f>VLOOKUP($C261, 'List of log slots'!$A:$E, 2, FALSE)</f>
        <v>Steam battlestaff</v>
      </c>
      <c r="E261" s="207">
        <f>VLOOKUP($C261, 'List of log slots'!$A:$E, 5, FALSE)</f>
        <v>5</v>
      </c>
      <c r="F261" s="208" t="b">
        <f>VLOOKUP(C261, 'List of log slots'!$A:$C, 3, FALSE)</f>
        <v>0</v>
      </c>
      <c r="G261" s="209" t="b">
        <f t="shared" si="28"/>
        <v>0</v>
      </c>
      <c r="H261" s="210" t="b">
        <f t="shared" si="7"/>
        <v>1</v>
      </c>
      <c r="I261" s="209" t="b">
        <f t="shared" ref="I261:J261" si="132">FALSE</f>
        <v>0</v>
      </c>
      <c r="J261" s="208" t="b">
        <f t="shared" si="132"/>
        <v>0</v>
      </c>
      <c r="K261" s="211">
        <v>127.0</v>
      </c>
      <c r="L261" s="207" t="str">
        <f t="shared" si="3"/>
        <v>n/a</v>
      </c>
      <c r="M261" s="212" t="str">
        <f t="shared" si="4"/>
        <v>n/a</v>
      </c>
      <c r="N261" s="207" t="str">
        <f t="shared" si="5"/>
        <v>n/a</v>
      </c>
      <c r="O261" s="207">
        <f t="shared" si="6"/>
        <v>0.007874015748</v>
      </c>
    </row>
    <row r="262" ht="15.75" customHeight="1">
      <c r="A262" s="207">
        <v>32.0</v>
      </c>
      <c r="B262" s="6" t="str">
        <f>VLOOKUP($A262, 'Completion rates'!$A:$E, 2, FALSE)</f>
        <v>Killing k'ril tsutsaroth</v>
      </c>
      <c r="C262" s="207">
        <v>11816.0</v>
      </c>
      <c r="D262" s="6" t="str">
        <f>VLOOKUP($C262, 'List of log slots'!$A:$E, 2, FALSE)</f>
        <v>Zamorak hilt</v>
      </c>
      <c r="E262" s="207">
        <f>VLOOKUP($C262, 'List of log slots'!$A:$E, 5, FALSE)</f>
        <v>5</v>
      </c>
      <c r="F262" s="208" t="b">
        <f>VLOOKUP(C262, 'List of log slots'!$A:$C, 3, FALSE)</f>
        <v>0</v>
      </c>
      <c r="G262" s="209" t="b">
        <f t="shared" si="28"/>
        <v>0</v>
      </c>
      <c r="H262" s="210" t="b">
        <f t="shared" si="7"/>
        <v>1</v>
      </c>
      <c r="I262" s="209" t="b">
        <f t="shared" ref="I262:J262" si="133">FALSE</f>
        <v>0</v>
      </c>
      <c r="J262" s="208" t="b">
        <f t="shared" si="133"/>
        <v>0</v>
      </c>
      <c r="K262" s="211">
        <v>508.0</v>
      </c>
      <c r="L262" s="207" t="str">
        <f t="shared" si="3"/>
        <v>n/a</v>
      </c>
      <c r="M262" s="212" t="str">
        <f t="shared" si="4"/>
        <v>n/a</v>
      </c>
      <c r="N262" s="207" t="str">
        <f t="shared" si="5"/>
        <v>n/a</v>
      </c>
      <c r="O262" s="207">
        <f t="shared" si="6"/>
        <v>0.001968503937</v>
      </c>
    </row>
    <row r="263" ht="15.75" customHeight="1">
      <c r="A263" s="207">
        <v>32.0</v>
      </c>
      <c r="B263" s="6" t="str">
        <f>VLOOKUP($A263, 'Completion rates'!$A:$E, 2, FALSE)</f>
        <v>Killing k'ril tsutsaroth</v>
      </c>
      <c r="C263" s="207">
        <v>2366.0</v>
      </c>
      <c r="D263" s="6" t="str">
        <f>VLOOKUP($C263, 'List of log slots'!$A:$E, 2, FALSE)</f>
        <v>Shield left half</v>
      </c>
      <c r="E263" s="207">
        <f>VLOOKUP($C263, 'List of log slots'!$A:$E, 5, FALSE)</f>
        <v>5</v>
      </c>
      <c r="F263" s="213" t="b">
        <f>VLOOKUP(C263, 'List of log slots'!$A:$C, 3, FALSE)</f>
        <v>0</v>
      </c>
      <c r="G263" s="209" t="b">
        <f t="shared" si="28"/>
        <v>0</v>
      </c>
      <c r="H263" s="209" t="b">
        <f t="shared" si="7"/>
        <v>1</v>
      </c>
      <c r="I263" s="209" t="b">
        <f t="shared" ref="I263:J263" si="134">FALSE</f>
        <v>0</v>
      </c>
      <c r="J263" s="208" t="b">
        <f t="shared" si="134"/>
        <v>0</v>
      </c>
      <c r="K263" s="211">
        <v>4221.0</v>
      </c>
      <c r="L263" s="207" t="str">
        <f t="shared" si="3"/>
        <v>n/a</v>
      </c>
      <c r="M263" s="212" t="str">
        <f t="shared" si="4"/>
        <v>n/a</v>
      </c>
      <c r="N263" s="207" t="str">
        <f t="shared" si="5"/>
        <v>n/a</v>
      </c>
      <c r="O263" s="207">
        <f t="shared" si="6"/>
        <v>0.0002369106847</v>
      </c>
    </row>
    <row r="264" ht="15.75" customHeight="1">
      <c r="A264" s="207">
        <v>32.0</v>
      </c>
      <c r="B264" s="6" t="str">
        <f>VLOOKUP($A264, 'Completion rates'!$A:$E, 2, FALSE)</f>
        <v>Killing k'ril tsutsaroth</v>
      </c>
      <c r="C264" s="207">
        <v>1249.0</v>
      </c>
      <c r="D264" s="6" t="str">
        <f>VLOOKUP($C264, 'List of log slots'!$A:$E, 2, FALSE)</f>
        <v>Dragon spear</v>
      </c>
      <c r="E264" s="207">
        <f>VLOOKUP($C264, 'List of log slots'!$A:$E, 5, FALSE)</f>
        <v>5</v>
      </c>
      <c r="F264" s="213" t="b">
        <f>VLOOKUP(C264, 'List of log slots'!$A:$C, 3, FALSE)</f>
        <v>0</v>
      </c>
      <c r="G264" s="209" t="b">
        <f t="shared" si="28"/>
        <v>0</v>
      </c>
      <c r="H264" s="209" t="b">
        <f t="shared" si="7"/>
        <v>1</v>
      </c>
      <c r="I264" s="209" t="b">
        <f t="shared" ref="I264:J264" si="135">FALSE</f>
        <v>0</v>
      </c>
      <c r="J264" s="208" t="b">
        <f t="shared" si="135"/>
        <v>0</v>
      </c>
      <c r="K264" s="211">
        <v>5628.0</v>
      </c>
      <c r="L264" s="207" t="str">
        <f t="shared" si="3"/>
        <v>n/a</v>
      </c>
      <c r="M264" s="212" t="str">
        <f t="shared" si="4"/>
        <v>n/a</v>
      </c>
      <c r="N264" s="207" t="str">
        <f t="shared" si="5"/>
        <v>n/a</v>
      </c>
      <c r="O264" s="207">
        <f t="shared" si="6"/>
        <v>0.0001776830135</v>
      </c>
    </row>
    <row r="265" ht="15.75" customHeight="1">
      <c r="A265" s="207">
        <v>33.0</v>
      </c>
      <c r="B265" s="6" t="str">
        <f>VLOOKUP($A265, 'Completion rates'!$A:$E, 2, FALSE)</f>
        <v>Killing the leviathan</v>
      </c>
      <c r="C265" s="207">
        <v>28252.0</v>
      </c>
      <c r="D265" s="6" t="str">
        <f>VLOOKUP($C265, 'List of log slots'!$A:$E, 2, FALSE)</f>
        <v>Lil'viathan</v>
      </c>
      <c r="E265" s="207">
        <f>VLOOKUP($C265, 'List of log slots'!$A:$E, 5, FALSE)</f>
        <v>7</v>
      </c>
      <c r="F265" s="208" t="b">
        <f>VLOOKUP(C265, 'List of log slots'!$A:$C, 3, FALSE)</f>
        <v>0</v>
      </c>
      <c r="G265" s="209" t="b">
        <f t="shared" si="28"/>
        <v>0</v>
      </c>
      <c r="H265" s="210" t="b">
        <f t="shared" si="7"/>
        <v>1</v>
      </c>
      <c r="I265" s="209" t="b">
        <f t="shared" ref="I265:J265" si="136">FALSE</f>
        <v>0</v>
      </c>
      <c r="J265" s="208" t="b">
        <f t="shared" si="136"/>
        <v>0</v>
      </c>
      <c r="K265" s="211">
        <v>2500.0</v>
      </c>
      <c r="L265" s="207" t="str">
        <f t="shared" si="3"/>
        <v>n/a</v>
      </c>
      <c r="M265" s="212" t="str">
        <f t="shared" si="4"/>
        <v>n/a</v>
      </c>
      <c r="N265" s="207" t="str">
        <f t="shared" si="5"/>
        <v>n/a</v>
      </c>
      <c r="O265" s="207">
        <f t="shared" si="6"/>
        <v>0.0004</v>
      </c>
    </row>
    <row r="266" ht="15.75" customHeight="1">
      <c r="A266" s="207">
        <v>33.0</v>
      </c>
      <c r="B266" s="6" t="str">
        <f>VLOOKUP($A266, 'Completion rates'!$A:$E, 2, FALSE)</f>
        <v>Killing the leviathan</v>
      </c>
      <c r="C266" s="207">
        <v>28325.0</v>
      </c>
      <c r="D266" s="6" t="str">
        <f>VLOOKUP($C266, 'List of log slots'!$A:$E, 2, FALSE)</f>
        <v>Leviathan's lure</v>
      </c>
      <c r="E266" s="207">
        <f>VLOOKUP($C266, 'List of log slots'!$A:$E, 5, FALSE)</f>
        <v>6</v>
      </c>
      <c r="F266" s="208" t="b">
        <f>VLOOKUP(C266, 'List of log slots'!$A:$C, 3, FALSE)</f>
        <v>0</v>
      </c>
      <c r="G266" s="209" t="b">
        <f t="shared" si="28"/>
        <v>0</v>
      </c>
      <c r="H266" s="210" t="b">
        <f t="shared" si="7"/>
        <v>1</v>
      </c>
      <c r="I266" s="209" t="b">
        <f t="shared" ref="I266:J266" si="137">FALSE</f>
        <v>0</v>
      </c>
      <c r="J266" s="208" t="b">
        <f t="shared" si="137"/>
        <v>0</v>
      </c>
      <c r="K266" s="211">
        <v>768.0</v>
      </c>
      <c r="L266" s="207" t="str">
        <f t="shared" si="3"/>
        <v>n/a</v>
      </c>
      <c r="M266" s="212" t="str">
        <f t="shared" si="4"/>
        <v>n/a</v>
      </c>
      <c r="N266" s="207" t="str">
        <f t="shared" si="5"/>
        <v>n/a</v>
      </c>
      <c r="O266" s="207">
        <f t="shared" si="6"/>
        <v>0.001302083333</v>
      </c>
    </row>
    <row r="267" ht="15.75" customHeight="1">
      <c r="A267" s="207">
        <v>33.0</v>
      </c>
      <c r="B267" s="6" t="str">
        <f>VLOOKUP($A267, 'Completion rates'!$A:$E, 2, FALSE)</f>
        <v>Killing the leviathan</v>
      </c>
      <c r="C267" s="207">
        <v>26241.0</v>
      </c>
      <c r="D267" s="6" t="str">
        <f>VLOOKUP($C267, 'List of log slots'!$A:$E, 2, FALSE)</f>
        <v>Virtus mask</v>
      </c>
      <c r="E267" s="207">
        <f>VLOOKUP($C267, 'List of log slots'!$A:$E, 5, FALSE)</f>
        <v>7</v>
      </c>
      <c r="F267" s="208" t="b">
        <f>VLOOKUP(C267, 'List of log slots'!$A:$C, 3, FALSE)</f>
        <v>0</v>
      </c>
      <c r="G267" s="209" t="b">
        <f t="shared" si="28"/>
        <v>0</v>
      </c>
      <c r="H267" s="210" t="b">
        <f t="shared" si="7"/>
        <v>1</v>
      </c>
      <c r="I267" s="209" t="b">
        <f t="shared" ref="I267:J267" si="138">FALSE</f>
        <v>0</v>
      </c>
      <c r="J267" s="208" t="b">
        <f t="shared" si="138"/>
        <v>0</v>
      </c>
      <c r="K267" s="211">
        <v>2304.0</v>
      </c>
      <c r="L267" s="207" t="str">
        <f t="shared" si="3"/>
        <v>n/a</v>
      </c>
      <c r="M267" s="212" t="str">
        <f t="shared" si="4"/>
        <v>n/a</v>
      </c>
      <c r="N267" s="207" t="str">
        <f t="shared" si="5"/>
        <v>n/a</v>
      </c>
      <c r="O267" s="207">
        <f t="shared" si="6"/>
        <v>0.0004340277778</v>
      </c>
    </row>
    <row r="268" ht="15.75" customHeight="1">
      <c r="A268" s="207">
        <v>33.0</v>
      </c>
      <c r="B268" s="6" t="str">
        <f>VLOOKUP($A268, 'Completion rates'!$A:$E, 2, FALSE)</f>
        <v>Killing the leviathan</v>
      </c>
      <c r="C268" s="207">
        <v>26243.0</v>
      </c>
      <c r="D268" s="6" t="str">
        <f>VLOOKUP($C268, 'List of log slots'!$A:$E, 2, FALSE)</f>
        <v>Virtus robe top</v>
      </c>
      <c r="E268" s="207">
        <f>VLOOKUP($C268, 'List of log slots'!$A:$E, 5, FALSE)</f>
        <v>7</v>
      </c>
      <c r="F268" s="208" t="b">
        <f>VLOOKUP(C268, 'List of log slots'!$A:$C, 3, FALSE)</f>
        <v>0</v>
      </c>
      <c r="G268" s="209" t="b">
        <f t="shared" si="28"/>
        <v>0</v>
      </c>
      <c r="H268" s="210" t="b">
        <f t="shared" si="7"/>
        <v>1</v>
      </c>
      <c r="I268" s="209" t="b">
        <f t="shared" ref="I268:J268" si="139">FALSE</f>
        <v>0</v>
      </c>
      <c r="J268" s="208" t="b">
        <f t="shared" si="139"/>
        <v>0</v>
      </c>
      <c r="K268" s="211">
        <v>2304.0</v>
      </c>
      <c r="L268" s="207" t="str">
        <f t="shared" si="3"/>
        <v>n/a</v>
      </c>
      <c r="M268" s="212" t="str">
        <f t="shared" si="4"/>
        <v>n/a</v>
      </c>
      <c r="N268" s="207" t="str">
        <f t="shared" si="5"/>
        <v>n/a</v>
      </c>
      <c r="O268" s="207">
        <f t="shared" si="6"/>
        <v>0.0004340277778</v>
      </c>
    </row>
    <row r="269" ht="15.75" customHeight="1">
      <c r="A269" s="207">
        <v>33.0</v>
      </c>
      <c r="B269" s="6" t="str">
        <f>VLOOKUP($A269, 'Completion rates'!$A:$E, 2, FALSE)</f>
        <v>Killing the leviathan</v>
      </c>
      <c r="C269" s="207">
        <v>26245.0</v>
      </c>
      <c r="D269" s="6" t="str">
        <f>VLOOKUP($C269, 'List of log slots'!$A:$E, 2, FALSE)</f>
        <v>Virtus robe bottom</v>
      </c>
      <c r="E269" s="207">
        <f>VLOOKUP($C269, 'List of log slots'!$A:$E, 5, FALSE)</f>
        <v>7</v>
      </c>
      <c r="F269" s="208" t="b">
        <f>VLOOKUP(C269, 'List of log slots'!$A:$C, 3, FALSE)</f>
        <v>0</v>
      </c>
      <c r="G269" s="209" t="b">
        <f t="shared" si="28"/>
        <v>0</v>
      </c>
      <c r="H269" s="210" t="b">
        <f t="shared" si="7"/>
        <v>1</v>
      </c>
      <c r="I269" s="209" t="b">
        <f t="shared" ref="I269:J269" si="140">FALSE</f>
        <v>0</v>
      </c>
      <c r="J269" s="208" t="b">
        <f t="shared" si="140"/>
        <v>0</v>
      </c>
      <c r="K269" s="211">
        <v>2304.0</v>
      </c>
      <c r="L269" s="207" t="str">
        <f t="shared" si="3"/>
        <v>n/a</v>
      </c>
      <c r="M269" s="212" t="str">
        <f t="shared" si="4"/>
        <v>n/a</v>
      </c>
      <c r="N269" s="207" t="str">
        <f t="shared" si="5"/>
        <v>n/a</v>
      </c>
      <c r="O269" s="207">
        <f t="shared" si="6"/>
        <v>0.0004340277778</v>
      </c>
    </row>
    <row r="270" ht="15.75" customHeight="1">
      <c r="A270" s="207">
        <v>33.0</v>
      </c>
      <c r="B270" s="6" t="str">
        <f>VLOOKUP($A270, 'Completion rates'!$A:$E, 2, FALSE)</f>
        <v>Killing the leviathan</v>
      </c>
      <c r="C270" s="207">
        <v>28283.0</v>
      </c>
      <c r="D270" s="6" t="str">
        <f>VLOOKUP($C270, 'List of log slots'!$A:$E, 2, FALSE)</f>
        <v>Venator vestige</v>
      </c>
      <c r="E270" s="207">
        <f>VLOOKUP($C270, 'List of log slots'!$A:$E, 5, FALSE)</f>
        <v>6</v>
      </c>
      <c r="F270" s="208" t="b">
        <f>VLOOKUP(C270, 'List of log slots'!$A:$C, 3, FALSE)</f>
        <v>0</v>
      </c>
      <c r="G270" s="209" t="b">
        <f t="shared" si="28"/>
        <v>0</v>
      </c>
      <c r="H270" s="210" t="b">
        <f t="shared" si="7"/>
        <v>1</v>
      </c>
      <c r="I270" s="209" t="b">
        <f t="shared" ref="I270:J270" si="141">FALSE</f>
        <v>0</v>
      </c>
      <c r="J270" s="208" t="b">
        <f t="shared" si="141"/>
        <v>0</v>
      </c>
      <c r="K270" s="211">
        <v>768.0</v>
      </c>
      <c r="L270" s="207" t="str">
        <f t="shared" si="3"/>
        <v>n/a</v>
      </c>
      <c r="M270" s="212" t="str">
        <f t="shared" si="4"/>
        <v>n/a</v>
      </c>
      <c r="N270" s="207" t="str">
        <f t="shared" si="5"/>
        <v>n/a</v>
      </c>
      <c r="O270" s="207">
        <f t="shared" si="6"/>
        <v>0.001302083333</v>
      </c>
    </row>
    <row r="271" ht="15.75" customHeight="1">
      <c r="A271" s="207">
        <v>33.0</v>
      </c>
      <c r="B271" s="6" t="str">
        <f>VLOOKUP($A271, 'Completion rates'!$A:$E, 2, FALSE)</f>
        <v>Killing the leviathan</v>
      </c>
      <c r="C271" s="207">
        <v>28274.0</v>
      </c>
      <c r="D271" s="6" t="str">
        <f>VLOOKUP($C271, 'List of log slots'!$A:$E, 2, FALSE)</f>
        <v>Smoke quartz</v>
      </c>
      <c r="E271" s="207">
        <f>VLOOKUP($C271, 'List of log slots'!$A:$E, 5, FALSE)</f>
        <v>5</v>
      </c>
      <c r="F271" s="208" t="b">
        <f>VLOOKUP(C271, 'List of log slots'!$A:$C, 3, FALSE)</f>
        <v>0</v>
      </c>
      <c r="G271" s="209" t="b">
        <f t="shared" si="28"/>
        <v>0</v>
      </c>
      <c r="H271" s="210" t="b">
        <f t="shared" si="7"/>
        <v>1</v>
      </c>
      <c r="I271" s="209" t="b">
        <f t="shared" ref="I271:J271" si="142">FALSE</f>
        <v>0</v>
      </c>
      <c r="J271" s="208" t="b">
        <f t="shared" si="142"/>
        <v>0</v>
      </c>
      <c r="K271" s="211">
        <v>215.0</v>
      </c>
      <c r="L271" s="207" t="str">
        <f t="shared" si="3"/>
        <v>n/a</v>
      </c>
      <c r="M271" s="212" t="str">
        <f t="shared" si="4"/>
        <v>n/a</v>
      </c>
      <c r="N271" s="207" t="str">
        <f t="shared" si="5"/>
        <v>n/a</v>
      </c>
      <c r="O271" s="207">
        <f t="shared" si="6"/>
        <v>0.004651162791</v>
      </c>
    </row>
    <row r="272" ht="15.75" customHeight="1">
      <c r="A272" s="207">
        <v>33.0</v>
      </c>
      <c r="B272" s="6" t="str">
        <f>VLOOKUP($A272, 'Completion rates'!$A:$E, 2, FALSE)</f>
        <v>Killing the leviathan</v>
      </c>
      <c r="C272" s="207">
        <v>28332.0</v>
      </c>
      <c r="D272" s="6" t="str">
        <f>VLOOKUP($C272, 'List of log slots'!$A:$E, 2, FALSE)</f>
        <v>Scarred tablet</v>
      </c>
      <c r="E272" s="207">
        <f>VLOOKUP($C272, 'List of log slots'!$A:$E, 5, FALSE)</f>
        <v>5</v>
      </c>
      <c r="F272" s="213" t="b">
        <f>VLOOKUP(C272, 'List of log slots'!$A:$C, 3, FALSE)</f>
        <v>0</v>
      </c>
      <c r="G272" s="209" t="b">
        <f t="shared" si="28"/>
        <v>0</v>
      </c>
      <c r="H272" s="209" t="b">
        <f t="shared" si="7"/>
        <v>1</v>
      </c>
      <c r="I272" s="209" t="b">
        <f t="shared" ref="I272:J272" si="143">FALSE</f>
        <v>0</v>
      </c>
      <c r="J272" s="208" t="b">
        <f t="shared" si="143"/>
        <v>0</v>
      </c>
      <c r="K272" s="211">
        <v>25.0</v>
      </c>
      <c r="L272" s="207" t="str">
        <f t="shared" si="3"/>
        <v>n/a</v>
      </c>
      <c r="M272" s="212" t="str">
        <f t="shared" si="4"/>
        <v>n/a</v>
      </c>
      <c r="N272" s="207" t="str">
        <f t="shared" si="5"/>
        <v>n/a</v>
      </c>
      <c r="O272" s="207">
        <f t="shared" si="6"/>
        <v>0.04</v>
      </c>
    </row>
    <row r="273" ht="15.75" customHeight="1">
      <c r="A273" s="207">
        <v>33.0</v>
      </c>
      <c r="B273" s="6" t="str">
        <f>VLOOKUP($A273, 'Completion rates'!$A:$E, 2, FALSE)</f>
        <v>Killing the leviathan</v>
      </c>
      <c r="C273" s="207">
        <v>28276.0</v>
      </c>
      <c r="D273" s="6" t="str">
        <f>VLOOKUP($C273, 'List of log slots'!$A:$E, 2, FALSE)</f>
        <v>Chromium ingot</v>
      </c>
      <c r="E273" s="207">
        <f>VLOOKUP($C273, 'List of log slots'!$A:$E, 5, FALSE)</f>
        <v>5</v>
      </c>
      <c r="F273" s="213" t="b">
        <f>VLOOKUP(C273, 'List of log slots'!$A:$C, 3, FALSE)</f>
        <v>0</v>
      </c>
      <c r="G273" s="209" t="b">
        <f t="shared" si="28"/>
        <v>0</v>
      </c>
      <c r="H273" s="209" t="b">
        <f t="shared" si="7"/>
        <v>1</v>
      </c>
      <c r="I273" s="209" t="b">
        <f t="shared" ref="I273:J273" si="144">FALSE</f>
        <v>0</v>
      </c>
      <c r="J273" s="208" t="b">
        <f t="shared" si="144"/>
        <v>0</v>
      </c>
      <c r="K273" s="211">
        <v>256.0</v>
      </c>
      <c r="L273" s="207" t="str">
        <f t="shared" si="3"/>
        <v>n/a</v>
      </c>
      <c r="M273" s="212" t="str">
        <f t="shared" si="4"/>
        <v>n/a</v>
      </c>
      <c r="N273" s="207" t="str">
        <f t="shared" si="5"/>
        <v>n/a</v>
      </c>
      <c r="O273" s="207">
        <f t="shared" si="6"/>
        <v>0.00390625</v>
      </c>
    </row>
    <row r="274" ht="15.75" customHeight="1">
      <c r="A274" s="207">
        <v>33.0</v>
      </c>
      <c r="B274" s="6" t="str">
        <f>VLOOKUP($A274, 'Completion rates'!$A:$E, 2, FALSE)</f>
        <v>Killing the leviathan</v>
      </c>
      <c r="C274" s="207">
        <v>28334.0</v>
      </c>
      <c r="D274" s="6" t="str">
        <f>VLOOKUP($C274, 'List of log slots'!$A:$E, 2, FALSE)</f>
        <v>Awakener's orb</v>
      </c>
      <c r="E274" s="207">
        <f>VLOOKUP($C274, 'List of log slots'!$A:$E, 5, FALSE)</f>
        <v>5</v>
      </c>
      <c r="F274" s="213" t="b">
        <f>VLOOKUP(C274, 'List of log slots'!$A:$C, 3, FALSE)</f>
        <v>0</v>
      </c>
      <c r="G274" s="209" t="b">
        <f t="shared" si="28"/>
        <v>0</v>
      </c>
      <c r="H274" s="209" t="b">
        <f t="shared" si="7"/>
        <v>1</v>
      </c>
      <c r="I274" s="209" t="b">
        <f t="shared" ref="I274:J274" si="145">FALSE</f>
        <v>0</v>
      </c>
      <c r="J274" s="208" t="b">
        <f t="shared" si="145"/>
        <v>0</v>
      </c>
      <c r="K274" s="211">
        <v>54.0</v>
      </c>
      <c r="L274" s="207" t="str">
        <f t="shared" si="3"/>
        <v>n/a</v>
      </c>
      <c r="M274" s="212" t="str">
        <f t="shared" si="4"/>
        <v>n/a</v>
      </c>
      <c r="N274" s="207" t="str">
        <f t="shared" si="5"/>
        <v>n/a</v>
      </c>
      <c r="O274" s="207">
        <f t="shared" si="6"/>
        <v>0.01851851852</v>
      </c>
    </row>
    <row r="275" ht="15.75" customHeight="1">
      <c r="A275" s="207">
        <v>34.0</v>
      </c>
      <c r="B275" s="6" t="str">
        <f>VLOOKUP($A275, 'Completion rates'!$A:$E, 2, FALSE)</f>
        <v>Killing eclipse moon (moons of peril)</v>
      </c>
      <c r="C275" s="207">
        <v>29004.0</v>
      </c>
      <c r="D275" s="6" t="str">
        <f>VLOOKUP($C275, 'List of log slots'!$A:$E, 2, FALSE)</f>
        <v>Eclipse moon chestplate</v>
      </c>
      <c r="E275" s="207">
        <f>VLOOKUP($C275, 'List of log slots'!$A:$E, 5, FALSE)</f>
        <v>5</v>
      </c>
      <c r="F275" s="208" t="b">
        <f>VLOOKUP(C275, 'List of log slots'!$A:$C, 3, FALSE)</f>
        <v>0</v>
      </c>
      <c r="G275" s="209" t="b">
        <f t="shared" si="28"/>
        <v>0</v>
      </c>
      <c r="H275" s="210" t="b">
        <f t="shared" si="7"/>
        <v>1</v>
      </c>
      <c r="I275" s="209" t="b">
        <f t="shared" ref="I275:I317" si="146">FALSE</f>
        <v>0</v>
      </c>
      <c r="J275" s="213" t="b">
        <f t="shared" ref="J275:J278" si="147">TRUE</f>
        <v>1</v>
      </c>
      <c r="K275" s="211">
        <v>56.0</v>
      </c>
      <c r="L275" s="207" t="str">
        <f t="shared" si="3"/>
        <v>n/a</v>
      </c>
      <c r="M275" s="212" t="str">
        <f t="shared" si="4"/>
        <v>n/a</v>
      </c>
      <c r="N275" s="207">
        <f t="shared" si="5"/>
        <v>56</v>
      </c>
      <c r="O275" s="207" t="str">
        <f t="shared" si="6"/>
        <v>n/a</v>
      </c>
    </row>
    <row r="276" ht="15.75" customHeight="1">
      <c r="A276" s="207">
        <v>34.0</v>
      </c>
      <c r="B276" s="6" t="str">
        <f>VLOOKUP($A276, 'Completion rates'!$A:$E, 2, FALSE)</f>
        <v>Killing eclipse moon (moons of peril)</v>
      </c>
      <c r="C276" s="207">
        <v>29007.0</v>
      </c>
      <c r="D276" s="6" t="str">
        <f>VLOOKUP($C276, 'List of log slots'!$A:$E, 2, FALSE)</f>
        <v>Eclipse moon tassets</v>
      </c>
      <c r="E276" s="207">
        <f>VLOOKUP($C276, 'List of log slots'!$A:$E, 5, FALSE)</f>
        <v>5</v>
      </c>
      <c r="F276" s="213" t="b">
        <f>VLOOKUP(C276, 'List of log slots'!$A:$C, 3, FALSE)</f>
        <v>0</v>
      </c>
      <c r="G276" s="209" t="b">
        <f t="shared" si="28"/>
        <v>0</v>
      </c>
      <c r="H276" s="209" t="b">
        <f t="shared" si="7"/>
        <v>1</v>
      </c>
      <c r="I276" s="209" t="b">
        <f t="shared" si="146"/>
        <v>0</v>
      </c>
      <c r="J276" s="213" t="b">
        <f t="shared" si="147"/>
        <v>1</v>
      </c>
      <c r="K276" s="211">
        <v>56.0</v>
      </c>
      <c r="L276" s="207" t="str">
        <f t="shared" si="3"/>
        <v>n/a</v>
      </c>
      <c r="M276" s="212" t="str">
        <f t="shared" si="4"/>
        <v>n/a</v>
      </c>
      <c r="N276" s="207">
        <f t="shared" si="5"/>
        <v>56</v>
      </c>
      <c r="O276" s="207" t="str">
        <f t="shared" si="6"/>
        <v>n/a</v>
      </c>
    </row>
    <row r="277" ht="15.75" customHeight="1">
      <c r="A277" s="207">
        <v>34.0</v>
      </c>
      <c r="B277" s="6" t="str">
        <f>VLOOKUP($A277, 'Completion rates'!$A:$E, 2, FALSE)</f>
        <v>Killing eclipse moon (moons of peril)</v>
      </c>
      <c r="C277" s="207">
        <v>29010.0</v>
      </c>
      <c r="D277" s="6" t="str">
        <f>VLOOKUP($C277, 'List of log slots'!$A:$E, 2, FALSE)</f>
        <v>Eclipse moon helm</v>
      </c>
      <c r="E277" s="207">
        <f>VLOOKUP($C277, 'List of log slots'!$A:$E, 5, FALSE)</f>
        <v>5</v>
      </c>
      <c r="F277" s="208" t="b">
        <f>VLOOKUP(C277, 'List of log slots'!$A:$C, 3, FALSE)</f>
        <v>0</v>
      </c>
      <c r="G277" s="209" t="b">
        <f t="shared" si="28"/>
        <v>0</v>
      </c>
      <c r="H277" s="210" t="b">
        <f t="shared" si="7"/>
        <v>1</v>
      </c>
      <c r="I277" s="209" t="b">
        <f t="shared" si="146"/>
        <v>0</v>
      </c>
      <c r="J277" s="213" t="b">
        <f t="shared" si="147"/>
        <v>1</v>
      </c>
      <c r="K277" s="211">
        <v>56.0</v>
      </c>
      <c r="L277" s="207" t="str">
        <f t="shared" si="3"/>
        <v>n/a</v>
      </c>
      <c r="M277" s="212" t="str">
        <f t="shared" si="4"/>
        <v>n/a</v>
      </c>
      <c r="N277" s="207">
        <f t="shared" si="5"/>
        <v>56</v>
      </c>
      <c r="O277" s="207" t="str">
        <f t="shared" si="6"/>
        <v>n/a</v>
      </c>
    </row>
    <row r="278" ht="15.75" customHeight="1">
      <c r="A278" s="207">
        <v>34.0</v>
      </c>
      <c r="B278" s="6" t="str">
        <f>VLOOKUP($A278, 'Completion rates'!$A:$E, 2, FALSE)</f>
        <v>Killing eclipse moon (moons of peril)</v>
      </c>
      <c r="C278" s="207">
        <v>29000.0</v>
      </c>
      <c r="D278" s="6" t="str">
        <f>VLOOKUP($C278, 'List of log slots'!$A:$E, 2, FALSE)</f>
        <v>Eclipse atlatl</v>
      </c>
      <c r="E278" s="207">
        <f>VLOOKUP($C278, 'List of log slots'!$A:$E, 5, FALSE)</f>
        <v>5</v>
      </c>
      <c r="F278" s="208" t="b">
        <f>VLOOKUP(C278, 'List of log slots'!$A:$C, 3, FALSE)</f>
        <v>0</v>
      </c>
      <c r="G278" s="209" t="b">
        <f t="shared" si="28"/>
        <v>0</v>
      </c>
      <c r="H278" s="210" t="b">
        <f t="shared" si="7"/>
        <v>1</v>
      </c>
      <c r="I278" s="209" t="b">
        <f t="shared" si="146"/>
        <v>0</v>
      </c>
      <c r="J278" s="213" t="b">
        <f t="shared" si="147"/>
        <v>1</v>
      </c>
      <c r="K278" s="214">
        <v>56.0</v>
      </c>
      <c r="L278" s="207" t="str">
        <f t="shared" si="3"/>
        <v>n/a</v>
      </c>
      <c r="M278" s="212" t="str">
        <f t="shared" si="4"/>
        <v>n/a</v>
      </c>
      <c r="N278" s="207">
        <f t="shared" si="5"/>
        <v>56</v>
      </c>
      <c r="O278" s="207" t="str">
        <f t="shared" si="6"/>
        <v>n/a</v>
      </c>
    </row>
    <row r="279" ht="15.75" customHeight="1">
      <c r="A279" s="207">
        <v>34.0</v>
      </c>
      <c r="B279" s="6" t="str">
        <f>VLOOKUP($A279, 'Completion rates'!$A:$E, 2, FALSE)</f>
        <v>Killing eclipse moon (moons of peril)</v>
      </c>
      <c r="C279" s="207">
        <v>28991.0</v>
      </c>
      <c r="D279" s="6" t="str">
        <f>VLOOKUP($C279, 'List of log slots'!$A:$E, 2, FALSE)</f>
        <v>Atlatl dart</v>
      </c>
      <c r="E279" s="207">
        <f>VLOOKUP($C279, 'List of log slots'!$A:$E, 5, FALSE)</f>
        <v>4</v>
      </c>
      <c r="F279" s="213" t="b">
        <f>VLOOKUP(C279, 'List of log slots'!$A:$C, 3, FALSE)</f>
        <v>0</v>
      </c>
      <c r="G279" s="209" t="b">
        <f t="shared" si="28"/>
        <v>0</v>
      </c>
      <c r="H279" s="209" t="b">
        <f t="shared" si="7"/>
        <v>1</v>
      </c>
      <c r="I279" s="209" t="b">
        <f t="shared" si="146"/>
        <v>0</v>
      </c>
      <c r="J279" s="208" t="b">
        <f>FALSE</f>
        <v>0</v>
      </c>
      <c r="K279" s="211">
        <v>2.0</v>
      </c>
      <c r="L279" s="207" t="str">
        <f t="shared" si="3"/>
        <v>n/a</v>
      </c>
      <c r="M279" s="212" t="str">
        <f t="shared" si="4"/>
        <v>n/a</v>
      </c>
      <c r="N279" s="207" t="str">
        <f t="shared" si="5"/>
        <v>n/a</v>
      </c>
      <c r="O279" s="207">
        <f t="shared" si="6"/>
        <v>0.5</v>
      </c>
    </row>
    <row r="280" ht="15.75" customHeight="1">
      <c r="A280" s="207">
        <v>35.0</v>
      </c>
      <c r="B280" s="6" t="str">
        <f>VLOOKUP($A280, 'Completion rates'!$A:$E, 2, FALSE)</f>
        <v>Killing blue moon (moons of peril)</v>
      </c>
      <c r="C280" s="207">
        <v>29013.0</v>
      </c>
      <c r="D280" s="6" t="str">
        <f>VLOOKUP($C280, 'List of log slots'!$A:$E, 2, FALSE)</f>
        <v>Blue moon chestplate</v>
      </c>
      <c r="E280" s="207">
        <f>VLOOKUP($C280, 'List of log slots'!$A:$E, 5, FALSE)</f>
        <v>5</v>
      </c>
      <c r="F280" s="208" t="b">
        <f>VLOOKUP(C280, 'List of log slots'!$A:$C, 3, FALSE)</f>
        <v>0</v>
      </c>
      <c r="G280" s="209" t="b">
        <f t="shared" si="28"/>
        <v>0</v>
      </c>
      <c r="H280" s="210" t="b">
        <f t="shared" si="7"/>
        <v>1</v>
      </c>
      <c r="I280" s="209" t="b">
        <f t="shared" si="146"/>
        <v>0</v>
      </c>
      <c r="J280" s="213" t="b">
        <f t="shared" ref="J280:J283" si="148">TRUE</f>
        <v>1</v>
      </c>
      <c r="K280" s="214">
        <v>56.0</v>
      </c>
      <c r="L280" s="207" t="str">
        <f t="shared" si="3"/>
        <v>n/a</v>
      </c>
      <c r="M280" s="212" t="str">
        <f t="shared" si="4"/>
        <v>n/a</v>
      </c>
      <c r="N280" s="207">
        <f t="shared" si="5"/>
        <v>56</v>
      </c>
      <c r="O280" s="207" t="str">
        <f t="shared" si="6"/>
        <v>n/a</v>
      </c>
    </row>
    <row r="281" ht="15.75" customHeight="1">
      <c r="A281" s="207">
        <v>35.0</v>
      </c>
      <c r="B281" s="6" t="str">
        <f>VLOOKUP($A281, 'Completion rates'!$A:$E, 2, FALSE)</f>
        <v>Killing blue moon (moons of peril)</v>
      </c>
      <c r="C281" s="207">
        <v>29016.0</v>
      </c>
      <c r="D281" s="6" t="str">
        <f>VLOOKUP($C281, 'List of log slots'!$A:$E, 2, FALSE)</f>
        <v>Blue moon tassets</v>
      </c>
      <c r="E281" s="207">
        <f>VLOOKUP($C281, 'List of log slots'!$A:$E, 5, FALSE)</f>
        <v>5</v>
      </c>
      <c r="F281" s="208" t="b">
        <f>VLOOKUP(C281, 'List of log slots'!$A:$C, 3, FALSE)</f>
        <v>0</v>
      </c>
      <c r="G281" s="209" t="b">
        <f t="shared" si="28"/>
        <v>0</v>
      </c>
      <c r="H281" s="210" t="b">
        <f t="shared" si="7"/>
        <v>1</v>
      </c>
      <c r="I281" s="209" t="b">
        <f t="shared" si="146"/>
        <v>0</v>
      </c>
      <c r="J281" s="213" t="b">
        <f t="shared" si="148"/>
        <v>1</v>
      </c>
      <c r="K281" s="214">
        <v>56.0</v>
      </c>
      <c r="L281" s="207" t="str">
        <f t="shared" si="3"/>
        <v>n/a</v>
      </c>
      <c r="M281" s="212" t="str">
        <f t="shared" si="4"/>
        <v>n/a</v>
      </c>
      <c r="N281" s="207">
        <f t="shared" si="5"/>
        <v>56</v>
      </c>
      <c r="O281" s="207" t="str">
        <f t="shared" si="6"/>
        <v>n/a</v>
      </c>
    </row>
    <row r="282" ht="15.75" customHeight="1">
      <c r="A282" s="207">
        <v>35.0</v>
      </c>
      <c r="B282" s="6" t="str">
        <f>VLOOKUP($A282, 'Completion rates'!$A:$E, 2, FALSE)</f>
        <v>Killing blue moon (moons of peril)</v>
      </c>
      <c r="C282" s="207">
        <v>29019.0</v>
      </c>
      <c r="D282" s="6" t="str">
        <f>VLOOKUP($C282, 'List of log slots'!$A:$E, 2, FALSE)</f>
        <v>Blue moon helm</v>
      </c>
      <c r="E282" s="207">
        <f>VLOOKUP($C282, 'List of log slots'!$A:$E, 5, FALSE)</f>
        <v>5</v>
      </c>
      <c r="F282" s="213" t="b">
        <f>VLOOKUP(C282, 'List of log slots'!$A:$C, 3, FALSE)</f>
        <v>0</v>
      </c>
      <c r="G282" s="209" t="b">
        <f t="shared" si="28"/>
        <v>0</v>
      </c>
      <c r="H282" s="209" t="b">
        <f t="shared" si="7"/>
        <v>1</v>
      </c>
      <c r="I282" s="209" t="b">
        <f t="shared" si="146"/>
        <v>0</v>
      </c>
      <c r="J282" s="213" t="b">
        <f t="shared" si="148"/>
        <v>1</v>
      </c>
      <c r="K282" s="214">
        <v>56.0</v>
      </c>
      <c r="L282" s="207" t="str">
        <f t="shared" si="3"/>
        <v>n/a</v>
      </c>
      <c r="M282" s="212" t="str">
        <f t="shared" si="4"/>
        <v>n/a</v>
      </c>
      <c r="N282" s="207">
        <f t="shared" si="5"/>
        <v>56</v>
      </c>
      <c r="O282" s="207" t="str">
        <f t="shared" si="6"/>
        <v>n/a</v>
      </c>
    </row>
    <row r="283" ht="15.75" customHeight="1">
      <c r="A283" s="207">
        <v>35.0</v>
      </c>
      <c r="B283" s="6" t="str">
        <f>VLOOKUP($A283, 'Completion rates'!$A:$E, 2, FALSE)</f>
        <v>Killing blue moon (moons of peril)</v>
      </c>
      <c r="C283" s="207">
        <v>28988.0</v>
      </c>
      <c r="D283" s="6" t="str">
        <f>VLOOKUP($C283, 'List of log slots'!$A:$E, 2, FALSE)</f>
        <v>Blue moon spear</v>
      </c>
      <c r="E283" s="207">
        <f>VLOOKUP($C283, 'List of log slots'!$A:$E, 5, FALSE)</f>
        <v>5</v>
      </c>
      <c r="F283" s="208" t="b">
        <f>VLOOKUP(C283, 'List of log slots'!$A:$C, 3, FALSE)</f>
        <v>0</v>
      </c>
      <c r="G283" s="209" t="b">
        <f t="shared" si="28"/>
        <v>0</v>
      </c>
      <c r="H283" s="210" t="b">
        <f t="shared" si="7"/>
        <v>1</v>
      </c>
      <c r="I283" s="209" t="b">
        <f t="shared" si="146"/>
        <v>0</v>
      </c>
      <c r="J283" s="213" t="b">
        <f t="shared" si="148"/>
        <v>1</v>
      </c>
      <c r="K283" s="211">
        <v>56.0</v>
      </c>
      <c r="L283" s="207" t="str">
        <f t="shared" si="3"/>
        <v>n/a</v>
      </c>
      <c r="M283" s="212" t="str">
        <f t="shared" si="4"/>
        <v>n/a</v>
      </c>
      <c r="N283" s="207">
        <f t="shared" si="5"/>
        <v>56</v>
      </c>
      <c r="O283" s="207" t="str">
        <f t="shared" si="6"/>
        <v>n/a</v>
      </c>
    </row>
    <row r="284" ht="15.75" customHeight="1">
      <c r="A284" s="207">
        <v>35.0</v>
      </c>
      <c r="B284" s="6" t="str">
        <f>VLOOKUP($A284, 'Completion rates'!$A:$E, 2, FALSE)</f>
        <v>Killing blue moon (moons of peril)</v>
      </c>
      <c r="C284" s="207">
        <v>28991.0</v>
      </c>
      <c r="D284" s="6" t="str">
        <f>VLOOKUP($C284, 'List of log slots'!$A:$E, 2, FALSE)</f>
        <v>Atlatl dart</v>
      </c>
      <c r="E284" s="207">
        <f>VLOOKUP($C284, 'List of log slots'!$A:$E, 5, FALSE)</f>
        <v>4</v>
      </c>
      <c r="F284" s="213" t="b">
        <f>VLOOKUP(C284, 'List of log slots'!$A:$C, 3, FALSE)</f>
        <v>0</v>
      </c>
      <c r="G284" s="209" t="b">
        <f t="shared" si="28"/>
        <v>0</v>
      </c>
      <c r="H284" s="209" t="b">
        <f t="shared" si="7"/>
        <v>1</v>
      </c>
      <c r="I284" s="209" t="b">
        <f t="shared" si="146"/>
        <v>0</v>
      </c>
      <c r="J284" s="208" t="b">
        <f>FALSE</f>
        <v>0</v>
      </c>
      <c r="K284" s="211">
        <v>2.0</v>
      </c>
      <c r="L284" s="207" t="str">
        <f t="shared" si="3"/>
        <v>n/a</v>
      </c>
      <c r="M284" s="212" t="str">
        <f t="shared" si="4"/>
        <v>n/a</v>
      </c>
      <c r="N284" s="207" t="str">
        <f t="shared" si="5"/>
        <v>n/a</v>
      </c>
      <c r="O284" s="207">
        <f t="shared" si="6"/>
        <v>0.5</v>
      </c>
    </row>
    <row r="285" ht="15.75" customHeight="1">
      <c r="A285" s="207">
        <v>36.0</v>
      </c>
      <c r="B285" s="6" t="str">
        <f>VLOOKUP($A285, 'Completion rates'!$A:$E, 2, FALSE)</f>
        <v>Killing blood moon (moons of peril)</v>
      </c>
      <c r="C285" s="207">
        <v>29022.0</v>
      </c>
      <c r="D285" s="6" t="str">
        <f>VLOOKUP($C285, 'List of log slots'!$A:$E, 2, FALSE)</f>
        <v>Blood moon chestplate</v>
      </c>
      <c r="E285" s="207">
        <f>VLOOKUP($C285, 'List of log slots'!$A:$E, 5, FALSE)</f>
        <v>5</v>
      </c>
      <c r="F285" s="208" t="b">
        <f>VLOOKUP(C285, 'List of log slots'!$A:$C, 3, FALSE)</f>
        <v>0</v>
      </c>
      <c r="G285" s="209" t="b">
        <f t="shared" si="28"/>
        <v>0</v>
      </c>
      <c r="H285" s="210" t="b">
        <f t="shared" si="7"/>
        <v>1</v>
      </c>
      <c r="I285" s="209" t="b">
        <f t="shared" si="146"/>
        <v>0</v>
      </c>
      <c r="J285" s="213" t="b">
        <f t="shared" ref="J285:J288" si="149">TRUE</f>
        <v>1</v>
      </c>
      <c r="K285" s="211">
        <v>56.0</v>
      </c>
      <c r="L285" s="207" t="str">
        <f t="shared" si="3"/>
        <v>n/a</v>
      </c>
      <c r="M285" s="212" t="str">
        <f t="shared" si="4"/>
        <v>n/a</v>
      </c>
      <c r="N285" s="207">
        <f t="shared" si="5"/>
        <v>56</v>
      </c>
      <c r="O285" s="207" t="str">
        <f t="shared" si="6"/>
        <v>n/a</v>
      </c>
    </row>
    <row r="286" ht="15.75" customHeight="1">
      <c r="A286" s="207">
        <v>36.0</v>
      </c>
      <c r="B286" s="6" t="str">
        <f>VLOOKUP($A286, 'Completion rates'!$A:$E, 2, FALSE)</f>
        <v>Killing blood moon (moons of peril)</v>
      </c>
      <c r="C286" s="207">
        <v>29025.0</v>
      </c>
      <c r="D286" s="6" t="str">
        <f>VLOOKUP($C286, 'List of log slots'!$A:$E, 2, FALSE)</f>
        <v>Blood moon tassets</v>
      </c>
      <c r="E286" s="207">
        <f>VLOOKUP($C286, 'List of log slots'!$A:$E, 5, FALSE)</f>
        <v>5</v>
      </c>
      <c r="F286" s="208" t="b">
        <f>VLOOKUP(C286, 'List of log slots'!$A:$C, 3, FALSE)</f>
        <v>0</v>
      </c>
      <c r="G286" s="209" t="b">
        <f t="shared" si="28"/>
        <v>0</v>
      </c>
      <c r="H286" s="210" t="b">
        <f t="shared" si="7"/>
        <v>1</v>
      </c>
      <c r="I286" s="209" t="b">
        <f t="shared" si="146"/>
        <v>0</v>
      </c>
      <c r="J286" s="213" t="b">
        <f t="shared" si="149"/>
        <v>1</v>
      </c>
      <c r="K286" s="211">
        <v>56.0</v>
      </c>
      <c r="L286" s="207" t="str">
        <f t="shared" si="3"/>
        <v>n/a</v>
      </c>
      <c r="M286" s="212" t="str">
        <f t="shared" si="4"/>
        <v>n/a</v>
      </c>
      <c r="N286" s="207">
        <f t="shared" si="5"/>
        <v>56</v>
      </c>
      <c r="O286" s="207" t="str">
        <f t="shared" si="6"/>
        <v>n/a</v>
      </c>
    </row>
    <row r="287" ht="15.75" customHeight="1">
      <c r="A287" s="207">
        <v>36.0</v>
      </c>
      <c r="B287" s="6" t="str">
        <f>VLOOKUP($A287, 'Completion rates'!$A:$E, 2, FALSE)</f>
        <v>Killing blood moon (moons of peril)</v>
      </c>
      <c r="C287" s="207">
        <v>29028.0</v>
      </c>
      <c r="D287" s="6" t="str">
        <f>VLOOKUP($C287, 'List of log slots'!$A:$E, 2, FALSE)</f>
        <v>Blood moon helm</v>
      </c>
      <c r="E287" s="207">
        <f>VLOOKUP($C287, 'List of log slots'!$A:$E, 5, FALSE)</f>
        <v>5</v>
      </c>
      <c r="F287" s="208" t="b">
        <f>VLOOKUP(C287, 'List of log slots'!$A:$C, 3, FALSE)</f>
        <v>0</v>
      </c>
      <c r="G287" s="209" t="b">
        <f t="shared" si="28"/>
        <v>0</v>
      </c>
      <c r="H287" s="210" t="b">
        <f t="shared" si="7"/>
        <v>1</v>
      </c>
      <c r="I287" s="209" t="b">
        <f t="shared" si="146"/>
        <v>0</v>
      </c>
      <c r="J287" s="213" t="b">
        <f t="shared" si="149"/>
        <v>1</v>
      </c>
      <c r="K287" s="211">
        <v>56.0</v>
      </c>
      <c r="L287" s="207" t="str">
        <f t="shared" si="3"/>
        <v>n/a</v>
      </c>
      <c r="M287" s="212" t="str">
        <f t="shared" si="4"/>
        <v>n/a</v>
      </c>
      <c r="N287" s="207">
        <f t="shared" si="5"/>
        <v>56</v>
      </c>
      <c r="O287" s="207" t="str">
        <f t="shared" si="6"/>
        <v>n/a</v>
      </c>
    </row>
    <row r="288" ht="15.75" customHeight="1">
      <c r="A288" s="207">
        <v>36.0</v>
      </c>
      <c r="B288" s="6" t="str">
        <f>VLOOKUP($A288, 'Completion rates'!$A:$E, 2, FALSE)</f>
        <v>Killing blood moon (moons of peril)</v>
      </c>
      <c r="C288" s="207">
        <v>28997.0</v>
      </c>
      <c r="D288" s="6" t="str">
        <f>VLOOKUP($C288, 'List of log slots'!$A:$E, 2, FALSE)</f>
        <v>Dual macuahuitl</v>
      </c>
      <c r="E288" s="207">
        <f>VLOOKUP($C288, 'List of log slots'!$A:$E, 5, FALSE)</f>
        <v>5</v>
      </c>
      <c r="F288" s="208" t="b">
        <f>VLOOKUP(C288, 'List of log slots'!$A:$C, 3, FALSE)</f>
        <v>0</v>
      </c>
      <c r="G288" s="209" t="b">
        <f t="shared" si="28"/>
        <v>0</v>
      </c>
      <c r="H288" s="210" t="b">
        <f t="shared" si="7"/>
        <v>1</v>
      </c>
      <c r="I288" s="209" t="b">
        <f t="shared" si="146"/>
        <v>0</v>
      </c>
      <c r="J288" s="213" t="b">
        <f t="shared" si="149"/>
        <v>1</v>
      </c>
      <c r="K288" s="211">
        <v>56.0</v>
      </c>
      <c r="L288" s="207" t="str">
        <f t="shared" si="3"/>
        <v>n/a</v>
      </c>
      <c r="M288" s="212" t="str">
        <f t="shared" si="4"/>
        <v>n/a</v>
      </c>
      <c r="N288" s="207">
        <f t="shared" si="5"/>
        <v>56</v>
      </c>
      <c r="O288" s="207" t="str">
        <f t="shared" si="6"/>
        <v>n/a</v>
      </c>
    </row>
    <row r="289" ht="15.75" customHeight="1">
      <c r="A289" s="207">
        <v>36.0</v>
      </c>
      <c r="B289" s="6" t="str">
        <f>VLOOKUP($A289, 'Completion rates'!$A:$E, 2, FALSE)</f>
        <v>Killing blood moon (moons of peril)</v>
      </c>
      <c r="C289" s="207">
        <v>28991.0</v>
      </c>
      <c r="D289" s="6" t="str">
        <f>VLOOKUP($C289, 'List of log slots'!$A:$E, 2, FALSE)</f>
        <v>Atlatl dart</v>
      </c>
      <c r="E289" s="207">
        <f>VLOOKUP($C289, 'List of log slots'!$A:$E, 5, FALSE)</f>
        <v>4</v>
      </c>
      <c r="F289" s="213" t="b">
        <f>VLOOKUP(C289, 'List of log slots'!$A:$C, 3, FALSE)</f>
        <v>0</v>
      </c>
      <c r="G289" s="209" t="b">
        <f t="shared" si="28"/>
        <v>0</v>
      </c>
      <c r="H289" s="209" t="b">
        <f t="shared" si="7"/>
        <v>1</v>
      </c>
      <c r="I289" s="209" t="b">
        <f t="shared" si="146"/>
        <v>0</v>
      </c>
      <c r="J289" s="208" t="b">
        <f t="shared" ref="J289:J318" si="150">FALSE</f>
        <v>0</v>
      </c>
      <c r="K289" s="211">
        <v>2.0</v>
      </c>
      <c r="L289" s="207" t="str">
        <f t="shared" si="3"/>
        <v>n/a</v>
      </c>
      <c r="M289" s="212" t="str">
        <f t="shared" si="4"/>
        <v>n/a</v>
      </c>
      <c r="N289" s="207" t="str">
        <f t="shared" si="5"/>
        <v>n/a</v>
      </c>
      <c r="O289" s="207">
        <f t="shared" si="6"/>
        <v>0.5</v>
      </c>
    </row>
    <row r="290" ht="15.75" customHeight="1">
      <c r="A290" s="207">
        <v>37.0</v>
      </c>
      <c r="B290" s="6" t="str">
        <f>VLOOKUP($A290, 'Completion rates'!$A:$E, 2, FALSE)</f>
        <v>Killing nex (6 person team)</v>
      </c>
      <c r="C290" s="207">
        <v>26348.0</v>
      </c>
      <c r="D290" s="6" t="str">
        <f>VLOOKUP($C290, 'List of log slots'!$A:$E, 2, FALSE)</f>
        <v>Nexling</v>
      </c>
      <c r="E290" s="207">
        <f>VLOOKUP($C290, 'List of log slots'!$A:$E, 5, FALSE)</f>
        <v>7</v>
      </c>
      <c r="F290" s="208" t="b">
        <f>VLOOKUP(C290, 'List of log slots'!$A:$C, 3, FALSE)</f>
        <v>0</v>
      </c>
      <c r="G290" s="209" t="b">
        <f t="shared" si="28"/>
        <v>0</v>
      </c>
      <c r="H290" s="210" t="b">
        <f t="shared" si="7"/>
        <v>1</v>
      </c>
      <c r="I290" s="209" t="b">
        <f t="shared" si="146"/>
        <v>0</v>
      </c>
      <c r="J290" s="208" t="b">
        <f t="shared" si="150"/>
        <v>0</v>
      </c>
      <c r="K290" s="211">
        <v>3000.0</v>
      </c>
      <c r="L290" s="207" t="str">
        <f t="shared" si="3"/>
        <v>n/a</v>
      </c>
      <c r="M290" s="212" t="str">
        <f t="shared" si="4"/>
        <v>n/a</v>
      </c>
      <c r="N290" s="207" t="str">
        <f t="shared" si="5"/>
        <v>n/a</v>
      </c>
      <c r="O290" s="207">
        <f t="shared" si="6"/>
        <v>0.0003333333333</v>
      </c>
    </row>
    <row r="291" ht="15.75" customHeight="1">
      <c r="A291" s="207">
        <v>37.0</v>
      </c>
      <c r="B291" s="6" t="str">
        <f>VLOOKUP($A291, 'Completion rates'!$A:$E, 2, FALSE)</f>
        <v>Killing nex (6 person team)</v>
      </c>
      <c r="C291" s="207">
        <v>26370.0</v>
      </c>
      <c r="D291" s="6" t="str">
        <f>VLOOKUP($C291, 'List of log slots'!$A:$E, 2, FALSE)</f>
        <v>Ancient hilt</v>
      </c>
      <c r="E291" s="207">
        <f>VLOOKUP($C291, 'List of log slots'!$A:$E, 5, FALSE)</f>
        <v>6</v>
      </c>
      <c r="F291" s="208" t="b">
        <f>VLOOKUP(C291, 'List of log slots'!$A:$C, 3, FALSE)</f>
        <v>0</v>
      </c>
      <c r="G291" s="209" t="b">
        <f t="shared" si="28"/>
        <v>0</v>
      </c>
      <c r="H291" s="210" t="b">
        <f t="shared" si="7"/>
        <v>1</v>
      </c>
      <c r="I291" s="209" t="b">
        <f t="shared" si="146"/>
        <v>0</v>
      </c>
      <c r="J291" s="208" t="b">
        <f t="shared" si="150"/>
        <v>0</v>
      </c>
      <c r="K291" s="211">
        <v>3096.0</v>
      </c>
      <c r="L291" s="207" t="str">
        <f t="shared" si="3"/>
        <v>n/a</v>
      </c>
      <c r="M291" s="212" t="str">
        <f t="shared" si="4"/>
        <v>n/a</v>
      </c>
      <c r="N291" s="207" t="str">
        <f t="shared" si="5"/>
        <v>n/a</v>
      </c>
      <c r="O291" s="207">
        <f t="shared" si="6"/>
        <v>0.000322997416</v>
      </c>
    </row>
    <row r="292" ht="15.75" customHeight="1">
      <c r="A292" s="207">
        <v>37.0</v>
      </c>
      <c r="B292" s="6" t="str">
        <f>VLOOKUP($A292, 'Completion rates'!$A:$E, 2, FALSE)</f>
        <v>Killing nex (6 person team)</v>
      </c>
      <c r="C292" s="207">
        <v>26372.0</v>
      </c>
      <c r="D292" s="6" t="str">
        <f>VLOOKUP($C292, 'List of log slots'!$A:$E, 2, FALSE)</f>
        <v>Nihil horn</v>
      </c>
      <c r="E292" s="207">
        <f>VLOOKUP($C292, 'List of log slots'!$A:$E, 5, FALSE)</f>
        <v>6</v>
      </c>
      <c r="F292" s="208" t="b">
        <f>VLOOKUP(C292, 'List of log slots'!$A:$C, 3, FALSE)</f>
        <v>0</v>
      </c>
      <c r="G292" s="209" t="b">
        <f t="shared" si="28"/>
        <v>0</v>
      </c>
      <c r="H292" s="210" t="b">
        <f t="shared" si="7"/>
        <v>1</v>
      </c>
      <c r="I292" s="209" t="b">
        <f t="shared" si="146"/>
        <v>0</v>
      </c>
      <c r="J292" s="208" t="b">
        <f t="shared" si="150"/>
        <v>0</v>
      </c>
      <c r="K292" s="211">
        <v>1548.0</v>
      </c>
      <c r="L292" s="207" t="str">
        <f t="shared" si="3"/>
        <v>n/a</v>
      </c>
      <c r="M292" s="212" t="str">
        <f t="shared" si="4"/>
        <v>n/a</v>
      </c>
      <c r="N292" s="207" t="str">
        <f t="shared" si="5"/>
        <v>n/a</v>
      </c>
      <c r="O292" s="207">
        <f t="shared" si="6"/>
        <v>0.000645994832</v>
      </c>
    </row>
    <row r="293" ht="15.75" customHeight="1">
      <c r="A293" s="207">
        <v>37.0</v>
      </c>
      <c r="B293" s="6" t="str">
        <f>VLOOKUP($A293, 'Completion rates'!$A:$E, 2, FALSE)</f>
        <v>Killing nex (6 person team)</v>
      </c>
      <c r="C293" s="207">
        <v>26235.0</v>
      </c>
      <c r="D293" s="6" t="str">
        <f>VLOOKUP($C293, 'List of log slots'!$A:$E, 2, FALSE)</f>
        <v>Zaryte vambraces</v>
      </c>
      <c r="E293" s="207">
        <f>VLOOKUP($C293, 'List of log slots'!$A:$E, 5, FALSE)</f>
        <v>6</v>
      </c>
      <c r="F293" s="208" t="b">
        <f>VLOOKUP(C293, 'List of log slots'!$A:$C, 3, FALSE)</f>
        <v>0</v>
      </c>
      <c r="G293" s="209" t="b">
        <f t="shared" si="28"/>
        <v>0</v>
      </c>
      <c r="H293" s="210" t="b">
        <f t="shared" si="7"/>
        <v>1</v>
      </c>
      <c r="I293" s="209" t="b">
        <f t="shared" si="146"/>
        <v>0</v>
      </c>
      <c r="J293" s="208" t="b">
        <f t="shared" si="150"/>
        <v>0</v>
      </c>
      <c r="K293" s="211">
        <v>1032.0</v>
      </c>
      <c r="L293" s="207" t="str">
        <f t="shared" si="3"/>
        <v>n/a</v>
      </c>
      <c r="M293" s="212" t="str">
        <f t="shared" si="4"/>
        <v>n/a</v>
      </c>
      <c r="N293" s="207" t="str">
        <f t="shared" si="5"/>
        <v>n/a</v>
      </c>
      <c r="O293" s="207">
        <f t="shared" si="6"/>
        <v>0.0009689922481</v>
      </c>
    </row>
    <row r="294" ht="15.75" customHeight="1">
      <c r="A294" s="207">
        <v>37.0</v>
      </c>
      <c r="B294" s="6" t="str">
        <f>VLOOKUP($A294, 'Completion rates'!$A:$E, 2, FALSE)</f>
        <v>Killing nex (6 person team)</v>
      </c>
      <c r="C294" s="207">
        <v>26376.0</v>
      </c>
      <c r="D294" s="6" t="str">
        <f>VLOOKUP($C294, 'List of log slots'!$A:$E, 2, FALSE)</f>
        <v>Torva full helm (damaged)</v>
      </c>
      <c r="E294" s="207">
        <f>VLOOKUP($C294, 'List of log slots'!$A:$E, 5, FALSE)</f>
        <v>6</v>
      </c>
      <c r="F294" s="208" t="b">
        <f>VLOOKUP(C294, 'List of log slots'!$A:$C, 3, FALSE)</f>
        <v>0</v>
      </c>
      <c r="G294" s="209" t="b">
        <f t="shared" si="28"/>
        <v>0</v>
      </c>
      <c r="H294" s="210" t="b">
        <f t="shared" si="7"/>
        <v>1</v>
      </c>
      <c r="I294" s="209" t="b">
        <f t="shared" si="146"/>
        <v>0</v>
      </c>
      <c r="J294" s="208" t="b">
        <f t="shared" si="150"/>
        <v>0</v>
      </c>
      <c r="K294" s="211">
        <v>1548.0</v>
      </c>
      <c r="L294" s="207" t="str">
        <f t="shared" si="3"/>
        <v>n/a</v>
      </c>
      <c r="M294" s="212" t="str">
        <f t="shared" si="4"/>
        <v>n/a</v>
      </c>
      <c r="N294" s="207" t="str">
        <f t="shared" si="5"/>
        <v>n/a</v>
      </c>
      <c r="O294" s="207">
        <f t="shared" si="6"/>
        <v>0.000645994832</v>
      </c>
    </row>
    <row r="295" ht="15.75" customHeight="1">
      <c r="A295" s="207">
        <v>37.0</v>
      </c>
      <c r="B295" s="6" t="str">
        <f>VLOOKUP($A295, 'Completion rates'!$A:$E, 2, FALSE)</f>
        <v>Killing nex (6 person team)</v>
      </c>
      <c r="C295" s="207">
        <v>26378.0</v>
      </c>
      <c r="D295" s="6" t="str">
        <f>VLOOKUP($C295, 'List of log slots'!$A:$E, 2, FALSE)</f>
        <v>Torva platebody (damaged)</v>
      </c>
      <c r="E295" s="207">
        <f>VLOOKUP($C295, 'List of log slots'!$A:$E, 5, FALSE)</f>
        <v>6</v>
      </c>
      <c r="F295" s="208" t="b">
        <f>VLOOKUP(C295, 'List of log slots'!$A:$C, 3, FALSE)</f>
        <v>0</v>
      </c>
      <c r="G295" s="209" t="b">
        <f t="shared" si="28"/>
        <v>0</v>
      </c>
      <c r="H295" s="210" t="b">
        <f t="shared" si="7"/>
        <v>1</v>
      </c>
      <c r="I295" s="209" t="b">
        <f t="shared" si="146"/>
        <v>0</v>
      </c>
      <c r="J295" s="208" t="b">
        <f t="shared" si="150"/>
        <v>0</v>
      </c>
      <c r="K295" s="211">
        <v>1548.0</v>
      </c>
      <c r="L295" s="207" t="str">
        <f t="shared" si="3"/>
        <v>n/a</v>
      </c>
      <c r="M295" s="212" t="str">
        <f t="shared" si="4"/>
        <v>n/a</v>
      </c>
      <c r="N295" s="207" t="str">
        <f t="shared" si="5"/>
        <v>n/a</v>
      </c>
      <c r="O295" s="207">
        <f t="shared" si="6"/>
        <v>0.000645994832</v>
      </c>
    </row>
    <row r="296" ht="15.75" customHeight="1">
      <c r="A296" s="207">
        <v>37.0</v>
      </c>
      <c r="B296" s="6" t="str">
        <f>VLOOKUP($A296, 'Completion rates'!$A:$E, 2, FALSE)</f>
        <v>Killing nex (6 person team)</v>
      </c>
      <c r="C296" s="207">
        <v>26380.0</v>
      </c>
      <c r="D296" s="6" t="str">
        <f>VLOOKUP($C296, 'List of log slots'!$A:$E, 2, FALSE)</f>
        <v>Torva platelegs (damaged)</v>
      </c>
      <c r="E296" s="207">
        <f>VLOOKUP($C296, 'List of log slots'!$A:$E, 5, FALSE)</f>
        <v>6</v>
      </c>
      <c r="F296" s="208" t="b">
        <f>VLOOKUP(C296, 'List of log slots'!$A:$C, 3, FALSE)</f>
        <v>0</v>
      </c>
      <c r="G296" s="209" t="b">
        <f t="shared" si="28"/>
        <v>0</v>
      </c>
      <c r="H296" s="210" t="b">
        <f t="shared" si="7"/>
        <v>1</v>
      </c>
      <c r="I296" s="209" t="b">
        <f t="shared" si="146"/>
        <v>0</v>
      </c>
      <c r="J296" s="208" t="b">
        <f t="shared" si="150"/>
        <v>0</v>
      </c>
      <c r="K296" s="214">
        <v>1548.0</v>
      </c>
      <c r="L296" s="212" t="str">
        <f t="shared" si="3"/>
        <v>n/a</v>
      </c>
      <c r="M296" s="212" t="str">
        <f t="shared" si="4"/>
        <v>n/a</v>
      </c>
      <c r="N296" s="207" t="str">
        <f t="shared" si="5"/>
        <v>n/a</v>
      </c>
      <c r="O296" s="207">
        <f t="shared" si="6"/>
        <v>0.000645994832</v>
      </c>
    </row>
    <row r="297" ht="15.75" customHeight="1">
      <c r="A297" s="207">
        <v>37.0</v>
      </c>
      <c r="B297" s="6" t="str">
        <f>VLOOKUP($A297, 'Completion rates'!$A:$E, 2, FALSE)</f>
        <v>Killing nex (6 person team)</v>
      </c>
      <c r="C297" s="207">
        <v>26231.0</v>
      </c>
      <c r="D297" s="6" t="str">
        <f>VLOOKUP($C297, 'List of log slots'!$A:$E, 2, FALSE)</f>
        <v>Nihil shard</v>
      </c>
      <c r="E297" s="207">
        <f>VLOOKUP($C297, 'List of log slots'!$A:$E, 5, FALSE)</f>
        <v>4</v>
      </c>
      <c r="F297" s="213" t="b">
        <f>VLOOKUP(C297, 'List of log slots'!$A:$C, 3, FALSE)</f>
        <v>0</v>
      </c>
      <c r="G297" s="209" t="b">
        <f t="shared" si="28"/>
        <v>0</v>
      </c>
      <c r="H297" s="209" t="b">
        <f t="shared" si="7"/>
        <v>1</v>
      </c>
      <c r="I297" s="208" t="b">
        <f t="shared" si="146"/>
        <v>0</v>
      </c>
      <c r="J297" s="208" t="b">
        <f t="shared" si="150"/>
        <v>0</v>
      </c>
      <c r="K297" s="214">
        <v>10.0</v>
      </c>
      <c r="L297" s="212" t="str">
        <f t="shared" si="3"/>
        <v>n/a</v>
      </c>
      <c r="M297" s="212" t="str">
        <f t="shared" si="4"/>
        <v>n/a</v>
      </c>
      <c r="N297" s="207" t="str">
        <f t="shared" si="5"/>
        <v>n/a</v>
      </c>
      <c r="O297" s="207">
        <f t="shared" si="6"/>
        <v>0.1</v>
      </c>
    </row>
    <row r="298" ht="15.75" customHeight="1">
      <c r="A298" s="207">
        <v>38.0</v>
      </c>
      <c r="B298" s="6" t="str">
        <f>VLOOKUP($A298, 'Completion rates'!$A:$E, 2, FALSE)</f>
        <v>Killing the nightmare of ashihama (5 person team)</v>
      </c>
      <c r="C298" s="207">
        <v>24491.0</v>
      </c>
      <c r="D298" s="6" t="str">
        <f>VLOOKUP($C298, 'List of log slots'!$A:$E, 2, FALSE)</f>
        <v>Little nightmare</v>
      </c>
      <c r="E298" s="207">
        <f>VLOOKUP($C298, 'List of log slots'!$A:$E, 5, FALSE)</f>
        <v>8</v>
      </c>
      <c r="F298" s="208" t="b">
        <f>VLOOKUP(C298, 'List of log slots'!$A:$C, 3, FALSE)</f>
        <v>0</v>
      </c>
      <c r="G298" s="209" t="b">
        <f t="shared" si="28"/>
        <v>0</v>
      </c>
      <c r="H298" s="210" t="b">
        <f t="shared" si="7"/>
        <v>1</v>
      </c>
      <c r="I298" s="208" t="b">
        <f t="shared" si="146"/>
        <v>0</v>
      </c>
      <c r="J298" s="208" t="b">
        <f t="shared" si="150"/>
        <v>0</v>
      </c>
      <c r="K298" s="214">
        <v>4000.0</v>
      </c>
      <c r="L298" s="212" t="str">
        <f t="shared" si="3"/>
        <v>n/a</v>
      </c>
      <c r="M298" s="212" t="str">
        <f t="shared" si="4"/>
        <v>n/a</v>
      </c>
      <c r="N298" s="207" t="str">
        <f t="shared" si="5"/>
        <v>n/a</v>
      </c>
      <c r="O298" s="207">
        <f t="shared" si="6"/>
        <v>0.00025</v>
      </c>
    </row>
    <row r="299" ht="15.75" customHeight="1">
      <c r="A299" s="207">
        <v>38.0</v>
      </c>
      <c r="B299" s="6" t="str">
        <f>VLOOKUP($A299, 'Completion rates'!$A:$E, 2, FALSE)</f>
        <v>Killing the nightmare of ashihama (5 person team)</v>
      </c>
      <c r="C299" s="207">
        <v>24417.0</v>
      </c>
      <c r="D299" s="6" t="str">
        <f>VLOOKUP($C299, 'List of log slots'!$A:$E, 2, FALSE)</f>
        <v>Inquisitor's mace</v>
      </c>
      <c r="E299" s="207">
        <f>VLOOKUP($C299, 'List of log slots'!$A:$E, 5, FALSE)</f>
        <v>8</v>
      </c>
      <c r="F299" s="208" t="b">
        <f>VLOOKUP(C299, 'List of log slots'!$A:$C, 3, FALSE)</f>
        <v>0</v>
      </c>
      <c r="G299" s="209" t="b">
        <f t="shared" si="28"/>
        <v>0</v>
      </c>
      <c r="H299" s="210" t="b">
        <f t="shared" si="7"/>
        <v>1</v>
      </c>
      <c r="I299" s="208" t="b">
        <f t="shared" si="146"/>
        <v>0</v>
      </c>
      <c r="J299" s="208" t="b">
        <f t="shared" si="150"/>
        <v>0</v>
      </c>
      <c r="K299" s="214">
        <v>3750.0</v>
      </c>
      <c r="L299" s="212" t="str">
        <f t="shared" si="3"/>
        <v>n/a</v>
      </c>
      <c r="M299" s="212" t="str">
        <f t="shared" si="4"/>
        <v>n/a</v>
      </c>
      <c r="N299" s="207" t="str">
        <f t="shared" si="5"/>
        <v>n/a</v>
      </c>
      <c r="O299" s="207">
        <f t="shared" si="6"/>
        <v>0.0002666666667</v>
      </c>
    </row>
    <row r="300" ht="15.75" customHeight="1">
      <c r="A300" s="207">
        <v>38.0</v>
      </c>
      <c r="B300" s="6" t="str">
        <f>VLOOKUP($A300, 'Completion rates'!$A:$E, 2, FALSE)</f>
        <v>Killing the nightmare of ashihama (5 person team)</v>
      </c>
      <c r="C300" s="207">
        <v>24419.0</v>
      </c>
      <c r="D300" s="6" t="str">
        <f>VLOOKUP($C300, 'List of log slots'!$A:$E, 2, FALSE)</f>
        <v>Inquisitor's great helm</v>
      </c>
      <c r="E300" s="207">
        <f>VLOOKUP($C300, 'List of log slots'!$A:$E, 5, FALSE)</f>
        <v>7</v>
      </c>
      <c r="F300" s="208" t="b">
        <f>VLOOKUP(C300, 'List of log slots'!$A:$C, 3, FALSE)</f>
        <v>0</v>
      </c>
      <c r="G300" s="209" t="b">
        <f t="shared" si="28"/>
        <v>0</v>
      </c>
      <c r="H300" s="210" t="b">
        <f t="shared" si="7"/>
        <v>1</v>
      </c>
      <c r="I300" s="209" t="b">
        <f t="shared" si="146"/>
        <v>0</v>
      </c>
      <c r="J300" s="208" t="b">
        <f t="shared" si="150"/>
        <v>0</v>
      </c>
      <c r="K300" s="211">
        <v>2100.0</v>
      </c>
      <c r="L300" s="207" t="str">
        <f t="shared" si="3"/>
        <v>n/a</v>
      </c>
      <c r="M300" s="212" t="str">
        <f t="shared" si="4"/>
        <v>n/a</v>
      </c>
      <c r="N300" s="207" t="str">
        <f t="shared" si="5"/>
        <v>n/a</v>
      </c>
      <c r="O300" s="207">
        <f t="shared" si="6"/>
        <v>0.0004761904762</v>
      </c>
    </row>
    <row r="301" ht="15.75" customHeight="1">
      <c r="A301" s="207">
        <v>38.0</v>
      </c>
      <c r="B301" s="6" t="str">
        <f>VLOOKUP($A301, 'Completion rates'!$A:$E, 2, FALSE)</f>
        <v>Killing the nightmare of ashihama (5 person team)</v>
      </c>
      <c r="C301" s="207">
        <v>24420.0</v>
      </c>
      <c r="D301" s="6" t="str">
        <f>VLOOKUP($C301, 'List of log slots'!$A:$E, 2, FALSE)</f>
        <v>Inquisitor's hauberk</v>
      </c>
      <c r="E301" s="207">
        <f>VLOOKUP($C301, 'List of log slots'!$A:$E, 5, FALSE)</f>
        <v>7</v>
      </c>
      <c r="F301" s="208" t="b">
        <f>VLOOKUP(C301, 'List of log slots'!$A:$C, 3, FALSE)</f>
        <v>0</v>
      </c>
      <c r="G301" s="209" t="b">
        <f t="shared" si="28"/>
        <v>0</v>
      </c>
      <c r="H301" s="210" t="b">
        <f t="shared" si="7"/>
        <v>1</v>
      </c>
      <c r="I301" s="209" t="b">
        <f t="shared" si="146"/>
        <v>0</v>
      </c>
      <c r="J301" s="208" t="b">
        <f t="shared" si="150"/>
        <v>0</v>
      </c>
      <c r="K301" s="211">
        <v>2100.0</v>
      </c>
      <c r="L301" s="207" t="str">
        <f t="shared" si="3"/>
        <v>n/a</v>
      </c>
      <c r="M301" s="212" t="str">
        <f t="shared" si="4"/>
        <v>n/a</v>
      </c>
      <c r="N301" s="207" t="str">
        <f t="shared" si="5"/>
        <v>n/a</v>
      </c>
      <c r="O301" s="207">
        <f t="shared" si="6"/>
        <v>0.0004761904762</v>
      </c>
    </row>
    <row r="302" ht="15.75" customHeight="1">
      <c r="A302" s="207">
        <v>38.0</v>
      </c>
      <c r="B302" s="6" t="str">
        <f>VLOOKUP($A302, 'Completion rates'!$A:$E, 2, FALSE)</f>
        <v>Killing the nightmare of ashihama (5 person team)</v>
      </c>
      <c r="C302" s="207">
        <v>24421.0</v>
      </c>
      <c r="D302" s="6" t="str">
        <f>VLOOKUP($C302, 'List of log slots'!$A:$E, 2, FALSE)</f>
        <v>Inquisitor's plateskirt</v>
      </c>
      <c r="E302" s="207">
        <f>VLOOKUP($C302, 'List of log slots'!$A:$E, 5, FALSE)</f>
        <v>7</v>
      </c>
      <c r="F302" s="208" t="b">
        <f>VLOOKUP(C302, 'List of log slots'!$A:$C, 3, FALSE)</f>
        <v>0</v>
      </c>
      <c r="G302" s="209" t="b">
        <f t="shared" si="28"/>
        <v>0</v>
      </c>
      <c r="H302" s="210" t="b">
        <f t="shared" si="7"/>
        <v>1</v>
      </c>
      <c r="I302" s="209" t="b">
        <f t="shared" si="146"/>
        <v>0</v>
      </c>
      <c r="J302" s="208" t="b">
        <f t="shared" si="150"/>
        <v>0</v>
      </c>
      <c r="K302" s="211">
        <v>2100.0</v>
      </c>
      <c r="L302" s="207" t="str">
        <f t="shared" si="3"/>
        <v>n/a</v>
      </c>
      <c r="M302" s="212" t="str">
        <f t="shared" si="4"/>
        <v>n/a</v>
      </c>
      <c r="N302" s="207" t="str">
        <f t="shared" si="5"/>
        <v>n/a</v>
      </c>
      <c r="O302" s="207">
        <f t="shared" si="6"/>
        <v>0.0004761904762</v>
      </c>
    </row>
    <row r="303" ht="15.75" customHeight="1">
      <c r="A303" s="207">
        <v>38.0</v>
      </c>
      <c r="B303" s="6" t="str">
        <f>VLOOKUP($A303, 'Completion rates'!$A:$E, 2, FALSE)</f>
        <v>Killing the nightmare of ashihama (5 person team)</v>
      </c>
      <c r="C303" s="207">
        <v>24422.0</v>
      </c>
      <c r="D303" s="6" t="str">
        <f>VLOOKUP($C303, 'List of log slots'!$A:$E, 2, FALSE)</f>
        <v>Nightmare staff</v>
      </c>
      <c r="E303" s="207">
        <f>VLOOKUP($C303, 'List of log slots'!$A:$E, 5, FALSE)</f>
        <v>7</v>
      </c>
      <c r="F303" s="208" t="b">
        <f>VLOOKUP(C303, 'List of log slots'!$A:$C, 3, FALSE)</f>
        <v>0</v>
      </c>
      <c r="G303" s="209" t="b">
        <f t="shared" si="28"/>
        <v>0</v>
      </c>
      <c r="H303" s="210" t="b">
        <f t="shared" si="7"/>
        <v>1</v>
      </c>
      <c r="I303" s="209" t="b">
        <f t="shared" si="146"/>
        <v>0</v>
      </c>
      <c r="J303" s="208" t="b">
        <f t="shared" si="150"/>
        <v>0</v>
      </c>
      <c r="K303" s="211">
        <v>1500.0</v>
      </c>
      <c r="L303" s="207" t="str">
        <f t="shared" si="3"/>
        <v>n/a</v>
      </c>
      <c r="M303" s="212" t="str">
        <f t="shared" si="4"/>
        <v>n/a</v>
      </c>
      <c r="N303" s="207" t="str">
        <f t="shared" si="5"/>
        <v>n/a</v>
      </c>
      <c r="O303" s="207">
        <f t="shared" si="6"/>
        <v>0.0006666666667</v>
      </c>
    </row>
    <row r="304" ht="15.75" customHeight="1">
      <c r="A304" s="207">
        <v>38.0</v>
      </c>
      <c r="B304" s="6" t="str">
        <f>VLOOKUP($A304, 'Completion rates'!$A:$E, 2, FALSE)</f>
        <v>Killing the nightmare of ashihama (5 person team)</v>
      </c>
      <c r="C304" s="207">
        <v>24514.0</v>
      </c>
      <c r="D304" s="6" t="str">
        <f>VLOOKUP($C304, 'List of log slots'!$A:$E, 2, FALSE)</f>
        <v>Volatile orb</v>
      </c>
      <c r="E304" s="207">
        <f>VLOOKUP($C304, 'List of log slots'!$A:$E, 5, FALSE)</f>
        <v>8</v>
      </c>
      <c r="F304" s="208" t="b">
        <f>VLOOKUP(C304, 'List of log slots'!$A:$C, 3, FALSE)</f>
        <v>0</v>
      </c>
      <c r="G304" s="209" t="b">
        <f t="shared" si="28"/>
        <v>0</v>
      </c>
      <c r="H304" s="210" t="b">
        <f t="shared" si="7"/>
        <v>1</v>
      </c>
      <c r="I304" s="209" t="b">
        <f t="shared" si="146"/>
        <v>0</v>
      </c>
      <c r="J304" s="208" t="b">
        <f t="shared" si="150"/>
        <v>0</v>
      </c>
      <c r="K304" s="211">
        <v>4800.0</v>
      </c>
      <c r="L304" s="207" t="str">
        <f t="shared" si="3"/>
        <v>n/a</v>
      </c>
      <c r="M304" s="212" t="str">
        <f t="shared" si="4"/>
        <v>n/a</v>
      </c>
      <c r="N304" s="207" t="str">
        <f t="shared" si="5"/>
        <v>n/a</v>
      </c>
      <c r="O304" s="207">
        <f t="shared" si="6"/>
        <v>0.0002083333333</v>
      </c>
    </row>
    <row r="305" ht="15.75" customHeight="1">
      <c r="A305" s="207">
        <v>38.0</v>
      </c>
      <c r="B305" s="6" t="str">
        <f>VLOOKUP($A305, 'Completion rates'!$A:$E, 2, FALSE)</f>
        <v>Killing the nightmare of ashihama (5 person team)</v>
      </c>
      <c r="C305" s="207">
        <v>24511.0</v>
      </c>
      <c r="D305" s="6" t="str">
        <f>VLOOKUP($C305, 'List of log slots'!$A:$E, 2, FALSE)</f>
        <v>Harmonized orb</v>
      </c>
      <c r="E305" s="207">
        <f>VLOOKUP($C305, 'List of log slots'!$A:$E, 5, FALSE)</f>
        <v>8</v>
      </c>
      <c r="F305" s="208" t="b">
        <f>VLOOKUP(C305, 'List of log slots'!$A:$C, 3, FALSE)</f>
        <v>0</v>
      </c>
      <c r="G305" s="209" t="b">
        <f t="shared" si="28"/>
        <v>0</v>
      </c>
      <c r="H305" s="210" t="b">
        <f t="shared" si="7"/>
        <v>1</v>
      </c>
      <c r="I305" s="209" t="b">
        <f t="shared" si="146"/>
        <v>0</v>
      </c>
      <c r="J305" s="208" t="b">
        <f t="shared" si="150"/>
        <v>0</v>
      </c>
      <c r="K305" s="211">
        <v>4800.0</v>
      </c>
      <c r="L305" s="207" t="str">
        <f t="shared" si="3"/>
        <v>n/a</v>
      </c>
      <c r="M305" s="212" t="str">
        <f t="shared" si="4"/>
        <v>n/a</v>
      </c>
      <c r="N305" s="207" t="str">
        <f t="shared" si="5"/>
        <v>n/a</v>
      </c>
      <c r="O305" s="207">
        <f t="shared" si="6"/>
        <v>0.0002083333333</v>
      </c>
    </row>
    <row r="306" ht="15.75" customHeight="1">
      <c r="A306" s="207">
        <v>38.0</v>
      </c>
      <c r="B306" s="6" t="str">
        <f>VLOOKUP($A306, 'Completion rates'!$A:$E, 2, FALSE)</f>
        <v>Killing the nightmare of ashihama (5 person team)</v>
      </c>
      <c r="C306" s="207">
        <v>24517.0</v>
      </c>
      <c r="D306" s="6" t="str">
        <f>VLOOKUP($C306, 'List of log slots'!$A:$E, 2, FALSE)</f>
        <v>Eldritch orb</v>
      </c>
      <c r="E306" s="207">
        <f>VLOOKUP($C306, 'List of log slots'!$A:$E, 5, FALSE)</f>
        <v>8</v>
      </c>
      <c r="F306" s="208" t="b">
        <f>VLOOKUP(C306, 'List of log slots'!$A:$C, 3, FALSE)</f>
        <v>0</v>
      </c>
      <c r="G306" s="209" t="b">
        <f t="shared" si="28"/>
        <v>0</v>
      </c>
      <c r="H306" s="210" t="b">
        <f t="shared" si="7"/>
        <v>1</v>
      </c>
      <c r="I306" s="209" t="b">
        <f t="shared" si="146"/>
        <v>0</v>
      </c>
      <c r="J306" s="208" t="b">
        <f t="shared" si="150"/>
        <v>0</v>
      </c>
      <c r="K306" s="211">
        <v>4800.0</v>
      </c>
      <c r="L306" s="207" t="str">
        <f t="shared" si="3"/>
        <v>n/a</v>
      </c>
      <c r="M306" s="212" t="str">
        <f t="shared" si="4"/>
        <v>n/a</v>
      </c>
      <c r="N306" s="207" t="str">
        <f t="shared" si="5"/>
        <v>n/a</v>
      </c>
      <c r="O306" s="207">
        <f t="shared" si="6"/>
        <v>0.0002083333333</v>
      </c>
    </row>
    <row r="307" ht="15.75" customHeight="1">
      <c r="A307" s="207">
        <v>38.0</v>
      </c>
      <c r="B307" s="6" t="str">
        <f>VLOOKUP($A307, 'Completion rates'!$A:$E, 2, FALSE)</f>
        <v>Killing the nightmare of ashihama (5 person team)</v>
      </c>
      <c r="C307" s="207">
        <v>24495.0</v>
      </c>
      <c r="D307" s="6" t="str">
        <f>VLOOKUP($C307, 'List of log slots'!$A:$E, 2, FALSE)</f>
        <v>Jar of dreams</v>
      </c>
      <c r="E307" s="207">
        <f>VLOOKUP($C307, 'List of log slots'!$A:$E, 5, FALSE)</f>
        <v>9</v>
      </c>
      <c r="F307" s="208" t="b">
        <f>VLOOKUP(C307, 'List of log slots'!$A:$C, 3, FALSE)</f>
        <v>0</v>
      </c>
      <c r="G307" s="209" t="b">
        <f t="shared" si="28"/>
        <v>0</v>
      </c>
      <c r="H307" s="210" t="b">
        <f t="shared" si="7"/>
        <v>1</v>
      </c>
      <c r="I307" s="209" t="b">
        <f t="shared" si="146"/>
        <v>0</v>
      </c>
      <c r="J307" s="208" t="b">
        <f t="shared" si="150"/>
        <v>0</v>
      </c>
      <c r="K307" s="211">
        <v>2000.0</v>
      </c>
      <c r="L307" s="207" t="str">
        <f t="shared" si="3"/>
        <v>n/a</v>
      </c>
      <c r="M307" s="212" t="str">
        <f t="shared" si="4"/>
        <v>n/a</v>
      </c>
      <c r="N307" s="207" t="str">
        <f t="shared" si="5"/>
        <v>n/a</v>
      </c>
      <c r="O307" s="207">
        <f t="shared" si="6"/>
        <v>0.0005</v>
      </c>
    </row>
    <row r="308" ht="15.75" customHeight="1">
      <c r="A308" s="207">
        <v>39.0</v>
      </c>
      <c r="B308" s="6" t="str">
        <f>VLOOKUP($A308, 'Completion rates'!$A:$E, 2, FALSE)</f>
        <v>Killing phosani's nightmare</v>
      </c>
      <c r="C308" s="207">
        <v>24491.0</v>
      </c>
      <c r="D308" s="6" t="str">
        <f>VLOOKUP($C308, 'List of log slots'!$A:$E, 2, FALSE)</f>
        <v>Little nightmare</v>
      </c>
      <c r="E308" s="207">
        <f>VLOOKUP($C308, 'List of log slots'!$A:$E, 5, FALSE)</f>
        <v>8</v>
      </c>
      <c r="F308" s="208" t="b">
        <f>VLOOKUP(C308, 'List of log slots'!$A:$C, 3, FALSE)</f>
        <v>0</v>
      </c>
      <c r="G308" s="209" t="b">
        <f t="shared" si="28"/>
        <v>0</v>
      </c>
      <c r="H308" s="210" t="b">
        <f t="shared" si="7"/>
        <v>1</v>
      </c>
      <c r="I308" s="209" t="b">
        <f t="shared" si="146"/>
        <v>0</v>
      </c>
      <c r="J308" s="208" t="b">
        <f t="shared" si="150"/>
        <v>0</v>
      </c>
      <c r="K308" s="211">
        <v>1400.0</v>
      </c>
      <c r="L308" s="207" t="str">
        <f t="shared" si="3"/>
        <v>n/a</v>
      </c>
      <c r="M308" s="212" t="str">
        <f t="shared" si="4"/>
        <v>n/a</v>
      </c>
      <c r="N308" s="207" t="str">
        <f t="shared" si="5"/>
        <v>n/a</v>
      </c>
      <c r="O308" s="207">
        <f t="shared" si="6"/>
        <v>0.0007142857143</v>
      </c>
    </row>
    <row r="309" ht="15.75" customHeight="1">
      <c r="A309" s="207">
        <v>39.0</v>
      </c>
      <c r="B309" s="6" t="str">
        <f>VLOOKUP($A309, 'Completion rates'!$A:$E, 2, FALSE)</f>
        <v>Killing phosani's nightmare</v>
      </c>
      <c r="C309" s="207">
        <v>24417.0</v>
      </c>
      <c r="D309" s="6" t="str">
        <f>VLOOKUP($C309, 'List of log slots'!$A:$E, 2, FALSE)</f>
        <v>Inquisitor's mace</v>
      </c>
      <c r="E309" s="207">
        <f>VLOOKUP($C309, 'List of log slots'!$A:$E, 5, FALSE)</f>
        <v>8</v>
      </c>
      <c r="F309" s="208" t="b">
        <f>VLOOKUP(C309, 'List of log slots'!$A:$C, 3, FALSE)</f>
        <v>0</v>
      </c>
      <c r="G309" s="209" t="b">
        <f t="shared" si="28"/>
        <v>0</v>
      </c>
      <c r="H309" s="210" t="b">
        <f t="shared" si="7"/>
        <v>1</v>
      </c>
      <c r="I309" s="209" t="b">
        <f t="shared" si="146"/>
        <v>0</v>
      </c>
      <c r="J309" s="208" t="b">
        <f t="shared" si="150"/>
        <v>0</v>
      </c>
      <c r="K309" s="211">
        <v>1250.0</v>
      </c>
      <c r="L309" s="207" t="str">
        <f t="shared" si="3"/>
        <v>n/a</v>
      </c>
      <c r="M309" s="212" t="str">
        <f t="shared" si="4"/>
        <v>n/a</v>
      </c>
      <c r="N309" s="207" t="str">
        <f t="shared" si="5"/>
        <v>n/a</v>
      </c>
      <c r="O309" s="207">
        <f t="shared" si="6"/>
        <v>0.0008</v>
      </c>
    </row>
    <row r="310" ht="15.75" customHeight="1">
      <c r="A310" s="207">
        <v>39.0</v>
      </c>
      <c r="B310" s="6" t="str">
        <f>VLOOKUP($A310, 'Completion rates'!$A:$E, 2, FALSE)</f>
        <v>Killing phosani's nightmare</v>
      </c>
      <c r="C310" s="207">
        <v>24419.0</v>
      </c>
      <c r="D310" s="6" t="str">
        <f>VLOOKUP($C310, 'List of log slots'!$A:$E, 2, FALSE)</f>
        <v>Inquisitor's great helm</v>
      </c>
      <c r="E310" s="207">
        <f>VLOOKUP($C310, 'List of log slots'!$A:$E, 5, FALSE)</f>
        <v>7</v>
      </c>
      <c r="F310" s="208" t="b">
        <f>VLOOKUP(C310, 'List of log slots'!$A:$C, 3, FALSE)</f>
        <v>0</v>
      </c>
      <c r="G310" s="209" t="b">
        <f t="shared" si="28"/>
        <v>0</v>
      </c>
      <c r="H310" s="210" t="b">
        <f t="shared" si="7"/>
        <v>1</v>
      </c>
      <c r="I310" s="209" t="b">
        <f t="shared" si="146"/>
        <v>0</v>
      </c>
      <c r="J310" s="208" t="b">
        <f t="shared" si="150"/>
        <v>0</v>
      </c>
      <c r="K310" s="211">
        <v>700.0</v>
      </c>
      <c r="L310" s="207" t="str">
        <f t="shared" si="3"/>
        <v>n/a</v>
      </c>
      <c r="M310" s="212" t="str">
        <f t="shared" si="4"/>
        <v>n/a</v>
      </c>
      <c r="N310" s="207" t="str">
        <f t="shared" si="5"/>
        <v>n/a</v>
      </c>
      <c r="O310" s="207">
        <f t="shared" si="6"/>
        <v>0.001428571429</v>
      </c>
    </row>
    <row r="311" ht="15.75" customHeight="1">
      <c r="A311" s="207">
        <v>39.0</v>
      </c>
      <c r="B311" s="6" t="str">
        <f>VLOOKUP($A311, 'Completion rates'!$A:$E, 2, FALSE)</f>
        <v>Killing phosani's nightmare</v>
      </c>
      <c r="C311" s="207">
        <v>24420.0</v>
      </c>
      <c r="D311" s="6" t="str">
        <f>VLOOKUP($C311, 'List of log slots'!$A:$E, 2, FALSE)</f>
        <v>Inquisitor's hauberk</v>
      </c>
      <c r="E311" s="207">
        <f>VLOOKUP($C311, 'List of log slots'!$A:$E, 5, FALSE)</f>
        <v>7</v>
      </c>
      <c r="F311" s="208" t="b">
        <f>VLOOKUP(C311, 'List of log slots'!$A:$C, 3, FALSE)</f>
        <v>0</v>
      </c>
      <c r="G311" s="209" t="b">
        <f t="shared" si="28"/>
        <v>0</v>
      </c>
      <c r="H311" s="210" t="b">
        <f t="shared" si="7"/>
        <v>1</v>
      </c>
      <c r="I311" s="209" t="b">
        <f t="shared" si="146"/>
        <v>0</v>
      </c>
      <c r="J311" s="208" t="b">
        <f t="shared" si="150"/>
        <v>0</v>
      </c>
      <c r="K311" s="211">
        <v>700.0</v>
      </c>
      <c r="L311" s="207" t="str">
        <f t="shared" si="3"/>
        <v>n/a</v>
      </c>
      <c r="M311" s="212" t="str">
        <f t="shared" si="4"/>
        <v>n/a</v>
      </c>
      <c r="N311" s="207" t="str">
        <f t="shared" si="5"/>
        <v>n/a</v>
      </c>
      <c r="O311" s="207">
        <f t="shared" si="6"/>
        <v>0.001428571429</v>
      </c>
    </row>
    <row r="312" ht="15.75" customHeight="1">
      <c r="A312" s="207">
        <v>39.0</v>
      </c>
      <c r="B312" s="6" t="str">
        <f>VLOOKUP($A312, 'Completion rates'!$A:$E, 2, FALSE)</f>
        <v>Killing phosani's nightmare</v>
      </c>
      <c r="C312" s="207">
        <v>24421.0</v>
      </c>
      <c r="D312" s="6" t="str">
        <f>VLOOKUP($C312, 'List of log slots'!$A:$E, 2, FALSE)</f>
        <v>Inquisitor's plateskirt</v>
      </c>
      <c r="E312" s="207">
        <f>VLOOKUP($C312, 'List of log slots'!$A:$E, 5, FALSE)</f>
        <v>7</v>
      </c>
      <c r="F312" s="208" t="b">
        <f>VLOOKUP(C312, 'List of log slots'!$A:$C, 3, FALSE)</f>
        <v>0</v>
      </c>
      <c r="G312" s="209" t="b">
        <f t="shared" si="28"/>
        <v>0</v>
      </c>
      <c r="H312" s="210" t="b">
        <f t="shared" si="7"/>
        <v>1</v>
      </c>
      <c r="I312" s="209" t="b">
        <f t="shared" si="146"/>
        <v>0</v>
      </c>
      <c r="J312" s="208" t="b">
        <f t="shared" si="150"/>
        <v>0</v>
      </c>
      <c r="K312" s="211">
        <v>700.0</v>
      </c>
      <c r="L312" s="207" t="str">
        <f t="shared" si="3"/>
        <v>n/a</v>
      </c>
      <c r="M312" s="212" t="str">
        <f t="shared" si="4"/>
        <v>n/a</v>
      </c>
      <c r="N312" s="207" t="str">
        <f t="shared" si="5"/>
        <v>n/a</v>
      </c>
      <c r="O312" s="207">
        <f t="shared" si="6"/>
        <v>0.001428571429</v>
      </c>
    </row>
    <row r="313" ht="15.75" customHeight="1">
      <c r="A313" s="207">
        <v>39.0</v>
      </c>
      <c r="B313" s="6" t="str">
        <f>VLOOKUP($A313, 'Completion rates'!$A:$E, 2, FALSE)</f>
        <v>Killing phosani's nightmare</v>
      </c>
      <c r="C313" s="207">
        <v>24422.0</v>
      </c>
      <c r="D313" s="6" t="str">
        <f>VLOOKUP($C313, 'List of log slots'!$A:$E, 2, FALSE)</f>
        <v>Nightmare staff</v>
      </c>
      <c r="E313" s="207">
        <f>VLOOKUP($C313, 'List of log slots'!$A:$E, 5, FALSE)</f>
        <v>7</v>
      </c>
      <c r="F313" s="208" t="b">
        <f>VLOOKUP(C313, 'List of log slots'!$A:$C, 3, FALSE)</f>
        <v>0</v>
      </c>
      <c r="G313" s="209" t="b">
        <f t="shared" si="28"/>
        <v>0</v>
      </c>
      <c r="H313" s="210" t="b">
        <f t="shared" si="7"/>
        <v>1</v>
      </c>
      <c r="I313" s="209" t="b">
        <f t="shared" si="146"/>
        <v>0</v>
      </c>
      <c r="J313" s="208" t="b">
        <f t="shared" si="150"/>
        <v>0</v>
      </c>
      <c r="K313" s="211">
        <v>533.0</v>
      </c>
      <c r="L313" s="207" t="str">
        <f t="shared" si="3"/>
        <v>n/a</v>
      </c>
      <c r="M313" s="212" t="str">
        <f t="shared" si="4"/>
        <v>n/a</v>
      </c>
      <c r="N313" s="207" t="str">
        <f t="shared" si="5"/>
        <v>n/a</v>
      </c>
      <c r="O313" s="207">
        <f t="shared" si="6"/>
        <v>0.001876172608</v>
      </c>
    </row>
    <row r="314" ht="15.75" customHeight="1">
      <c r="A314" s="207">
        <v>39.0</v>
      </c>
      <c r="B314" s="6" t="str">
        <f>VLOOKUP($A314, 'Completion rates'!$A:$E, 2, FALSE)</f>
        <v>Killing phosani's nightmare</v>
      </c>
      <c r="C314" s="207">
        <v>24514.0</v>
      </c>
      <c r="D314" s="6" t="str">
        <f>VLOOKUP($C314, 'List of log slots'!$A:$E, 2, FALSE)</f>
        <v>Volatile orb</v>
      </c>
      <c r="E314" s="207">
        <f>VLOOKUP($C314, 'List of log slots'!$A:$E, 5, FALSE)</f>
        <v>8</v>
      </c>
      <c r="F314" s="208" t="b">
        <f>VLOOKUP(C314, 'List of log slots'!$A:$C, 3, FALSE)</f>
        <v>0</v>
      </c>
      <c r="G314" s="209" t="b">
        <f t="shared" si="28"/>
        <v>0</v>
      </c>
      <c r="H314" s="210" t="b">
        <f t="shared" si="7"/>
        <v>1</v>
      </c>
      <c r="I314" s="209" t="b">
        <f t="shared" si="146"/>
        <v>0</v>
      </c>
      <c r="J314" s="208" t="b">
        <f t="shared" si="150"/>
        <v>0</v>
      </c>
      <c r="K314" s="211">
        <v>1600.0</v>
      </c>
      <c r="L314" s="207" t="str">
        <f t="shared" si="3"/>
        <v>n/a</v>
      </c>
      <c r="M314" s="212" t="str">
        <f t="shared" si="4"/>
        <v>n/a</v>
      </c>
      <c r="N314" s="207" t="str">
        <f t="shared" si="5"/>
        <v>n/a</v>
      </c>
      <c r="O314" s="207">
        <f t="shared" si="6"/>
        <v>0.000625</v>
      </c>
    </row>
    <row r="315" ht="15.75" customHeight="1">
      <c r="A315" s="207">
        <v>39.0</v>
      </c>
      <c r="B315" s="6" t="str">
        <f>VLOOKUP($A315, 'Completion rates'!$A:$E, 2, FALSE)</f>
        <v>Killing phosani's nightmare</v>
      </c>
      <c r="C315" s="207">
        <v>24511.0</v>
      </c>
      <c r="D315" s="6" t="str">
        <f>VLOOKUP($C315, 'List of log slots'!$A:$E, 2, FALSE)</f>
        <v>Harmonized orb</v>
      </c>
      <c r="E315" s="207">
        <f>VLOOKUP($C315, 'List of log slots'!$A:$E, 5, FALSE)</f>
        <v>8</v>
      </c>
      <c r="F315" s="208" t="b">
        <f>VLOOKUP(C315, 'List of log slots'!$A:$C, 3, FALSE)</f>
        <v>0</v>
      </c>
      <c r="G315" s="209" t="b">
        <f t="shared" si="28"/>
        <v>0</v>
      </c>
      <c r="H315" s="210" t="b">
        <f t="shared" si="7"/>
        <v>1</v>
      </c>
      <c r="I315" s="209" t="b">
        <f t="shared" si="146"/>
        <v>0</v>
      </c>
      <c r="J315" s="208" t="b">
        <f t="shared" si="150"/>
        <v>0</v>
      </c>
      <c r="K315" s="211">
        <v>1600.0</v>
      </c>
      <c r="L315" s="207" t="str">
        <f t="shared" si="3"/>
        <v>n/a</v>
      </c>
      <c r="M315" s="212" t="str">
        <f t="shared" si="4"/>
        <v>n/a</v>
      </c>
      <c r="N315" s="207" t="str">
        <f t="shared" si="5"/>
        <v>n/a</v>
      </c>
      <c r="O315" s="207">
        <f t="shared" si="6"/>
        <v>0.000625</v>
      </c>
    </row>
    <row r="316" ht="15.75" customHeight="1">
      <c r="A316" s="207">
        <v>39.0</v>
      </c>
      <c r="B316" s="6" t="str">
        <f>VLOOKUP($A316, 'Completion rates'!$A:$E, 2, FALSE)</f>
        <v>Killing phosani's nightmare</v>
      </c>
      <c r="C316" s="207">
        <v>24517.0</v>
      </c>
      <c r="D316" s="6" t="str">
        <f>VLOOKUP($C316, 'List of log slots'!$A:$E, 2, FALSE)</f>
        <v>Eldritch orb</v>
      </c>
      <c r="E316" s="207">
        <f>VLOOKUP($C316, 'List of log slots'!$A:$E, 5, FALSE)</f>
        <v>8</v>
      </c>
      <c r="F316" s="208" t="b">
        <f>VLOOKUP(C316, 'List of log slots'!$A:$C, 3, FALSE)</f>
        <v>0</v>
      </c>
      <c r="G316" s="209" t="b">
        <f t="shared" si="28"/>
        <v>0</v>
      </c>
      <c r="H316" s="210" t="b">
        <f t="shared" si="7"/>
        <v>1</v>
      </c>
      <c r="I316" s="209" t="b">
        <f t="shared" si="146"/>
        <v>0</v>
      </c>
      <c r="J316" s="208" t="b">
        <f t="shared" si="150"/>
        <v>0</v>
      </c>
      <c r="K316" s="211">
        <v>1600.0</v>
      </c>
      <c r="L316" s="207" t="str">
        <f t="shared" si="3"/>
        <v>n/a</v>
      </c>
      <c r="M316" s="212" t="str">
        <f t="shared" si="4"/>
        <v>n/a</v>
      </c>
      <c r="N316" s="207" t="str">
        <f t="shared" si="5"/>
        <v>n/a</v>
      </c>
      <c r="O316" s="207">
        <f t="shared" si="6"/>
        <v>0.000625</v>
      </c>
    </row>
    <row r="317" ht="15.75" customHeight="1">
      <c r="A317" s="207">
        <v>39.0</v>
      </c>
      <c r="B317" s="6" t="str">
        <f>VLOOKUP($A317, 'Completion rates'!$A:$E, 2, FALSE)</f>
        <v>Killing phosani's nightmare</v>
      </c>
      <c r="C317" s="207">
        <v>24495.0</v>
      </c>
      <c r="D317" s="6" t="str">
        <f>VLOOKUP($C317, 'List of log slots'!$A:$E, 2, FALSE)</f>
        <v>Jar of dreams</v>
      </c>
      <c r="E317" s="207">
        <f>VLOOKUP($C317, 'List of log slots'!$A:$E, 5, FALSE)</f>
        <v>9</v>
      </c>
      <c r="F317" s="208" t="b">
        <f>VLOOKUP(C317, 'List of log slots'!$A:$C, 3, FALSE)</f>
        <v>0</v>
      </c>
      <c r="G317" s="209" t="b">
        <f t="shared" si="28"/>
        <v>0</v>
      </c>
      <c r="H317" s="210" t="b">
        <f t="shared" si="7"/>
        <v>1</v>
      </c>
      <c r="I317" s="209" t="b">
        <f t="shared" si="146"/>
        <v>0</v>
      </c>
      <c r="J317" s="208" t="b">
        <f t="shared" si="150"/>
        <v>0</v>
      </c>
      <c r="K317" s="214">
        <v>4000.0</v>
      </c>
      <c r="L317" s="207" t="str">
        <f t="shared" si="3"/>
        <v>n/a</v>
      </c>
      <c r="M317" s="212" t="str">
        <f t="shared" si="4"/>
        <v>n/a</v>
      </c>
      <c r="N317" s="207" t="str">
        <f t="shared" si="5"/>
        <v>n/a</v>
      </c>
      <c r="O317" s="207">
        <f t="shared" si="6"/>
        <v>0.00025</v>
      </c>
    </row>
    <row r="318" ht="15.75" customHeight="1">
      <c r="A318" s="207">
        <v>39.0</v>
      </c>
      <c r="B318" s="6" t="str">
        <f>VLOOKUP($A318, 'Completion rates'!$A:$E, 2, FALSE)</f>
        <v>Killing phosani's nightmare</v>
      </c>
      <c r="C318" s="207">
        <v>25837.0</v>
      </c>
      <c r="D318" s="6" t="str">
        <f>VLOOKUP($C318, 'List of log slots'!$A:$E, 2, FALSE)</f>
        <v>Slepey tablet</v>
      </c>
      <c r="E318" s="207">
        <f>VLOOKUP($C318, 'List of log slots'!$A:$E, 5, FALSE)</f>
        <v>6</v>
      </c>
      <c r="F318" s="208" t="b">
        <f>VLOOKUP(C318, 'List of log slots'!$A:$C, 3, FALSE)</f>
        <v>0</v>
      </c>
      <c r="G318" s="209" t="b">
        <f t="shared" si="28"/>
        <v>0</v>
      </c>
      <c r="H318" s="210" t="b">
        <f t="shared" si="7"/>
        <v>1</v>
      </c>
      <c r="I318" s="210" t="b">
        <f>TRUE</f>
        <v>1</v>
      </c>
      <c r="J318" s="208" t="b">
        <f t="shared" si="150"/>
        <v>0</v>
      </c>
      <c r="K318" s="214">
        <v>25.0</v>
      </c>
      <c r="L318" s="207" t="str">
        <f t="shared" si="3"/>
        <v>n/a</v>
      </c>
      <c r="M318" s="212">
        <f t="shared" si="4"/>
        <v>25</v>
      </c>
      <c r="N318" s="207" t="str">
        <f t="shared" si="5"/>
        <v>n/a</v>
      </c>
      <c r="O318" s="207" t="str">
        <f t="shared" si="6"/>
        <v>n/a</v>
      </c>
    </row>
    <row r="319" ht="15.75" customHeight="1">
      <c r="A319" s="207">
        <v>39.0</v>
      </c>
      <c r="B319" s="6" t="str">
        <f>VLOOKUP($A319, 'Completion rates'!$A:$E, 2, FALSE)</f>
        <v>Killing phosani's nightmare</v>
      </c>
      <c r="C319" s="207">
        <v>25837.0</v>
      </c>
      <c r="D319" s="6" t="str">
        <f>VLOOKUP($C319, 'List of log slots'!$A:$E, 2, FALSE)</f>
        <v>Slepey tablet</v>
      </c>
      <c r="E319" s="207">
        <f>VLOOKUP($C319, 'List of log slots'!$A:$E, 5, FALSE)</f>
        <v>6</v>
      </c>
      <c r="F319" s="208" t="b">
        <f>VLOOKUP(C319, 'List of log slots'!$A:$C, 3, FALSE)</f>
        <v>0</v>
      </c>
      <c r="G319" s="209" t="b">
        <f t="shared" si="28"/>
        <v>0</v>
      </c>
      <c r="H319" s="210" t="b">
        <f t="shared" si="7"/>
        <v>1</v>
      </c>
      <c r="I319" s="209" t="b">
        <f t="shared" ref="I319:J319" si="151">FALSE</f>
        <v>0</v>
      </c>
      <c r="J319" s="208" t="b">
        <f t="shared" si="151"/>
        <v>0</v>
      </c>
      <c r="K319" s="211">
        <v>25.0</v>
      </c>
      <c r="L319" s="207" t="str">
        <f t="shared" si="3"/>
        <v>n/a</v>
      </c>
      <c r="M319" s="212" t="str">
        <f t="shared" si="4"/>
        <v>n/a</v>
      </c>
      <c r="N319" s="207" t="str">
        <f t="shared" si="5"/>
        <v>n/a</v>
      </c>
      <c r="O319" s="207">
        <f t="shared" si="6"/>
        <v>0.04</v>
      </c>
    </row>
    <row r="320" ht="15.75" customHeight="1">
      <c r="A320" s="212">
        <v>39.0</v>
      </c>
      <c r="B320" s="6" t="str">
        <f>VLOOKUP($A320, 'Completion rates'!$A:$E, 2, FALSE)</f>
        <v>Killing phosani's nightmare</v>
      </c>
      <c r="C320" s="212">
        <v>25838.0</v>
      </c>
      <c r="D320" s="6" t="str">
        <f>VLOOKUP($C320, 'List of log slots'!$A:$E, 2, FALSE)</f>
        <v>Parasitic egg</v>
      </c>
      <c r="E320" s="207">
        <f>VLOOKUP($C320, 'List of log slots'!$A:$E, 5, FALSE)</f>
        <v>6</v>
      </c>
      <c r="F320" s="208" t="b">
        <f>VLOOKUP(C320, 'List of log slots'!$A:$C, 3, FALSE)</f>
        <v>0</v>
      </c>
      <c r="G320" s="209" t="b">
        <f t="shared" si="28"/>
        <v>0</v>
      </c>
      <c r="H320" s="210" t="b">
        <f t="shared" si="7"/>
        <v>1</v>
      </c>
      <c r="I320" s="208" t="b">
        <f t="shared" ref="I320:J320" si="152">FALSE</f>
        <v>0</v>
      </c>
      <c r="J320" s="208" t="b">
        <f t="shared" si="152"/>
        <v>0</v>
      </c>
      <c r="K320" s="214">
        <v>200.0</v>
      </c>
      <c r="L320" s="207" t="str">
        <f t="shared" si="3"/>
        <v>n/a</v>
      </c>
      <c r="M320" s="212" t="str">
        <f t="shared" si="4"/>
        <v>n/a</v>
      </c>
      <c r="N320" s="207" t="str">
        <f t="shared" si="5"/>
        <v>n/a</v>
      </c>
      <c r="O320" s="207">
        <f t="shared" si="6"/>
        <v>0.005</v>
      </c>
    </row>
    <row r="321" ht="15.75" customHeight="1">
      <c r="A321" s="212">
        <v>40.0</v>
      </c>
      <c r="B321" s="6" t="str">
        <f>VLOOKUP($A321, 'Completion rates'!$A:$E, 2, FALSE)</f>
        <v>Killing obor</v>
      </c>
      <c r="C321" s="207">
        <v>20756.0</v>
      </c>
      <c r="D321" s="6" t="str">
        <f>VLOOKUP($C321, 'List of log slots'!$A:$E, 2, FALSE)</f>
        <v>Hill giant club</v>
      </c>
      <c r="E321" s="207">
        <f>VLOOKUP($C321, 'List of log slots'!$A:$E, 5, FALSE)</f>
        <v>6</v>
      </c>
      <c r="F321" s="208" t="b">
        <f>VLOOKUP(C321, 'List of log slots'!$A:$C, 3, FALSE)</f>
        <v>0</v>
      </c>
      <c r="G321" s="209" t="b">
        <f t="shared" si="28"/>
        <v>0</v>
      </c>
      <c r="H321" s="210" t="b">
        <f t="shared" si="7"/>
        <v>1</v>
      </c>
      <c r="I321" s="208" t="b">
        <f t="shared" ref="I321:J321" si="153">FALSE</f>
        <v>0</v>
      </c>
      <c r="J321" s="208" t="b">
        <f t="shared" si="153"/>
        <v>0</v>
      </c>
      <c r="K321" s="214">
        <v>1770.0</v>
      </c>
      <c r="L321" s="207" t="str">
        <f t="shared" si="3"/>
        <v>n/a</v>
      </c>
      <c r="M321" s="212" t="str">
        <f t="shared" si="4"/>
        <v>n/a</v>
      </c>
      <c r="N321" s="207" t="str">
        <f t="shared" si="5"/>
        <v>n/a</v>
      </c>
      <c r="O321" s="207">
        <f t="shared" si="6"/>
        <v>0.0005649717514</v>
      </c>
    </row>
    <row r="322" ht="15.75" customHeight="1">
      <c r="A322" s="212">
        <v>40.0</v>
      </c>
      <c r="B322" s="6" t="str">
        <f>VLOOKUP($A322, 'Completion rates'!$A:$E, 2, FALSE)</f>
        <v>Killing obor</v>
      </c>
      <c r="C322" s="207">
        <v>6800.0</v>
      </c>
      <c r="D322" s="6" t="str">
        <f>VLOOKUP($C322, 'List of log slots'!$A:$E, 2, FALSE)</f>
        <v>Giant champion scroll</v>
      </c>
      <c r="E322" s="207">
        <f>VLOOKUP($C322, 'List of log slots'!$A:$E, 5, FALSE)</f>
        <v>5</v>
      </c>
      <c r="F322" s="208" t="b">
        <f>VLOOKUP(C322, 'List of log slots'!$A:$C, 3, FALSE)</f>
        <v>0</v>
      </c>
      <c r="G322" s="209" t="b">
        <f t="shared" si="28"/>
        <v>0</v>
      </c>
      <c r="H322" s="210" t="b">
        <f t="shared" si="7"/>
        <v>1</v>
      </c>
      <c r="I322" s="208" t="b">
        <f t="shared" ref="I322:J322" si="154">FALSE</f>
        <v>0</v>
      </c>
      <c r="J322" s="208" t="b">
        <f t="shared" si="154"/>
        <v>0</v>
      </c>
      <c r="K322" s="214">
        <v>5000.0</v>
      </c>
      <c r="L322" s="207" t="str">
        <f t="shared" si="3"/>
        <v>n/a</v>
      </c>
      <c r="M322" s="212" t="str">
        <f t="shared" si="4"/>
        <v>n/a</v>
      </c>
      <c r="N322" s="207" t="str">
        <f t="shared" si="5"/>
        <v>n/a</v>
      </c>
      <c r="O322" s="207">
        <f t="shared" si="6"/>
        <v>0.0002</v>
      </c>
    </row>
    <row r="323" ht="15.75" customHeight="1">
      <c r="A323" s="212">
        <v>40.0</v>
      </c>
      <c r="B323" s="6" t="str">
        <f>VLOOKUP($A323, 'Completion rates'!$A:$E, 2, FALSE)</f>
        <v>Killing obor</v>
      </c>
      <c r="C323" s="207">
        <v>10976.0</v>
      </c>
      <c r="D323" s="6" t="str">
        <f>VLOOKUP($C323, 'List of log slots'!$A:$E, 2, FALSE)</f>
        <v>Long bone</v>
      </c>
      <c r="E323" s="207">
        <f>VLOOKUP($C323, 'List of log slots'!$A:$E, 5, FALSE)</f>
        <v>3</v>
      </c>
      <c r="F323" s="213" t="b">
        <f>VLOOKUP(C323, 'List of log slots'!$A:$C, 3, FALSE)</f>
        <v>0</v>
      </c>
      <c r="G323" s="209" t="b">
        <f t="shared" si="28"/>
        <v>0</v>
      </c>
      <c r="H323" s="209" t="b">
        <f t="shared" si="7"/>
        <v>1</v>
      </c>
      <c r="I323" s="208" t="b">
        <f t="shared" ref="I323:J323" si="155">FALSE</f>
        <v>0</v>
      </c>
      <c r="J323" s="208" t="b">
        <f t="shared" si="155"/>
        <v>0</v>
      </c>
      <c r="K323" s="214">
        <v>400.0</v>
      </c>
      <c r="L323" s="207" t="str">
        <f t="shared" si="3"/>
        <v>n/a</v>
      </c>
      <c r="M323" s="212" t="str">
        <f t="shared" si="4"/>
        <v>n/a</v>
      </c>
      <c r="N323" s="207" t="str">
        <f t="shared" si="5"/>
        <v>n/a</v>
      </c>
      <c r="O323" s="207">
        <f t="shared" si="6"/>
        <v>0.0025</v>
      </c>
    </row>
    <row r="324" ht="15.75" customHeight="1">
      <c r="A324" s="212">
        <v>40.0</v>
      </c>
      <c r="B324" s="6" t="str">
        <f>VLOOKUP($A324, 'Completion rates'!$A:$E, 2, FALSE)</f>
        <v>Killing obor</v>
      </c>
      <c r="C324" s="207">
        <v>10977.0</v>
      </c>
      <c r="D324" s="6" t="str">
        <f>VLOOKUP($C324, 'List of log slots'!$A:$E, 2, FALSE)</f>
        <v>Curved bone</v>
      </c>
      <c r="E324" s="207">
        <f>VLOOKUP($C324, 'List of log slots'!$A:$E, 5, FALSE)</f>
        <v>5</v>
      </c>
      <c r="F324" s="208" t="b">
        <f>VLOOKUP(C324, 'List of log slots'!$A:$C, 3, FALSE)</f>
        <v>0</v>
      </c>
      <c r="G324" s="209" t="b">
        <f t="shared" si="28"/>
        <v>0</v>
      </c>
      <c r="H324" s="210" t="b">
        <f t="shared" si="7"/>
        <v>1</v>
      </c>
      <c r="I324" s="208" t="b">
        <f t="shared" ref="I324:J324" si="156">FALSE</f>
        <v>0</v>
      </c>
      <c r="J324" s="208" t="b">
        <f t="shared" si="156"/>
        <v>0</v>
      </c>
      <c r="K324" s="214">
        <v>5013.0</v>
      </c>
      <c r="L324" s="207" t="str">
        <f t="shared" si="3"/>
        <v>n/a</v>
      </c>
      <c r="M324" s="212" t="str">
        <f t="shared" si="4"/>
        <v>n/a</v>
      </c>
      <c r="N324" s="207" t="str">
        <f t="shared" si="5"/>
        <v>n/a</v>
      </c>
      <c r="O324" s="207">
        <f t="shared" si="6"/>
        <v>0.0001994813485</v>
      </c>
    </row>
    <row r="325" ht="15.75" customHeight="1">
      <c r="A325" s="212">
        <v>40.0</v>
      </c>
      <c r="B325" s="6" t="str">
        <f>VLOOKUP($A325, 'Completion rates'!$A:$E, 2, FALSE)</f>
        <v>Killing obor</v>
      </c>
      <c r="C325" s="207">
        <v>2366.0</v>
      </c>
      <c r="D325" s="6" t="str">
        <f>VLOOKUP($C325, 'List of log slots'!$A:$E, 2, FALSE)</f>
        <v>Shield left half</v>
      </c>
      <c r="E325" s="207">
        <f>VLOOKUP($C325, 'List of log slots'!$A:$E, 5, FALSE)</f>
        <v>5</v>
      </c>
      <c r="F325" s="210" t="b">
        <f>VLOOKUP(C325, 'List of log slots'!$A:$C, 3, FALSE)</f>
        <v>0</v>
      </c>
      <c r="G325" s="209" t="b">
        <f t="shared" si="28"/>
        <v>0</v>
      </c>
      <c r="H325" s="209" t="b">
        <f t="shared" si="7"/>
        <v>1</v>
      </c>
      <c r="I325" s="208" t="b">
        <f t="shared" ref="I325:J325" si="157">FALSE</f>
        <v>0</v>
      </c>
      <c r="J325" s="208" t="b">
        <f t="shared" si="157"/>
        <v>0</v>
      </c>
      <c r="K325" s="214">
        <v>184720.0</v>
      </c>
      <c r="L325" s="207" t="str">
        <f t="shared" si="3"/>
        <v>n/a</v>
      </c>
      <c r="M325" s="212" t="str">
        <f t="shared" si="4"/>
        <v>n/a</v>
      </c>
      <c r="N325" s="207" t="str">
        <f t="shared" si="5"/>
        <v>n/a</v>
      </c>
      <c r="O325" s="207">
        <f t="shared" si="6"/>
        <v>0.000005413598961</v>
      </c>
    </row>
    <row r="326" ht="15.75" customHeight="1">
      <c r="A326" s="212">
        <v>40.0</v>
      </c>
      <c r="B326" s="6" t="str">
        <f>VLOOKUP($A326, 'Completion rates'!$A:$E, 2, FALSE)</f>
        <v>Killing obor</v>
      </c>
      <c r="C326" s="207">
        <v>1249.0</v>
      </c>
      <c r="D326" s="6" t="str">
        <f>VLOOKUP($C326, 'List of log slots'!$A:$E, 2, FALSE)</f>
        <v>Dragon spear</v>
      </c>
      <c r="E326" s="207">
        <f>VLOOKUP($C326, 'List of log slots'!$A:$E, 5, FALSE)</f>
        <v>5</v>
      </c>
      <c r="F326" s="210" t="b">
        <f>VLOOKUP(C326, 'List of log slots'!$A:$C, 3, FALSE)</f>
        <v>0</v>
      </c>
      <c r="G326" s="209" t="b">
        <f t="shared" si="28"/>
        <v>0</v>
      </c>
      <c r="H326" s="209" t="b">
        <f t="shared" si="7"/>
        <v>1</v>
      </c>
      <c r="I326" s="208" t="b">
        <f t="shared" ref="I326:J326" si="158">FALSE</f>
        <v>0</v>
      </c>
      <c r="J326" s="208" t="b">
        <f t="shared" si="158"/>
        <v>0</v>
      </c>
      <c r="K326" s="214">
        <v>245760.0</v>
      </c>
      <c r="L326" s="207" t="str">
        <f t="shared" si="3"/>
        <v>n/a</v>
      </c>
      <c r="M326" s="212" t="str">
        <f t="shared" si="4"/>
        <v>n/a</v>
      </c>
      <c r="N326" s="207" t="str">
        <f t="shared" si="5"/>
        <v>n/a</v>
      </c>
      <c r="O326" s="207">
        <f t="shared" si="6"/>
        <v>0.000004069010417</v>
      </c>
    </row>
    <row r="327" ht="15.75" customHeight="1">
      <c r="A327" s="207">
        <v>40.0</v>
      </c>
      <c r="B327" s="6" t="str">
        <f>VLOOKUP($A327, 'Completion rates'!$A:$E, 2, FALSE)</f>
        <v>Killing obor</v>
      </c>
      <c r="C327" s="207">
        <v>20754.0</v>
      </c>
      <c r="D327" s="6" t="str">
        <f>VLOOKUP($C327, 'List of log slots'!$A:$E, 2, FALSE)</f>
        <v>Giant key</v>
      </c>
      <c r="E327" s="207">
        <f>VLOOKUP($C327, 'List of log slots'!$A:$E, 5, FALSE)</f>
        <v>2</v>
      </c>
      <c r="F327" s="213" t="b">
        <f>VLOOKUP(C327, 'List of log slots'!$A:$C, 3, FALSE)</f>
        <v>0</v>
      </c>
      <c r="G327" s="209" t="b">
        <f t="shared" si="28"/>
        <v>0</v>
      </c>
      <c r="H327" s="209" t="b">
        <f t="shared" si="7"/>
        <v>1</v>
      </c>
      <c r="I327" s="209" t="b">
        <f t="shared" ref="I327:J327" si="159">FALSE</f>
        <v>0</v>
      </c>
      <c r="J327" s="208" t="b">
        <f t="shared" si="159"/>
        <v>0</v>
      </c>
      <c r="K327" s="211">
        <v>16.0</v>
      </c>
      <c r="L327" s="207" t="str">
        <f t="shared" si="3"/>
        <v>n/a</v>
      </c>
      <c r="M327" s="212" t="str">
        <f t="shared" si="4"/>
        <v>n/a</v>
      </c>
      <c r="N327" s="207" t="str">
        <f t="shared" si="5"/>
        <v>n/a</v>
      </c>
      <c r="O327" s="207">
        <f t="shared" si="6"/>
        <v>0.0625</v>
      </c>
    </row>
    <row r="328" ht="15.75" customHeight="1">
      <c r="A328" s="207">
        <v>41.0</v>
      </c>
      <c r="B328" s="6" t="str">
        <f>VLOOKUP($A328, 'Completion rates'!$A:$E, 2, FALSE)</f>
        <v>Killing phantom muspah</v>
      </c>
      <c r="C328" s="207">
        <v>27590.0</v>
      </c>
      <c r="D328" s="6" t="str">
        <f>VLOOKUP($C328, 'List of log slots'!$A:$E, 2, FALSE)</f>
        <v>Muphin</v>
      </c>
      <c r="E328" s="207">
        <f>VLOOKUP($C328, 'List of log slots'!$A:$E, 5, FALSE)</f>
        <v>7</v>
      </c>
      <c r="F328" s="208" t="b">
        <f>VLOOKUP(C328, 'List of log slots'!$A:$C, 3, FALSE)</f>
        <v>0</v>
      </c>
      <c r="G328" s="209" t="b">
        <f t="shared" si="28"/>
        <v>0</v>
      </c>
      <c r="H328" s="210" t="b">
        <f t="shared" si="7"/>
        <v>1</v>
      </c>
      <c r="I328" s="209" t="b">
        <f t="shared" ref="I328:J328" si="160">FALSE</f>
        <v>0</v>
      </c>
      <c r="J328" s="208" t="b">
        <f t="shared" si="160"/>
        <v>0</v>
      </c>
      <c r="K328" s="211">
        <v>2500.0</v>
      </c>
      <c r="L328" s="207" t="str">
        <f t="shared" si="3"/>
        <v>n/a</v>
      </c>
      <c r="M328" s="212" t="str">
        <f t="shared" si="4"/>
        <v>n/a</v>
      </c>
      <c r="N328" s="207" t="str">
        <f t="shared" si="5"/>
        <v>n/a</v>
      </c>
      <c r="O328" s="207">
        <f t="shared" si="6"/>
        <v>0.0004</v>
      </c>
    </row>
    <row r="329" ht="15.75" customHeight="1">
      <c r="A329" s="207">
        <v>41.0</v>
      </c>
      <c r="B329" s="6" t="str">
        <f>VLOOKUP($A329, 'Completion rates'!$A:$E, 2, FALSE)</f>
        <v>Killing phantom muspah</v>
      </c>
      <c r="C329" s="207">
        <v>27614.0</v>
      </c>
      <c r="D329" s="6" t="str">
        <f>VLOOKUP($C329, 'List of log slots'!$A:$E, 2, FALSE)</f>
        <v>Venator shard</v>
      </c>
      <c r="E329" s="207">
        <f>VLOOKUP($C329, 'List of log slots'!$A:$E, 5, FALSE)</f>
        <v>5</v>
      </c>
      <c r="F329" s="213" t="b">
        <f>VLOOKUP(C329, 'List of log slots'!$A:$C, 3, FALSE)</f>
        <v>0</v>
      </c>
      <c r="G329" s="209" t="b">
        <f t="shared" si="28"/>
        <v>0</v>
      </c>
      <c r="H329" s="209" t="b">
        <f t="shared" si="7"/>
        <v>1</v>
      </c>
      <c r="I329" s="209" t="b">
        <f t="shared" ref="I329:J329" si="161">FALSE</f>
        <v>0</v>
      </c>
      <c r="J329" s="208" t="b">
        <f t="shared" si="161"/>
        <v>0</v>
      </c>
      <c r="K329" s="211">
        <v>100.0</v>
      </c>
      <c r="L329" s="207" t="str">
        <f t="shared" si="3"/>
        <v>n/a</v>
      </c>
      <c r="M329" s="212" t="str">
        <f t="shared" si="4"/>
        <v>n/a</v>
      </c>
      <c r="N329" s="207" t="str">
        <f t="shared" si="5"/>
        <v>n/a</v>
      </c>
      <c r="O329" s="207">
        <f t="shared" si="6"/>
        <v>0.01</v>
      </c>
    </row>
    <row r="330" ht="15.75" customHeight="1">
      <c r="A330" s="207">
        <v>41.0</v>
      </c>
      <c r="B330" s="6" t="str">
        <f>VLOOKUP($A330, 'Completion rates'!$A:$E, 2, FALSE)</f>
        <v>Killing phantom muspah</v>
      </c>
      <c r="C330" s="207">
        <v>27627.0</v>
      </c>
      <c r="D330" s="6" t="str">
        <f>VLOOKUP($C330, 'List of log slots'!$A:$E, 2, FALSE)</f>
        <v>Ancient icon</v>
      </c>
      <c r="E330" s="207">
        <f>VLOOKUP($C330, 'List of log slots'!$A:$E, 5, FALSE)</f>
        <v>5</v>
      </c>
      <c r="F330" s="213" t="b">
        <f>VLOOKUP(C330, 'List of log slots'!$A:$C, 3, FALSE)</f>
        <v>0</v>
      </c>
      <c r="G330" s="209" t="b">
        <f t="shared" si="28"/>
        <v>0</v>
      </c>
      <c r="H330" s="209" t="b">
        <f t="shared" si="7"/>
        <v>1</v>
      </c>
      <c r="I330" s="209" t="b">
        <f t="shared" ref="I330:J330" si="162">FALSE</f>
        <v>0</v>
      </c>
      <c r="J330" s="208" t="b">
        <f t="shared" si="162"/>
        <v>0</v>
      </c>
      <c r="K330" s="211">
        <v>50.0</v>
      </c>
      <c r="L330" s="207" t="str">
        <f t="shared" si="3"/>
        <v>n/a</v>
      </c>
      <c r="M330" s="212" t="str">
        <f t="shared" si="4"/>
        <v>n/a</v>
      </c>
      <c r="N330" s="207" t="str">
        <f t="shared" si="5"/>
        <v>n/a</v>
      </c>
      <c r="O330" s="207">
        <f t="shared" si="6"/>
        <v>0.02</v>
      </c>
    </row>
    <row r="331" ht="15.75" customHeight="1">
      <c r="A331" s="207">
        <v>41.0</v>
      </c>
      <c r="B331" s="6" t="str">
        <f>VLOOKUP($A331, 'Completion rates'!$A:$E, 2, FALSE)</f>
        <v>Killing phantom muspah</v>
      </c>
      <c r="C331" s="207">
        <v>27643.0</v>
      </c>
      <c r="D331" s="6" t="str">
        <f>VLOOKUP($C331, 'List of log slots'!$A:$E, 2, FALSE)</f>
        <v>Charged ice</v>
      </c>
      <c r="E331" s="207">
        <f>VLOOKUP($C331, 'List of log slots'!$A:$E, 5, FALSE)</f>
        <v>5</v>
      </c>
      <c r="F331" s="213" t="b">
        <f>VLOOKUP(C331, 'List of log slots'!$A:$C, 3, FALSE)</f>
        <v>0</v>
      </c>
      <c r="G331" s="209" t="b">
        <f t="shared" si="28"/>
        <v>0</v>
      </c>
      <c r="H331" s="209" t="b">
        <f t="shared" si="7"/>
        <v>1</v>
      </c>
      <c r="I331" s="210" t="b">
        <f>TRUE</f>
        <v>1</v>
      </c>
      <c r="J331" s="208" t="b">
        <f>FALSE</f>
        <v>0</v>
      </c>
      <c r="K331" s="211">
        <v>1.0</v>
      </c>
      <c r="L331" s="207" t="str">
        <f t="shared" si="3"/>
        <v>n/a</v>
      </c>
      <c r="M331" s="212">
        <f t="shared" si="4"/>
        <v>1</v>
      </c>
      <c r="N331" s="207" t="str">
        <f t="shared" si="5"/>
        <v>n/a</v>
      </c>
      <c r="O331" s="207" t="str">
        <f t="shared" si="6"/>
        <v>n/a</v>
      </c>
    </row>
    <row r="332" ht="15.75" customHeight="1">
      <c r="A332" s="207">
        <v>41.0</v>
      </c>
      <c r="B332" s="6" t="str">
        <f>VLOOKUP($A332, 'Completion rates'!$A:$E, 2, FALSE)</f>
        <v>Killing phantom muspah</v>
      </c>
      <c r="C332" s="207">
        <v>27622.0</v>
      </c>
      <c r="D332" s="6" t="str">
        <f>VLOOKUP($C332, 'List of log slots'!$A:$E, 2, FALSE)</f>
        <v>Frozen cache</v>
      </c>
      <c r="E332" s="207">
        <f>VLOOKUP($C332, 'List of log slots'!$A:$E, 5, FALSE)</f>
        <v>5</v>
      </c>
      <c r="F332" s="213" t="b">
        <f>VLOOKUP(C332, 'List of log slots'!$A:$C, 3, FALSE)</f>
        <v>0</v>
      </c>
      <c r="G332" s="209" t="b">
        <f t="shared" si="28"/>
        <v>0</v>
      </c>
      <c r="H332" s="209" t="b">
        <f t="shared" si="7"/>
        <v>1</v>
      </c>
      <c r="I332" s="209" t="b">
        <f t="shared" ref="I332:J332" si="163">FALSE</f>
        <v>0</v>
      </c>
      <c r="J332" s="208" t="b">
        <f t="shared" si="163"/>
        <v>0</v>
      </c>
      <c r="K332" s="211">
        <v>25.0</v>
      </c>
      <c r="L332" s="207" t="str">
        <f t="shared" si="3"/>
        <v>n/a</v>
      </c>
      <c r="M332" s="212" t="str">
        <f t="shared" si="4"/>
        <v>n/a</v>
      </c>
      <c r="N332" s="207" t="str">
        <f t="shared" si="5"/>
        <v>n/a</v>
      </c>
      <c r="O332" s="207">
        <f t="shared" si="6"/>
        <v>0.04</v>
      </c>
    </row>
    <row r="333" ht="15.75" customHeight="1">
      <c r="A333" s="207">
        <v>41.0</v>
      </c>
      <c r="B333" s="6" t="str">
        <f>VLOOKUP($A333, 'Completion rates'!$A:$E, 2, FALSE)</f>
        <v>Killing phantom muspah</v>
      </c>
      <c r="C333" s="207">
        <v>27616.0</v>
      </c>
      <c r="D333" s="6" t="str">
        <f>VLOOKUP($C333, 'List of log slots'!$A:$E, 2, FALSE)</f>
        <v>Ancient essence</v>
      </c>
      <c r="E333" s="207">
        <f>VLOOKUP($C333, 'List of log slots'!$A:$E, 5, FALSE)</f>
        <v>4</v>
      </c>
      <c r="F333" s="213" t="b">
        <f>VLOOKUP(C333, 'List of log slots'!$A:$C, 3, FALSE)</f>
        <v>0</v>
      </c>
      <c r="G333" s="209" t="b">
        <f t="shared" si="28"/>
        <v>0</v>
      </c>
      <c r="H333" s="209" t="b">
        <f t="shared" si="7"/>
        <v>1</v>
      </c>
      <c r="I333" s="210" t="b">
        <f>TRUE</f>
        <v>1</v>
      </c>
      <c r="J333" s="208" t="b">
        <f>FALSE</f>
        <v>0</v>
      </c>
      <c r="K333" s="211">
        <v>1.0</v>
      </c>
      <c r="L333" s="207" t="str">
        <f t="shared" si="3"/>
        <v>n/a</v>
      </c>
      <c r="M333" s="212">
        <f t="shared" si="4"/>
        <v>1</v>
      </c>
      <c r="N333" s="207" t="str">
        <f t="shared" si="5"/>
        <v>n/a</v>
      </c>
      <c r="O333" s="207" t="str">
        <f t="shared" si="6"/>
        <v>n/a</v>
      </c>
    </row>
    <row r="334" ht="15.75" customHeight="1">
      <c r="A334" s="207">
        <v>41.0</v>
      </c>
      <c r="B334" s="6" t="str">
        <f>VLOOKUP($A334, 'Completion rates'!$A:$E, 2, FALSE)</f>
        <v>Killing phantom muspah</v>
      </c>
      <c r="C334" s="207">
        <v>2366.0</v>
      </c>
      <c r="D334" s="6" t="str">
        <f>VLOOKUP($C334, 'List of log slots'!$A:$E, 2, FALSE)</f>
        <v>Shield left half</v>
      </c>
      <c r="E334" s="207">
        <f>VLOOKUP($C334, 'List of log slots'!$A:$E, 5, FALSE)</f>
        <v>5</v>
      </c>
      <c r="F334" s="213" t="b">
        <f>VLOOKUP(C334, 'List of log slots'!$A:$C, 3, FALSE)</f>
        <v>0</v>
      </c>
      <c r="G334" s="209" t="b">
        <f t="shared" si="28"/>
        <v>0</v>
      </c>
      <c r="H334" s="209" t="b">
        <f t="shared" si="7"/>
        <v>1</v>
      </c>
      <c r="I334" s="209" t="b">
        <f t="shared" ref="I334:J334" si="164">FALSE</f>
        <v>0</v>
      </c>
      <c r="J334" s="208" t="b">
        <f t="shared" si="164"/>
        <v>0</v>
      </c>
      <c r="K334" s="211">
        <v>5946.0</v>
      </c>
      <c r="L334" s="207" t="str">
        <f t="shared" si="3"/>
        <v>n/a</v>
      </c>
      <c r="M334" s="212" t="str">
        <f t="shared" si="4"/>
        <v>n/a</v>
      </c>
      <c r="N334" s="207" t="str">
        <f t="shared" si="5"/>
        <v>n/a</v>
      </c>
      <c r="O334" s="207">
        <f t="shared" si="6"/>
        <v>0.0001681802893</v>
      </c>
    </row>
    <row r="335" ht="15.75" customHeight="1">
      <c r="A335" s="207">
        <v>41.0</v>
      </c>
      <c r="B335" s="6" t="str">
        <f>VLOOKUP($A335, 'Completion rates'!$A:$E, 2, FALSE)</f>
        <v>Killing phantom muspah</v>
      </c>
      <c r="C335" s="207">
        <v>1249.0</v>
      </c>
      <c r="D335" s="6" t="str">
        <f>VLOOKUP($C335, 'List of log slots'!$A:$E, 2, FALSE)</f>
        <v>Dragon spear</v>
      </c>
      <c r="E335" s="207">
        <f>VLOOKUP($C335, 'List of log slots'!$A:$E, 5, FALSE)</f>
        <v>5</v>
      </c>
      <c r="F335" s="213" t="b">
        <f>VLOOKUP(C335, 'List of log slots'!$A:$C, 3, FALSE)</f>
        <v>0</v>
      </c>
      <c r="G335" s="209" t="b">
        <f t="shared" si="28"/>
        <v>0</v>
      </c>
      <c r="H335" s="209" t="b">
        <f t="shared" si="7"/>
        <v>1</v>
      </c>
      <c r="I335" s="209" t="b">
        <f t="shared" ref="I335:J335" si="165">FALSE</f>
        <v>0</v>
      </c>
      <c r="J335" s="208" t="b">
        <f t="shared" si="165"/>
        <v>0</v>
      </c>
      <c r="K335" s="211">
        <v>7928.0</v>
      </c>
      <c r="L335" s="207" t="str">
        <f t="shared" si="3"/>
        <v>n/a</v>
      </c>
      <c r="M335" s="212" t="str">
        <f t="shared" si="4"/>
        <v>n/a</v>
      </c>
      <c r="N335" s="207" t="str">
        <f t="shared" si="5"/>
        <v>n/a</v>
      </c>
      <c r="O335" s="207">
        <f t="shared" si="6"/>
        <v>0.000126135217</v>
      </c>
    </row>
    <row r="336" ht="15.75" customHeight="1">
      <c r="A336" s="207">
        <v>42.0</v>
      </c>
      <c r="B336" s="6" t="str">
        <f>VLOOKUP($A336, 'Completion rates'!$A:$E, 2, FALSE)</f>
        <v>Looting branda, the fire queen (royal titans)</v>
      </c>
      <c r="C336" s="207">
        <v>30622.0</v>
      </c>
      <c r="D336" s="6" t="str">
        <f>VLOOKUP($C336, 'List of log slots'!$A:$E, 2, FALSE)</f>
        <v>Bran</v>
      </c>
      <c r="E336" s="207">
        <f>VLOOKUP($C336, 'List of log slots'!$A:$E, 5, FALSE)</f>
        <v>6</v>
      </c>
      <c r="F336" s="208" t="b">
        <f>VLOOKUP(C336, 'List of log slots'!$A:$C, 3, FALSE)</f>
        <v>0</v>
      </c>
      <c r="G336" s="209" t="b">
        <f t="shared" si="28"/>
        <v>0</v>
      </c>
      <c r="H336" s="210" t="b">
        <f t="shared" si="7"/>
        <v>1</v>
      </c>
      <c r="I336" s="209" t="b">
        <f t="shared" ref="I336:J336" si="166">FALSE</f>
        <v>0</v>
      </c>
      <c r="J336" s="208" t="b">
        <f t="shared" si="166"/>
        <v>0</v>
      </c>
      <c r="K336" s="211">
        <v>3000.0</v>
      </c>
      <c r="L336" s="207" t="str">
        <f t="shared" si="3"/>
        <v>n/a</v>
      </c>
      <c r="M336" s="212" t="str">
        <f t="shared" si="4"/>
        <v>n/a</v>
      </c>
      <c r="N336" s="207" t="str">
        <f t="shared" si="5"/>
        <v>n/a</v>
      </c>
      <c r="O336" s="207">
        <f t="shared" si="6"/>
        <v>0.0003333333333</v>
      </c>
    </row>
    <row r="337" ht="15.75" customHeight="1">
      <c r="A337" s="207">
        <v>42.0</v>
      </c>
      <c r="B337" s="6" t="str">
        <f>VLOOKUP($A337, 'Completion rates'!$A:$E, 2, FALSE)</f>
        <v>Looting branda, the fire queen (royal titans)</v>
      </c>
      <c r="C337" s="207">
        <v>30622.0</v>
      </c>
      <c r="D337" s="6" t="str">
        <f>VLOOKUP($C337, 'List of log slots'!$A:$E, 2, FALSE)</f>
        <v>Bran</v>
      </c>
      <c r="E337" s="207">
        <f>VLOOKUP($C337, 'List of log slots'!$A:$E, 5, FALSE)</f>
        <v>6</v>
      </c>
      <c r="F337" s="208" t="b">
        <f>VLOOKUP(C337, 'List of log slots'!$A:$C, 3, FALSE)</f>
        <v>0</v>
      </c>
      <c r="G337" s="209" t="b">
        <f t="shared" si="28"/>
        <v>0</v>
      </c>
      <c r="H337" s="210" t="b">
        <f t="shared" si="7"/>
        <v>1</v>
      </c>
      <c r="I337" s="209" t="b">
        <f t="shared" ref="I337:I341" si="167">FALSE</f>
        <v>0</v>
      </c>
      <c r="J337" s="213" t="b">
        <f>TRUE</f>
        <v>1</v>
      </c>
      <c r="K337" s="211">
        <v>1500.0</v>
      </c>
      <c r="L337" s="207" t="str">
        <f t="shared" si="3"/>
        <v>n/a</v>
      </c>
      <c r="M337" s="212" t="str">
        <f t="shared" si="4"/>
        <v>n/a</v>
      </c>
      <c r="N337" s="207">
        <f t="shared" si="5"/>
        <v>1500</v>
      </c>
      <c r="O337" s="207" t="str">
        <f t="shared" si="6"/>
        <v>n/a</v>
      </c>
    </row>
    <row r="338" ht="15.75" customHeight="1">
      <c r="A338" s="207">
        <v>42.0</v>
      </c>
      <c r="B338" s="6" t="str">
        <f>VLOOKUP($A338, 'Completion rates'!$A:$E, 2, FALSE)</f>
        <v>Looting branda, the fire queen (royal titans)</v>
      </c>
      <c r="C338" s="207">
        <v>30627.0</v>
      </c>
      <c r="D338" s="6" t="str">
        <f>VLOOKUP($C338, 'List of log slots'!$A:$E, 2, FALSE)</f>
        <v>Mystic vigour prayer scroll</v>
      </c>
      <c r="E338" s="207">
        <f>VLOOKUP($C338, 'List of log slots'!$A:$E, 5, FALSE)</f>
        <v>4</v>
      </c>
      <c r="F338" s="208" t="b">
        <f>VLOOKUP(C338, 'List of log slots'!$A:$C, 3, FALSE)</f>
        <v>0</v>
      </c>
      <c r="G338" s="209" t="b">
        <f t="shared" si="28"/>
        <v>0</v>
      </c>
      <c r="H338" s="210" t="b">
        <f t="shared" si="7"/>
        <v>1</v>
      </c>
      <c r="I338" s="209" t="b">
        <f t="shared" si="167"/>
        <v>0</v>
      </c>
      <c r="J338" s="208" t="b">
        <f t="shared" ref="J338:J341" si="168">FALSE</f>
        <v>0</v>
      </c>
      <c r="K338" s="211">
        <v>75.0</v>
      </c>
      <c r="L338" s="207" t="str">
        <f t="shared" si="3"/>
        <v>n/a</v>
      </c>
      <c r="M338" s="212" t="str">
        <f t="shared" si="4"/>
        <v>n/a</v>
      </c>
      <c r="N338" s="207" t="str">
        <f t="shared" si="5"/>
        <v>n/a</v>
      </c>
      <c r="O338" s="207">
        <f t="shared" si="6"/>
        <v>0.01333333333</v>
      </c>
    </row>
    <row r="339" ht="15.75" customHeight="1">
      <c r="A339" s="207">
        <v>42.0</v>
      </c>
      <c r="B339" s="6" t="str">
        <f>VLOOKUP($A339, 'Completion rates'!$A:$E, 2, FALSE)</f>
        <v>Looting branda, the fire queen (royal titans)</v>
      </c>
      <c r="C339" s="207">
        <v>30637.0</v>
      </c>
      <c r="D339" s="6" t="str">
        <f>VLOOKUP($C339, 'List of log slots'!$A:$E, 2, FALSE)</f>
        <v>Giantsoul amulet (uncharged)</v>
      </c>
      <c r="E339" s="207">
        <f>VLOOKUP($C339, 'List of log slots'!$A:$E, 5, FALSE)</f>
        <v>3</v>
      </c>
      <c r="F339" s="213" t="b">
        <f>VLOOKUP(C339, 'List of log slots'!$A:$C, 3, FALSE)</f>
        <v>0</v>
      </c>
      <c r="G339" s="209" t="b">
        <f t="shared" si="28"/>
        <v>0</v>
      </c>
      <c r="H339" s="209" t="b">
        <f t="shared" si="7"/>
        <v>1</v>
      </c>
      <c r="I339" s="209" t="b">
        <f t="shared" si="167"/>
        <v>0</v>
      </c>
      <c r="J339" s="208" t="b">
        <f t="shared" si="168"/>
        <v>0</v>
      </c>
      <c r="K339" s="211">
        <v>16.0</v>
      </c>
      <c r="L339" s="207" t="str">
        <f t="shared" si="3"/>
        <v>n/a</v>
      </c>
      <c r="M339" s="212" t="str">
        <f t="shared" si="4"/>
        <v>n/a</v>
      </c>
      <c r="N339" s="207" t="str">
        <f t="shared" si="5"/>
        <v>n/a</v>
      </c>
      <c r="O339" s="207">
        <f t="shared" si="6"/>
        <v>0.0625</v>
      </c>
    </row>
    <row r="340" ht="15.75" customHeight="1">
      <c r="A340" s="207">
        <v>42.0</v>
      </c>
      <c r="B340" s="6" t="str">
        <f>VLOOKUP($A340, 'Completion rates'!$A:$E, 2, FALSE)</f>
        <v>Looting branda, the fire queen (royal titans)</v>
      </c>
      <c r="C340" s="207">
        <v>30631.0</v>
      </c>
      <c r="D340" s="6" t="str">
        <f>VLOOKUP($C340, 'List of log slots'!$A:$E, 2, FALSE)</f>
        <v>Fire element staff crown</v>
      </c>
      <c r="E340" s="207">
        <f>VLOOKUP($C340, 'List of log slots'!$A:$E, 5, FALSE)</f>
        <v>4</v>
      </c>
      <c r="F340" s="208" t="b">
        <f>VLOOKUP(C340, 'List of log slots'!$A:$C, 3, FALSE)</f>
        <v>0</v>
      </c>
      <c r="G340" s="209" t="b">
        <f t="shared" si="28"/>
        <v>0</v>
      </c>
      <c r="H340" s="210" t="b">
        <f t="shared" si="7"/>
        <v>1</v>
      </c>
      <c r="I340" s="209" t="b">
        <f t="shared" si="167"/>
        <v>0</v>
      </c>
      <c r="J340" s="208" t="b">
        <f t="shared" si="168"/>
        <v>0</v>
      </c>
      <c r="K340" s="211">
        <v>75.0</v>
      </c>
      <c r="L340" s="207" t="str">
        <f t="shared" si="3"/>
        <v>n/a</v>
      </c>
      <c r="M340" s="212" t="str">
        <f t="shared" si="4"/>
        <v>n/a</v>
      </c>
      <c r="N340" s="207" t="str">
        <f t="shared" si="5"/>
        <v>n/a</v>
      </c>
      <c r="O340" s="207">
        <f t="shared" si="6"/>
        <v>0.01333333333</v>
      </c>
    </row>
    <row r="341" ht="15.75" customHeight="1">
      <c r="A341" s="207">
        <v>42.0</v>
      </c>
      <c r="B341" s="6" t="str">
        <f>VLOOKUP($A341, 'Completion rates'!$A:$E, 2, FALSE)</f>
        <v>Looting branda, the fire queen (royal titans)</v>
      </c>
      <c r="C341" s="207">
        <v>30640.0</v>
      </c>
      <c r="D341" s="6" t="str">
        <f>VLOOKUP($C341, 'List of log slots'!$A:$E, 2, FALSE)</f>
        <v>Desiccated page</v>
      </c>
      <c r="E341" s="207">
        <f>VLOOKUP($C341, 'List of log slots'!$A:$E, 5, FALSE)</f>
        <v>3</v>
      </c>
      <c r="F341" s="213" t="b">
        <f>VLOOKUP(C341, 'List of log slots'!$A:$C, 3, FALSE)</f>
        <v>0</v>
      </c>
      <c r="G341" s="209" t="b">
        <f t="shared" si="28"/>
        <v>0</v>
      </c>
      <c r="H341" s="209" t="b">
        <f t="shared" si="7"/>
        <v>1</v>
      </c>
      <c r="I341" s="209" t="b">
        <f t="shared" si="167"/>
        <v>0</v>
      </c>
      <c r="J341" s="208" t="b">
        <f t="shared" si="168"/>
        <v>0</v>
      </c>
      <c r="K341" s="211">
        <v>12.0</v>
      </c>
      <c r="L341" s="207" t="str">
        <f t="shared" si="3"/>
        <v>n/a</v>
      </c>
      <c r="M341" s="212" t="str">
        <f t="shared" si="4"/>
        <v>n/a</v>
      </c>
      <c r="N341" s="207" t="str">
        <f t="shared" si="5"/>
        <v>n/a</v>
      </c>
      <c r="O341" s="207">
        <f t="shared" si="6"/>
        <v>0.08333333333</v>
      </c>
    </row>
    <row r="342" ht="15.75" customHeight="1">
      <c r="A342" s="207">
        <v>42.0</v>
      </c>
      <c r="B342" s="6" t="str">
        <f>VLOOKUP($A342, 'Completion rates'!$A:$E, 2, FALSE)</f>
        <v>Looting branda, the fire queen (royal titans)</v>
      </c>
      <c r="C342" s="207">
        <v>30640.0</v>
      </c>
      <c r="D342" s="6" t="str">
        <f>VLOOKUP($C342, 'List of log slots'!$A:$E, 2, FALSE)</f>
        <v>Desiccated page</v>
      </c>
      <c r="E342" s="207">
        <f>VLOOKUP($C342, 'List of log slots'!$A:$E, 5, FALSE)</f>
        <v>3</v>
      </c>
      <c r="F342" s="213" t="b">
        <f>VLOOKUP(C342, 'List of log slots'!$A:$C, 3, FALSE)</f>
        <v>0</v>
      </c>
      <c r="G342" s="209" t="b">
        <f t="shared" si="28"/>
        <v>0</v>
      </c>
      <c r="H342" s="209" t="b">
        <f t="shared" si="7"/>
        <v>1</v>
      </c>
      <c r="I342" s="210" t="b">
        <f t="shared" ref="I342:J342" si="169">TRUE</f>
        <v>1</v>
      </c>
      <c r="J342" s="213" t="b">
        <f t="shared" si="169"/>
        <v>1</v>
      </c>
      <c r="K342" s="211">
        <v>1.0</v>
      </c>
      <c r="L342" s="207">
        <f t="shared" si="3"/>
        <v>1</v>
      </c>
      <c r="M342" s="212" t="str">
        <f t="shared" si="4"/>
        <v>n/a</v>
      </c>
      <c r="N342" s="207" t="str">
        <f t="shared" si="5"/>
        <v>n/a</v>
      </c>
      <c r="O342" s="207" t="str">
        <f t="shared" si="6"/>
        <v>n/a</v>
      </c>
    </row>
    <row r="343" ht="15.75" customHeight="1">
      <c r="A343" s="207">
        <v>43.0</v>
      </c>
      <c r="B343" s="6" t="str">
        <f>VLOOKUP($A343, 'Completion rates'!$A:$E, 2, FALSE)</f>
        <v>Looting eldric, the ice king (royal titans)</v>
      </c>
      <c r="C343" s="207">
        <v>30622.0</v>
      </c>
      <c r="D343" s="6" t="str">
        <f>VLOOKUP($C343, 'List of log slots'!$A:$E, 2, FALSE)</f>
        <v>Bran</v>
      </c>
      <c r="E343" s="207">
        <f>VLOOKUP($C343, 'List of log slots'!$A:$E, 5, FALSE)</f>
        <v>6</v>
      </c>
      <c r="F343" s="208" t="b">
        <f>VLOOKUP(C343, 'List of log slots'!$A:$C, 3, FALSE)</f>
        <v>0</v>
      </c>
      <c r="G343" s="209" t="b">
        <f t="shared" si="28"/>
        <v>0</v>
      </c>
      <c r="H343" s="210" t="b">
        <f t="shared" si="7"/>
        <v>1</v>
      </c>
      <c r="I343" s="209" t="b">
        <f t="shared" ref="I343:J343" si="170">FALSE</f>
        <v>0</v>
      </c>
      <c r="J343" s="208" t="b">
        <f t="shared" si="170"/>
        <v>0</v>
      </c>
      <c r="K343" s="211">
        <v>3000.0</v>
      </c>
      <c r="L343" s="207" t="str">
        <f t="shared" si="3"/>
        <v>n/a</v>
      </c>
      <c r="M343" s="212" t="str">
        <f t="shared" si="4"/>
        <v>n/a</v>
      </c>
      <c r="N343" s="207" t="str">
        <f t="shared" si="5"/>
        <v>n/a</v>
      </c>
      <c r="O343" s="207">
        <f t="shared" si="6"/>
        <v>0.0003333333333</v>
      </c>
    </row>
    <row r="344" ht="15.75" customHeight="1">
      <c r="A344" s="207">
        <v>43.0</v>
      </c>
      <c r="B344" s="6" t="str">
        <f>VLOOKUP($A344, 'Completion rates'!$A:$E, 2, FALSE)</f>
        <v>Looting eldric, the ice king (royal titans)</v>
      </c>
      <c r="C344" s="207">
        <v>30622.0</v>
      </c>
      <c r="D344" s="6" t="str">
        <f>VLOOKUP($C344, 'List of log slots'!$A:$E, 2, FALSE)</f>
        <v>Bran</v>
      </c>
      <c r="E344" s="207">
        <f>VLOOKUP($C344, 'List of log slots'!$A:$E, 5, FALSE)</f>
        <v>6</v>
      </c>
      <c r="F344" s="208" t="b">
        <f>VLOOKUP(C344, 'List of log slots'!$A:$C, 3, FALSE)</f>
        <v>0</v>
      </c>
      <c r="G344" s="209" t="b">
        <f t="shared" si="28"/>
        <v>0</v>
      </c>
      <c r="H344" s="210" t="b">
        <f t="shared" si="7"/>
        <v>1</v>
      </c>
      <c r="I344" s="209" t="b">
        <f t="shared" ref="I344:I348" si="171">FALSE</f>
        <v>0</v>
      </c>
      <c r="J344" s="213" t="b">
        <f>TRUE</f>
        <v>1</v>
      </c>
      <c r="K344" s="214">
        <v>1500.0</v>
      </c>
      <c r="L344" s="212" t="str">
        <f t="shared" si="3"/>
        <v>n/a</v>
      </c>
      <c r="M344" s="212" t="str">
        <f t="shared" si="4"/>
        <v>n/a</v>
      </c>
      <c r="N344" s="207">
        <f t="shared" si="5"/>
        <v>1500</v>
      </c>
      <c r="O344" s="207" t="str">
        <f t="shared" si="6"/>
        <v>n/a</v>
      </c>
    </row>
    <row r="345" ht="15.75" customHeight="1">
      <c r="A345" s="207">
        <v>43.0</v>
      </c>
      <c r="B345" s="6" t="str">
        <f>VLOOKUP($A345, 'Completion rates'!$A:$E, 2, FALSE)</f>
        <v>Looting eldric, the ice king (royal titans)</v>
      </c>
      <c r="C345" s="207">
        <v>30626.0</v>
      </c>
      <c r="D345" s="6" t="str">
        <f>VLOOKUP($C345, 'List of log slots'!$A:$E, 2, FALSE)</f>
        <v>Deadeye prayer scroll</v>
      </c>
      <c r="E345" s="207">
        <f>VLOOKUP($C345, 'List of log slots'!$A:$E, 5, FALSE)</f>
        <v>4</v>
      </c>
      <c r="F345" s="208" t="b">
        <f>VLOOKUP(C345, 'List of log slots'!$A:$C, 3, FALSE)</f>
        <v>0</v>
      </c>
      <c r="G345" s="209" t="b">
        <f t="shared" si="28"/>
        <v>0</v>
      </c>
      <c r="H345" s="210" t="b">
        <f t="shared" si="7"/>
        <v>1</v>
      </c>
      <c r="I345" s="209" t="b">
        <f t="shared" si="171"/>
        <v>0</v>
      </c>
      <c r="J345" s="208" t="b">
        <f t="shared" ref="J345:J348" si="172">FALSE</f>
        <v>0</v>
      </c>
      <c r="K345" s="211">
        <v>75.0</v>
      </c>
      <c r="L345" s="207" t="str">
        <f t="shared" si="3"/>
        <v>n/a</v>
      </c>
      <c r="M345" s="212" t="str">
        <f t="shared" si="4"/>
        <v>n/a</v>
      </c>
      <c r="N345" s="207" t="str">
        <f t="shared" si="5"/>
        <v>n/a</v>
      </c>
      <c r="O345" s="207">
        <f t="shared" si="6"/>
        <v>0.01333333333</v>
      </c>
    </row>
    <row r="346" ht="15.75" customHeight="1">
      <c r="A346" s="207">
        <v>43.0</v>
      </c>
      <c r="B346" s="6" t="str">
        <f>VLOOKUP($A346, 'Completion rates'!$A:$E, 2, FALSE)</f>
        <v>Looting eldric, the ice king (royal titans)</v>
      </c>
      <c r="C346" s="207">
        <v>30637.0</v>
      </c>
      <c r="D346" s="6" t="str">
        <f>VLOOKUP($C346, 'List of log slots'!$A:$E, 2, FALSE)</f>
        <v>Giantsoul amulet (uncharged)</v>
      </c>
      <c r="E346" s="207">
        <f>VLOOKUP($C346, 'List of log slots'!$A:$E, 5, FALSE)</f>
        <v>3</v>
      </c>
      <c r="F346" s="213" t="b">
        <f>VLOOKUP(C346, 'List of log slots'!$A:$C, 3, FALSE)</f>
        <v>0</v>
      </c>
      <c r="G346" s="209" t="b">
        <f t="shared" si="28"/>
        <v>0</v>
      </c>
      <c r="H346" s="209" t="b">
        <f t="shared" si="7"/>
        <v>1</v>
      </c>
      <c r="I346" s="209" t="b">
        <f t="shared" si="171"/>
        <v>0</v>
      </c>
      <c r="J346" s="208" t="b">
        <f t="shared" si="172"/>
        <v>0</v>
      </c>
      <c r="K346" s="211">
        <v>16.0</v>
      </c>
      <c r="L346" s="207" t="str">
        <f t="shared" si="3"/>
        <v>n/a</v>
      </c>
      <c r="M346" s="212" t="str">
        <f t="shared" si="4"/>
        <v>n/a</v>
      </c>
      <c r="N346" s="207" t="str">
        <f t="shared" si="5"/>
        <v>n/a</v>
      </c>
      <c r="O346" s="207">
        <f t="shared" si="6"/>
        <v>0.0625</v>
      </c>
    </row>
    <row r="347" ht="15.75" customHeight="1">
      <c r="A347" s="207">
        <v>43.0</v>
      </c>
      <c r="B347" s="6" t="str">
        <f>VLOOKUP($A347, 'Completion rates'!$A:$E, 2, FALSE)</f>
        <v>Looting eldric, the ice king (royal titans)</v>
      </c>
      <c r="C347" s="207">
        <v>30628.0</v>
      </c>
      <c r="D347" s="6" t="str">
        <f>VLOOKUP($C347, 'List of log slots'!$A:$E, 2, FALSE)</f>
        <v>Ice element staff crown</v>
      </c>
      <c r="E347" s="207">
        <f>VLOOKUP($C347, 'List of log slots'!$A:$E, 5, FALSE)</f>
        <v>4</v>
      </c>
      <c r="F347" s="208" t="b">
        <f>VLOOKUP(C347, 'List of log slots'!$A:$C, 3, FALSE)</f>
        <v>0</v>
      </c>
      <c r="G347" s="209" t="b">
        <f t="shared" si="28"/>
        <v>0</v>
      </c>
      <c r="H347" s="210" t="b">
        <f t="shared" si="7"/>
        <v>1</v>
      </c>
      <c r="I347" s="209" t="b">
        <f t="shared" si="171"/>
        <v>0</v>
      </c>
      <c r="J347" s="208" t="b">
        <f t="shared" si="172"/>
        <v>0</v>
      </c>
      <c r="K347" s="211">
        <v>75.0</v>
      </c>
      <c r="L347" s="207" t="str">
        <f t="shared" si="3"/>
        <v>n/a</v>
      </c>
      <c r="M347" s="212" t="str">
        <f t="shared" si="4"/>
        <v>n/a</v>
      </c>
      <c r="N347" s="207" t="str">
        <f t="shared" si="5"/>
        <v>n/a</v>
      </c>
      <c r="O347" s="207">
        <f t="shared" si="6"/>
        <v>0.01333333333</v>
      </c>
    </row>
    <row r="348" ht="15.75" customHeight="1">
      <c r="A348" s="207">
        <v>43.0</v>
      </c>
      <c r="B348" s="6" t="str">
        <f>VLOOKUP($A348, 'Completion rates'!$A:$E, 2, FALSE)</f>
        <v>Looting eldric, the ice king (royal titans)</v>
      </c>
      <c r="C348" s="207">
        <v>30640.0</v>
      </c>
      <c r="D348" s="6" t="str">
        <f>VLOOKUP($C348, 'List of log slots'!$A:$E, 2, FALSE)</f>
        <v>Desiccated page</v>
      </c>
      <c r="E348" s="207">
        <f>VLOOKUP($C348, 'List of log slots'!$A:$E, 5, FALSE)</f>
        <v>3</v>
      </c>
      <c r="F348" s="213" t="b">
        <f>VLOOKUP(C348, 'List of log slots'!$A:$C, 3, FALSE)</f>
        <v>0</v>
      </c>
      <c r="G348" s="209" t="b">
        <f t="shared" si="28"/>
        <v>0</v>
      </c>
      <c r="H348" s="209" t="b">
        <f t="shared" si="7"/>
        <v>1</v>
      </c>
      <c r="I348" s="209" t="b">
        <f t="shared" si="171"/>
        <v>0</v>
      </c>
      <c r="J348" s="208" t="b">
        <f t="shared" si="172"/>
        <v>0</v>
      </c>
      <c r="K348" s="211">
        <v>12.0</v>
      </c>
      <c r="L348" s="207" t="str">
        <f t="shared" si="3"/>
        <v>n/a</v>
      </c>
      <c r="M348" s="212" t="str">
        <f t="shared" si="4"/>
        <v>n/a</v>
      </c>
      <c r="N348" s="207" t="str">
        <f t="shared" si="5"/>
        <v>n/a</v>
      </c>
      <c r="O348" s="207">
        <f t="shared" si="6"/>
        <v>0.08333333333</v>
      </c>
    </row>
    <row r="349" ht="15.75" customHeight="1">
      <c r="A349" s="207">
        <v>43.0</v>
      </c>
      <c r="B349" s="6" t="str">
        <f>VLOOKUP($A349, 'Completion rates'!$A:$E, 2, FALSE)</f>
        <v>Looting eldric, the ice king (royal titans)</v>
      </c>
      <c r="C349" s="207">
        <v>30640.0</v>
      </c>
      <c r="D349" s="6" t="str">
        <f>VLOOKUP($C349, 'List of log slots'!$A:$E, 2, FALSE)</f>
        <v>Desiccated page</v>
      </c>
      <c r="E349" s="207">
        <f>VLOOKUP($C349, 'List of log slots'!$A:$E, 5, FALSE)</f>
        <v>3</v>
      </c>
      <c r="F349" s="213" t="b">
        <f>VLOOKUP(C349, 'List of log slots'!$A:$C, 3, FALSE)</f>
        <v>0</v>
      </c>
      <c r="G349" s="209" t="b">
        <f t="shared" si="28"/>
        <v>0</v>
      </c>
      <c r="H349" s="209" t="b">
        <f t="shared" si="7"/>
        <v>1</v>
      </c>
      <c r="I349" s="210" t="b">
        <f t="shared" ref="I349:J349" si="173">TRUE</f>
        <v>1</v>
      </c>
      <c r="J349" s="213" t="b">
        <f t="shared" si="173"/>
        <v>1</v>
      </c>
      <c r="K349" s="211">
        <v>1.0</v>
      </c>
      <c r="L349" s="207">
        <f t="shared" si="3"/>
        <v>1</v>
      </c>
      <c r="M349" s="212" t="str">
        <f t="shared" si="4"/>
        <v>n/a</v>
      </c>
      <c r="N349" s="207" t="str">
        <f t="shared" si="5"/>
        <v>n/a</v>
      </c>
      <c r="O349" s="207" t="str">
        <f t="shared" si="6"/>
        <v>n/a</v>
      </c>
    </row>
    <row r="350" ht="15.75" customHeight="1">
      <c r="A350" s="207">
        <v>44.0</v>
      </c>
      <c r="B350" s="6" t="str">
        <f>VLOOKUP($A350, 'Completion rates'!$A:$E, 2, FALSE)</f>
        <v>Killing sarachnis</v>
      </c>
      <c r="C350" s="207">
        <v>23495.0</v>
      </c>
      <c r="D350" s="6" t="str">
        <f>VLOOKUP($C350, 'List of log slots'!$A:$E, 2, FALSE)</f>
        <v>Sraracha</v>
      </c>
      <c r="E350" s="207">
        <f>VLOOKUP($C350, 'List of log slots'!$A:$E, 5, FALSE)</f>
        <v>6</v>
      </c>
      <c r="F350" s="213" t="b">
        <f>VLOOKUP(C350, 'List of log slots'!$A:$C, 3, FALSE)</f>
        <v>0</v>
      </c>
      <c r="G350" s="209" t="b">
        <f t="shared" si="28"/>
        <v>0</v>
      </c>
      <c r="H350" s="209" t="b">
        <f t="shared" si="7"/>
        <v>1</v>
      </c>
      <c r="I350" s="209" t="b">
        <f t="shared" ref="I350:J350" si="174">FALSE</f>
        <v>0</v>
      </c>
      <c r="J350" s="208" t="b">
        <f t="shared" si="174"/>
        <v>0</v>
      </c>
      <c r="K350" s="211">
        <v>3000.0</v>
      </c>
      <c r="L350" s="207" t="str">
        <f t="shared" si="3"/>
        <v>n/a</v>
      </c>
      <c r="M350" s="212" t="str">
        <f t="shared" si="4"/>
        <v>n/a</v>
      </c>
      <c r="N350" s="207" t="str">
        <f t="shared" si="5"/>
        <v>n/a</v>
      </c>
      <c r="O350" s="207">
        <f t="shared" si="6"/>
        <v>0.0003333333333</v>
      </c>
    </row>
    <row r="351" ht="15.75" customHeight="1">
      <c r="A351" s="207">
        <v>44.0</v>
      </c>
      <c r="B351" s="6" t="str">
        <f>VLOOKUP($A351, 'Completion rates'!$A:$E, 2, FALSE)</f>
        <v>Killing sarachnis</v>
      </c>
      <c r="C351" s="207">
        <v>23525.0</v>
      </c>
      <c r="D351" s="6" t="str">
        <f>VLOOKUP($C351, 'List of log slots'!$A:$E, 2, FALSE)</f>
        <v>Jar of eyes</v>
      </c>
      <c r="E351" s="207">
        <f>VLOOKUP($C351, 'List of log slots'!$A:$E, 5, FALSE)</f>
        <v>6</v>
      </c>
      <c r="F351" s="208" t="b">
        <f>VLOOKUP(C351, 'List of log slots'!$A:$C, 3, FALSE)</f>
        <v>0</v>
      </c>
      <c r="G351" s="209" t="b">
        <f t="shared" si="28"/>
        <v>0</v>
      </c>
      <c r="H351" s="210" t="b">
        <f t="shared" si="7"/>
        <v>1</v>
      </c>
      <c r="I351" s="209" t="b">
        <f t="shared" ref="I351:J351" si="175">FALSE</f>
        <v>0</v>
      </c>
      <c r="J351" s="208" t="b">
        <f t="shared" si="175"/>
        <v>0</v>
      </c>
      <c r="K351" s="211">
        <v>2000.0</v>
      </c>
      <c r="L351" s="207" t="str">
        <f t="shared" si="3"/>
        <v>n/a</v>
      </c>
      <c r="M351" s="212" t="str">
        <f t="shared" si="4"/>
        <v>n/a</v>
      </c>
      <c r="N351" s="207" t="str">
        <f t="shared" si="5"/>
        <v>n/a</v>
      </c>
      <c r="O351" s="207">
        <f t="shared" si="6"/>
        <v>0.0005</v>
      </c>
    </row>
    <row r="352" ht="15.75" customHeight="1">
      <c r="A352" s="207">
        <v>44.0</v>
      </c>
      <c r="B352" s="6" t="str">
        <f>VLOOKUP($A352, 'Completion rates'!$A:$E, 2, FALSE)</f>
        <v>Killing sarachnis</v>
      </c>
      <c r="C352" s="207">
        <v>23517.0</v>
      </c>
      <c r="D352" s="6" t="str">
        <f>VLOOKUP($C352, 'List of log slots'!$A:$E, 2, FALSE)</f>
        <v>Giant egg sac (full)</v>
      </c>
      <c r="E352" s="207">
        <f>VLOOKUP($C352, 'List of log slots'!$A:$E, 5, FALSE)</f>
        <v>5</v>
      </c>
      <c r="F352" s="213" t="b">
        <f>VLOOKUP(C352, 'List of log slots'!$A:$C, 3, FALSE)</f>
        <v>0</v>
      </c>
      <c r="G352" s="209" t="b">
        <f t="shared" si="28"/>
        <v>0</v>
      </c>
      <c r="H352" s="209" t="b">
        <f t="shared" si="7"/>
        <v>1</v>
      </c>
      <c r="I352" s="209" t="b">
        <f t="shared" ref="I352:J352" si="176">FALSE</f>
        <v>0</v>
      </c>
      <c r="J352" s="208" t="b">
        <f t="shared" si="176"/>
        <v>0</v>
      </c>
      <c r="K352" s="211">
        <v>20.0</v>
      </c>
      <c r="L352" s="207" t="str">
        <f t="shared" si="3"/>
        <v>n/a</v>
      </c>
      <c r="M352" s="212" t="str">
        <f t="shared" si="4"/>
        <v>n/a</v>
      </c>
      <c r="N352" s="207" t="str">
        <f t="shared" si="5"/>
        <v>n/a</v>
      </c>
      <c r="O352" s="207">
        <f t="shared" si="6"/>
        <v>0.05</v>
      </c>
    </row>
    <row r="353" ht="15.75" customHeight="1">
      <c r="A353" s="207">
        <v>44.0</v>
      </c>
      <c r="B353" s="6" t="str">
        <f>VLOOKUP($A353, 'Completion rates'!$A:$E, 2, FALSE)</f>
        <v>Killing sarachnis</v>
      </c>
      <c r="C353" s="207">
        <v>23528.0</v>
      </c>
      <c r="D353" s="6" t="str">
        <f>VLOOKUP($C353, 'List of log slots'!$A:$E, 2, FALSE)</f>
        <v>Sarachnis cudgel</v>
      </c>
      <c r="E353" s="207">
        <f>VLOOKUP($C353, 'List of log slots'!$A:$E, 5, FALSE)</f>
        <v>5</v>
      </c>
      <c r="F353" s="208" t="b">
        <f>VLOOKUP(C353, 'List of log slots'!$A:$C, 3, FALSE)</f>
        <v>0</v>
      </c>
      <c r="G353" s="209" t="b">
        <f t="shared" si="28"/>
        <v>0</v>
      </c>
      <c r="H353" s="210" t="b">
        <f t="shared" si="7"/>
        <v>1</v>
      </c>
      <c r="I353" s="209" t="b">
        <f t="shared" ref="I353:J353" si="177">FALSE</f>
        <v>0</v>
      </c>
      <c r="J353" s="208" t="b">
        <f t="shared" si="177"/>
        <v>0</v>
      </c>
      <c r="K353" s="211">
        <v>384.0</v>
      </c>
      <c r="L353" s="207" t="str">
        <f t="shared" si="3"/>
        <v>n/a</v>
      </c>
      <c r="M353" s="212" t="str">
        <f t="shared" si="4"/>
        <v>n/a</v>
      </c>
      <c r="N353" s="207" t="str">
        <f t="shared" si="5"/>
        <v>n/a</v>
      </c>
      <c r="O353" s="207">
        <f t="shared" si="6"/>
        <v>0.002604166667</v>
      </c>
    </row>
    <row r="354" ht="15.75" customHeight="1">
      <c r="A354" s="207">
        <v>44.0</v>
      </c>
      <c r="B354" s="6" t="str">
        <f>VLOOKUP($A354, 'Completion rates'!$A:$E, 2, FALSE)</f>
        <v>Killing sarachnis</v>
      </c>
      <c r="C354" s="207">
        <v>2366.0</v>
      </c>
      <c r="D354" s="6" t="str">
        <f>VLOOKUP($C354, 'List of log slots'!$A:$E, 2, FALSE)</f>
        <v>Shield left half</v>
      </c>
      <c r="E354" s="207">
        <f>VLOOKUP($C354, 'List of log slots'!$A:$E, 5, FALSE)</f>
        <v>5</v>
      </c>
      <c r="F354" s="213" t="b">
        <f>VLOOKUP(C354, 'List of log slots'!$A:$C, 3, FALSE)</f>
        <v>0</v>
      </c>
      <c r="G354" s="209" t="b">
        <f t="shared" si="28"/>
        <v>0</v>
      </c>
      <c r="H354" s="209" t="b">
        <f t="shared" si="7"/>
        <v>1</v>
      </c>
      <c r="I354" s="209" t="b">
        <f t="shared" ref="I354:J354" si="178">FALSE</f>
        <v>0</v>
      </c>
      <c r="J354" s="208" t="b">
        <f t="shared" si="178"/>
        <v>0</v>
      </c>
      <c r="K354" s="211">
        <v>409600.0</v>
      </c>
      <c r="L354" s="207" t="str">
        <f t="shared" si="3"/>
        <v>n/a</v>
      </c>
      <c r="M354" s="212" t="str">
        <f t="shared" si="4"/>
        <v>n/a</v>
      </c>
      <c r="N354" s="207" t="str">
        <f t="shared" si="5"/>
        <v>n/a</v>
      </c>
      <c r="O354" s="207">
        <f t="shared" si="6"/>
        <v>0.00000244140625</v>
      </c>
    </row>
    <row r="355" ht="15.75" customHeight="1">
      <c r="A355" s="207">
        <v>44.0</v>
      </c>
      <c r="B355" s="6" t="str">
        <f>VLOOKUP($A355, 'Completion rates'!$A:$E, 2, FALSE)</f>
        <v>Killing sarachnis</v>
      </c>
      <c r="C355" s="207">
        <v>1249.0</v>
      </c>
      <c r="D355" s="6" t="str">
        <f>VLOOKUP($C355, 'List of log slots'!$A:$E, 2, FALSE)</f>
        <v>Dragon spear</v>
      </c>
      <c r="E355" s="207">
        <f>VLOOKUP($C355, 'List of log slots'!$A:$E, 5, FALSE)</f>
        <v>5</v>
      </c>
      <c r="F355" s="213" t="b">
        <f>VLOOKUP(C355, 'List of log slots'!$A:$C, 3, FALSE)</f>
        <v>0</v>
      </c>
      <c r="G355" s="209" t="b">
        <f t="shared" si="28"/>
        <v>0</v>
      </c>
      <c r="H355" s="209" t="b">
        <f t="shared" si="7"/>
        <v>1</v>
      </c>
      <c r="I355" s="208" t="b">
        <f t="shared" ref="I355:J355" si="179">FALSE</f>
        <v>0</v>
      </c>
      <c r="J355" s="208" t="b">
        <f t="shared" si="179"/>
        <v>0</v>
      </c>
      <c r="K355" s="211">
        <v>546133.0</v>
      </c>
      <c r="L355" s="207" t="str">
        <f t="shared" si="3"/>
        <v>n/a</v>
      </c>
      <c r="M355" s="212" t="str">
        <f t="shared" si="4"/>
        <v>n/a</v>
      </c>
      <c r="N355" s="207" t="str">
        <f t="shared" si="5"/>
        <v>n/a</v>
      </c>
      <c r="O355" s="207">
        <f t="shared" si="6"/>
        <v>0.000001831055805</v>
      </c>
    </row>
    <row r="356" ht="15.75" customHeight="1">
      <c r="A356" s="207">
        <v>44.0</v>
      </c>
      <c r="B356" s="6" t="str">
        <f>VLOOKUP($A356, 'Completion rates'!$A:$E, 2, FALSE)</f>
        <v>Killing sarachnis</v>
      </c>
      <c r="C356" s="207">
        <v>25844.0</v>
      </c>
      <c r="D356" s="6" t="str">
        <f>VLOOKUP($C356, 'List of log slots'!$A:$E, 2, FALSE)</f>
        <v>Orange egg sac</v>
      </c>
      <c r="E356" s="207">
        <f>VLOOKUP($C356, 'List of log slots'!$A:$E, 5, FALSE)</f>
        <v>5</v>
      </c>
      <c r="F356" s="213" t="b">
        <f>VLOOKUP(C356, 'List of log slots'!$A:$C, 3, FALSE)</f>
        <v>0</v>
      </c>
      <c r="G356" s="209" t="b">
        <f t="shared" si="28"/>
        <v>0</v>
      </c>
      <c r="H356" s="209" t="b">
        <f t="shared" si="7"/>
        <v>1</v>
      </c>
      <c r="I356" s="208" t="b">
        <f t="shared" ref="I356:J356" si="180">FALSE</f>
        <v>0</v>
      </c>
      <c r="J356" s="208" t="b">
        <f t="shared" si="180"/>
        <v>0</v>
      </c>
      <c r="K356" s="211">
        <v>375.0</v>
      </c>
      <c r="L356" s="207" t="str">
        <f t="shared" si="3"/>
        <v>n/a</v>
      </c>
      <c r="M356" s="212" t="str">
        <f t="shared" si="4"/>
        <v>n/a</v>
      </c>
      <c r="N356" s="207" t="str">
        <f t="shared" si="5"/>
        <v>n/a</v>
      </c>
      <c r="O356" s="207">
        <f t="shared" si="6"/>
        <v>0.002666666667</v>
      </c>
    </row>
    <row r="357" ht="15.75" customHeight="1">
      <c r="A357" s="207">
        <v>44.0</v>
      </c>
      <c r="B357" s="6" t="str">
        <f>VLOOKUP($A357, 'Completion rates'!$A:$E, 2, FALSE)</f>
        <v>Killing sarachnis</v>
      </c>
      <c r="C357" s="207">
        <v>25846.0</v>
      </c>
      <c r="D357" s="6" t="str">
        <f>VLOOKUP($C357, 'List of log slots'!$A:$E, 2, FALSE)</f>
        <v>Blue egg sac</v>
      </c>
      <c r="E357" s="207">
        <f>VLOOKUP($C357, 'List of log slots'!$A:$E, 5, FALSE)</f>
        <v>5</v>
      </c>
      <c r="F357" s="213" t="b">
        <f>VLOOKUP(C357, 'List of log slots'!$A:$C, 3, FALSE)</f>
        <v>0</v>
      </c>
      <c r="G357" s="209" t="b">
        <f t="shared" si="28"/>
        <v>0</v>
      </c>
      <c r="H357" s="209" t="b">
        <f t="shared" si="7"/>
        <v>1</v>
      </c>
      <c r="I357" s="208" t="b">
        <f t="shared" ref="I357:J357" si="181">FALSE</f>
        <v>0</v>
      </c>
      <c r="J357" s="208" t="b">
        <f t="shared" si="181"/>
        <v>0</v>
      </c>
      <c r="K357" s="211">
        <v>375.0</v>
      </c>
      <c r="L357" s="207" t="str">
        <f t="shared" si="3"/>
        <v>n/a</v>
      </c>
      <c r="M357" s="212" t="str">
        <f t="shared" si="4"/>
        <v>n/a</v>
      </c>
      <c r="N357" s="207" t="str">
        <f t="shared" si="5"/>
        <v>n/a</v>
      </c>
      <c r="O357" s="207">
        <f t="shared" si="6"/>
        <v>0.002666666667</v>
      </c>
    </row>
    <row r="358" ht="15.75" customHeight="1">
      <c r="A358" s="207">
        <v>45.0</v>
      </c>
      <c r="B358" s="6" t="str">
        <f>VLOOKUP($A358, 'Completion rates'!$A:$E, 2, FALSE)</f>
        <v>Killing scorpia</v>
      </c>
      <c r="C358" s="207">
        <v>13181.0</v>
      </c>
      <c r="D358" s="6" t="str">
        <f>VLOOKUP($C358, 'List of log slots'!$A:$E, 2, FALSE)</f>
        <v>Scorpia's offspring</v>
      </c>
      <c r="E358" s="207">
        <f>VLOOKUP($C358, 'List of log slots'!$A:$E, 5, FALSE)</f>
        <v>7</v>
      </c>
      <c r="F358" s="208" t="b">
        <f>VLOOKUP(C358, 'List of log slots'!$A:$C, 3, FALSE)</f>
        <v>0</v>
      </c>
      <c r="G358" s="209" t="b">
        <f t="shared" si="28"/>
        <v>0</v>
      </c>
      <c r="H358" s="210" t="b">
        <f t="shared" si="7"/>
        <v>1</v>
      </c>
      <c r="I358" s="209" t="b">
        <f t="shared" ref="I358:J358" si="182">FALSE</f>
        <v>0</v>
      </c>
      <c r="J358" s="208" t="b">
        <f t="shared" si="182"/>
        <v>0</v>
      </c>
      <c r="K358" s="211">
        <v>2016.0</v>
      </c>
      <c r="L358" s="207" t="str">
        <f t="shared" si="3"/>
        <v>n/a</v>
      </c>
      <c r="M358" s="212" t="str">
        <f t="shared" si="4"/>
        <v>n/a</v>
      </c>
      <c r="N358" s="207" t="str">
        <f t="shared" si="5"/>
        <v>n/a</v>
      </c>
      <c r="O358" s="207">
        <f t="shared" si="6"/>
        <v>0.000496031746</v>
      </c>
    </row>
    <row r="359" ht="15.75" customHeight="1">
      <c r="A359" s="207">
        <v>45.0</v>
      </c>
      <c r="B359" s="6" t="str">
        <f>VLOOKUP($A359, 'Completion rates'!$A:$E, 2, FALSE)</f>
        <v>Killing scorpia</v>
      </c>
      <c r="C359" s="207">
        <v>11930.0</v>
      </c>
      <c r="D359" s="6" t="str">
        <f>VLOOKUP($C359, 'List of log slots'!$A:$E, 2, FALSE)</f>
        <v>Odium shard 3</v>
      </c>
      <c r="E359" s="207">
        <f>VLOOKUP($C359, 'List of log slots'!$A:$E, 5, FALSE)</f>
        <v>5</v>
      </c>
      <c r="F359" s="208" t="b">
        <f>VLOOKUP(C359, 'List of log slots'!$A:$C, 3, FALSE)</f>
        <v>0</v>
      </c>
      <c r="G359" s="209" t="b">
        <f t="shared" si="28"/>
        <v>0</v>
      </c>
      <c r="H359" s="210" t="b">
        <f t="shared" si="7"/>
        <v>1</v>
      </c>
      <c r="I359" s="209" t="b">
        <f t="shared" ref="I359:J359" si="183">FALSE</f>
        <v>0</v>
      </c>
      <c r="J359" s="208" t="b">
        <f t="shared" si="183"/>
        <v>0</v>
      </c>
      <c r="K359" s="211">
        <v>256.0</v>
      </c>
      <c r="L359" s="207" t="str">
        <f t="shared" si="3"/>
        <v>n/a</v>
      </c>
      <c r="M359" s="212" t="str">
        <f t="shared" si="4"/>
        <v>n/a</v>
      </c>
      <c r="N359" s="207" t="str">
        <f t="shared" si="5"/>
        <v>n/a</v>
      </c>
      <c r="O359" s="207">
        <f t="shared" si="6"/>
        <v>0.00390625</v>
      </c>
    </row>
    <row r="360" ht="15.75" customHeight="1">
      <c r="A360" s="207">
        <v>45.0</v>
      </c>
      <c r="B360" s="6" t="str">
        <f>VLOOKUP($A360, 'Completion rates'!$A:$E, 2, FALSE)</f>
        <v>Killing scorpia</v>
      </c>
      <c r="C360" s="207">
        <v>11933.0</v>
      </c>
      <c r="D360" s="6" t="str">
        <f>VLOOKUP($C360, 'List of log slots'!$A:$E, 2, FALSE)</f>
        <v>Malediction shard 3</v>
      </c>
      <c r="E360" s="207">
        <f>VLOOKUP($C360, 'List of log slots'!$A:$E, 5, FALSE)</f>
        <v>5</v>
      </c>
      <c r="F360" s="213" t="b">
        <f>VLOOKUP(C360, 'List of log slots'!$A:$C, 3, FALSE)</f>
        <v>0</v>
      </c>
      <c r="G360" s="209" t="b">
        <f t="shared" si="28"/>
        <v>0</v>
      </c>
      <c r="H360" s="209" t="b">
        <f t="shared" si="7"/>
        <v>1</v>
      </c>
      <c r="I360" s="209" t="b">
        <f t="shared" ref="I360:J360" si="184">FALSE</f>
        <v>0</v>
      </c>
      <c r="J360" s="208" t="b">
        <f t="shared" si="184"/>
        <v>0</v>
      </c>
      <c r="K360" s="211">
        <v>256.0</v>
      </c>
      <c r="L360" s="207" t="str">
        <f t="shared" si="3"/>
        <v>n/a</v>
      </c>
      <c r="M360" s="212" t="str">
        <f t="shared" si="4"/>
        <v>n/a</v>
      </c>
      <c r="N360" s="207" t="str">
        <f t="shared" si="5"/>
        <v>n/a</v>
      </c>
      <c r="O360" s="207">
        <f t="shared" si="6"/>
        <v>0.00390625</v>
      </c>
    </row>
    <row r="361" ht="15.75" customHeight="1">
      <c r="A361" s="207">
        <v>45.0</v>
      </c>
      <c r="B361" s="6" t="str">
        <f>VLOOKUP($A361, 'Completion rates'!$A:$E, 2, FALSE)</f>
        <v>Killing scorpia</v>
      </c>
      <c r="C361" s="207">
        <v>2366.0</v>
      </c>
      <c r="D361" s="6" t="str">
        <f>VLOOKUP($C361, 'List of log slots'!$A:$E, 2, FALSE)</f>
        <v>Shield left half</v>
      </c>
      <c r="E361" s="207">
        <f>VLOOKUP($C361, 'List of log slots'!$A:$E, 5, FALSE)</f>
        <v>5</v>
      </c>
      <c r="F361" s="213" t="b">
        <f>VLOOKUP(C361, 'List of log slots'!$A:$C, 3, FALSE)</f>
        <v>0</v>
      </c>
      <c r="G361" s="209" t="b">
        <f t="shared" si="28"/>
        <v>0</v>
      </c>
      <c r="H361" s="209" t="b">
        <f t="shared" si="7"/>
        <v>1</v>
      </c>
      <c r="I361" s="209" t="b">
        <f t="shared" ref="I361:J361" si="185">FALSE</f>
        <v>0</v>
      </c>
      <c r="J361" s="208" t="b">
        <f t="shared" si="185"/>
        <v>0</v>
      </c>
      <c r="K361" s="211">
        <v>8113.0</v>
      </c>
      <c r="L361" s="207" t="str">
        <f t="shared" si="3"/>
        <v>n/a</v>
      </c>
      <c r="M361" s="212" t="str">
        <f t="shared" si="4"/>
        <v>n/a</v>
      </c>
      <c r="N361" s="207" t="str">
        <f t="shared" si="5"/>
        <v>n/a</v>
      </c>
      <c r="O361" s="207">
        <f t="shared" si="6"/>
        <v>0.0001232589671</v>
      </c>
    </row>
    <row r="362" ht="15.75" customHeight="1">
      <c r="A362" s="207">
        <v>45.0</v>
      </c>
      <c r="B362" s="6" t="str">
        <f>VLOOKUP($A362, 'Completion rates'!$A:$E, 2, FALSE)</f>
        <v>Killing scorpia</v>
      </c>
      <c r="C362" s="207">
        <v>1249.0</v>
      </c>
      <c r="D362" s="6" t="str">
        <f>VLOOKUP($C362, 'List of log slots'!$A:$E, 2, FALSE)</f>
        <v>Dragon spear</v>
      </c>
      <c r="E362" s="207">
        <f>VLOOKUP($C362, 'List of log slots'!$A:$E, 5, FALSE)</f>
        <v>5</v>
      </c>
      <c r="F362" s="213" t="b">
        <f>VLOOKUP(C362, 'List of log slots'!$A:$C, 3, FALSE)</f>
        <v>0</v>
      </c>
      <c r="G362" s="209" t="b">
        <f t="shared" si="28"/>
        <v>0</v>
      </c>
      <c r="H362" s="209" t="b">
        <f t="shared" si="7"/>
        <v>1</v>
      </c>
      <c r="I362" s="209" t="b">
        <f t="shared" ref="I362:J362" si="186">FALSE</f>
        <v>0</v>
      </c>
      <c r="J362" s="208" t="b">
        <f t="shared" si="186"/>
        <v>0</v>
      </c>
      <c r="K362" s="211">
        <v>10817.0</v>
      </c>
      <c r="L362" s="207" t="str">
        <f t="shared" si="3"/>
        <v>n/a</v>
      </c>
      <c r="M362" s="212" t="str">
        <f t="shared" si="4"/>
        <v>n/a</v>
      </c>
      <c r="N362" s="207" t="str">
        <f t="shared" si="5"/>
        <v>n/a</v>
      </c>
      <c r="O362" s="207">
        <f t="shared" si="6"/>
        <v>0.00009244707405</v>
      </c>
    </row>
    <row r="363" ht="15.75" customHeight="1">
      <c r="A363" s="207">
        <v>46.0</v>
      </c>
      <c r="B363" s="6" t="str">
        <f>VLOOKUP($A363, 'Completion rates'!$A:$E, 2, FALSE)</f>
        <v>Killing scurrius</v>
      </c>
      <c r="C363" s="207">
        <v>10976.0</v>
      </c>
      <c r="D363" s="6" t="str">
        <f>VLOOKUP($C363, 'List of log slots'!$A:$E, 2, FALSE)</f>
        <v>Long bone</v>
      </c>
      <c r="E363" s="207">
        <f>VLOOKUP($C363, 'List of log slots'!$A:$E, 5, FALSE)</f>
        <v>3</v>
      </c>
      <c r="F363" s="213" t="b">
        <f>VLOOKUP(C363, 'List of log slots'!$A:$C, 3, FALSE)</f>
        <v>0</v>
      </c>
      <c r="G363" s="209" t="b">
        <f t="shared" si="28"/>
        <v>0</v>
      </c>
      <c r="H363" s="209" t="b">
        <f t="shared" si="7"/>
        <v>1</v>
      </c>
      <c r="I363" s="209" t="b">
        <f t="shared" ref="I363:J363" si="187">FALSE</f>
        <v>0</v>
      </c>
      <c r="J363" s="208" t="b">
        <f t="shared" si="187"/>
        <v>0</v>
      </c>
      <c r="K363" s="211">
        <v>400.0</v>
      </c>
      <c r="L363" s="207" t="str">
        <f t="shared" si="3"/>
        <v>n/a</v>
      </c>
      <c r="M363" s="212" t="str">
        <f t="shared" si="4"/>
        <v>n/a</v>
      </c>
      <c r="N363" s="207" t="str">
        <f t="shared" si="5"/>
        <v>n/a</v>
      </c>
      <c r="O363" s="207">
        <f t="shared" si="6"/>
        <v>0.0025</v>
      </c>
    </row>
    <row r="364" ht="15.75" customHeight="1">
      <c r="A364" s="207">
        <v>46.0</v>
      </c>
      <c r="B364" s="6" t="str">
        <f>VLOOKUP($A364, 'Completion rates'!$A:$E, 2, FALSE)</f>
        <v>Killing scurrius</v>
      </c>
      <c r="C364" s="207">
        <v>10977.0</v>
      </c>
      <c r="D364" s="6" t="str">
        <f>VLOOKUP($C364, 'List of log slots'!$A:$E, 2, FALSE)</f>
        <v>Curved bone</v>
      </c>
      <c r="E364" s="207">
        <f>VLOOKUP($C364, 'List of log slots'!$A:$E, 5, FALSE)</f>
        <v>5</v>
      </c>
      <c r="F364" s="208" t="b">
        <f>VLOOKUP(C364, 'List of log slots'!$A:$C, 3, FALSE)</f>
        <v>0</v>
      </c>
      <c r="G364" s="209" t="b">
        <f t="shared" si="28"/>
        <v>0</v>
      </c>
      <c r="H364" s="210" t="b">
        <f t="shared" si="7"/>
        <v>1</v>
      </c>
      <c r="I364" s="209" t="b">
        <f t="shared" ref="I364:J364" si="188">FALSE</f>
        <v>0</v>
      </c>
      <c r="J364" s="208" t="b">
        <f t="shared" si="188"/>
        <v>0</v>
      </c>
      <c r="K364" s="211">
        <v>5013.0</v>
      </c>
      <c r="L364" s="207" t="str">
        <f t="shared" si="3"/>
        <v>n/a</v>
      </c>
      <c r="M364" s="212" t="str">
        <f t="shared" si="4"/>
        <v>n/a</v>
      </c>
      <c r="N364" s="207" t="str">
        <f t="shared" si="5"/>
        <v>n/a</v>
      </c>
      <c r="O364" s="207">
        <f t="shared" si="6"/>
        <v>0.0001994813485</v>
      </c>
    </row>
    <row r="365" ht="15.75" customHeight="1">
      <c r="A365" s="207">
        <v>46.0</v>
      </c>
      <c r="B365" s="6" t="str">
        <f>VLOOKUP($A365, 'Completion rates'!$A:$E, 2, FALSE)</f>
        <v>Killing scurrius</v>
      </c>
      <c r="C365" s="207">
        <v>28801.0</v>
      </c>
      <c r="D365" s="6" t="str">
        <f>VLOOKUP($C365, 'List of log slots'!$A:$E, 2, FALSE)</f>
        <v>Scurry</v>
      </c>
      <c r="E365" s="207">
        <f>VLOOKUP($C365, 'List of log slots'!$A:$E, 5, FALSE)</f>
        <v>6</v>
      </c>
      <c r="F365" s="208" t="b">
        <f>VLOOKUP(C365, 'List of log slots'!$A:$C, 3, FALSE)</f>
        <v>0</v>
      </c>
      <c r="G365" s="209" t="b">
        <f t="shared" si="28"/>
        <v>0</v>
      </c>
      <c r="H365" s="210" t="b">
        <f t="shared" si="7"/>
        <v>1</v>
      </c>
      <c r="I365" s="209" t="b">
        <f t="shared" ref="I365:J365" si="189">FALSE</f>
        <v>0</v>
      </c>
      <c r="J365" s="208" t="b">
        <f t="shared" si="189"/>
        <v>0</v>
      </c>
      <c r="K365" s="211">
        <v>3000.0</v>
      </c>
      <c r="L365" s="207" t="str">
        <f t="shared" si="3"/>
        <v>n/a</v>
      </c>
      <c r="M365" s="212" t="str">
        <f t="shared" si="4"/>
        <v>n/a</v>
      </c>
      <c r="N365" s="207" t="str">
        <f t="shared" si="5"/>
        <v>n/a</v>
      </c>
      <c r="O365" s="207">
        <f t="shared" si="6"/>
        <v>0.0003333333333</v>
      </c>
    </row>
    <row r="366" ht="15.75" customHeight="1">
      <c r="A366" s="207">
        <v>46.0</v>
      </c>
      <c r="B366" s="6" t="str">
        <f>VLOOKUP($A366, 'Completion rates'!$A:$E, 2, FALSE)</f>
        <v>Killing scurrius</v>
      </c>
      <c r="C366" s="207">
        <v>28798.0</v>
      </c>
      <c r="D366" s="6" t="str">
        <f>VLOOKUP($C366, 'List of log slots'!$A:$E, 2, FALSE)</f>
        <v>Scrrius' spine</v>
      </c>
      <c r="E366" s="207">
        <f>VLOOKUP($C366, 'List of log slots'!$A:$E, 5, FALSE)</f>
        <v>4</v>
      </c>
      <c r="F366" s="213" t="b">
        <f>VLOOKUP(C366, 'List of log slots'!$A:$C, 3, FALSE)</f>
        <v>0</v>
      </c>
      <c r="G366" s="209" t="b">
        <f t="shared" si="28"/>
        <v>0</v>
      </c>
      <c r="H366" s="209" t="b">
        <f t="shared" si="7"/>
        <v>1</v>
      </c>
      <c r="I366" s="209" t="b">
        <f t="shared" ref="I366:J366" si="190">FALSE</f>
        <v>0</v>
      </c>
      <c r="J366" s="208" t="b">
        <f t="shared" si="190"/>
        <v>0</v>
      </c>
      <c r="K366" s="211">
        <v>33.0</v>
      </c>
      <c r="L366" s="207" t="str">
        <f t="shared" si="3"/>
        <v>n/a</v>
      </c>
      <c r="M366" s="212" t="str">
        <f t="shared" si="4"/>
        <v>n/a</v>
      </c>
      <c r="N366" s="207" t="str">
        <f t="shared" si="5"/>
        <v>n/a</v>
      </c>
      <c r="O366" s="207">
        <f t="shared" si="6"/>
        <v>0.0303030303</v>
      </c>
    </row>
    <row r="367" ht="15.75" customHeight="1">
      <c r="A367" s="207">
        <v>47.0</v>
      </c>
      <c r="B367" s="6" t="str">
        <f>VLOOKUP($A367, 'Completion rates'!$A:$E, 2, FALSE)</f>
        <v>Killing shellbane gryphon (on task)</v>
      </c>
      <c r="C367" s="207">
        <v>32921.0</v>
      </c>
      <c r="D367" s="6" t="str">
        <f>VLOOKUP($C367, 'List of log slots'!$A:$E, 2, FALSE)</f>
        <v>Jar of feathers</v>
      </c>
      <c r="E367" s="207">
        <f>VLOOKUP($C367, 'List of log slots'!$A:$E, 5, FALSE)</f>
        <v>5</v>
      </c>
      <c r="F367" s="208" t="b">
        <f>VLOOKUP(C367, 'List of log slots'!$A:$C, 3, FALSE)</f>
        <v>0</v>
      </c>
      <c r="G367" s="209" t="b">
        <f t="shared" si="28"/>
        <v>0</v>
      </c>
      <c r="H367" s="210" t="b">
        <f t="shared" si="7"/>
        <v>1</v>
      </c>
      <c r="I367" s="209" t="b">
        <f t="shared" ref="I367:J367" si="191">FALSE</f>
        <v>0</v>
      </c>
      <c r="J367" s="208" t="b">
        <f t="shared" si="191"/>
        <v>0</v>
      </c>
      <c r="K367" s="211">
        <v>2000.0</v>
      </c>
      <c r="L367" s="207" t="str">
        <f t="shared" si="3"/>
        <v>n/a</v>
      </c>
      <c r="M367" s="212" t="str">
        <f t="shared" si="4"/>
        <v>n/a</v>
      </c>
      <c r="N367" s="207" t="str">
        <f t="shared" si="5"/>
        <v>n/a</v>
      </c>
      <c r="O367" s="207">
        <f t="shared" si="6"/>
        <v>0.0005</v>
      </c>
    </row>
    <row r="368" ht="15.75" customHeight="1">
      <c r="A368" s="207">
        <v>47.0</v>
      </c>
      <c r="B368" s="6" t="str">
        <f>VLOOKUP($A368, 'Completion rates'!$A:$E, 2, FALSE)</f>
        <v>Killing shellbane gryphon (on task)</v>
      </c>
      <c r="C368" s="207">
        <v>31285.0</v>
      </c>
      <c r="D368" s="6" t="str">
        <f>VLOOKUP($C368, 'List of log slots'!$A:$E, 2, FALSE)</f>
        <v>Gull</v>
      </c>
      <c r="E368" s="207">
        <f>VLOOKUP($C368, 'List of log slots'!$A:$E, 5, FALSE)</f>
        <v>6</v>
      </c>
      <c r="F368" s="208" t="b">
        <f>VLOOKUP(C368, 'List of log slots'!$A:$C, 3, FALSE)</f>
        <v>0</v>
      </c>
      <c r="G368" s="209" t="b">
        <f t="shared" si="28"/>
        <v>0</v>
      </c>
      <c r="H368" s="210" t="b">
        <f t="shared" si="7"/>
        <v>1</v>
      </c>
      <c r="I368" s="209" t="b">
        <f t="shared" ref="I368:J368" si="192">FALSE</f>
        <v>0</v>
      </c>
      <c r="J368" s="208" t="b">
        <f t="shared" si="192"/>
        <v>0</v>
      </c>
      <c r="K368" s="211">
        <v>3000.0</v>
      </c>
      <c r="L368" s="207" t="str">
        <f t="shared" si="3"/>
        <v>n/a</v>
      </c>
      <c r="M368" s="212" t="str">
        <f t="shared" si="4"/>
        <v>n/a</v>
      </c>
      <c r="N368" s="207" t="str">
        <f t="shared" si="5"/>
        <v>n/a</v>
      </c>
      <c r="O368" s="207">
        <f t="shared" si="6"/>
        <v>0.0003333333333</v>
      </c>
    </row>
    <row r="369" ht="15.75" customHeight="1">
      <c r="A369" s="207">
        <v>47.0</v>
      </c>
      <c r="B369" s="6" t="str">
        <f>VLOOKUP($A369, 'Completion rates'!$A:$E, 2, FALSE)</f>
        <v>Killing shellbane gryphon (on task)</v>
      </c>
      <c r="C369" s="207">
        <v>31245.0</v>
      </c>
      <c r="D369" s="6" t="str">
        <f>VLOOKUP($C369, 'List of log slots'!$A:$E, 2, FALSE)</f>
        <v>Belle's folly (tarnished)</v>
      </c>
      <c r="E369" s="207">
        <f>VLOOKUP($C369, 'List of log slots'!$A:$E, 5, FALSE)</f>
        <v>5</v>
      </c>
      <c r="F369" s="208" t="b">
        <f>VLOOKUP(C369, 'List of log slots'!$A:$C, 3, FALSE)</f>
        <v>0</v>
      </c>
      <c r="G369" s="209" t="b">
        <f t="shared" si="28"/>
        <v>0</v>
      </c>
      <c r="H369" s="210" t="b">
        <f t="shared" si="7"/>
        <v>1</v>
      </c>
      <c r="I369" s="209" t="b">
        <f t="shared" ref="I369:J369" si="193">FALSE</f>
        <v>0</v>
      </c>
      <c r="J369" s="208" t="b">
        <f t="shared" si="193"/>
        <v>0</v>
      </c>
      <c r="K369" s="211">
        <v>400.0</v>
      </c>
      <c r="L369" s="207" t="str">
        <f t="shared" si="3"/>
        <v>n/a</v>
      </c>
      <c r="M369" s="212" t="str">
        <f t="shared" si="4"/>
        <v>n/a</v>
      </c>
      <c r="N369" s="207" t="str">
        <f t="shared" si="5"/>
        <v>n/a</v>
      </c>
      <c r="O369" s="207">
        <f t="shared" si="6"/>
        <v>0.0025</v>
      </c>
    </row>
    <row r="370" ht="15.75" customHeight="1">
      <c r="A370" s="207">
        <v>47.0</v>
      </c>
      <c r="B370" s="6" t="str">
        <f>VLOOKUP($A370, 'Completion rates'!$A:$E, 2, FALSE)</f>
        <v>Killing shellbane gryphon (on task)</v>
      </c>
      <c r="C370" s="207">
        <v>31235.0</v>
      </c>
      <c r="D370" s="6" t="str">
        <f>VLOOKUP($C370, 'List of log slots'!$A:$E, 2, FALSE)</f>
        <v>Gryphon feather</v>
      </c>
      <c r="E370" s="207">
        <f>VLOOKUP($C370, 'List of log slots'!$A:$E, 5, FALSE)</f>
        <v>4</v>
      </c>
      <c r="F370" s="213" t="b">
        <f>VLOOKUP(C370, 'List of log slots'!$A:$C, 3, FALSE)</f>
        <v>0</v>
      </c>
      <c r="G370" s="209" t="b">
        <f t="shared" si="28"/>
        <v>0</v>
      </c>
      <c r="H370" s="209" t="b">
        <f t="shared" si="7"/>
        <v>1</v>
      </c>
      <c r="I370" s="210" t="b">
        <f>TRUE</f>
        <v>1</v>
      </c>
      <c r="J370" s="208" t="b">
        <f>FALSE</f>
        <v>0</v>
      </c>
      <c r="K370" s="211">
        <v>1.0</v>
      </c>
      <c r="L370" s="207" t="str">
        <f t="shared" si="3"/>
        <v>n/a</v>
      </c>
      <c r="M370" s="212">
        <f t="shared" si="4"/>
        <v>1</v>
      </c>
      <c r="N370" s="207" t="str">
        <f t="shared" si="5"/>
        <v>n/a</v>
      </c>
      <c r="O370" s="207" t="str">
        <f t="shared" si="6"/>
        <v>n/a</v>
      </c>
    </row>
    <row r="371" ht="15.75" customHeight="1">
      <c r="A371" s="207">
        <v>47.0</v>
      </c>
      <c r="B371" s="6" t="str">
        <f>VLOOKUP($A371, 'Completion rates'!$A:$E, 2, FALSE)</f>
        <v>Killing shellbane gryphon (on task)</v>
      </c>
      <c r="C371" s="207">
        <v>2366.0</v>
      </c>
      <c r="D371" s="6" t="str">
        <f>VLOOKUP($C371, 'List of log slots'!$A:$E, 2, FALSE)</f>
        <v>Shield left half</v>
      </c>
      <c r="E371" s="207">
        <f>VLOOKUP($C371, 'List of log slots'!$A:$E, 5, FALSE)</f>
        <v>5</v>
      </c>
      <c r="F371" s="213" t="b">
        <f>VLOOKUP(C371, 'List of log slots'!$A:$C, 3, FALSE)</f>
        <v>0</v>
      </c>
      <c r="G371" s="209" t="b">
        <f t="shared" si="28"/>
        <v>0</v>
      </c>
      <c r="H371" s="209" t="b">
        <f t="shared" si="7"/>
        <v>1</v>
      </c>
      <c r="I371" s="209" t="b">
        <f t="shared" ref="I371:J371" si="194">FALSE</f>
        <v>0</v>
      </c>
      <c r="J371" s="208" t="b">
        <f t="shared" si="194"/>
        <v>0</v>
      </c>
      <c r="K371" s="211">
        <v>524288.0</v>
      </c>
      <c r="L371" s="207" t="str">
        <f t="shared" si="3"/>
        <v>n/a</v>
      </c>
      <c r="M371" s="212" t="str">
        <f t="shared" si="4"/>
        <v>n/a</v>
      </c>
      <c r="N371" s="207" t="str">
        <f t="shared" si="5"/>
        <v>n/a</v>
      </c>
      <c r="O371" s="207">
        <f t="shared" si="6"/>
        <v>0.000001907348633</v>
      </c>
    </row>
    <row r="372" ht="15.75" customHeight="1">
      <c r="A372" s="207">
        <v>47.0</v>
      </c>
      <c r="B372" s="6" t="str">
        <f>VLOOKUP($A372, 'Completion rates'!$A:$E, 2, FALSE)</f>
        <v>Killing shellbane gryphon (on task)</v>
      </c>
      <c r="C372" s="207">
        <v>1249.0</v>
      </c>
      <c r="D372" s="6" t="str">
        <f>VLOOKUP($C372, 'List of log slots'!$A:$E, 2, FALSE)</f>
        <v>Dragon spear</v>
      </c>
      <c r="E372" s="207">
        <f>VLOOKUP($C372, 'List of log slots'!$A:$E, 5, FALSE)</f>
        <v>5</v>
      </c>
      <c r="F372" s="213" t="b">
        <f>VLOOKUP(C372, 'List of log slots'!$A:$C, 3, FALSE)</f>
        <v>0</v>
      </c>
      <c r="G372" s="209" t="b">
        <f t="shared" si="28"/>
        <v>0</v>
      </c>
      <c r="H372" s="209" t="b">
        <f t="shared" si="7"/>
        <v>1</v>
      </c>
      <c r="I372" s="209" t="b">
        <f t="shared" ref="I372:J372" si="195">FALSE</f>
        <v>0</v>
      </c>
      <c r="J372" s="208" t="b">
        <f t="shared" si="195"/>
        <v>0</v>
      </c>
      <c r="K372" s="211">
        <v>699051.0</v>
      </c>
      <c r="L372" s="207" t="str">
        <f t="shared" si="3"/>
        <v>n/a</v>
      </c>
      <c r="M372" s="212" t="str">
        <f t="shared" si="4"/>
        <v>n/a</v>
      </c>
      <c r="N372" s="207" t="str">
        <f t="shared" si="5"/>
        <v>n/a</v>
      </c>
      <c r="O372" s="207">
        <f t="shared" si="6"/>
        <v>0.000001430510792</v>
      </c>
    </row>
    <row r="373" ht="15.75" customHeight="1">
      <c r="A373" s="207">
        <v>47.0</v>
      </c>
      <c r="B373" s="6" t="str">
        <f>VLOOKUP($A373, 'Completion rates'!$A:$E, 2, FALSE)</f>
        <v>Killing shellbane gryphon (on task)</v>
      </c>
      <c r="C373" s="207">
        <v>10976.0</v>
      </c>
      <c r="D373" s="6" t="str">
        <f>VLOOKUP($C373, 'List of log slots'!$A:$E, 2, FALSE)</f>
        <v>Long bone</v>
      </c>
      <c r="E373" s="207">
        <f>VLOOKUP($C373, 'List of log slots'!$A:$E, 5, FALSE)</f>
        <v>3</v>
      </c>
      <c r="F373" s="213" t="b">
        <f>VLOOKUP(C373, 'List of log slots'!$A:$C, 3, FALSE)</f>
        <v>0</v>
      </c>
      <c r="G373" s="209" t="b">
        <f t="shared" si="28"/>
        <v>0</v>
      </c>
      <c r="H373" s="209" t="b">
        <f t="shared" si="7"/>
        <v>1</v>
      </c>
      <c r="I373" s="209" t="b">
        <f t="shared" ref="I373:J373" si="196">FALSE</f>
        <v>0</v>
      </c>
      <c r="J373" s="208" t="b">
        <f t="shared" si="196"/>
        <v>0</v>
      </c>
      <c r="K373" s="214">
        <v>400.0</v>
      </c>
      <c r="L373" s="212" t="str">
        <f t="shared" si="3"/>
        <v>n/a</v>
      </c>
      <c r="M373" s="212" t="str">
        <f t="shared" si="4"/>
        <v>n/a</v>
      </c>
      <c r="N373" s="207" t="str">
        <f t="shared" si="5"/>
        <v>n/a</v>
      </c>
      <c r="O373" s="207">
        <f t="shared" si="6"/>
        <v>0.0025</v>
      </c>
    </row>
    <row r="374" ht="15.75" customHeight="1">
      <c r="A374" s="207">
        <v>47.0</v>
      </c>
      <c r="B374" s="6" t="str">
        <f>VLOOKUP($A374, 'Completion rates'!$A:$E, 2, FALSE)</f>
        <v>Killing shellbane gryphon (on task)</v>
      </c>
      <c r="C374" s="207">
        <v>10977.0</v>
      </c>
      <c r="D374" s="6" t="str">
        <f>VLOOKUP($C374, 'List of log slots'!$A:$E, 2, FALSE)</f>
        <v>Curved bone</v>
      </c>
      <c r="E374" s="207">
        <f>VLOOKUP($C374, 'List of log slots'!$A:$E, 5, FALSE)</f>
        <v>5</v>
      </c>
      <c r="F374" s="208" t="b">
        <f>VLOOKUP(C374, 'List of log slots'!$A:$C, 3, FALSE)</f>
        <v>0</v>
      </c>
      <c r="G374" s="209" t="b">
        <f t="shared" si="28"/>
        <v>0</v>
      </c>
      <c r="H374" s="210" t="b">
        <f t="shared" si="7"/>
        <v>1</v>
      </c>
      <c r="I374" s="209" t="b">
        <f t="shared" ref="I374:J374" si="197">FALSE</f>
        <v>0</v>
      </c>
      <c r="J374" s="208" t="b">
        <f t="shared" si="197"/>
        <v>0</v>
      </c>
      <c r="K374" s="214">
        <v>5013.0</v>
      </c>
      <c r="L374" s="212" t="str">
        <f t="shared" si="3"/>
        <v>n/a</v>
      </c>
      <c r="M374" s="212" t="str">
        <f t="shared" si="4"/>
        <v>n/a</v>
      </c>
      <c r="N374" s="207" t="str">
        <f t="shared" si="5"/>
        <v>n/a</v>
      </c>
      <c r="O374" s="207">
        <f t="shared" si="6"/>
        <v>0.0001994813485</v>
      </c>
    </row>
    <row r="375" ht="15.75" customHeight="1">
      <c r="A375" s="207">
        <v>48.0</v>
      </c>
      <c r="B375" s="6" t="str">
        <f>VLOOKUP($A375, 'Completion rates'!$A:$E, 2, FALSE)</f>
        <v>Killing skotizo</v>
      </c>
      <c r="C375" s="207">
        <v>21273.0</v>
      </c>
      <c r="D375" s="6" t="str">
        <f>VLOOKUP($C375, 'List of log slots'!$A:$E, 2, FALSE)</f>
        <v>Skotos</v>
      </c>
      <c r="E375" s="207">
        <f>VLOOKUP($C375, 'List of log slots'!$A:$E, 5, FALSE)</f>
        <v>6</v>
      </c>
      <c r="F375" s="213" t="b">
        <f>VLOOKUP(C375, 'List of log slots'!$A:$C, 3, FALSE)</f>
        <v>0</v>
      </c>
      <c r="G375" s="209" t="b">
        <f t="shared" si="28"/>
        <v>0</v>
      </c>
      <c r="H375" s="209" t="b">
        <f t="shared" si="7"/>
        <v>1</v>
      </c>
      <c r="I375" s="209" t="b">
        <f t="shared" ref="I375:J375" si="198">FALSE</f>
        <v>0</v>
      </c>
      <c r="J375" s="208" t="b">
        <f t="shared" si="198"/>
        <v>0</v>
      </c>
      <c r="K375" s="214">
        <v>65.0</v>
      </c>
      <c r="L375" s="212" t="str">
        <f t="shared" si="3"/>
        <v>n/a</v>
      </c>
      <c r="M375" s="212" t="str">
        <f t="shared" si="4"/>
        <v>n/a</v>
      </c>
      <c r="N375" s="207" t="str">
        <f t="shared" si="5"/>
        <v>n/a</v>
      </c>
      <c r="O375" s="207">
        <f t="shared" si="6"/>
        <v>0.01538461538</v>
      </c>
    </row>
    <row r="376" ht="15.75" customHeight="1">
      <c r="A376" s="207">
        <v>48.0</v>
      </c>
      <c r="B376" s="6" t="str">
        <f>VLOOKUP($A376, 'Completion rates'!$A:$E, 2, FALSE)</f>
        <v>Killing skotizo</v>
      </c>
      <c r="C376" s="207">
        <v>19701.0</v>
      </c>
      <c r="D376" s="6" t="str">
        <f>VLOOKUP($C376, 'List of log slots'!$A:$E, 2, FALSE)</f>
        <v>Jar of darkness</v>
      </c>
      <c r="E376" s="207">
        <f>VLOOKUP($C376, 'List of log slots'!$A:$E, 5, FALSE)</f>
        <v>7</v>
      </c>
      <c r="F376" s="208" t="b">
        <f>VLOOKUP(C376, 'List of log slots'!$A:$C, 3, FALSE)</f>
        <v>0</v>
      </c>
      <c r="G376" s="209" t="b">
        <f t="shared" si="28"/>
        <v>0</v>
      </c>
      <c r="H376" s="210" t="b">
        <f t="shared" si="7"/>
        <v>1</v>
      </c>
      <c r="I376" s="209" t="b">
        <f t="shared" ref="I376:J376" si="199">FALSE</f>
        <v>0</v>
      </c>
      <c r="J376" s="208" t="b">
        <f t="shared" si="199"/>
        <v>0</v>
      </c>
      <c r="K376" s="214">
        <v>200.0</v>
      </c>
      <c r="L376" s="212" t="str">
        <f t="shared" si="3"/>
        <v>n/a</v>
      </c>
      <c r="M376" s="212" t="str">
        <f t="shared" si="4"/>
        <v>n/a</v>
      </c>
      <c r="N376" s="207" t="str">
        <f t="shared" si="5"/>
        <v>n/a</v>
      </c>
      <c r="O376" s="207">
        <f t="shared" si="6"/>
        <v>0.005</v>
      </c>
    </row>
    <row r="377" ht="15.75" customHeight="1">
      <c r="A377" s="207">
        <v>48.0</v>
      </c>
      <c r="B377" s="6" t="str">
        <f>VLOOKUP($A377, 'Completion rates'!$A:$E, 2, FALSE)</f>
        <v>Killing skotizo</v>
      </c>
      <c r="C377" s="207">
        <v>21275.0</v>
      </c>
      <c r="D377" s="6" t="str">
        <f>VLOOKUP($C377, 'List of log slots'!$A:$E, 2, FALSE)</f>
        <v>Dark claw</v>
      </c>
      <c r="E377" s="207">
        <f>VLOOKUP($C377, 'List of log slots'!$A:$E, 5, FALSE)</f>
        <v>6</v>
      </c>
      <c r="F377" s="213" t="b">
        <f>VLOOKUP(C377, 'List of log slots'!$A:$C, 3, FALSE)</f>
        <v>0</v>
      </c>
      <c r="G377" s="209" t="b">
        <f t="shared" si="28"/>
        <v>0</v>
      </c>
      <c r="H377" s="209" t="b">
        <f t="shared" si="7"/>
        <v>1</v>
      </c>
      <c r="I377" s="209" t="b">
        <f t="shared" ref="I377:J377" si="200">FALSE</f>
        <v>0</v>
      </c>
      <c r="J377" s="208" t="b">
        <f t="shared" si="200"/>
        <v>0</v>
      </c>
      <c r="K377" s="214">
        <v>25.0</v>
      </c>
      <c r="L377" s="212" t="str">
        <f t="shared" si="3"/>
        <v>n/a</v>
      </c>
      <c r="M377" s="212" t="str">
        <f t="shared" si="4"/>
        <v>n/a</v>
      </c>
      <c r="N377" s="207" t="str">
        <f t="shared" si="5"/>
        <v>n/a</v>
      </c>
      <c r="O377" s="207">
        <f t="shared" si="6"/>
        <v>0.04</v>
      </c>
    </row>
    <row r="378" ht="15.75" customHeight="1">
      <c r="A378" s="207">
        <v>48.0</v>
      </c>
      <c r="B378" s="6" t="str">
        <f>VLOOKUP($A378, 'Completion rates'!$A:$E, 2, FALSE)</f>
        <v>Killing skotizo</v>
      </c>
      <c r="C378" s="207">
        <v>19685.0</v>
      </c>
      <c r="D378" s="6" t="str">
        <f>VLOOKUP($C378, 'List of log slots'!$A:$E, 2, FALSE)</f>
        <v>Dark totem</v>
      </c>
      <c r="E378" s="207">
        <f>VLOOKUP($C378, 'List of log slots'!$A:$E, 5, FALSE)</f>
        <v>7</v>
      </c>
      <c r="F378" s="208" t="b">
        <f>VLOOKUP(C378, 'List of log slots'!$A:$C, 3, FALSE)</f>
        <v>0</v>
      </c>
      <c r="G378" s="209" t="b">
        <f t="shared" si="28"/>
        <v>0</v>
      </c>
      <c r="H378" s="210" t="b">
        <f t="shared" si="7"/>
        <v>1</v>
      </c>
      <c r="I378" s="209" t="b">
        <f t="shared" ref="I378:J378" si="201">FALSE</f>
        <v>0</v>
      </c>
      <c r="J378" s="208" t="b">
        <f t="shared" si="201"/>
        <v>0</v>
      </c>
      <c r="K378" s="214">
        <v>128.0</v>
      </c>
      <c r="L378" s="212" t="str">
        <f t="shared" si="3"/>
        <v>n/a</v>
      </c>
      <c r="M378" s="212" t="str">
        <f t="shared" si="4"/>
        <v>n/a</v>
      </c>
      <c r="N378" s="207" t="str">
        <f t="shared" si="5"/>
        <v>n/a</v>
      </c>
      <c r="O378" s="207">
        <f t="shared" si="6"/>
        <v>0.0078125</v>
      </c>
    </row>
    <row r="379" ht="15.75" customHeight="1">
      <c r="A379" s="207">
        <v>48.0</v>
      </c>
      <c r="B379" s="6" t="str">
        <f>VLOOKUP($A379, 'Completion rates'!$A:$E, 2, FALSE)</f>
        <v>Killing skotizo</v>
      </c>
      <c r="C379" s="207">
        <v>6571.0</v>
      </c>
      <c r="D379" s="6" t="str">
        <f>VLOOKUP($C379, 'List of log slots'!$A:$E, 2, FALSE)</f>
        <v>Uncut onyx</v>
      </c>
      <c r="E379" s="207">
        <f>VLOOKUP($C379, 'List of log slots'!$A:$E, 5, FALSE)</f>
        <v>6</v>
      </c>
      <c r="F379" s="213" t="b">
        <f>VLOOKUP(C379, 'List of log slots'!$A:$C, 3, FALSE)</f>
        <v>0</v>
      </c>
      <c r="G379" s="209" t="b">
        <f t="shared" si="28"/>
        <v>0</v>
      </c>
      <c r="H379" s="209" t="b">
        <f t="shared" si="7"/>
        <v>1</v>
      </c>
      <c r="I379" s="209" t="b">
        <f t="shared" ref="I379:J379" si="202">FALSE</f>
        <v>0</v>
      </c>
      <c r="J379" s="208" t="b">
        <f t="shared" si="202"/>
        <v>0</v>
      </c>
      <c r="K379" s="214">
        <v>1000.0</v>
      </c>
      <c r="L379" s="212" t="str">
        <f t="shared" si="3"/>
        <v>n/a</v>
      </c>
      <c r="M379" s="212" t="str">
        <f t="shared" si="4"/>
        <v>n/a</v>
      </c>
      <c r="N379" s="207" t="str">
        <f t="shared" si="5"/>
        <v>n/a</v>
      </c>
      <c r="O379" s="207">
        <f t="shared" si="6"/>
        <v>0.001</v>
      </c>
    </row>
    <row r="380" ht="15.75" customHeight="1">
      <c r="A380" s="207">
        <v>48.0</v>
      </c>
      <c r="B380" s="6" t="str">
        <f>VLOOKUP($A380, 'Completion rates'!$A:$E, 2, FALSE)</f>
        <v>Killing skotizo</v>
      </c>
      <c r="C380" s="207">
        <v>19677.0</v>
      </c>
      <c r="D380" s="6" t="str">
        <f>VLOOKUP($C380, 'List of log slots'!$A:$E, 2, FALSE)</f>
        <v>Ancient shard</v>
      </c>
      <c r="E380" s="207">
        <f>VLOOKUP($C380, 'List of log slots'!$A:$E, 5, FALSE)</f>
        <v>5</v>
      </c>
      <c r="F380" s="213" t="b">
        <f>VLOOKUP(C380, 'List of log slots'!$A:$C, 3, FALSE)</f>
        <v>0</v>
      </c>
      <c r="G380" s="209" t="b">
        <f t="shared" si="28"/>
        <v>0</v>
      </c>
      <c r="H380" s="209" t="b">
        <f t="shared" si="7"/>
        <v>1</v>
      </c>
      <c r="I380" s="210" t="b">
        <f>TRUE</f>
        <v>1</v>
      </c>
      <c r="J380" s="208" t="b">
        <f>FALSE</f>
        <v>0</v>
      </c>
      <c r="K380" s="214">
        <v>1.0</v>
      </c>
      <c r="L380" s="212" t="str">
        <f t="shared" si="3"/>
        <v>n/a</v>
      </c>
      <c r="M380" s="212">
        <f t="shared" si="4"/>
        <v>1</v>
      </c>
      <c r="N380" s="207" t="str">
        <f t="shared" si="5"/>
        <v>n/a</v>
      </c>
      <c r="O380" s="207" t="str">
        <f t="shared" si="6"/>
        <v>n/a</v>
      </c>
    </row>
    <row r="381" ht="15.75" customHeight="1">
      <c r="A381" s="207">
        <v>48.0</v>
      </c>
      <c r="B381" s="6" t="str">
        <f>VLOOKUP($A381, 'Completion rates'!$A:$E, 2, FALSE)</f>
        <v>Killing skotizo</v>
      </c>
      <c r="C381" s="207">
        <v>2366.0</v>
      </c>
      <c r="D381" s="6" t="str">
        <f>VLOOKUP($C381, 'List of log slots'!$A:$E, 2, FALSE)</f>
        <v>Shield left half</v>
      </c>
      <c r="E381" s="207">
        <f>VLOOKUP($C381, 'List of log slots'!$A:$E, 5, FALSE)</f>
        <v>5</v>
      </c>
      <c r="F381" s="213" t="b">
        <f>VLOOKUP(C381, 'List of log slots'!$A:$C, 3, FALSE)</f>
        <v>0</v>
      </c>
      <c r="G381" s="209" t="b">
        <f t="shared" si="28"/>
        <v>0</v>
      </c>
      <c r="H381" s="209" t="b">
        <f t="shared" si="7"/>
        <v>1</v>
      </c>
      <c r="I381" s="209" t="b">
        <f t="shared" ref="I381:J381" si="203">FALSE</f>
        <v>0</v>
      </c>
      <c r="J381" s="208" t="b">
        <f t="shared" si="203"/>
        <v>0</v>
      </c>
      <c r="K381" s="214">
        <v>100.0</v>
      </c>
      <c r="L381" s="212" t="str">
        <f t="shared" si="3"/>
        <v>n/a</v>
      </c>
      <c r="M381" s="212" t="str">
        <f t="shared" si="4"/>
        <v>n/a</v>
      </c>
      <c r="N381" s="207" t="str">
        <f t="shared" si="5"/>
        <v>n/a</v>
      </c>
      <c r="O381" s="207">
        <f t="shared" si="6"/>
        <v>0.01</v>
      </c>
    </row>
    <row r="382" ht="15.75" customHeight="1">
      <c r="A382" s="207">
        <v>49.0</v>
      </c>
      <c r="B382" s="6" t="str">
        <f>VLOOKUP($A382, 'Completion rates'!$A:$E, 2, FALSE)</f>
        <v>Fishing from the reward pool (tempoross)</v>
      </c>
      <c r="C382" s="207">
        <v>25602.0</v>
      </c>
      <c r="D382" s="6" t="str">
        <f>VLOOKUP($C382, 'List of log slots'!$A:$E, 2, FALSE)</f>
        <v>Tiny tempor</v>
      </c>
      <c r="E382" s="207">
        <f>VLOOKUP($C382, 'List of log slots'!$A:$E, 5, FALSE)</f>
        <v>6</v>
      </c>
      <c r="F382" s="208" t="b">
        <f>VLOOKUP(C382, 'List of log slots'!$A:$C, 3, FALSE)</f>
        <v>0</v>
      </c>
      <c r="G382" s="209" t="b">
        <f t="shared" si="28"/>
        <v>0</v>
      </c>
      <c r="H382" s="210" t="b">
        <f t="shared" si="7"/>
        <v>1</v>
      </c>
      <c r="I382" s="209" t="b">
        <f t="shared" ref="I382:J382" si="204">FALSE</f>
        <v>0</v>
      </c>
      <c r="J382" s="208" t="b">
        <f t="shared" si="204"/>
        <v>0</v>
      </c>
      <c r="K382" s="214">
        <v>8000.0</v>
      </c>
      <c r="L382" s="212" t="str">
        <f t="shared" si="3"/>
        <v>n/a</v>
      </c>
      <c r="M382" s="212" t="str">
        <f t="shared" si="4"/>
        <v>n/a</v>
      </c>
      <c r="N382" s="207" t="str">
        <f t="shared" si="5"/>
        <v>n/a</v>
      </c>
      <c r="O382" s="207">
        <f t="shared" si="6"/>
        <v>0.000125</v>
      </c>
    </row>
    <row r="383" ht="15.75" customHeight="1">
      <c r="A383" s="207">
        <v>49.0</v>
      </c>
      <c r="B383" s="6" t="str">
        <f>VLOOKUP($A383, 'Completion rates'!$A:$E, 2, FALSE)</f>
        <v>Fishing from the reward pool (tempoross)</v>
      </c>
      <c r="C383" s="207">
        <v>25559.0</v>
      </c>
      <c r="D383" s="6" t="str">
        <f>VLOOKUP($C383, 'List of log slots'!$A:$E, 2, FALSE)</f>
        <v>Big harpoonfish</v>
      </c>
      <c r="E383" s="207">
        <f>VLOOKUP($C383, 'List of log slots'!$A:$E, 5, FALSE)</f>
        <v>4</v>
      </c>
      <c r="F383" s="208" t="b">
        <f>VLOOKUP(C383, 'List of log slots'!$A:$C, 3, FALSE)</f>
        <v>0</v>
      </c>
      <c r="G383" s="209" t="b">
        <f t="shared" si="28"/>
        <v>0</v>
      </c>
      <c r="H383" s="210" t="b">
        <f t="shared" si="7"/>
        <v>1</v>
      </c>
      <c r="I383" s="209" t="b">
        <f t="shared" ref="I383:J383" si="205">FALSE</f>
        <v>0</v>
      </c>
      <c r="J383" s="208" t="b">
        <f t="shared" si="205"/>
        <v>0</v>
      </c>
      <c r="K383" s="214">
        <v>1600.0</v>
      </c>
      <c r="L383" s="212" t="str">
        <f t="shared" si="3"/>
        <v>n/a</v>
      </c>
      <c r="M383" s="212" t="str">
        <f t="shared" si="4"/>
        <v>n/a</v>
      </c>
      <c r="N383" s="207" t="str">
        <f t="shared" si="5"/>
        <v>n/a</v>
      </c>
      <c r="O383" s="207">
        <f t="shared" si="6"/>
        <v>0.000625</v>
      </c>
    </row>
    <row r="384" ht="15.75" customHeight="1">
      <c r="A384" s="207">
        <v>49.0</v>
      </c>
      <c r="B384" s="6" t="str">
        <f>VLOOKUP($A384, 'Completion rates'!$A:$E, 2, FALSE)</f>
        <v>Fishing from the reward pool (tempoross)</v>
      </c>
      <c r="C384" s="207">
        <v>25592.0</v>
      </c>
      <c r="D384" s="6" t="str">
        <f>VLOOKUP($C384, 'List of log slots'!$A:$E, 2, FALSE)</f>
        <v>Spirit angler headband</v>
      </c>
      <c r="E384" s="207">
        <f>VLOOKUP($C384, 'List of log slots'!$A:$E, 5, FALSE)</f>
        <v>3</v>
      </c>
      <c r="F384" s="208" t="b">
        <f>VLOOKUP(C384, 'List of log slots'!$A:$C, 3, FALSE)</f>
        <v>0</v>
      </c>
      <c r="G384" s="209" t="b">
        <f t="shared" si="28"/>
        <v>0</v>
      </c>
      <c r="H384" s="210" t="b">
        <f t="shared" si="7"/>
        <v>1</v>
      </c>
      <c r="I384" s="209" t="b">
        <f t="shared" ref="I384:I429" si="206">FALSE</f>
        <v>0</v>
      </c>
      <c r="J384" s="213" t="b">
        <f t="shared" ref="J384:J387" si="207">TRUE</f>
        <v>1</v>
      </c>
      <c r="K384" s="214">
        <v>100.0</v>
      </c>
      <c r="L384" s="212" t="str">
        <f t="shared" si="3"/>
        <v>n/a</v>
      </c>
      <c r="M384" s="212" t="str">
        <f t="shared" si="4"/>
        <v>n/a</v>
      </c>
      <c r="N384" s="207">
        <f t="shared" si="5"/>
        <v>100</v>
      </c>
      <c r="O384" s="207" t="str">
        <f t="shared" si="6"/>
        <v>n/a</v>
      </c>
    </row>
    <row r="385" ht="15.75" customHeight="1">
      <c r="A385" s="207">
        <v>49.0</v>
      </c>
      <c r="B385" s="6" t="str">
        <f>VLOOKUP($A385, 'Completion rates'!$A:$E, 2, FALSE)</f>
        <v>Fishing from the reward pool (tempoross)</v>
      </c>
      <c r="C385" s="207">
        <v>25594.0</v>
      </c>
      <c r="D385" s="6" t="str">
        <f>VLOOKUP($C385, 'List of log slots'!$A:$E, 2, FALSE)</f>
        <v>Spirit angler top</v>
      </c>
      <c r="E385" s="207">
        <f>VLOOKUP($C385, 'List of log slots'!$A:$E, 5, FALSE)</f>
        <v>3</v>
      </c>
      <c r="F385" s="213" t="b">
        <f>VLOOKUP(C385, 'List of log slots'!$A:$C, 3, FALSE)</f>
        <v>0</v>
      </c>
      <c r="G385" s="209" t="b">
        <f t="shared" si="28"/>
        <v>0</v>
      </c>
      <c r="H385" s="209" t="b">
        <f t="shared" si="7"/>
        <v>1</v>
      </c>
      <c r="I385" s="209" t="b">
        <f t="shared" si="206"/>
        <v>0</v>
      </c>
      <c r="J385" s="213" t="b">
        <f t="shared" si="207"/>
        <v>1</v>
      </c>
      <c r="K385" s="214">
        <v>100.0</v>
      </c>
      <c r="L385" s="212" t="str">
        <f t="shared" si="3"/>
        <v>n/a</v>
      </c>
      <c r="M385" s="212" t="str">
        <f t="shared" si="4"/>
        <v>n/a</v>
      </c>
      <c r="N385" s="207">
        <f t="shared" si="5"/>
        <v>100</v>
      </c>
      <c r="O385" s="207" t="str">
        <f t="shared" si="6"/>
        <v>n/a</v>
      </c>
    </row>
    <row r="386" ht="15.75" customHeight="1">
      <c r="A386" s="207">
        <v>49.0</v>
      </c>
      <c r="B386" s="6" t="str">
        <f>VLOOKUP($A386, 'Completion rates'!$A:$E, 2, FALSE)</f>
        <v>Fishing from the reward pool (tempoross)</v>
      </c>
      <c r="C386" s="207">
        <v>25596.0</v>
      </c>
      <c r="D386" s="6" t="str">
        <f>VLOOKUP($C386, 'List of log slots'!$A:$E, 2, FALSE)</f>
        <v>Spirit angler waders</v>
      </c>
      <c r="E386" s="207">
        <f>VLOOKUP($C386, 'List of log slots'!$A:$E, 5, FALSE)</f>
        <v>3</v>
      </c>
      <c r="F386" s="213" t="b">
        <f>VLOOKUP(C386, 'List of log slots'!$A:$C, 3, FALSE)</f>
        <v>0</v>
      </c>
      <c r="G386" s="209" t="b">
        <f t="shared" si="28"/>
        <v>0</v>
      </c>
      <c r="H386" s="209" t="b">
        <f t="shared" si="7"/>
        <v>1</v>
      </c>
      <c r="I386" s="209" t="b">
        <f t="shared" si="206"/>
        <v>0</v>
      </c>
      <c r="J386" s="213" t="b">
        <f t="shared" si="207"/>
        <v>1</v>
      </c>
      <c r="K386" s="214">
        <v>100.0</v>
      </c>
      <c r="L386" s="212" t="str">
        <f t="shared" si="3"/>
        <v>n/a</v>
      </c>
      <c r="M386" s="212" t="str">
        <f t="shared" si="4"/>
        <v>n/a</v>
      </c>
      <c r="N386" s="207">
        <f t="shared" si="5"/>
        <v>100</v>
      </c>
      <c r="O386" s="207" t="str">
        <f t="shared" si="6"/>
        <v>n/a</v>
      </c>
    </row>
    <row r="387" ht="15.75" customHeight="1">
      <c r="A387" s="207">
        <v>49.0</v>
      </c>
      <c r="B387" s="6" t="str">
        <f>VLOOKUP($A387, 'Completion rates'!$A:$E, 2, FALSE)</f>
        <v>Fishing from the reward pool (tempoross)</v>
      </c>
      <c r="C387" s="207">
        <v>25598.0</v>
      </c>
      <c r="D387" s="6" t="str">
        <f>VLOOKUP($C387, 'List of log slots'!$A:$E, 2, FALSE)</f>
        <v>Spirit angler boots</v>
      </c>
      <c r="E387" s="207">
        <f>VLOOKUP($C387, 'List of log slots'!$A:$E, 5, FALSE)</f>
        <v>3</v>
      </c>
      <c r="F387" s="208" t="b">
        <f>VLOOKUP(C387, 'List of log slots'!$A:$C, 3, FALSE)</f>
        <v>0</v>
      </c>
      <c r="G387" s="209" t="b">
        <f t="shared" si="28"/>
        <v>0</v>
      </c>
      <c r="H387" s="210" t="b">
        <f t="shared" si="7"/>
        <v>1</v>
      </c>
      <c r="I387" s="209" t="b">
        <f t="shared" si="206"/>
        <v>0</v>
      </c>
      <c r="J387" s="213" t="b">
        <f t="shared" si="207"/>
        <v>1</v>
      </c>
      <c r="K387" s="214">
        <v>100.0</v>
      </c>
      <c r="L387" s="212" t="str">
        <f t="shared" si="3"/>
        <v>n/a</v>
      </c>
      <c r="M387" s="212" t="str">
        <f t="shared" si="4"/>
        <v>n/a</v>
      </c>
      <c r="N387" s="207">
        <f t="shared" si="5"/>
        <v>100</v>
      </c>
      <c r="O387" s="207" t="str">
        <f t="shared" si="6"/>
        <v>n/a</v>
      </c>
    </row>
    <row r="388" ht="15.75" customHeight="1">
      <c r="A388" s="207">
        <v>49.0</v>
      </c>
      <c r="B388" s="6" t="str">
        <f>VLOOKUP($A388, 'Completion rates'!$A:$E, 2, FALSE)</f>
        <v>Fishing from the reward pool (tempoross)</v>
      </c>
      <c r="C388" s="207">
        <v>25576.0</v>
      </c>
      <c r="D388" s="6" t="str">
        <f>VLOOKUP($C388, 'List of log slots'!$A:$E, 2, FALSE)</f>
        <v>Tome of water (empty)</v>
      </c>
      <c r="E388" s="207">
        <f>VLOOKUP($C388, 'List of log slots'!$A:$E, 5, FALSE)</f>
        <v>4</v>
      </c>
      <c r="F388" s="213" t="b">
        <f>VLOOKUP(C388, 'List of log slots'!$A:$C, 3, FALSE)</f>
        <v>0</v>
      </c>
      <c r="G388" s="209" t="b">
        <f t="shared" si="28"/>
        <v>0</v>
      </c>
      <c r="H388" s="209" t="b">
        <f t="shared" si="7"/>
        <v>1</v>
      </c>
      <c r="I388" s="209" t="b">
        <f t="shared" si="206"/>
        <v>0</v>
      </c>
      <c r="J388" s="208" t="b">
        <f t="shared" ref="J388:J430" si="208">FALSE</f>
        <v>0</v>
      </c>
      <c r="K388" s="214">
        <v>1600.0</v>
      </c>
      <c r="L388" s="212" t="str">
        <f t="shared" si="3"/>
        <v>n/a</v>
      </c>
      <c r="M388" s="212" t="str">
        <f t="shared" si="4"/>
        <v>n/a</v>
      </c>
      <c r="N388" s="207" t="str">
        <f t="shared" si="5"/>
        <v>n/a</v>
      </c>
      <c r="O388" s="207">
        <f t="shared" si="6"/>
        <v>0.000625</v>
      </c>
    </row>
    <row r="389" ht="15.75" customHeight="1">
      <c r="A389" s="207">
        <v>49.0</v>
      </c>
      <c r="B389" s="6" t="str">
        <f>VLOOKUP($A389, 'Completion rates'!$A:$E, 2, FALSE)</f>
        <v>Fishing from the reward pool (tempoross)</v>
      </c>
      <c r="C389" s="207">
        <v>25578.0</v>
      </c>
      <c r="D389" s="6" t="str">
        <f>VLOOKUP($C389, 'List of log slots'!$A:$E, 2, FALSE)</f>
        <v>Soaked page</v>
      </c>
      <c r="E389" s="207">
        <f>VLOOKUP($C389, 'List of log slots'!$A:$E, 5, FALSE)</f>
        <v>2</v>
      </c>
      <c r="F389" s="213" t="b">
        <f>VLOOKUP(C389, 'List of log slots'!$A:$C, 3, FALSE)</f>
        <v>0</v>
      </c>
      <c r="G389" s="209" t="b">
        <f t="shared" si="28"/>
        <v>0</v>
      </c>
      <c r="H389" s="209" t="b">
        <f t="shared" si="7"/>
        <v>1</v>
      </c>
      <c r="I389" s="209" t="b">
        <f t="shared" si="206"/>
        <v>0</v>
      </c>
      <c r="J389" s="208" t="b">
        <f t="shared" si="208"/>
        <v>0</v>
      </c>
      <c r="K389" s="214">
        <v>54.0</v>
      </c>
      <c r="L389" s="212" t="str">
        <f t="shared" si="3"/>
        <v>n/a</v>
      </c>
      <c r="M389" s="212" t="str">
        <f t="shared" si="4"/>
        <v>n/a</v>
      </c>
      <c r="N389" s="207" t="str">
        <f t="shared" si="5"/>
        <v>n/a</v>
      </c>
      <c r="O389" s="207">
        <f t="shared" si="6"/>
        <v>0.01851851852</v>
      </c>
    </row>
    <row r="390" ht="15.75" customHeight="1">
      <c r="A390" s="207">
        <v>49.0</v>
      </c>
      <c r="B390" s="6" t="str">
        <f>VLOOKUP($A390, 'Completion rates'!$A:$E, 2, FALSE)</f>
        <v>Fishing from the reward pool (tempoross)</v>
      </c>
      <c r="C390" s="207">
        <v>25580.0</v>
      </c>
      <c r="D390" s="6" t="str">
        <f>VLOOKUP($C390, 'List of log slots'!$A:$E, 2, FALSE)</f>
        <v>Tackle box</v>
      </c>
      <c r="E390" s="207">
        <f>VLOOKUP($C390, 'List of log slots'!$A:$E, 5, FALSE)</f>
        <v>3</v>
      </c>
      <c r="F390" s="208" t="b">
        <f>VLOOKUP(C390, 'List of log slots'!$A:$C, 3, FALSE)</f>
        <v>0</v>
      </c>
      <c r="G390" s="209" t="b">
        <f t="shared" si="28"/>
        <v>0</v>
      </c>
      <c r="H390" s="210" t="b">
        <f t="shared" si="7"/>
        <v>1</v>
      </c>
      <c r="I390" s="209" t="b">
        <f t="shared" si="206"/>
        <v>0</v>
      </c>
      <c r="J390" s="208" t="b">
        <f t="shared" si="208"/>
        <v>0</v>
      </c>
      <c r="K390" s="214">
        <v>400.0</v>
      </c>
      <c r="L390" s="212" t="str">
        <f t="shared" si="3"/>
        <v>n/a</v>
      </c>
      <c r="M390" s="212" t="str">
        <f t="shared" si="4"/>
        <v>n/a</v>
      </c>
      <c r="N390" s="207" t="str">
        <f t="shared" si="5"/>
        <v>n/a</v>
      </c>
      <c r="O390" s="207">
        <f t="shared" si="6"/>
        <v>0.0025</v>
      </c>
    </row>
    <row r="391" ht="15.75" customHeight="1">
      <c r="A391" s="207">
        <v>49.0</v>
      </c>
      <c r="B391" s="6" t="str">
        <f>VLOOKUP($A391, 'Completion rates'!$A:$E, 2, FALSE)</f>
        <v>Fishing from the reward pool (tempoross)</v>
      </c>
      <c r="C391" s="207">
        <v>25582.0</v>
      </c>
      <c r="D391" s="6" t="str">
        <f>VLOOKUP($C391, 'List of log slots'!$A:$E, 2, FALSE)</f>
        <v>Fish barrel</v>
      </c>
      <c r="E391" s="207">
        <f>VLOOKUP($C391, 'List of log slots'!$A:$E, 5, FALSE)</f>
        <v>3</v>
      </c>
      <c r="F391" s="213" t="b">
        <f>VLOOKUP(C391, 'List of log slots'!$A:$C, 3, FALSE)</f>
        <v>0</v>
      </c>
      <c r="G391" s="209" t="b">
        <f t="shared" si="28"/>
        <v>0</v>
      </c>
      <c r="H391" s="209" t="b">
        <f t="shared" si="7"/>
        <v>1</v>
      </c>
      <c r="I391" s="209" t="b">
        <f t="shared" si="206"/>
        <v>0</v>
      </c>
      <c r="J391" s="208" t="b">
        <f t="shared" si="208"/>
        <v>0</v>
      </c>
      <c r="K391" s="214">
        <v>400.0</v>
      </c>
      <c r="L391" s="212" t="str">
        <f t="shared" si="3"/>
        <v>n/a</v>
      </c>
      <c r="M391" s="212" t="str">
        <f t="shared" si="4"/>
        <v>n/a</v>
      </c>
      <c r="N391" s="207" t="str">
        <f t="shared" si="5"/>
        <v>n/a</v>
      </c>
      <c r="O391" s="207">
        <f t="shared" si="6"/>
        <v>0.0025</v>
      </c>
    </row>
    <row r="392" ht="15.75" customHeight="1">
      <c r="A392" s="207">
        <v>49.0</v>
      </c>
      <c r="B392" s="6" t="str">
        <f>VLOOKUP($A392, 'Completion rates'!$A:$E, 2, FALSE)</f>
        <v>Fishing from the reward pool (tempoross)</v>
      </c>
      <c r="C392" s="207">
        <v>21028.0</v>
      </c>
      <c r="D392" s="6" t="str">
        <f>VLOOKUP($C392, 'List of log slots'!$A:$E, 2, FALSE)</f>
        <v>Dragon harpoon</v>
      </c>
      <c r="E392" s="207">
        <f>VLOOKUP($C392, 'List of log slots'!$A:$E, 5, FALSE)</f>
        <v>5</v>
      </c>
      <c r="F392" s="213" t="b">
        <f>VLOOKUP(C392, 'List of log slots'!$A:$C, 3, FALSE)</f>
        <v>0</v>
      </c>
      <c r="G392" s="209" t="b">
        <f t="shared" si="28"/>
        <v>0</v>
      </c>
      <c r="H392" s="209" t="b">
        <f t="shared" si="7"/>
        <v>1</v>
      </c>
      <c r="I392" s="209" t="b">
        <f t="shared" si="206"/>
        <v>0</v>
      </c>
      <c r="J392" s="208" t="b">
        <f t="shared" si="208"/>
        <v>0</v>
      </c>
      <c r="K392" s="214">
        <v>8000.0</v>
      </c>
      <c r="L392" s="212" t="str">
        <f t="shared" si="3"/>
        <v>n/a</v>
      </c>
      <c r="M392" s="212" t="str">
        <f t="shared" si="4"/>
        <v>n/a</v>
      </c>
      <c r="N392" s="207" t="str">
        <f t="shared" si="5"/>
        <v>n/a</v>
      </c>
      <c r="O392" s="207">
        <f t="shared" si="6"/>
        <v>0.000125</v>
      </c>
    </row>
    <row r="393" ht="15.75" customHeight="1">
      <c r="A393" s="207">
        <v>49.0</v>
      </c>
      <c r="B393" s="6" t="str">
        <f>VLOOKUP($A393, 'Completion rates'!$A:$E, 2, FALSE)</f>
        <v>Fishing from the reward pool (tempoross)</v>
      </c>
      <c r="C393" s="207">
        <v>25588.0</v>
      </c>
      <c r="D393" s="6" t="str">
        <f>VLOOKUP($C393, 'List of log slots'!$A:$E, 2, FALSE)</f>
        <v>Spirit flakes</v>
      </c>
      <c r="E393" s="207">
        <f>VLOOKUP($C393, 'List of log slots'!$A:$E, 5, FALSE)</f>
        <v>2</v>
      </c>
      <c r="F393" s="213" t="b">
        <f>VLOOKUP(C393, 'List of log slots'!$A:$C, 3, FALSE)</f>
        <v>0</v>
      </c>
      <c r="G393" s="209" t="b">
        <f t="shared" si="28"/>
        <v>0</v>
      </c>
      <c r="H393" s="209" t="b">
        <f t="shared" si="7"/>
        <v>1</v>
      </c>
      <c r="I393" s="209" t="b">
        <f t="shared" si="206"/>
        <v>0</v>
      </c>
      <c r="J393" s="208" t="b">
        <f t="shared" si="208"/>
        <v>0</v>
      </c>
      <c r="K393" s="214">
        <v>4.0</v>
      </c>
      <c r="L393" s="212" t="str">
        <f t="shared" si="3"/>
        <v>n/a</v>
      </c>
      <c r="M393" s="212" t="str">
        <f t="shared" si="4"/>
        <v>n/a</v>
      </c>
      <c r="N393" s="207" t="str">
        <f t="shared" si="5"/>
        <v>n/a</v>
      </c>
      <c r="O393" s="207">
        <f t="shared" si="6"/>
        <v>0.25</v>
      </c>
    </row>
    <row r="394" ht="15.75" customHeight="1">
      <c r="A394" s="207">
        <v>50.0</v>
      </c>
      <c r="B394" s="6" t="str">
        <f>VLOOKUP($A394, 'Completion rates'!$A:$E, 2, FALSE)</f>
        <v>Killing thermonuclear smoke devil (on task)</v>
      </c>
      <c r="C394" s="207">
        <v>3140.0</v>
      </c>
      <c r="D394" s="6" t="str">
        <f>VLOOKUP($C394, 'List of log slots'!$A:$E, 2, FALSE)</f>
        <v>Dragon chainbody</v>
      </c>
      <c r="E394" s="207">
        <f>VLOOKUP($C394, 'List of log slots'!$A:$E, 5, FALSE)</f>
        <v>5</v>
      </c>
      <c r="F394" s="213" t="b">
        <f>VLOOKUP(C394, 'List of log slots'!$A:$C, 3, FALSE)</f>
        <v>0</v>
      </c>
      <c r="G394" s="209" t="b">
        <f t="shared" si="28"/>
        <v>0</v>
      </c>
      <c r="H394" s="209" t="b">
        <f t="shared" si="7"/>
        <v>1</v>
      </c>
      <c r="I394" s="209" t="b">
        <f t="shared" si="206"/>
        <v>0</v>
      </c>
      <c r="J394" s="208" t="b">
        <f t="shared" si="208"/>
        <v>0</v>
      </c>
      <c r="K394" s="214">
        <v>2000.0</v>
      </c>
      <c r="L394" s="212" t="str">
        <f t="shared" si="3"/>
        <v>n/a</v>
      </c>
      <c r="M394" s="212" t="str">
        <f t="shared" si="4"/>
        <v>n/a</v>
      </c>
      <c r="N394" s="207" t="str">
        <f t="shared" si="5"/>
        <v>n/a</v>
      </c>
      <c r="O394" s="207">
        <f t="shared" si="6"/>
        <v>0.0005</v>
      </c>
    </row>
    <row r="395" ht="15.75" customHeight="1">
      <c r="A395" s="207">
        <v>50.0</v>
      </c>
      <c r="B395" s="6" t="str">
        <f>VLOOKUP($A395, 'Completion rates'!$A:$E, 2, FALSE)</f>
        <v>Killing thermonuclear smoke devil (on task)</v>
      </c>
      <c r="C395" s="207">
        <v>12648.0</v>
      </c>
      <c r="D395" s="6" t="str">
        <f>VLOOKUP($C395, 'List of log slots'!$A:$E, 2, FALSE)</f>
        <v>Pet smoke devil</v>
      </c>
      <c r="E395" s="207">
        <f>VLOOKUP($C395, 'List of log slots'!$A:$E, 5, FALSE)</f>
        <v>7</v>
      </c>
      <c r="F395" s="208" t="b">
        <f>VLOOKUP(C395, 'List of log slots'!$A:$C, 3, FALSE)</f>
        <v>0</v>
      </c>
      <c r="G395" s="209" t="b">
        <f t="shared" si="28"/>
        <v>0</v>
      </c>
      <c r="H395" s="210" t="b">
        <f t="shared" si="7"/>
        <v>1</v>
      </c>
      <c r="I395" s="209" t="b">
        <f t="shared" si="206"/>
        <v>0</v>
      </c>
      <c r="J395" s="208" t="b">
        <f t="shared" si="208"/>
        <v>0</v>
      </c>
      <c r="K395" s="214">
        <v>3000.0</v>
      </c>
      <c r="L395" s="212" t="str">
        <f t="shared" si="3"/>
        <v>n/a</v>
      </c>
      <c r="M395" s="212" t="str">
        <f t="shared" si="4"/>
        <v>n/a</v>
      </c>
      <c r="N395" s="207" t="str">
        <f t="shared" si="5"/>
        <v>n/a</v>
      </c>
      <c r="O395" s="207">
        <f t="shared" si="6"/>
        <v>0.0003333333333</v>
      </c>
    </row>
    <row r="396" ht="15.75" customHeight="1">
      <c r="A396" s="207">
        <v>50.0</v>
      </c>
      <c r="B396" s="6" t="str">
        <f>VLOOKUP($A396, 'Completion rates'!$A:$E, 2, FALSE)</f>
        <v>Killing thermonuclear smoke devil (on task)</v>
      </c>
      <c r="C396" s="207">
        <v>12002.0</v>
      </c>
      <c r="D396" s="6" t="str">
        <f>VLOOKUP($C396, 'List of log slots'!$A:$E, 2, FALSE)</f>
        <v>Occult necklace</v>
      </c>
      <c r="E396" s="207">
        <f>VLOOKUP($C396, 'List of log slots'!$A:$E, 5, FALSE)</f>
        <v>5</v>
      </c>
      <c r="F396" s="208" t="b">
        <f>VLOOKUP(C396, 'List of log slots'!$A:$C, 3, FALSE)</f>
        <v>0</v>
      </c>
      <c r="G396" s="209" t="b">
        <f t="shared" si="28"/>
        <v>0</v>
      </c>
      <c r="H396" s="210" t="b">
        <f t="shared" si="7"/>
        <v>1</v>
      </c>
      <c r="I396" s="209" t="b">
        <f t="shared" si="206"/>
        <v>0</v>
      </c>
      <c r="J396" s="208" t="b">
        <f t="shared" si="208"/>
        <v>0</v>
      </c>
      <c r="K396" s="214">
        <v>350.0</v>
      </c>
      <c r="L396" s="212" t="str">
        <f t="shared" si="3"/>
        <v>n/a</v>
      </c>
      <c r="M396" s="212" t="str">
        <f t="shared" si="4"/>
        <v>n/a</v>
      </c>
      <c r="N396" s="207" t="str">
        <f t="shared" si="5"/>
        <v>n/a</v>
      </c>
      <c r="O396" s="207">
        <f t="shared" si="6"/>
        <v>0.002857142857</v>
      </c>
    </row>
    <row r="397" ht="15.75" customHeight="1">
      <c r="A397" s="207">
        <v>50.0</v>
      </c>
      <c r="B397" s="6" t="str">
        <f>VLOOKUP($A397, 'Completion rates'!$A:$E, 2, FALSE)</f>
        <v>Killing thermonuclear smoke devil (on task)</v>
      </c>
      <c r="C397" s="207">
        <v>11998.0</v>
      </c>
      <c r="D397" s="6" t="str">
        <f>VLOOKUP($C397, 'List of log slots'!$A:$E, 2, FALSE)</f>
        <v>Smoke battlestaff</v>
      </c>
      <c r="E397" s="207">
        <f>VLOOKUP($C397, 'List of log slots'!$A:$E, 5, FALSE)</f>
        <v>6</v>
      </c>
      <c r="F397" s="208" t="b">
        <f>VLOOKUP(C397, 'List of log slots'!$A:$C, 3, FALSE)</f>
        <v>0</v>
      </c>
      <c r="G397" s="209" t="b">
        <f t="shared" si="28"/>
        <v>0</v>
      </c>
      <c r="H397" s="210" t="b">
        <f t="shared" si="7"/>
        <v>1</v>
      </c>
      <c r="I397" s="209" t="b">
        <f t="shared" si="206"/>
        <v>0</v>
      </c>
      <c r="J397" s="208" t="b">
        <f t="shared" si="208"/>
        <v>0</v>
      </c>
      <c r="K397" s="214">
        <v>512.0</v>
      </c>
      <c r="L397" s="212" t="str">
        <f t="shared" si="3"/>
        <v>n/a</v>
      </c>
      <c r="M397" s="212" t="str">
        <f t="shared" si="4"/>
        <v>n/a</v>
      </c>
      <c r="N397" s="207" t="str">
        <f t="shared" si="5"/>
        <v>n/a</v>
      </c>
      <c r="O397" s="207">
        <f t="shared" si="6"/>
        <v>0.001953125</v>
      </c>
    </row>
    <row r="398" ht="15.75" customHeight="1">
      <c r="A398" s="207">
        <v>50.0</v>
      </c>
      <c r="B398" s="6" t="str">
        <f>VLOOKUP($A398, 'Completion rates'!$A:$E, 2, FALSE)</f>
        <v>Killing thermonuclear smoke devil (on task)</v>
      </c>
      <c r="C398" s="207">
        <v>25524.0</v>
      </c>
      <c r="D398" s="6" t="str">
        <f>VLOOKUP($C398, 'List of log slots'!$A:$E, 2, FALSE)</f>
        <v>Jar of smoke</v>
      </c>
      <c r="E398" s="207">
        <f>VLOOKUP($C398, 'List of log slots'!$A:$E, 5, FALSE)</f>
        <v>7</v>
      </c>
      <c r="F398" s="208" t="b">
        <f>VLOOKUP(C398, 'List of log slots'!$A:$C, 3, FALSE)</f>
        <v>0</v>
      </c>
      <c r="G398" s="209" t="b">
        <f t="shared" si="28"/>
        <v>0</v>
      </c>
      <c r="H398" s="210" t="b">
        <f t="shared" si="7"/>
        <v>1</v>
      </c>
      <c r="I398" s="209" t="b">
        <f t="shared" si="206"/>
        <v>0</v>
      </c>
      <c r="J398" s="208" t="b">
        <f t="shared" si="208"/>
        <v>0</v>
      </c>
      <c r="K398" s="214">
        <v>2000.0</v>
      </c>
      <c r="L398" s="212" t="str">
        <f t="shared" si="3"/>
        <v>n/a</v>
      </c>
      <c r="M398" s="212" t="str">
        <f t="shared" si="4"/>
        <v>n/a</v>
      </c>
      <c r="N398" s="207" t="str">
        <f t="shared" si="5"/>
        <v>n/a</v>
      </c>
      <c r="O398" s="207">
        <f t="shared" si="6"/>
        <v>0.0005</v>
      </c>
    </row>
    <row r="399" ht="15.75" customHeight="1">
      <c r="A399" s="207">
        <v>50.0</v>
      </c>
      <c r="B399" s="6" t="str">
        <f>VLOOKUP($A399, 'Completion rates'!$A:$E, 2, FALSE)</f>
        <v>Killing thermonuclear smoke devil (on task)</v>
      </c>
      <c r="C399" s="207">
        <v>2366.0</v>
      </c>
      <c r="D399" s="6" t="str">
        <f>VLOOKUP($C399, 'List of log slots'!$A:$E, 2, FALSE)</f>
        <v>Shield left half</v>
      </c>
      <c r="E399" s="207">
        <f>VLOOKUP($C399, 'List of log slots'!$A:$E, 5, FALSE)</f>
        <v>5</v>
      </c>
      <c r="F399" s="213" t="b">
        <f>VLOOKUP(C399, 'List of log slots'!$A:$C, 3, FALSE)</f>
        <v>0</v>
      </c>
      <c r="G399" s="209" t="b">
        <f t="shared" si="28"/>
        <v>0</v>
      </c>
      <c r="H399" s="209" t="b">
        <f t="shared" si="7"/>
        <v>1</v>
      </c>
      <c r="I399" s="209" t="b">
        <f t="shared" si="206"/>
        <v>0</v>
      </c>
      <c r="J399" s="208" t="b">
        <f t="shared" si="208"/>
        <v>0</v>
      </c>
      <c r="K399" s="214">
        <v>219136.0</v>
      </c>
      <c r="L399" s="212" t="str">
        <f t="shared" si="3"/>
        <v>n/a</v>
      </c>
      <c r="M399" s="212" t="str">
        <f t="shared" si="4"/>
        <v>n/a</v>
      </c>
      <c r="N399" s="207" t="str">
        <f t="shared" si="5"/>
        <v>n/a</v>
      </c>
      <c r="O399" s="207">
        <f t="shared" si="6"/>
        <v>0.000004563376168</v>
      </c>
    </row>
    <row r="400" ht="15.75" customHeight="1">
      <c r="A400" s="207">
        <v>50.0</v>
      </c>
      <c r="B400" s="6" t="str">
        <f>VLOOKUP($A400, 'Completion rates'!$A:$E, 2, FALSE)</f>
        <v>Killing thermonuclear smoke devil (on task)</v>
      </c>
      <c r="C400" s="207">
        <v>1249.0</v>
      </c>
      <c r="D400" s="6" t="str">
        <f>VLOOKUP($C400, 'List of log slots'!$A:$E, 2, FALSE)</f>
        <v>Dragon spear</v>
      </c>
      <c r="E400" s="207">
        <f>VLOOKUP($C400, 'List of log slots'!$A:$E, 5, FALSE)</f>
        <v>5</v>
      </c>
      <c r="F400" s="213" t="b">
        <f>VLOOKUP(C400, 'List of log slots'!$A:$C, 3, FALSE)</f>
        <v>0</v>
      </c>
      <c r="G400" s="209" t="b">
        <f t="shared" si="28"/>
        <v>0</v>
      </c>
      <c r="H400" s="209" t="b">
        <f t="shared" si="7"/>
        <v>1</v>
      </c>
      <c r="I400" s="209" t="b">
        <f t="shared" si="206"/>
        <v>0</v>
      </c>
      <c r="J400" s="208" t="b">
        <f t="shared" si="208"/>
        <v>0</v>
      </c>
      <c r="K400" s="214">
        <v>292181.0</v>
      </c>
      <c r="L400" s="212" t="str">
        <f t="shared" si="3"/>
        <v>n/a</v>
      </c>
      <c r="M400" s="212" t="str">
        <f t="shared" si="4"/>
        <v>n/a</v>
      </c>
      <c r="N400" s="207" t="str">
        <f t="shared" si="5"/>
        <v>n/a</v>
      </c>
      <c r="O400" s="207">
        <f t="shared" si="6"/>
        <v>0.000003422536031</v>
      </c>
    </row>
    <row r="401" ht="15.75" customHeight="1">
      <c r="A401" s="207">
        <v>51.0</v>
      </c>
      <c r="B401" s="6" t="str">
        <f>VLOOKUP($A401, 'Completion rates'!$A:$E, 2, FALSE)</f>
        <v>Killing vardorvis</v>
      </c>
      <c r="C401" s="207">
        <v>28248.0</v>
      </c>
      <c r="D401" s="6" t="str">
        <f>VLOOKUP($C401, 'List of log slots'!$A:$E, 2, FALSE)</f>
        <v>Butch</v>
      </c>
      <c r="E401" s="207">
        <f>VLOOKUP($C401, 'List of log slots'!$A:$E, 5, FALSE)</f>
        <v>7</v>
      </c>
      <c r="F401" s="208" t="b">
        <f>VLOOKUP(C401, 'List of log slots'!$A:$C, 3, FALSE)</f>
        <v>0</v>
      </c>
      <c r="G401" s="209" t="b">
        <f t="shared" si="28"/>
        <v>0</v>
      </c>
      <c r="H401" s="210" t="b">
        <f t="shared" si="7"/>
        <v>1</v>
      </c>
      <c r="I401" s="209" t="b">
        <f t="shared" si="206"/>
        <v>0</v>
      </c>
      <c r="J401" s="208" t="b">
        <f t="shared" si="208"/>
        <v>0</v>
      </c>
      <c r="K401" s="214">
        <v>3000.0</v>
      </c>
      <c r="L401" s="212" t="str">
        <f t="shared" si="3"/>
        <v>n/a</v>
      </c>
      <c r="M401" s="212" t="str">
        <f t="shared" si="4"/>
        <v>n/a</v>
      </c>
      <c r="N401" s="207" t="str">
        <f t="shared" si="5"/>
        <v>n/a</v>
      </c>
      <c r="O401" s="207">
        <f t="shared" si="6"/>
        <v>0.0003333333333</v>
      </c>
    </row>
    <row r="402" ht="15.75" customHeight="1">
      <c r="A402" s="207">
        <v>51.0</v>
      </c>
      <c r="B402" s="6" t="str">
        <f>VLOOKUP($A402, 'Completion rates'!$A:$E, 2, FALSE)</f>
        <v>Killing vardorvis</v>
      </c>
      <c r="C402" s="207">
        <v>28319.0</v>
      </c>
      <c r="D402" s="6" t="str">
        <f>VLOOKUP($C402, 'List of log slots'!$A:$E, 2, FALSE)</f>
        <v>Executioner's axe head</v>
      </c>
      <c r="E402" s="207">
        <f>VLOOKUP($C402, 'List of log slots'!$A:$E, 5, FALSE)</f>
        <v>6</v>
      </c>
      <c r="F402" s="208" t="b">
        <f>VLOOKUP(C402, 'List of log slots'!$A:$C, 3, FALSE)</f>
        <v>0</v>
      </c>
      <c r="G402" s="209" t="b">
        <f t="shared" si="28"/>
        <v>0</v>
      </c>
      <c r="H402" s="210" t="b">
        <f t="shared" si="7"/>
        <v>1</v>
      </c>
      <c r="I402" s="209" t="b">
        <f t="shared" si="206"/>
        <v>0</v>
      </c>
      <c r="J402" s="208" t="b">
        <f t="shared" si="208"/>
        <v>0</v>
      </c>
      <c r="K402" s="214">
        <v>1088.0</v>
      </c>
      <c r="L402" s="212" t="str">
        <f t="shared" si="3"/>
        <v>n/a</v>
      </c>
      <c r="M402" s="212" t="str">
        <f t="shared" si="4"/>
        <v>n/a</v>
      </c>
      <c r="N402" s="207" t="str">
        <f t="shared" si="5"/>
        <v>n/a</v>
      </c>
      <c r="O402" s="207">
        <f t="shared" si="6"/>
        <v>0.0009191176471</v>
      </c>
    </row>
    <row r="403" ht="15.75" customHeight="1">
      <c r="A403" s="207">
        <v>51.0</v>
      </c>
      <c r="B403" s="6" t="str">
        <f>VLOOKUP($A403, 'Completion rates'!$A:$E, 2, FALSE)</f>
        <v>Killing vardorvis</v>
      </c>
      <c r="C403" s="207">
        <v>26241.0</v>
      </c>
      <c r="D403" s="6" t="str">
        <f>VLOOKUP($C403, 'List of log slots'!$A:$E, 2, FALSE)</f>
        <v>Virtus mask</v>
      </c>
      <c r="E403" s="207">
        <f>VLOOKUP($C403, 'List of log slots'!$A:$E, 5, FALSE)</f>
        <v>7</v>
      </c>
      <c r="F403" s="208" t="b">
        <f>VLOOKUP(C403, 'List of log slots'!$A:$C, 3, FALSE)</f>
        <v>0</v>
      </c>
      <c r="G403" s="209" t="b">
        <f t="shared" si="28"/>
        <v>0</v>
      </c>
      <c r="H403" s="210" t="b">
        <f t="shared" si="7"/>
        <v>1</v>
      </c>
      <c r="I403" s="209" t="b">
        <f t="shared" si="206"/>
        <v>0</v>
      </c>
      <c r="J403" s="208" t="b">
        <f t="shared" si="208"/>
        <v>0</v>
      </c>
      <c r="K403" s="214">
        <v>3264.0</v>
      </c>
      <c r="L403" s="212" t="str">
        <f t="shared" si="3"/>
        <v>n/a</v>
      </c>
      <c r="M403" s="212" t="str">
        <f t="shared" si="4"/>
        <v>n/a</v>
      </c>
      <c r="N403" s="207" t="str">
        <f t="shared" si="5"/>
        <v>n/a</v>
      </c>
      <c r="O403" s="207">
        <f t="shared" si="6"/>
        <v>0.000306372549</v>
      </c>
    </row>
    <row r="404" ht="15.75" customHeight="1">
      <c r="A404" s="207">
        <v>51.0</v>
      </c>
      <c r="B404" s="6" t="str">
        <f>VLOOKUP($A404, 'Completion rates'!$A:$E, 2, FALSE)</f>
        <v>Killing vardorvis</v>
      </c>
      <c r="C404" s="207">
        <v>26243.0</v>
      </c>
      <c r="D404" s="6" t="str">
        <f>VLOOKUP($C404, 'List of log slots'!$A:$E, 2, FALSE)</f>
        <v>Virtus robe top</v>
      </c>
      <c r="E404" s="207">
        <f>VLOOKUP($C404, 'List of log slots'!$A:$E, 5, FALSE)</f>
        <v>7</v>
      </c>
      <c r="F404" s="208" t="b">
        <f>VLOOKUP(C404, 'List of log slots'!$A:$C, 3, FALSE)</f>
        <v>0</v>
      </c>
      <c r="G404" s="209" t="b">
        <f t="shared" si="28"/>
        <v>0</v>
      </c>
      <c r="H404" s="210" t="b">
        <f t="shared" si="7"/>
        <v>1</v>
      </c>
      <c r="I404" s="209" t="b">
        <f t="shared" si="206"/>
        <v>0</v>
      </c>
      <c r="J404" s="208" t="b">
        <f t="shared" si="208"/>
        <v>0</v>
      </c>
      <c r="K404" s="214">
        <v>3264.0</v>
      </c>
      <c r="L404" s="212" t="str">
        <f t="shared" si="3"/>
        <v>n/a</v>
      </c>
      <c r="M404" s="212" t="str">
        <f t="shared" si="4"/>
        <v>n/a</v>
      </c>
      <c r="N404" s="207" t="str">
        <f t="shared" si="5"/>
        <v>n/a</v>
      </c>
      <c r="O404" s="207">
        <f t="shared" si="6"/>
        <v>0.000306372549</v>
      </c>
    </row>
    <row r="405" ht="15.75" customHeight="1">
      <c r="A405" s="207">
        <v>51.0</v>
      </c>
      <c r="B405" s="6" t="str">
        <f>VLOOKUP($A405, 'Completion rates'!$A:$E, 2, FALSE)</f>
        <v>Killing vardorvis</v>
      </c>
      <c r="C405" s="207">
        <v>26245.0</v>
      </c>
      <c r="D405" s="6" t="str">
        <f>VLOOKUP($C405, 'List of log slots'!$A:$E, 2, FALSE)</f>
        <v>Virtus robe bottom</v>
      </c>
      <c r="E405" s="207">
        <f>VLOOKUP($C405, 'List of log slots'!$A:$E, 5, FALSE)</f>
        <v>7</v>
      </c>
      <c r="F405" s="208" t="b">
        <f>VLOOKUP(C405, 'List of log slots'!$A:$C, 3, FALSE)</f>
        <v>0</v>
      </c>
      <c r="G405" s="209" t="b">
        <f t="shared" si="28"/>
        <v>0</v>
      </c>
      <c r="H405" s="210" t="b">
        <f t="shared" si="7"/>
        <v>1</v>
      </c>
      <c r="I405" s="209" t="b">
        <f t="shared" si="206"/>
        <v>0</v>
      </c>
      <c r="J405" s="208" t="b">
        <f t="shared" si="208"/>
        <v>0</v>
      </c>
      <c r="K405" s="214">
        <v>3264.0</v>
      </c>
      <c r="L405" s="212" t="str">
        <f t="shared" si="3"/>
        <v>n/a</v>
      </c>
      <c r="M405" s="212" t="str">
        <f t="shared" si="4"/>
        <v>n/a</v>
      </c>
      <c r="N405" s="207" t="str">
        <f t="shared" si="5"/>
        <v>n/a</v>
      </c>
      <c r="O405" s="207">
        <f t="shared" si="6"/>
        <v>0.000306372549</v>
      </c>
    </row>
    <row r="406" ht="15.75" customHeight="1">
      <c r="A406" s="207">
        <v>51.0</v>
      </c>
      <c r="B406" s="6" t="str">
        <f>VLOOKUP($A406, 'Completion rates'!$A:$E, 2, FALSE)</f>
        <v>Killing vardorvis</v>
      </c>
      <c r="C406" s="207">
        <v>28285.0</v>
      </c>
      <c r="D406" s="6" t="str">
        <f>VLOOKUP($C406, 'List of log slots'!$A:$E, 2, FALSE)</f>
        <v>Ultor vestige</v>
      </c>
      <c r="E406" s="207">
        <f>VLOOKUP($C406, 'List of log slots'!$A:$E, 5, FALSE)</f>
        <v>6</v>
      </c>
      <c r="F406" s="208" t="b">
        <f>VLOOKUP(C406, 'List of log slots'!$A:$C, 3, FALSE)</f>
        <v>0</v>
      </c>
      <c r="G406" s="209" t="b">
        <f t="shared" si="28"/>
        <v>0</v>
      </c>
      <c r="H406" s="210" t="b">
        <f t="shared" si="7"/>
        <v>1</v>
      </c>
      <c r="I406" s="209" t="b">
        <f t="shared" si="206"/>
        <v>0</v>
      </c>
      <c r="J406" s="208" t="b">
        <f t="shared" si="208"/>
        <v>0</v>
      </c>
      <c r="K406" s="214">
        <v>1088.0</v>
      </c>
      <c r="L406" s="212" t="str">
        <f t="shared" si="3"/>
        <v>n/a</v>
      </c>
      <c r="M406" s="212" t="str">
        <f t="shared" si="4"/>
        <v>n/a</v>
      </c>
      <c r="N406" s="207" t="str">
        <f t="shared" si="5"/>
        <v>n/a</v>
      </c>
      <c r="O406" s="207">
        <f t="shared" si="6"/>
        <v>0.0009191176471</v>
      </c>
    </row>
    <row r="407" ht="15.75" customHeight="1">
      <c r="A407" s="207">
        <v>51.0</v>
      </c>
      <c r="B407" s="6" t="str">
        <f>VLOOKUP($A407, 'Completion rates'!$A:$E, 2, FALSE)</f>
        <v>Killing vardorvis</v>
      </c>
      <c r="C407" s="207">
        <v>28268.0</v>
      </c>
      <c r="D407" s="6" t="str">
        <f>VLOOKUP($C407, 'List of log slots'!$A:$E, 2, FALSE)</f>
        <v>Blood quartz</v>
      </c>
      <c r="E407" s="207">
        <f>VLOOKUP($C407, 'List of log slots'!$A:$E, 5, FALSE)</f>
        <v>5</v>
      </c>
      <c r="F407" s="208" t="b">
        <f>VLOOKUP(C407, 'List of log slots'!$A:$C, 3, FALSE)</f>
        <v>0</v>
      </c>
      <c r="G407" s="209" t="b">
        <f t="shared" si="28"/>
        <v>0</v>
      </c>
      <c r="H407" s="210" t="b">
        <f t="shared" si="7"/>
        <v>1</v>
      </c>
      <c r="I407" s="209" t="b">
        <f t="shared" si="206"/>
        <v>0</v>
      </c>
      <c r="J407" s="208" t="b">
        <f t="shared" si="208"/>
        <v>0</v>
      </c>
      <c r="K407" s="214">
        <v>212.0</v>
      </c>
      <c r="L407" s="212" t="str">
        <f t="shared" si="3"/>
        <v>n/a</v>
      </c>
      <c r="M407" s="212" t="str">
        <f t="shared" si="4"/>
        <v>n/a</v>
      </c>
      <c r="N407" s="207" t="str">
        <f t="shared" si="5"/>
        <v>n/a</v>
      </c>
      <c r="O407" s="207">
        <f t="shared" si="6"/>
        <v>0.004716981132</v>
      </c>
    </row>
    <row r="408" ht="15.75" customHeight="1">
      <c r="A408" s="207">
        <v>51.0</v>
      </c>
      <c r="B408" s="6" t="str">
        <f>VLOOKUP($A408, 'Completion rates'!$A:$E, 2, FALSE)</f>
        <v>Killing vardorvis</v>
      </c>
      <c r="C408" s="207">
        <v>28330.0</v>
      </c>
      <c r="D408" s="6" t="str">
        <f>VLOOKUP($C408, 'List of log slots'!$A:$E, 2, FALSE)</f>
        <v>Strangled tablet</v>
      </c>
      <c r="E408" s="207">
        <f>VLOOKUP($C408, 'List of log slots'!$A:$E, 5, FALSE)</f>
        <v>5</v>
      </c>
      <c r="F408" s="208" t="b">
        <f>VLOOKUP(C408, 'List of log slots'!$A:$C, 3, FALSE)</f>
        <v>0</v>
      </c>
      <c r="G408" s="209" t="b">
        <f t="shared" si="28"/>
        <v>0</v>
      </c>
      <c r="H408" s="210" t="b">
        <f t="shared" si="7"/>
        <v>1</v>
      </c>
      <c r="I408" s="209" t="b">
        <f t="shared" si="206"/>
        <v>0</v>
      </c>
      <c r="J408" s="208" t="b">
        <f t="shared" si="208"/>
        <v>0</v>
      </c>
      <c r="K408" s="214">
        <v>25.0</v>
      </c>
      <c r="L408" s="212" t="str">
        <f t="shared" si="3"/>
        <v>n/a</v>
      </c>
      <c r="M408" s="212" t="str">
        <f t="shared" si="4"/>
        <v>n/a</v>
      </c>
      <c r="N408" s="207" t="str">
        <f t="shared" si="5"/>
        <v>n/a</v>
      </c>
      <c r="O408" s="207">
        <f t="shared" si="6"/>
        <v>0.04</v>
      </c>
    </row>
    <row r="409" ht="15.75" customHeight="1">
      <c r="A409" s="207">
        <v>51.0</v>
      </c>
      <c r="B409" s="6" t="str">
        <f>VLOOKUP($A409, 'Completion rates'!$A:$E, 2, FALSE)</f>
        <v>Killing vardorvis</v>
      </c>
      <c r="C409" s="207">
        <v>28276.0</v>
      </c>
      <c r="D409" s="6" t="str">
        <f>VLOOKUP($C409, 'List of log slots'!$A:$E, 2, FALSE)</f>
        <v>Chromium ingot</v>
      </c>
      <c r="E409" s="207">
        <f>VLOOKUP($C409, 'List of log slots'!$A:$E, 5, FALSE)</f>
        <v>5</v>
      </c>
      <c r="F409" s="213" t="b">
        <f>VLOOKUP(C409, 'List of log slots'!$A:$C, 3, FALSE)</f>
        <v>0</v>
      </c>
      <c r="G409" s="209" t="b">
        <f t="shared" si="28"/>
        <v>0</v>
      </c>
      <c r="H409" s="209" t="b">
        <f t="shared" si="7"/>
        <v>1</v>
      </c>
      <c r="I409" s="208" t="b">
        <f t="shared" si="206"/>
        <v>0</v>
      </c>
      <c r="J409" s="208" t="b">
        <f t="shared" si="208"/>
        <v>0</v>
      </c>
      <c r="K409" s="214">
        <v>363.0</v>
      </c>
      <c r="L409" s="212" t="str">
        <f t="shared" si="3"/>
        <v>n/a</v>
      </c>
      <c r="M409" s="212" t="str">
        <f t="shared" si="4"/>
        <v>n/a</v>
      </c>
      <c r="N409" s="207" t="str">
        <f t="shared" si="5"/>
        <v>n/a</v>
      </c>
      <c r="O409" s="207">
        <f t="shared" si="6"/>
        <v>0.002754820937</v>
      </c>
    </row>
    <row r="410" ht="15.75" customHeight="1">
      <c r="A410" s="207">
        <v>51.0</v>
      </c>
      <c r="B410" s="6" t="str">
        <f>VLOOKUP($A410, 'Completion rates'!$A:$E, 2, FALSE)</f>
        <v>Killing vardorvis</v>
      </c>
      <c r="C410" s="207">
        <v>28334.0</v>
      </c>
      <c r="D410" s="6" t="str">
        <f>VLOOKUP($C410, 'List of log slots'!$A:$E, 2, FALSE)</f>
        <v>Awakener's orb</v>
      </c>
      <c r="E410" s="207">
        <f>VLOOKUP($C410, 'List of log slots'!$A:$E, 5, FALSE)</f>
        <v>5</v>
      </c>
      <c r="F410" s="213" t="b">
        <f>VLOOKUP(C410, 'List of log slots'!$A:$C, 3, FALSE)</f>
        <v>0</v>
      </c>
      <c r="G410" s="209" t="b">
        <f t="shared" si="28"/>
        <v>0</v>
      </c>
      <c r="H410" s="209" t="b">
        <f t="shared" si="7"/>
        <v>1</v>
      </c>
      <c r="I410" s="208" t="b">
        <f t="shared" si="206"/>
        <v>0</v>
      </c>
      <c r="J410" s="208" t="b">
        <f t="shared" si="208"/>
        <v>0</v>
      </c>
      <c r="K410" s="214">
        <v>80.0</v>
      </c>
      <c r="L410" s="212" t="str">
        <f t="shared" si="3"/>
        <v>n/a</v>
      </c>
      <c r="M410" s="212" t="str">
        <f t="shared" si="4"/>
        <v>n/a</v>
      </c>
      <c r="N410" s="207" t="str">
        <f t="shared" si="5"/>
        <v>n/a</v>
      </c>
      <c r="O410" s="207">
        <f t="shared" si="6"/>
        <v>0.0125</v>
      </c>
    </row>
    <row r="411" ht="15.75" customHeight="1">
      <c r="A411" s="207">
        <v>52.0</v>
      </c>
      <c r="B411" s="6" t="str">
        <f>VLOOKUP($A411, 'Completion rates'!$A:$E, 2, FALSE)</f>
        <v>Killing spindel</v>
      </c>
      <c r="C411" s="207">
        <v>11920.0</v>
      </c>
      <c r="D411" s="6" t="str">
        <f>VLOOKUP($C411, 'List of log slots'!$A:$E, 2, FALSE)</f>
        <v>Dragon pickaxe</v>
      </c>
      <c r="E411" s="207">
        <f>VLOOKUP($C411, 'List of log slots'!$A:$E, 5, FALSE)</f>
        <v>4</v>
      </c>
      <c r="F411" s="213" t="b">
        <f>VLOOKUP(C411, 'List of log slots'!$A:$C, 3, FALSE)</f>
        <v>0</v>
      </c>
      <c r="G411" s="209" t="b">
        <f t="shared" si="28"/>
        <v>0</v>
      </c>
      <c r="H411" s="209" t="b">
        <f t="shared" si="7"/>
        <v>1</v>
      </c>
      <c r="I411" s="208" t="b">
        <f t="shared" si="206"/>
        <v>0</v>
      </c>
      <c r="J411" s="208" t="b">
        <f t="shared" si="208"/>
        <v>0</v>
      </c>
      <c r="K411" s="214">
        <v>171.0</v>
      </c>
      <c r="L411" s="212" t="str">
        <f t="shared" si="3"/>
        <v>n/a</v>
      </c>
      <c r="M411" s="212" t="str">
        <f t="shared" si="4"/>
        <v>n/a</v>
      </c>
      <c r="N411" s="207" t="str">
        <f t="shared" si="5"/>
        <v>n/a</v>
      </c>
      <c r="O411" s="207">
        <f t="shared" si="6"/>
        <v>0.005847953216</v>
      </c>
    </row>
    <row r="412" ht="15.75" customHeight="1">
      <c r="A412" s="207">
        <v>52.0</v>
      </c>
      <c r="B412" s="6" t="str">
        <f>VLOOKUP($A412, 'Completion rates'!$A:$E, 2, FALSE)</f>
        <v>Killing spindel</v>
      </c>
      <c r="C412" s="207">
        <v>7158.0</v>
      </c>
      <c r="D412" s="6" t="str">
        <f>VLOOKUP($C412, 'List of log slots'!$A:$E, 2, FALSE)</f>
        <v>Dragon 2h sword</v>
      </c>
      <c r="E412" s="207">
        <f>VLOOKUP($C412, 'List of log slots'!$A:$E, 5, FALSE)</f>
        <v>4</v>
      </c>
      <c r="F412" s="208" t="b">
        <f>VLOOKUP(C412, 'List of log slots'!$A:$C, 3, FALSE)</f>
        <v>0</v>
      </c>
      <c r="G412" s="209" t="b">
        <f t="shared" si="28"/>
        <v>0</v>
      </c>
      <c r="H412" s="210" t="b">
        <f t="shared" si="7"/>
        <v>1</v>
      </c>
      <c r="I412" s="208" t="b">
        <f t="shared" si="206"/>
        <v>0</v>
      </c>
      <c r="J412" s="208" t="b">
        <f t="shared" si="208"/>
        <v>0</v>
      </c>
      <c r="K412" s="214">
        <v>256.0</v>
      </c>
      <c r="L412" s="212" t="str">
        <f t="shared" si="3"/>
        <v>n/a</v>
      </c>
      <c r="M412" s="212" t="str">
        <f t="shared" si="4"/>
        <v>n/a</v>
      </c>
      <c r="N412" s="207" t="str">
        <f t="shared" si="5"/>
        <v>n/a</v>
      </c>
      <c r="O412" s="207">
        <f t="shared" si="6"/>
        <v>0.00390625</v>
      </c>
    </row>
    <row r="413" ht="15.75" customHeight="1">
      <c r="A413" s="207">
        <v>52.0</v>
      </c>
      <c r="B413" s="6" t="str">
        <f>VLOOKUP($A413, 'Completion rates'!$A:$E, 2, FALSE)</f>
        <v>Killing spindel</v>
      </c>
      <c r="C413" s="207">
        <v>13177.0</v>
      </c>
      <c r="D413" s="6" t="str">
        <f>VLOOKUP($C413, 'List of log slots'!$A:$E, 2, FALSE)</f>
        <v>Venenatis spiderling</v>
      </c>
      <c r="E413" s="207">
        <f>VLOOKUP($C413, 'List of log slots'!$A:$E, 5, FALSE)</f>
        <v>7</v>
      </c>
      <c r="F413" s="208" t="b">
        <f>VLOOKUP(C413, 'List of log slots'!$A:$C, 3, FALSE)</f>
        <v>0</v>
      </c>
      <c r="G413" s="209" t="b">
        <f t="shared" si="28"/>
        <v>0</v>
      </c>
      <c r="H413" s="210" t="b">
        <f t="shared" si="7"/>
        <v>1</v>
      </c>
      <c r="I413" s="208" t="b">
        <f t="shared" si="206"/>
        <v>0</v>
      </c>
      <c r="J413" s="208" t="b">
        <f t="shared" si="208"/>
        <v>0</v>
      </c>
      <c r="K413" s="214">
        <v>2000.0</v>
      </c>
      <c r="L413" s="212" t="str">
        <f t="shared" si="3"/>
        <v>n/a</v>
      </c>
      <c r="M413" s="212" t="str">
        <f t="shared" si="4"/>
        <v>n/a</v>
      </c>
      <c r="N413" s="207" t="str">
        <f t="shared" si="5"/>
        <v>n/a</v>
      </c>
      <c r="O413" s="207">
        <f t="shared" si="6"/>
        <v>0.0005</v>
      </c>
    </row>
    <row r="414" ht="15.75" customHeight="1">
      <c r="A414" s="207">
        <v>52.0</v>
      </c>
      <c r="B414" s="6" t="str">
        <f>VLOOKUP($A414, 'Completion rates'!$A:$E, 2, FALSE)</f>
        <v>Killing spindel</v>
      </c>
      <c r="C414" s="207">
        <v>12605.0</v>
      </c>
      <c r="D414" s="6" t="str">
        <f>VLOOKUP($C414, 'List of log slots'!$A:$E, 2, FALSE)</f>
        <v>Treasonous ring</v>
      </c>
      <c r="E414" s="207">
        <f>VLOOKUP($C414, 'List of log slots'!$A:$E, 5, FALSE)</f>
        <v>5</v>
      </c>
      <c r="F414" s="208" t="b">
        <f>VLOOKUP(C414, 'List of log slots'!$A:$C, 3, FALSE)</f>
        <v>0</v>
      </c>
      <c r="G414" s="209" t="b">
        <f t="shared" si="28"/>
        <v>0</v>
      </c>
      <c r="H414" s="210" t="b">
        <f t="shared" si="7"/>
        <v>1</v>
      </c>
      <c r="I414" s="208" t="b">
        <f t="shared" si="206"/>
        <v>0</v>
      </c>
      <c r="J414" s="208" t="b">
        <f t="shared" si="208"/>
        <v>0</v>
      </c>
      <c r="K414" s="214">
        <v>512.0</v>
      </c>
      <c r="L414" s="212" t="str">
        <f t="shared" si="3"/>
        <v>n/a</v>
      </c>
      <c r="M414" s="212" t="str">
        <f t="shared" si="4"/>
        <v>n/a</v>
      </c>
      <c r="N414" s="207" t="str">
        <f t="shared" si="5"/>
        <v>n/a</v>
      </c>
      <c r="O414" s="207">
        <f t="shared" si="6"/>
        <v>0.001953125</v>
      </c>
    </row>
    <row r="415" ht="15.75" customHeight="1">
      <c r="A415" s="207">
        <v>52.0</v>
      </c>
      <c r="B415" s="6" t="str">
        <f>VLOOKUP($A415, 'Completion rates'!$A:$E, 2, FALSE)</f>
        <v>Killing spindel</v>
      </c>
      <c r="C415" s="207">
        <v>27670.0</v>
      </c>
      <c r="D415" s="6" t="str">
        <f>VLOOKUP($C415, 'List of log slots'!$A:$E, 2, FALSE)</f>
        <v>Fangs of venenatis</v>
      </c>
      <c r="E415" s="207">
        <f>VLOOKUP($C415, 'List of log slots'!$A:$E, 5, FALSE)</f>
        <v>5</v>
      </c>
      <c r="F415" s="208" t="b">
        <f>VLOOKUP(C415, 'List of log slots'!$A:$C, 3, FALSE)</f>
        <v>0</v>
      </c>
      <c r="G415" s="209" t="b">
        <f t="shared" si="28"/>
        <v>0</v>
      </c>
      <c r="H415" s="210" t="b">
        <f t="shared" si="7"/>
        <v>1</v>
      </c>
      <c r="I415" s="208" t="b">
        <f t="shared" si="206"/>
        <v>0</v>
      </c>
      <c r="J415" s="208" t="b">
        <f t="shared" si="208"/>
        <v>0</v>
      </c>
      <c r="K415" s="214">
        <v>618.0</v>
      </c>
      <c r="L415" s="212" t="str">
        <f t="shared" si="3"/>
        <v>n/a</v>
      </c>
      <c r="M415" s="212" t="str">
        <f t="shared" si="4"/>
        <v>n/a</v>
      </c>
      <c r="N415" s="207" t="str">
        <f t="shared" si="5"/>
        <v>n/a</v>
      </c>
      <c r="O415" s="207">
        <f t="shared" si="6"/>
        <v>0.001618122977</v>
      </c>
    </row>
    <row r="416" ht="15.75" customHeight="1">
      <c r="A416" s="207">
        <v>52.0</v>
      </c>
      <c r="B416" s="6" t="str">
        <f>VLOOKUP($A416, 'Completion rates'!$A:$E, 2, FALSE)</f>
        <v>Killing spindel</v>
      </c>
      <c r="C416" s="207">
        <v>27687.0</v>
      </c>
      <c r="D416" s="6" t="str">
        <f>VLOOKUP($C416, 'List of log slots'!$A:$E, 2, FALSE)</f>
        <v>Voidwaker gem</v>
      </c>
      <c r="E416" s="207">
        <f>VLOOKUP($C416, 'List of log slots'!$A:$E, 5, FALSE)</f>
        <v>5</v>
      </c>
      <c r="F416" s="208" t="b">
        <f>VLOOKUP(C416, 'List of log slots'!$A:$C, 3, FALSE)</f>
        <v>0</v>
      </c>
      <c r="G416" s="209" t="b">
        <f t="shared" si="28"/>
        <v>0</v>
      </c>
      <c r="H416" s="210" t="b">
        <f t="shared" si="7"/>
        <v>1</v>
      </c>
      <c r="I416" s="208" t="b">
        <f t="shared" si="206"/>
        <v>0</v>
      </c>
      <c r="J416" s="208" t="b">
        <f t="shared" si="208"/>
        <v>0</v>
      </c>
      <c r="K416" s="214">
        <v>912.0</v>
      </c>
      <c r="L416" s="212" t="str">
        <f t="shared" si="3"/>
        <v>n/a</v>
      </c>
      <c r="M416" s="212" t="str">
        <f t="shared" si="4"/>
        <v>n/a</v>
      </c>
      <c r="N416" s="207" t="str">
        <f t="shared" si="5"/>
        <v>n/a</v>
      </c>
      <c r="O416" s="207">
        <f t="shared" si="6"/>
        <v>0.001096491228</v>
      </c>
    </row>
    <row r="417" ht="15.75" customHeight="1">
      <c r="A417" s="207">
        <v>52.0</v>
      </c>
      <c r="B417" s="6" t="str">
        <f>VLOOKUP($A417, 'Completion rates'!$A:$E, 2, FALSE)</f>
        <v>Killing spindel</v>
      </c>
      <c r="C417" s="207">
        <v>10976.0</v>
      </c>
      <c r="D417" s="6" t="str">
        <f>VLOOKUP($C417, 'List of log slots'!$A:$E, 2, FALSE)</f>
        <v>Long bone</v>
      </c>
      <c r="E417" s="207">
        <f>VLOOKUP($C417, 'List of log slots'!$A:$E, 5, FALSE)</f>
        <v>3</v>
      </c>
      <c r="F417" s="213" t="b">
        <f>VLOOKUP(C417, 'List of log slots'!$A:$C, 3, FALSE)</f>
        <v>0</v>
      </c>
      <c r="G417" s="209" t="b">
        <f t="shared" si="28"/>
        <v>0</v>
      </c>
      <c r="H417" s="209" t="b">
        <f t="shared" si="7"/>
        <v>1</v>
      </c>
      <c r="I417" s="208" t="b">
        <f t="shared" si="206"/>
        <v>0</v>
      </c>
      <c r="J417" s="208" t="b">
        <f t="shared" si="208"/>
        <v>0</v>
      </c>
      <c r="K417" s="214">
        <v>400.0</v>
      </c>
      <c r="L417" s="212" t="str">
        <f t="shared" si="3"/>
        <v>n/a</v>
      </c>
      <c r="M417" s="212" t="str">
        <f t="shared" si="4"/>
        <v>n/a</v>
      </c>
      <c r="N417" s="207" t="str">
        <f t="shared" si="5"/>
        <v>n/a</v>
      </c>
      <c r="O417" s="207">
        <f t="shared" si="6"/>
        <v>0.0025</v>
      </c>
    </row>
    <row r="418" ht="15.75" customHeight="1">
      <c r="A418" s="207">
        <v>52.0</v>
      </c>
      <c r="B418" s="6" t="str">
        <f>VLOOKUP($A418, 'Completion rates'!$A:$E, 2, FALSE)</f>
        <v>Killing spindel</v>
      </c>
      <c r="C418" s="207">
        <v>10977.0</v>
      </c>
      <c r="D418" s="6" t="str">
        <f>VLOOKUP($C418, 'List of log slots'!$A:$E, 2, FALSE)</f>
        <v>Curved bone</v>
      </c>
      <c r="E418" s="207">
        <f>VLOOKUP($C418, 'List of log slots'!$A:$E, 5, FALSE)</f>
        <v>5</v>
      </c>
      <c r="F418" s="208" t="b">
        <f>VLOOKUP(C418, 'List of log slots'!$A:$C, 3, FALSE)</f>
        <v>0</v>
      </c>
      <c r="G418" s="209" t="b">
        <f t="shared" si="28"/>
        <v>0</v>
      </c>
      <c r="H418" s="210" t="b">
        <f t="shared" si="7"/>
        <v>1</v>
      </c>
      <c r="I418" s="208" t="b">
        <f t="shared" si="206"/>
        <v>0</v>
      </c>
      <c r="J418" s="208" t="b">
        <f t="shared" si="208"/>
        <v>0</v>
      </c>
      <c r="K418" s="214">
        <v>5013.0</v>
      </c>
      <c r="L418" s="212" t="str">
        <f t="shared" si="3"/>
        <v>n/a</v>
      </c>
      <c r="M418" s="212" t="str">
        <f t="shared" si="4"/>
        <v>n/a</v>
      </c>
      <c r="N418" s="207" t="str">
        <f t="shared" si="5"/>
        <v>n/a</v>
      </c>
      <c r="O418" s="207">
        <f t="shared" si="6"/>
        <v>0.0001994813485</v>
      </c>
    </row>
    <row r="419" ht="15.75" customHeight="1">
      <c r="A419" s="207">
        <v>53.0</v>
      </c>
      <c r="B419" s="6" t="str">
        <f>VLOOKUP($A419, 'Completion rates'!$A:$E, 2, FALSE)</f>
        <v>Killing calvar'ion</v>
      </c>
      <c r="C419" s="207">
        <v>11920.0</v>
      </c>
      <c r="D419" s="6" t="str">
        <f>VLOOKUP($C419, 'List of log slots'!$A:$E, 2, FALSE)</f>
        <v>Dragon pickaxe</v>
      </c>
      <c r="E419" s="207">
        <f>VLOOKUP($C419, 'List of log slots'!$A:$E, 5, FALSE)</f>
        <v>4</v>
      </c>
      <c r="F419" s="213" t="b">
        <f>VLOOKUP(C419, 'List of log slots'!$A:$C, 3, FALSE)</f>
        <v>0</v>
      </c>
      <c r="G419" s="209" t="b">
        <f t="shared" si="28"/>
        <v>0</v>
      </c>
      <c r="H419" s="209" t="b">
        <f t="shared" si="7"/>
        <v>1</v>
      </c>
      <c r="I419" s="208" t="b">
        <f t="shared" si="206"/>
        <v>0</v>
      </c>
      <c r="J419" s="208" t="b">
        <f t="shared" si="208"/>
        <v>0</v>
      </c>
      <c r="K419" s="214">
        <v>1701.0</v>
      </c>
      <c r="L419" s="212" t="str">
        <f t="shared" si="3"/>
        <v>n/a</v>
      </c>
      <c r="M419" s="212" t="str">
        <f t="shared" si="4"/>
        <v>n/a</v>
      </c>
      <c r="N419" s="207" t="str">
        <f t="shared" si="5"/>
        <v>n/a</v>
      </c>
      <c r="O419" s="207">
        <f t="shared" si="6"/>
        <v>0.0005878894768</v>
      </c>
    </row>
    <row r="420" ht="15.75" customHeight="1">
      <c r="A420" s="207">
        <v>53.0</v>
      </c>
      <c r="B420" s="6" t="str">
        <f>VLOOKUP($A420, 'Completion rates'!$A:$E, 2, FALSE)</f>
        <v>Killing calvar'ion</v>
      </c>
      <c r="C420" s="207">
        <v>7158.0</v>
      </c>
      <c r="D420" s="6" t="str">
        <f>VLOOKUP($C420, 'List of log slots'!$A:$E, 2, FALSE)</f>
        <v>Dragon 2h sword</v>
      </c>
      <c r="E420" s="207">
        <f>VLOOKUP($C420, 'List of log slots'!$A:$E, 5, FALSE)</f>
        <v>4</v>
      </c>
      <c r="F420" s="208" t="b">
        <f>VLOOKUP(C420, 'List of log slots'!$A:$C, 3, FALSE)</f>
        <v>0</v>
      </c>
      <c r="G420" s="209" t="b">
        <f t="shared" si="28"/>
        <v>0</v>
      </c>
      <c r="H420" s="210" t="b">
        <f t="shared" si="7"/>
        <v>1</v>
      </c>
      <c r="I420" s="208" t="b">
        <f t="shared" si="206"/>
        <v>0</v>
      </c>
      <c r="J420" s="208" t="b">
        <f t="shared" si="208"/>
        <v>0</v>
      </c>
      <c r="K420" s="214">
        <v>256.0</v>
      </c>
      <c r="L420" s="212" t="str">
        <f t="shared" si="3"/>
        <v>n/a</v>
      </c>
      <c r="M420" s="212" t="str">
        <f t="shared" si="4"/>
        <v>n/a</v>
      </c>
      <c r="N420" s="207" t="str">
        <f t="shared" si="5"/>
        <v>n/a</v>
      </c>
      <c r="O420" s="207">
        <f t="shared" si="6"/>
        <v>0.00390625</v>
      </c>
    </row>
    <row r="421" ht="15.75" customHeight="1">
      <c r="A421" s="207">
        <v>53.0</v>
      </c>
      <c r="B421" s="6" t="str">
        <f>VLOOKUP($A421, 'Completion rates'!$A:$E, 2, FALSE)</f>
        <v>Killing calvar'ion</v>
      </c>
      <c r="C421" s="207">
        <v>13179.0</v>
      </c>
      <c r="D421" s="6" t="str">
        <f>VLOOKUP($C421, 'List of log slots'!$A:$E, 2, FALSE)</f>
        <v>Vet'ion jr.</v>
      </c>
      <c r="E421" s="207">
        <f>VLOOKUP($C421, 'List of log slots'!$A:$E, 5, FALSE)</f>
        <v>7</v>
      </c>
      <c r="F421" s="208" t="b">
        <f>VLOOKUP(C421, 'List of log slots'!$A:$C, 3, FALSE)</f>
        <v>0</v>
      </c>
      <c r="G421" s="209" t="b">
        <f t="shared" si="28"/>
        <v>0</v>
      </c>
      <c r="H421" s="210" t="b">
        <f t="shared" si="7"/>
        <v>1</v>
      </c>
      <c r="I421" s="208" t="b">
        <f t="shared" si="206"/>
        <v>0</v>
      </c>
      <c r="J421" s="208" t="b">
        <f t="shared" si="208"/>
        <v>0</v>
      </c>
      <c r="K421" s="214">
        <v>2000.0</v>
      </c>
      <c r="L421" s="212" t="str">
        <f t="shared" si="3"/>
        <v>n/a</v>
      </c>
      <c r="M421" s="212" t="str">
        <f t="shared" si="4"/>
        <v>n/a</v>
      </c>
      <c r="N421" s="207" t="str">
        <f t="shared" si="5"/>
        <v>n/a</v>
      </c>
      <c r="O421" s="207">
        <f t="shared" si="6"/>
        <v>0.0005</v>
      </c>
    </row>
    <row r="422" ht="15.75" customHeight="1">
      <c r="A422" s="207">
        <v>53.0</v>
      </c>
      <c r="B422" s="6" t="str">
        <f>VLOOKUP($A422, 'Completion rates'!$A:$E, 2, FALSE)</f>
        <v>Killing calvar'ion</v>
      </c>
      <c r="C422" s="207">
        <v>12601.0</v>
      </c>
      <c r="D422" s="6" t="str">
        <f>VLOOKUP($C422, 'List of log slots'!$A:$E, 2, FALSE)</f>
        <v>Ring of the gods</v>
      </c>
      <c r="E422" s="207">
        <f>VLOOKUP($C422, 'List of log slots'!$A:$E, 5, FALSE)</f>
        <v>5</v>
      </c>
      <c r="F422" s="208" t="b">
        <f>VLOOKUP(C422, 'List of log slots'!$A:$C, 3, FALSE)</f>
        <v>0</v>
      </c>
      <c r="G422" s="209" t="b">
        <f t="shared" si="28"/>
        <v>0</v>
      </c>
      <c r="H422" s="210" t="b">
        <f t="shared" si="7"/>
        <v>1</v>
      </c>
      <c r="I422" s="208" t="b">
        <f t="shared" si="206"/>
        <v>0</v>
      </c>
      <c r="J422" s="208" t="b">
        <f t="shared" si="208"/>
        <v>0</v>
      </c>
      <c r="K422" s="214">
        <v>512.0</v>
      </c>
      <c r="L422" s="212" t="str">
        <f t="shared" si="3"/>
        <v>n/a</v>
      </c>
      <c r="M422" s="212" t="str">
        <f t="shared" si="4"/>
        <v>n/a</v>
      </c>
      <c r="N422" s="207" t="str">
        <f t="shared" si="5"/>
        <v>n/a</v>
      </c>
      <c r="O422" s="207">
        <f t="shared" si="6"/>
        <v>0.001953125</v>
      </c>
    </row>
    <row r="423" ht="15.75" customHeight="1">
      <c r="A423" s="207">
        <v>53.0</v>
      </c>
      <c r="B423" s="6" t="str">
        <f>VLOOKUP($A423, 'Completion rates'!$A:$E, 2, FALSE)</f>
        <v>Killing calvar'ion</v>
      </c>
      <c r="C423" s="207">
        <v>27673.0</v>
      </c>
      <c r="D423" s="6" t="str">
        <f>VLOOKUP($C423, 'List of log slots'!$A:$E, 2, FALSE)</f>
        <v>Skull of vet'ion</v>
      </c>
      <c r="E423" s="207">
        <f>VLOOKUP($C423, 'List of log slots'!$A:$E, 5, FALSE)</f>
        <v>5</v>
      </c>
      <c r="F423" s="208" t="b">
        <f>VLOOKUP(C423, 'List of log slots'!$A:$C, 3, FALSE)</f>
        <v>0</v>
      </c>
      <c r="G423" s="209" t="b">
        <f t="shared" si="28"/>
        <v>0</v>
      </c>
      <c r="H423" s="210" t="b">
        <f t="shared" si="7"/>
        <v>1</v>
      </c>
      <c r="I423" s="208" t="b">
        <f t="shared" si="206"/>
        <v>0</v>
      </c>
      <c r="J423" s="208" t="b">
        <f t="shared" si="208"/>
        <v>0</v>
      </c>
      <c r="K423" s="214">
        <v>618.0</v>
      </c>
      <c r="L423" s="212" t="str">
        <f t="shared" si="3"/>
        <v>n/a</v>
      </c>
      <c r="M423" s="212" t="str">
        <f t="shared" si="4"/>
        <v>n/a</v>
      </c>
      <c r="N423" s="207" t="str">
        <f t="shared" si="5"/>
        <v>n/a</v>
      </c>
      <c r="O423" s="207">
        <f t="shared" si="6"/>
        <v>0.001618122977</v>
      </c>
    </row>
    <row r="424" ht="15.75" customHeight="1">
      <c r="A424" s="207">
        <v>53.0</v>
      </c>
      <c r="B424" s="6" t="str">
        <f>VLOOKUP($A424, 'Completion rates'!$A:$E, 2, FALSE)</f>
        <v>Killing calvar'ion</v>
      </c>
      <c r="C424" s="207">
        <v>27684.0</v>
      </c>
      <c r="D424" s="6" t="str">
        <f>VLOOKUP($C424, 'List of log slots'!$A:$E, 2, FALSE)</f>
        <v>Voidwaker blade</v>
      </c>
      <c r="E424" s="207">
        <f>VLOOKUP($C424, 'List of log slots'!$A:$E, 5, FALSE)</f>
        <v>5</v>
      </c>
      <c r="F424" s="208" t="b">
        <f>VLOOKUP(C424, 'List of log slots'!$A:$C, 3, FALSE)</f>
        <v>0</v>
      </c>
      <c r="G424" s="209" t="b">
        <f t="shared" si="28"/>
        <v>0</v>
      </c>
      <c r="H424" s="210" t="b">
        <f t="shared" si="7"/>
        <v>1</v>
      </c>
      <c r="I424" s="208" t="b">
        <f t="shared" si="206"/>
        <v>0</v>
      </c>
      <c r="J424" s="208" t="b">
        <f t="shared" si="208"/>
        <v>0</v>
      </c>
      <c r="K424" s="214">
        <v>912.0</v>
      </c>
      <c r="L424" s="212" t="str">
        <f t="shared" si="3"/>
        <v>n/a</v>
      </c>
      <c r="M424" s="212" t="str">
        <f t="shared" si="4"/>
        <v>n/a</v>
      </c>
      <c r="N424" s="207" t="str">
        <f t="shared" si="5"/>
        <v>n/a</v>
      </c>
      <c r="O424" s="207">
        <f t="shared" si="6"/>
        <v>0.001096491228</v>
      </c>
    </row>
    <row r="425" ht="15.75" customHeight="1">
      <c r="A425" s="207">
        <v>53.0</v>
      </c>
      <c r="B425" s="6" t="str">
        <f>VLOOKUP($A425, 'Completion rates'!$A:$E, 2, FALSE)</f>
        <v>Killing calvar'ion</v>
      </c>
      <c r="C425" s="207">
        <v>6806.0</v>
      </c>
      <c r="D425" s="6" t="str">
        <f>VLOOKUP($C425, 'List of log slots'!$A:$E, 2, FALSE)</f>
        <v>Skeleton champion scroll</v>
      </c>
      <c r="E425" s="207">
        <f>VLOOKUP($C425, 'List of log slots'!$A:$E, 5, FALSE)</f>
        <v>5</v>
      </c>
      <c r="F425" s="208" t="b">
        <f>VLOOKUP(C425, 'List of log slots'!$A:$C, 3, FALSE)</f>
        <v>0</v>
      </c>
      <c r="G425" s="209" t="b">
        <f t="shared" si="28"/>
        <v>0</v>
      </c>
      <c r="H425" s="210" t="b">
        <f t="shared" si="7"/>
        <v>1</v>
      </c>
      <c r="I425" s="208" t="b">
        <f t="shared" si="206"/>
        <v>0</v>
      </c>
      <c r="J425" s="208" t="b">
        <f t="shared" si="208"/>
        <v>0</v>
      </c>
      <c r="K425" s="214">
        <v>5000.0</v>
      </c>
      <c r="L425" s="212" t="str">
        <f t="shared" si="3"/>
        <v>n/a</v>
      </c>
      <c r="M425" s="212" t="str">
        <f t="shared" si="4"/>
        <v>n/a</v>
      </c>
      <c r="N425" s="207" t="str">
        <f t="shared" si="5"/>
        <v>n/a</v>
      </c>
      <c r="O425" s="207">
        <f t="shared" si="6"/>
        <v>0.0002</v>
      </c>
    </row>
    <row r="426" ht="15.75" customHeight="1">
      <c r="A426" s="207">
        <v>53.0</v>
      </c>
      <c r="B426" s="6" t="str">
        <f>VLOOKUP($A426, 'Completion rates'!$A:$E, 2, FALSE)</f>
        <v>Killing calvar'ion</v>
      </c>
      <c r="C426" s="207">
        <v>10976.0</v>
      </c>
      <c r="D426" s="6" t="str">
        <f>VLOOKUP($C426, 'List of log slots'!$A:$E, 2, FALSE)</f>
        <v>Long bone</v>
      </c>
      <c r="E426" s="207">
        <f>VLOOKUP($C426, 'List of log slots'!$A:$E, 5, FALSE)</f>
        <v>3</v>
      </c>
      <c r="F426" s="213" t="b">
        <f>VLOOKUP(C426, 'List of log slots'!$A:$C, 3, FALSE)</f>
        <v>0</v>
      </c>
      <c r="G426" s="209" t="b">
        <f t="shared" si="28"/>
        <v>0</v>
      </c>
      <c r="H426" s="209" t="b">
        <f t="shared" si="7"/>
        <v>1</v>
      </c>
      <c r="I426" s="208" t="b">
        <f t="shared" si="206"/>
        <v>0</v>
      </c>
      <c r="J426" s="208" t="b">
        <f t="shared" si="208"/>
        <v>0</v>
      </c>
      <c r="K426" s="214">
        <v>400.0</v>
      </c>
      <c r="L426" s="212" t="str">
        <f t="shared" si="3"/>
        <v>n/a</v>
      </c>
      <c r="M426" s="212" t="str">
        <f t="shared" si="4"/>
        <v>n/a</v>
      </c>
      <c r="N426" s="207" t="str">
        <f t="shared" si="5"/>
        <v>n/a</v>
      </c>
      <c r="O426" s="207">
        <f t="shared" si="6"/>
        <v>0.0025</v>
      </c>
    </row>
    <row r="427" ht="15.75" customHeight="1">
      <c r="A427" s="207">
        <v>53.0</v>
      </c>
      <c r="B427" s="6" t="str">
        <f>VLOOKUP($A427, 'Completion rates'!$A:$E, 2, FALSE)</f>
        <v>Killing calvar'ion</v>
      </c>
      <c r="C427" s="207">
        <v>10977.0</v>
      </c>
      <c r="D427" s="6" t="str">
        <f>VLOOKUP($C427, 'List of log slots'!$A:$E, 2, FALSE)</f>
        <v>Curved bone</v>
      </c>
      <c r="E427" s="207">
        <f>VLOOKUP($C427, 'List of log slots'!$A:$E, 5, FALSE)</f>
        <v>5</v>
      </c>
      <c r="F427" s="208" t="b">
        <f>VLOOKUP(C427, 'List of log slots'!$A:$C, 3, FALSE)</f>
        <v>0</v>
      </c>
      <c r="G427" s="209" t="b">
        <f t="shared" si="28"/>
        <v>0</v>
      </c>
      <c r="H427" s="210" t="b">
        <f t="shared" si="7"/>
        <v>1</v>
      </c>
      <c r="I427" s="208" t="b">
        <f t="shared" si="206"/>
        <v>0</v>
      </c>
      <c r="J427" s="208" t="b">
        <f t="shared" si="208"/>
        <v>0</v>
      </c>
      <c r="K427" s="214">
        <v>5013.0</v>
      </c>
      <c r="L427" s="212" t="str">
        <f t="shared" si="3"/>
        <v>n/a</v>
      </c>
      <c r="M427" s="212" t="str">
        <f t="shared" si="4"/>
        <v>n/a</v>
      </c>
      <c r="N427" s="207" t="str">
        <f t="shared" si="5"/>
        <v>n/a</v>
      </c>
      <c r="O427" s="207">
        <f t="shared" si="6"/>
        <v>0.0001994813485</v>
      </c>
    </row>
    <row r="428" ht="15.75" customHeight="1">
      <c r="A428" s="207">
        <v>54.0</v>
      </c>
      <c r="B428" s="6" t="str">
        <f>VLOOKUP($A428, 'Completion rates'!$A:$E, 2, FALSE)</f>
        <v>Killing vorkath</v>
      </c>
      <c r="C428" s="207">
        <v>11286.0</v>
      </c>
      <c r="D428" s="6" t="str">
        <f>VLOOKUP($C428, 'List of log slots'!$A:$E, 2, FALSE)</f>
        <v>Draconic visage</v>
      </c>
      <c r="E428" s="207">
        <f>VLOOKUP($C428, 'List of log slots'!$A:$E, 5, FALSE)</f>
        <v>6</v>
      </c>
      <c r="F428" s="208" t="b">
        <f>VLOOKUP(C428, 'List of log slots'!$A:$C, 3, FALSE)</f>
        <v>0</v>
      </c>
      <c r="G428" s="209" t="b">
        <f t="shared" si="28"/>
        <v>0</v>
      </c>
      <c r="H428" s="210" t="b">
        <f t="shared" si="7"/>
        <v>1</v>
      </c>
      <c r="I428" s="208" t="b">
        <f t="shared" si="206"/>
        <v>0</v>
      </c>
      <c r="J428" s="208" t="b">
        <f t="shared" si="208"/>
        <v>0</v>
      </c>
      <c r="K428" s="214">
        <v>5000.0</v>
      </c>
      <c r="L428" s="212" t="str">
        <f t="shared" si="3"/>
        <v>n/a</v>
      </c>
      <c r="M428" s="212" t="str">
        <f t="shared" si="4"/>
        <v>n/a</v>
      </c>
      <c r="N428" s="207" t="str">
        <f t="shared" si="5"/>
        <v>n/a</v>
      </c>
      <c r="O428" s="207">
        <f t="shared" si="6"/>
        <v>0.0002</v>
      </c>
    </row>
    <row r="429" ht="15.75" customHeight="1">
      <c r="A429" s="207">
        <v>54.0</v>
      </c>
      <c r="B429" s="6" t="str">
        <f>VLOOKUP($A429, 'Completion rates'!$A:$E, 2, FALSE)</f>
        <v>Killing vorkath</v>
      </c>
      <c r="C429" s="207">
        <v>21992.0</v>
      </c>
      <c r="D429" s="6" t="str">
        <f>VLOOKUP($C429, 'List of log slots'!$A:$E, 2, FALSE)</f>
        <v>Vorki</v>
      </c>
      <c r="E429" s="207">
        <f>VLOOKUP($C429, 'List of log slots'!$A:$E, 5, FALSE)</f>
        <v>7</v>
      </c>
      <c r="F429" s="213" t="b">
        <f>VLOOKUP(C429, 'List of log slots'!$A:$C, 3, FALSE)</f>
        <v>0</v>
      </c>
      <c r="G429" s="209" t="b">
        <f t="shared" si="28"/>
        <v>0</v>
      </c>
      <c r="H429" s="209" t="b">
        <f t="shared" si="7"/>
        <v>1</v>
      </c>
      <c r="I429" s="208" t="b">
        <f t="shared" si="206"/>
        <v>0</v>
      </c>
      <c r="J429" s="208" t="b">
        <f t="shared" si="208"/>
        <v>0</v>
      </c>
      <c r="K429" s="214">
        <v>3000.0</v>
      </c>
      <c r="L429" s="212" t="str">
        <f t="shared" si="3"/>
        <v>n/a</v>
      </c>
      <c r="M429" s="212" t="str">
        <f t="shared" si="4"/>
        <v>n/a</v>
      </c>
      <c r="N429" s="207" t="str">
        <f t="shared" si="5"/>
        <v>n/a</v>
      </c>
      <c r="O429" s="207">
        <f t="shared" si="6"/>
        <v>0.0003333333333</v>
      </c>
    </row>
    <row r="430" ht="15.75" customHeight="1">
      <c r="A430" s="207">
        <v>54.0</v>
      </c>
      <c r="B430" s="6" t="str">
        <f>VLOOKUP($A430, 'Completion rates'!$A:$E, 2, FALSE)</f>
        <v>Killing vorkath</v>
      </c>
      <c r="C430" s="207">
        <v>21907.0</v>
      </c>
      <c r="D430" s="6" t="str">
        <f>VLOOKUP($C430, 'List of log slots'!$A:$E, 2, FALSE)</f>
        <v>Vorkath's head</v>
      </c>
      <c r="E430" s="207">
        <f>VLOOKUP($C430, 'List of log slots'!$A:$E, 5, FALSE)</f>
        <v>5</v>
      </c>
      <c r="F430" s="213" t="b">
        <f>VLOOKUP(C430, 'List of log slots'!$A:$C, 3, FALSE)</f>
        <v>0</v>
      </c>
      <c r="G430" s="209" t="b">
        <f t="shared" si="28"/>
        <v>0</v>
      </c>
      <c r="H430" s="209" t="b">
        <f t="shared" si="7"/>
        <v>1</v>
      </c>
      <c r="I430" s="213" t="b">
        <f>TRUE</f>
        <v>1</v>
      </c>
      <c r="J430" s="208" t="b">
        <f t="shared" si="208"/>
        <v>0</v>
      </c>
      <c r="K430" s="214">
        <v>50.0</v>
      </c>
      <c r="L430" s="212" t="str">
        <f t="shared" si="3"/>
        <v>n/a</v>
      </c>
      <c r="M430" s="212">
        <f t="shared" si="4"/>
        <v>50</v>
      </c>
      <c r="N430" s="207" t="str">
        <f t="shared" si="5"/>
        <v>n/a</v>
      </c>
      <c r="O430" s="207" t="str">
        <f t="shared" si="6"/>
        <v>n/a</v>
      </c>
    </row>
    <row r="431" ht="15.75" customHeight="1">
      <c r="A431" s="207">
        <v>54.0</v>
      </c>
      <c r="B431" s="6" t="str">
        <f>VLOOKUP($A431, 'Completion rates'!$A:$E, 2, FALSE)</f>
        <v>Killing vorkath</v>
      </c>
      <c r="C431" s="207">
        <v>22006.0</v>
      </c>
      <c r="D431" s="6" t="str">
        <f>VLOOKUP($C431, 'List of log slots'!$A:$E, 2, FALSE)</f>
        <v>Skeletal visage</v>
      </c>
      <c r="E431" s="207">
        <f>VLOOKUP($C431, 'List of log slots'!$A:$E, 5, FALSE)</f>
        <v>7</v>
      </c>
      <c r="F431" s="213" t="b">
        <f>VLOOKUP(C431, 'List of log slots'!$A:$C, 3, FALSE)</f>
        <v>0</v>
      </c>
      <c r="G431" s="209" t="b">
        <f t="shared" si="28"/>
        <v>0</v>
      </c>
      <c r="H431" s="209" t="b">
        <f t="shared" si="7"/>
        <v>1</v>
      </c>
      <c r="I431" s="208" t="b">
        <f t="shared" ref="I431:J431" si="209">FALSE</f>
        <v>0</v>
      </c>
      <c r="J431" s="208" t="b">
        <f t="shared" si="209"/>
        <v>0</v>
      </c>
      <c r="K431" s="214">
        <v>5000.0</v>
      </c>
      <c r="L431" s="212" t="str">
        <f t="shared" si="3"/>
        <v>n/a</v>
      </c>
      <c r="M431" s="212" t="str">
        <f t="shared" si="4"/>
        <v>n/a</v>
      </c>
      <c r="N431" s="207" t="str">
        <f t="shared" si="5"/>
        <v>n/a</v>
      </c>
      <c r="O431" s="207">
        <f t="shared" si="6"/>
        <v>0.0002</v>
      </c>
    </row>
    <row r="432" ht="15.75" customHeight="1">
      <c r="A432" s="207">
        <v>54.0</v>
      </c>
      <c r="B432" s="6" t="str">
        <f>VLOOKUP($A432, 'Completion rates'!$A:$E, 2, FALSE)</f>
        <v>Killing vorkath</v>
      </c>
      <c r="C432" s="207">
        <v>22106.0</v>
      </c>
      <c r="D432" s="6" t="str">
        <f>VLOOKUP($C432, 'List of log slots'!$A:$E, 2, FALSE)</f>
        <v>Jar of decay</v>
      </c>
      <c r="E432" s="207">
        <f>VLOOKUP($C432, 'List of log slots'!$A:$E, 5, FALSE)</f>
        <v>7</v>
      </c>
      <c r="F432" s="208" t="b">
        <f>VLOOKUP(C432, 'List of log slots'!$A:$C, 3, FALSE)</f>
        <v>0</v>
      </c>
      <c r="G432" s="209" t="b">
        <f t="shared" si="28"/>
        <v>0</v>
      </c>
      <c r="H432" s="210" t="b">
        <f t="shared" si="7"/>
        <v>1</v>
      </c>
      <c r="I432" s="208" t="b">
        <f t="shared" ref="I432:J432" si="210">FALSE</f>
        <v>0</v>
      </c>
      <c r="J432" s="208" t="b">
        <f t="shared" si="210"/>
        <v>0</v>
      </c>
      <c r="K432" s="214">
        <v>3000.0</v>
      </c>
      <c r="L432" s="212" t="str">
        <f t="shared" si="3"/>
        <v>n/a</v>
      </c>
      <c r="M432" s="212" t="str">
        <f t="shared" si="4"/>
        <v>n/a</v>
      </c>
      <c r="N432" s="207" t="str">
        <f t="shared" si="5"/>
        <v>n/a</v>
      </c>
      <c r="O432" s="207">
        <f t="shared" si="6"/>
        <v>0.0003333333333</v>
      </c>
    </row>
    <row r="433" ht="15.75" customHeight="1">
      <c r="A433" s="207">
        <v>54.0</v>
      </c>
      <c r="B433" s="6" t="str">
        <f>VLOOKUP($A433, 'Completion rates'!$A:$E, 2, FALSE)</f>
        <v>Killing vorkath</v>
      </c>
      <c r="C433" s="207">
        <v>22111.0</v>
      </c>
      <c r="D433" s="6" t="str">
        <f>VLOOKUP($C433, 'List of log slots'!$A:$E, 2, FALSE)</f>
        <v>Dragonbone necklace</v>
      </c>
      <c r="E433" s="207">
        <f>VLOOKUP($C433, 'List of log slots'!$A:$E, 5, FALSE)</f>
        <v>6</v>
      </c>
      <c r="F433" s="208" t="b">
        <f>VLOOKUP(C433, 'List of log slots'!$A:$C, 3, FALSE)</f>
        <v>0</v>
      </c>
      <c r="G433" s="209" t="b">
        <f t="shared" si="28"/>
        <v>0</v>
      </c>
      <c r="H433" s="210" t="b">
        <f t="shared" si="7"/>
        <v>1</v>
      </c>
      <c r="I433" s="208" t="b">
        <f t="shared" ref="I433:J433" si="211">FALSE</f>
        <v>0</v>
      </c>
      <c r="J433" s="208" t="b">
        <f t="shared" si="211"/>
        <v>0</v>
      </c>
      <c r="K433" s="214">
        <v>1000.0</v>
      </c>
      <c r="L433" s="212" t="str">
        <f t="shared" si="3"/>
        <v>n/a</v>
      </c>
      <c r="M433" s="212" t="str">
        <f t="shared" si="4"/>
        <v>n/a</v>
      </c>
      <c r="N433" s="207" t="str">
        <f t="shared" si="5"/>
        <v>n/a</v>
      </c>
      <c r="O433" s="207">
        <f t="shared" si="6"/>
        <v>0.001</v>
      </c>
    </row>
    <row r="434" ht="15.75" customHeight="1">
      <c r="A434" s="207">
        <v>54.0</v>
      </c>
      <c r="B434" s="6" t="str">
        <f>VLOOKUP($A434, 'Completion rates'!$A:$E, 2, FALSE)</f>
        <v>Killing vorkath</v>
      </c>
      <c r="C434" s="207">
        <v>2366.0</v>
      </c>
      <c r="D434" s="6" t="str">
        <f>VLOOKUP($C434, 'List of log slots'!$A:$E, 2, FALSE)</f>
        <v>Shield left half</v>
      </c>
      <c r="E434" s="207">
        <f>VLOOKUP($C434, 'List of log slots'!$A:$E, 5, FALSE)</f>
        <v>5</v>
      </c>
      <c r="F434" s="213" t="b">
        <f>VLOOKUP(C434, 'List of log slots'!$A:$C, 3, FALSE)</f>
        <v>0</v>
      </c>
      <c r="G434" s="209" t="b">
        <f t="shared" si="28"/>
        <v>0</v>
      </c>
      <c r="H434" s="209" t="b">
        <f t="shared" si="7"/>
        <v>1</v>
      </c>
      <c r="I434" s="208" t="b">
        <f t="shared" ref="I434:J434" si="212">FALSE</f>
        <v>0</v>
      </c>
      <c r="J434" s="208" t="b">
        <f t="shared" si="212"/>
        <v>0</v>
      </c>
      <c r="K434" s="214">
        <v>4054.0</v>
      </c>
      <c r="L434" s="212" t="str">
        <f t="shared" si="3"/>
        <v>n/a</v>
      </c>
      <c r="M434" s="212" t="str">
        <f t="shared" si="4"/>
        <v>n/a</v>
      </c>
      <c r="N434" s="207" t="str">
        <f t="shared" si="5"/>
        <v>n/a</v>
      </c>
      <c r="O434" s="207">
        <f t="shared" si="6"/>
        <v>0.0002466699556</v>
      </c>
    </row>
    <row r="435" ht="15.75" customHeight="1">
      <c r="A435" s="207">
        <v>54.0</v>
      </c>
      <c r="B435" s="6" t="str">
        <f>VLOOKUP($A435, 'Completion rates'!$A:$E, 2, FALSE)</f>
        <v>Killing vorkath</v>
      </c>
      <c r="C435" s="207">
        <v>1249.0</v>
      </c>
      <c r="D435" s="6" t="str">
        <f>VLOOKUP($C435, 'List of log slots'!$A:$E, 2, FALSE)</f>
        <v>Dragon spear</v>
      </c>
      <c r="E435" s="207">
        <f>VLOOKUP($C435, 'List of log slots'!$A:$E, 5, FALSE)</f>
        <v>5</v>
      </c>
      <c r="F435" s="213" t="b">
        <f>VLOOKUP(C435, 'List of log slots'!$A:$C, 3, FALSE)</f>
        <v>0</v>
      </c>
      <c r="G435" s="209" t="b">
        <f t="shared" si="28"/>
        <v>0</v>
      </c>
      <c r="H435" s="209" t="b">
        <f t="shared" si="7"/>
        <v>1</v>
      </c>
      <c r="I435" s="208" t="b">
        <f t="shared" ref="I435:J435" si="213">FALSE</f>
        <v>0</v>
      </c>
      <c r="J435" s="208" t="b">
        <f t="shared" si="213"/>
        <v>0</v>
      </c>
      <c r="K435" s="214">
        <v>5405.0</v>
      </c>
      <c r="L435" s="212" t="str">
        <f t="shared" si="3"/>
        <v>n/a</v>
      </c>
      <c r="M435" s="212" t="str">
        <f t="shared" si="4"/>
        <v>n/a</v>
      </c>
      <c r="N435" s="207" t="str">
        <f t="shared" si="5"/>
        <v>n/a</v>
      </c>
      <c r="O435" s="207">
        <f t="shared" si="6"/>
        <v>0.000185013876</v>
      </c>
    </row>
    <row r="436" ht="15.75" customHeight="1">
      <c r="A436" s="207">
        <v>55.0</v>
      </c>
      <c r="B436" s="6" t="str">
        <f>VLOOKUP($A436, 'Completion rates'!$A:$E, 2, FALSE)</f>
        <v>Killing the whisperer</v>
      </c>
      <c r="C436" s="207">
        <v>28246.0</v>
      </c>
      <c r="D436" s="6" t="str">
        <f>VLOOKUP($C436, 'List of log slots'!$A:$E, 2, FALSE)</f>
        <v>Wisp</v>
      </c>
      <c r="E436" s="207">
        <f>VLOOKUP($C436, 'List of log slots'!$A:$E, 5, FALSE)</f>
        <v>7</v>
      </c>
      <c r="F436" s="208" t="b">
        <f>VLOOKUP(C436, 'List of log slots'!$A:$C, 3, FALSE)</f>
        <v>0</v>
      </c>
      <c r="G436" s="209" t="b">
        <f t="shared" si="28"/>
        <v>0</v>
      </c>
      <c r="H436" s="210" t="b">
        <f t="shared" si="7"/>
        <v>1</v>
      </c>
      <c r="I436" s="208" t="b">
        <f t="shared" ref="I436:J436" si="214">FALSE</f>
        <v>0</v>
      </c>
      <c r="J436" s="208" t="b">
        <f t="shared" si="214"/>
        <v>0</v>
      </c>
      <c r="K436" s="214">
        <v>2000.0</v>
      </c>
      <c r="L436" s="212" t="str">
        <f t="shared" si="3"/>
        <v>n/a</v>
      </c>
      <c r="M436" s="212" t="str">
        <f t="shared" si="4"/>
        <v>n/a</v>
      </c>
      <c r="N436" s="207" t="str">
        <f t="shared" si="5"/>
        <v>n/a</v>
      </c>
      <c r="O436" s="207">
        <f t="shared" si="6"/>
        <v>0.0005</v>
      </c>
    </row>
    <row r="437" ht="15.75" customHeight="1">
      <c r="A437" s="207">
        <v>55.0</v>
      </c>
      <c r="B437" s="6" t="str">
        <f>VLOOKUP($A437, 'Completion rates'!$A:$E, 2, FALSE)</f>
        <v>Killing the whisperer</v>
      </c>
      <c r="C437" s="207">
        <v>28323.0</v>
      </c>
      <c r="D437" s="6" t="str">
        <f>VLOOKUP($C437, 'List of log slots'!$A:$E, 2, FALSE)</f>
        <v>Siren's staff</v>
      </c>
      <c r="E437" s="207">
        <f>VLOOKUP($C437, 'List of log slots'!$A:$E, 5, FALSE)</f>
        <v>6</v>
      </c>
      <c r="F437" s="208" t="b">
        <f>VLOOKUP(C437, 'List of log slots'!$A:$C, 3, FALSE)</f>
        <v>0</v>
      </c>
      <c r="G437" s="209" t="b">
        <f t="shared" si="28"/>
        <v>0</v>
      </c>
      <c r="H437" s="210" t="b">
        <f t="shared" si="7"/>
        <v>1</v>
      </c>
      <c r="I437" s="208" t="b">
        <f t="shared" ref="I437:J437" si="215">FALSE</f>
        <v>0</v>
      </c>
      <c r="J437" s="208" t="b">
        <f t="shared" si="215"/>
        <v>0</v>
      </c>
      <c r="K437" s="214">
        <v>512.0</v>
      </c>
      <c r="L437" s="212" t="str">
        <f t="shared" si="3"/>
        <v>n/a</v>
      </c>
      <c r="M437" s="212" t="str">
        <f t="shared" si="4"/>
        <v>n/a</v>
      </c>
      <c r="N437" s="207" t="str">
        <f t="shared" si="5"/>
        <v>n/a</v>
      </c>
      <c r="O437" s="207">
        <f t="shared" si="6"/>
        <v>0.001953125</v>
      </c>
    </row>
    <row r="438" ht="15.75" customHeight="1">
      <c r="A438" s="207">
        <v>55.0</v>
      </c>
      <c r="B438" s="6" t="str">
        <f>VLOOKUP($A438, 'Completion rates'!$A:$E, 2, FALSE)</f>
        <v>Killing the whisperer</v>
      </c>
      <c r="C438" s="207">
        <v>26241.0</v>
      </c>
      <c r="D438" s="6" t="str">
        <f>VLOOKUP($C438, 'List of log slots'!$A:$E, 2, FALSE)</f>
        <v>Virtus mask</v>
      </c>
      <c r="E438" s="207">
        <f>VLOOKUP($C438, 'List of log slots'!$A:$E, 5, FALSE)</f>
        <v>7</v>
      </c>
      <c r="F438" s="208" t="b">
        <f>VLOOKUP(C438, 'List of log slots'!$A:$C, 3, FALSE)</f>
        <v>0</v>
      </c>
      <c r="G438" s="209" t="b">
        <f t="shared" si="28"/>
        <v>0</v>
      </c>
      <c r="H438" s="210" t="b">
        <f t="shared" si="7"/>
        <v>1</v>
      </c>
      <c r="I438" s="208" t="b">
        <f t="shared" ref="I438:J438" si="216">FALSE</f>
        <v>0</v>
      </c>
      <c r="J438" s="208" t="b">
        <f t="shared" si="216"/>
        <v>0</v>
      </c>
      <c r="K438" s="214">
        <v>1536.0</v>
      </c>
      <c r="L438" s="212" t="str">
        <f t="shared" si="3"/>
        <v>n/a</v>
      </c>
      <c r="M438" s="212" t="str">
        <f t="shared" si="4"/>
        <v>n/a</v>
      </c>
      <c r="N438" s="207" t="str">
        <f t="shared" si="5"/>
        <v>n/a</v>
      </c>
      <c r="O438" s="207">
        <f t="shared" si="6"/>
        <v>0.0006510416667</v>
      </c>
    </row>
    <row r="439" ht="15.75" customHeight="1">
      <c r="A439" s="207">
        <v>55.0</v>
      </c>
      <c r="B439" s="6" t="str">
        <f>VLOOKUP($A439, 'Completion rates'!$A:$E, 2, FALSE)</f>
        <v>Killing the whisperer</v>
      </c>
      <c r="C439" s="207">
        <v>26243.0</v>
      </c>
      <c r="D439" s="6" t="str">
        <f>VLOOKUP($C439, 'List of log slots'!$A:$E, 2, FALSE)</f>
        <v>Virtus robe top</v>
      </c>
      <c r="E439" s="207">
        <f>VLOOKUP($C439, 'List of log slots'!$A:$E, 5, FALSE)</f>
        <v>7</v>
      </c>
      <c r="F439" s="208" t="b">
        <f>VLOOKUP(C439, 'List of log slots'!$A:$C, 3, FALSE)</f>
        <v>0</v>
      </c>
      <c r="G439" s="209" t="b">
        <f t="shared" si="28"/>
        <v>0</v>
      </c>
      <c r="H439" s="210" t="b">
        <f t="shared" si="7"/>
        <v>1</v>
      </c>
      <c r="I439" s="208" t="b">
        <f t="shared" ref="I439:J439" si="217">FALSE</f>
        <v>0</v>
      </c>
      <c r="J439" s="208" t="b">
        <f t="shared" si="217"/>
        <v>0</v>
      </c>
      <c r="K439" s="214">
        <v>1536.0</v>
      </c>
      <c r="L439" s="212" t="str">
        <f t="shared" si="3"/>
        <v>n/a</v>
      </c>
      <c r="M439" s="212" t="str">
        <f t="shared" si="4"/>
        <v>n/a</v>
      </c>
      <c r="N439" s="207" t="str">
        <f t="shared" si="5"/>
        <v>n/a</v>
      </c>
      <c r="O439" s="207">
        <f t="shared" si="6"/>
        <v>0.0006510416667</v>
      </c>
    </row>
    <row r="440" ht="15.75" customHeight="1">
      <c r="A440" s="207">
        <v>55.0</v>
      </c>
      <c r="B440" s="6" t="str">
        <f>VLOOKUP($A440, 'Completion rates'!$A:$E, 2, FALSE)</f>
        <v>Killing the whisperer</v>
      </c>
      <c r="C440" s="212">
        <v>26245.0</v>
      </c>
      <c r="D440" s="6" t="str">
        <f>VLOOKUP($C440, 'List of log slots'!$A:$E, 2, FALSE)</f>
        <v>Virtus robe bottom</v>
      </c>
      <c r="E440" s="207">
        <f>VLOOKUP($C440, 'List of log slots'!$A:$E, 5, FALSE)</f>
        <v>7</v>
      </c>
      <c r="F440" s="208" t="b">
        <f>VLOOKUP(C440, 'List of log slots'!$A:$C, 3, FALSE)</f>
        <v>0</v>
      </c>
      <c r="G440" s="209" t="b">
        <f t="shared" si="28"/>
        <v>0</v>
      </c>
      <c r="H440" s="210" t="b">
        <f t="shared" si="7"/>
        <v>1</v>
      </c>
      <c r="I440" s="208" t="b">
        <f t="shared" ref="I440:J440" si="218">FALSE</f>
        <v>0</v>
      </c>
      <c r="J440" s="208" t="b">
        <f t="shared" si="218"/>
        <v>0</v>
      </c>
      <c r="K440" s="214">
        <v>1536.0</v>
      </c>
      <c r="L440" s="212" t="str">
        <f t="shared" si="3"/>
        <v>n/a</v>
      </c>
      <c r="M440" s="212" t="str">
        <f t="shared" si="4"/>
        <v>n/a</v>
      </c>
      <c r="N440" s="207" t="str">
        <f t="shared" si="5"/>
        <v>n/a</v>
      </c>
      <c r="O440" s="207">
        <f t="shared" si="6"/>
        <v>0.0006510416667</v>
      </c>
    </row>
    <row r="441" ht="15.75" customHeight="1">
      <c r="A441" s="207">
        <v>55.0</v>
      </c>
      <c r="B441" s="6" t="str">
        <f>VLOOKUP($A441, 'Completion rates'!$A:$E, 2, FALSE)</f>
        <v>Killing the whisperer</v>
      </c>
      <c r="C441" s="212">
        <v>28279.0</v>
      </c>
      <c r="D441" s="6" t="str">
        <f>VLOOKUP($C441, 'List of log slots'!$A:$E, 2, FALSE)</f>
        <v>Bellator vestige</v>
      </c>
      <c r="E441" s="207">
        <f>VLOOKUP($C441, 'List of log slots'!$A:$E, 5, FALSE)</f>
        <v>6</v>
      </c>
      <c r="F441" s="208" t="b">
        <f>VLOOKUP(C441, 'List of log slots'!$A:$C, 3, FALSE)</f>
        <v>0</v>
      </c>
      <c r="G441" s="209" t="b">
        <f t="shared" si="28"/>
        <v>0</v>
      </c>
      <c r="H441" s="210" t="b">
        <f t="shared" si="7"/>
        <v>1</v>
      </c>
      <c r="I441" s="208" t="b">
        <f t="shared" ref="I441:J441" si="219">FALSE</f>
        <v>0</v>
      </c>
      <c r="J441" s="208" t="b">
        <f t="shared" si="219"/>
        <v>0</v>
      </c>
      <c r="K441" s="214">
        <v>512.0</v>
      </c>
      <c r="L441" s="212" t="str">
        <f t="shared" si="3"/>
        <v>n/a</v>
      </c>
      <c r="M441" s="212" t="str">
        <f t="shared" si="4"/>
        <v>n/a</v>
      </c>
      <c r="N441" s="207" t="str">
        <f t="shared" si="5"/>
        <v>n/a</v>
      </c>
      <c r="O441" s="207">
        <f t="shared" si="6"/>
        <v>0.001953125</v>
      </c>
    </row>
    <row r="442" ht="15.75" customHeight="1">
      <c r="A442" s="207">
        <v>55.0</v>
      </c>
      <c r="B442" s="6" t="str">
        <f>VLOOKUP($A442, 'Completion rates'!$A:$E, 2, FALSE)</f>
        <v>Killing the whisperer</v>
      </c>
      <c r="C442" s="212">
        <v>28272.0</v>
      </c>
      <c r="D442" s="6" t="str">
        <f>VLOOKUP($C442, 'List of log slots'!$A:$E, 2, FALSE)</f>
        <v>Shadow quartz</v>
      </c>
      <c r="E442" s="207">
        <f>VLOOKUP($C442, 'List of log slots'!$A:$E, 5, FALSE)</f>
        <v>5</v>
      </c>
      <c r="F442" s="208" t="b">
        <f>VLOOKUP(C442, 'List of log slots'!$A:$C, 3, FALSE)</f>
        <v>0</v>
      </c>
      <c r="G442" s="209" t="b">
        <f t="shared" si="28"/>
        <v>0</v>
      </c>
      <c r="H442" s="210" t="b">
        <f t="shared" si="7"/>
        <v>1</v>
      </c>
      <c r="I442" s="208" t="b">
        <f t="shared" ref="I442:J442" si="220">FALSE</f>
        <v>0</v>
      </c>
      <c r="J442" s="208" t="b">
        <f t="shared" si="220"/>
        <v>0</v>
      </c>
      <c r="K442" s="214">
        <v>218.0</v>
      </c>
      <c r="L442" s="212" t="str">
        <f t="shared" si="3"/>
        <v>n/a</v>
      </c>
      <c r="M442" s="212" t="str">
        <f t="shared" si="4"/>
        <v>n/a</v>
      </c>
      <c r="N442" s="207" t="str">
        <f t="shared" si="5"/>
        <v>n/a</v>
      </c>
      <c r="O442" s="207">
        <f t="shared" si="6"/>
        <v>0.004587155963</v>
      </c>
    </row>
    <row r="443" ht="15.75" customHeight="1">
      <c r="A443" s="207">
        <v>55.0</v>
      </c>
      <c r="B443" s="6" t="str">
        <f>VLOOKUP($A443, 'Completion rates'!$A:$E, 2, FALSE)</f>
        <v>Killing the whisperer</v>
      </c>
      <c r="C443" s="212">
        <v>28331.0</v>
      </c>
      <c r="D443" s="6" t="str">
        <f>VLOOKUP($C443, 'List of log slots'!$A:$E, 2, FALSE)</f>
        <v>Sirenic tablet</v>
      </c>
      <c r="E443" s="207">
        <f>VLOOKUP($C443, 'List of log slots'!$A:$E, 5, FALSE)</f>
        <v>5</v>
      </c>
      <c r="F443" s="208" t="b">
        <f>VLOOKUP(C443, 'List of log slots'!$A:$C, 3, FALSE)</f>
        <v>0</v>
      </c>
      <c r="G443" s="209" t="b">
        <f t="shared" si="28"/>
        <v>0</v>
      </c>
      <c r="H443" s="210" t="b">
        <f t="shared" si="7"/>
        <v>1</v>
      </c>
      <c r="I443" s="208" t="b">
        <f t="shared" ref="I443:J443" si="221">FALSE</f>
        <v>0</v>
      </c>
      <c r="J443" s="208" t="b">
        <f t="shared" si="221"/>
        <v>0</v>
      </c>
      <c r="K443" s="214">
        <v>25.0</v>
      </c>
      <c r="L443" s="212" t="str">
        <f t="shared" si="3"/>
        <v>n/a</v>
      </c>
      <c r="M443" s="212" t="str">
        <f t="shared" si="4"/>
        <v>n/a</v>
      </c>
      <c r="N443" s="207" t="str">
        <f t="shared" si="5"/>
        <v>n/a</v>
      </c>
      <c r="O443" s="207">
        <f t="shared" si="6"/>
        <v>0.04</v>
      </c>
    </row>
    <row r="444" ht="15.75" customHeight="1">
      <c r="A444" s="207">
        <v>55.0</v>
      </c>
      <c r="B444" s="6" t="str">
        <f>VLOOKUP($A444, 'Completion rates'!$A:$E, 2, FALSE)</f>
        <v>Killing the whisperer</v>
      </c>
      <c r="C444" s="212">
        <v>28276.0</v>
      </c>
      <c r="D444" s="6" t="str">
        <f>VLOOKUP($C444, 'List of log slots'!$A:$E, 2, FALSE)</f>
        <v>Chromium ingot</v>
      </c>
      <c r="E444" s="207">
        <f>VLOOKUP($C444, 'List of log slots'!$A:$E, 5, FALSE)</f>
        <v>5</v>
      </c>
      <c r="F444" s="213" t="b">
        <f>VLOOKUP(C444, 'List of log slots'!$A:$C, 3, FALSE)</f>
        <v>0</v>
      </c>
      <c r="G444" s="209" t="b">
        <f t="shared" si="28"/>
        <v>0</v>
      </c>
      <c r="H444" s="209" t="b">
        <f t="shared" si="7"/>
        <v>1</v>
      </c>
      <c r="I444" s="208" t="b">
        <f t="shared" ref="I444:J444" si="222">FALSE</f>
        <v>0</v>
      </c>
      <c r="J444" s="208" t="b">
        <f t="shared" si="222"/>
        <v>0</v>
      </c>
      <c r="K444" s="214">
        <v>171.0</v>
      </c>
      <c r="L444" s="212" t="str">
        <f t="shared" si="3"/>
        <v>n/a</v>
      </c>
      <c r="M444" s="212" t="str">
        <f t="shared" si="4"/>
        <v>n/a</v>
      </c>
      <c r="N444" s="207" t="str">
        <f t="shared" si="5"/>
        <v>n/a</v>
      </c>
      <c r="O444" s="207">
        <f t="shared" si="6"/>
        <v>0.005847953216</v>
      </c>
    </row>
    <row r="445" ht="15.75" customHeight="1">
      <c r="A445" s="207">
        <v>55.0</v>
      </c>
      <c r="B445" s="6" t="str">
        <f>VLOOKUP($A445, 'Completion rates'!$A:$E, 2, FALSE)</f>
        <v>Killing the whisperer</v>
      </c>
      <c r="C445" s="212">
        <v>28334.0</v>
      </c>
      <c r="D445" s="6" t="str">
        <f>VLOOKUP($C445, 'List of log slots'!$A:$E, 2, FALSE)</f>
        <v>Awakener's orb</v>
      </c>
      <c r="E445" s="207">
        <f>VLOOKUP($C445, 'List of log slots'!$A:$E, 5, FALSE)</f>
        <v>5</v>
      </c>
      <c r="F445" s="213" t="b">
        <f>VLOOKUP(C445, 'List of log slots'!$A:$C, 3, FALSE)</f>
        <v>0</v>
      </c>
      <c r="G445" s="209" t="b">
        <f t="shared" si="28"/>
        <v>0</v>
      </c>
      <c r="H445" s="209" t="b">
        <f t="shared" si="7"/>
        <v>1</v>
      </c>
      <c r="I445" s="208" t="b">
        <f t="shared" ref="I445:J445" si="223">FALSE</f>
        <v>0</v>
      </c>
      <c r="J445" s="208" t="b">
        <f t="shared" si="223"/>
        <v>0</v>
      </c>
      <c r="K445" s="214">
        <v>34.0</v>
      </c>
      <c r="L445" s="212" t="str">
        <f t="shared" si="3"/>
        <v>n/a</v>
      </c>
      <c r="M445" s="212" t="str">
        <f t="shared" si="4"/>
        <v>n/a</v>
      </c>
      <c r="N445" s="207" t="str">
        <f t="shared" si="5"/>
        <v>n/a</v>
      </c>
      <c r="O445" s="207">
        <f t="shared" si="6"/>
        <v>0.02941176471</v>
      </c>
    </row>
    <row r="446" ht="15.75" customHeight="1">
      <c r="A446" s="207">
        <v>56.0</v>
      </c>
      <c r="B446" s="6" t="str">
        <f>VLOOKUP($A446, 'Completion rates'!$A:$E, 2, FALSE)</f>
        <v>Searching the reward cart (wintertodt)</v>
      </c>
      <c r="C446" s="212">
        <v>6739.0</v>
      </c>
      <c r="D446" s="6" t="str">
        <f>VLOOKUP($C446, 'List of log slots'!$A:$E, 2, FALSE)</f>
        <v>Dragon axe</v>
      </c>
      <c r="E446" s="207">
        <f>VLOOKUP($C446, 'List of log slots'!$A:$E, 5, FALSE)</f>
        <v>4</v>
      </c>
      <c r="F446" s="213" t="b">
        <f>VLOOKUP(C446, 'List of log slots'!$A:$C, 3, FALSE)</f>
        <v>0</v>
      </c>
      <c r="G446" s="209" t="b">
        <f t="shared" si="28"/>
        <v>0</v>
      </c>
      <c r="H446" s="209" t="b">
        <f t="shared" si="7"/>
        <v>1</v>
      </c>
      <c r="I446" s="208" t="b">
        <f t="shared" ref="I446:J446" si="224">FALSE</f>
        <v>0</v>
      </c>
      <c r="J446" s="208" t="b">
        <f t="shared" si="224"/>
        <v>0</v>
      </c>
      <c r="K446" s="214">
        <v>10000.0</v>
      </c>
      <c r="L446" s="212" t="str">
        <f t="shared" si="3"/>
        <v>n/a</v>
      </c>
      <c r="M446" s="212" t="str">
        <f t="shared" si="4"/>
        <v>n/a</v>
      </c>
      <c r="N446" s="207" t="str">
        <f t="shared" si="5"/>
        <v>n/a</v>
      </c>
      <c r="O446" s="207">
        <f t="shared" si="6"/>
        <v>0.0001</v>
      </c>
    </row>
    <row r="447" ht="15.75" customHeight="1">
      <c r="A447" s="207">
        <v>56.0</v>
      </c>
      <c r="B447" s="6" t="str">
        <f>VLOOKUP($A447, 'Completion rates'!$A:$E, 2, FALSE)</f>
        <v>Searching the reward cart (wintertodt)</v>
      </c>
      <c r="C447" s="212">
        <v>20693.0</v>
      </c>
      <c r="D447" s="6" t="str">
        <f>VLOOKUP($C447, 'List of log slots'!$A:$E, 2, FALSE)</f>
        <v>Phoenix</v>
      </c>
      <c r="E447" s="207">
        <f>VLOOKUP($C447, 'List of log slots'!$A:$E, 5, FALSE)</f>
        <v>7</v>
      </c>
      <c r="F447" s="208" t="b">
        <f>VLOOKUP(C447, 'List of log slots'!$A:$C, 3, FALSE)</f>
        <v>0</v>
      </c>
      <c r="G447" s="209" t="b">
        <f t="shared" si="28"/>
        <v>0</v>
      </c>
      <c r="H447" s="210" t="b">
        <f t="shared" si="7"/>
        <v>1</v>
      </c>
      <c r="I447" s="208" t="b">
        <f t="shared" ref="I447:J447" si="225">FALSE</f>
        <v>0</v>
      </c>
      <c r="J447" s="208" t="b">
        <f t="shared" si="225"/>
        <v>0</v>
      </c>
      <c r="K447" s="214">
        <v>5000.0</v>
      </c>
      <c r="L447" s="212" t="str">
        <f t="shared" si="3"/>
        <v>n/a</v>
      </c>
      <c r="M447" s="212" t="str">
        <f t="shared" si="4"/>
        <v>n/a</v>
      </c>
      <c r="N447" s="207" t="str">
        <f t="shared" si="5"/>
        <v>n/a</v>
      </c>
      <c r="O447" s="207">
        <f t="shared" si="6"/>
        <v>0.0002</v>
      </c>
    </row>
    <row r="448" ht="15.75" customHeight="1">
      <c r="A448" s="207">
        <v>56.0</v>
      </c>
      <c r="B448" s="6" t="str">
        <f>VLOOKUP($A448, 'Completion rates'!$A:$E, 2, FALSE)</f>
        <v>Searching the reward cart (wintertodt)</v>
      </c>
      <c r="C448" s="212">
        <v>20716.0</v>
      </c>
      <c r="D448" s="6" t="str">
        <f>VLOOKUP($C448, 'List of log slots'!$A:$E, 2, FALSE)</f>
        <v>Tome of fire (empty)</v>
      </c>
      <c r="E448" s="207">
        <f>VLOOKUP($C448, 'List of log slots'!$A:$E, 5, FALSE)</f>
        <v>5</v>
      </c>
      <c r="F448" s="213" t="b">
        <f>VLOOKUP(C448, 'List of log slots'!$A:$C, 3, FALSE)</f>
        <v>0</v>
      </c>
      <c r="G448" s="209" t="b">
        <f t="shared" si="28"/>
        <v>0</v>
      </c>
      <c r="H448" s="209" t="b">
        <f t="shared" si="7"/>
        <v>1</v>
      </c>
      <c r="I448" s="208" t="b">
        <f t="shared" ref="I448:J448" si="226">FALSE</f>
        <v>0</v>
      </c>
      <c r="J448" s="208" t="b">
        <f t="shared" si="226"/>
        <v>0</v>
      </c>
      <c r="K448" s="214">
        <v>1000.0</v>
      </c>
      <c r="L448" s="212" t="str">
        <f t="shared" si="3"/>
        <v>n/a</v>
      </c>
      <c r="M448" s="212" t="str">
        <f t="shared" si="4"/>
        <v>n/a</v>
      </c>
      <c r="N448" s="207" t="str">
        <f t="shared" si="5"/>
        <v>n/a</v>
      </c>
      <c r="O448" s="207">
        <f t="shared" si="6"/>
        <v>0.001</v>
      </c>
    </row>
    <row r="449" ht="15.75" customHeight="1">
      <c r="A449" s="207">
        <v>56.0</v>
      </c>
      <c r="B449" s="6" t="str">
        <f>VLOOKUP($A449, 'Completion rates'!$A:$E, 2, FALSE)</f>
        <v>Searching the reward cart (wintertodt)</v>
      </c>
      <c r="C449" s="212">
        <v>20718.0</v>
      </c>
      <c r="D449" s="6" t="str">
        <f>VLOOKUP($C449, 'List of log slots'!$A:$E, 2, FALSE)</f>
        <v>Burnt page</v>
      </c>
      <c r="E449" s="207">
        <f>VLOOKUP($C449, 'List of log slots'!$A:$E, 5, FALSE)</f>
        <v>2</v>
      </c>
      <c r="F449" s="213" t="b">
        <f>VLOOKUP(C449, 'List of log slots'!$A:$C, 3, FALSE)</f>
        <v>0</v>
      </c>
      <c r="G449" s="209" t="b">
        <f t="shared" si="28"/>
        <v>0</v>
      </c>
      <c r="H449" s="209" t="b">
        <f t="shared" si="7"/>
        <v>1</v>
      </c>
      <c r="I449" s="208" t="b">
        <f t="shared" ref="I449:J449" si="227">FALSE</f>
        <v>0</v>
      </c>
      <c r="J449" s="208" t="b">
        <f t="shared" si="227"/>
        <v>0</v>
      </c>
      <c r="K449" s="214">
        <v>45.0</v>
      </c>
      <c r="L449" s="212" t="str">
        <f t="shared" si="3"/>
        <v>n/a</v>
      </c>
      <c r="M449" s="212" t="str">
        <f t="shared" si="4"/>
        <v>n/a</v>
      </c>
      <c r="N449" s="207" t="str">
        <f t="shared" si="5"/>
        <v>n/a</v>
      </c>
      <c r="O449" s="207">
        <f t="shared" si="6"/>
        <v>0.02222222222</v>
      </c>
    </row>
    <row r="450" ht="15.75" customHeight="1">
      <c r="A450" s="207">
        <v>56.0</v>
      </c>
      <c r="B450" s="6" t="str">
        <f>VLOOKUP($A450, 'Completion rates'!$A:$E, 2, FALSE)</f>
        <v>Searching the reward cart (wintertodt)</v>
      </c>
      <c r="C450" s="212">
        <v>20704.0</v>
      </c>
      <c r="D450" s="6" t="str">
        <f>VLOOKUP($C450, 'List of log slots'!$A:$E, 2, FALSE)</f>
        <v>Pyromancer garb</v>
      </c>
      <c r="E450" s="207">
        <f>VLOOKUP($C450, 'List of log slots'!$A:$E, 5, FALSE)</f>
        <v>3</v>
      </c>
      <c r="F450" s="213" t="b">
        <f>VLOOKUP(C450, 'List of log slots'!$A:$C, 3, FALSE)</f>
        <v>0</v>
      </c>
      <c r="G450" s="209" t="b">
        <f t="shared" si="28"/>
        <v>0</v>
      </c>
      <c r="H450" s="209" t="b">
        <f t="shared" si="7"/>
        <v>1</v>
      </c>
      <c r="I450" s="208" t="b">
        <f t="shared" ref="I450:J450" si="228">FALSE</f>
        <v>0</v>
      </c>
      <c r="J450" s="208" t="b">
        <f t="shared" si="228"/>
        <v>0</v>
      </c>
      <c r="K450" s="214">
        <v>150.0</v>
      </c>
      <c r="L450" s="212" t="str">
        <f t="shared" si="3"/>
        <v>n/a</v>
      </c>
      <c r="M450" s="212" t="str">
        <f t="shared" si="4"/>
        <v>n/a</v>
      </c>
      <c r="N450" s="207" t="str">
        <f t="shared" si="5"/>
        <v>n/a</v>
      </c>
      <c r="O450" s="207">
        <f t="shared" si="6"/>
        <v>0.006666666667</v>
      </c>
    </row>
    <row r="451" ht="15.75" customHeight="1">
      <c r="A451" s="207">
        <v>56.0</v>
      </c>
      <c r="B451" s="6" t="str">
        <f>VLOOKUP($A451, 'Completion rates'!$A:$E, 2, FALSE)</f>
        <v>Searching the reward cart (wintertodt)</v>
      </c>
      <c r="C451" s="212">
        <v>20708.0</v>
      </c>
      <c r="D451" s="6" t="str">
        <f>VLOOKUP($C451, 'List of log slots'!$A:$E, 2, FALSE)</f>
        <v>Pyromancer hood</v>
      </c>
      <c r="E451" s="207">
        <f>VLOOKUP($C451, 'List of log slots'!$A:$E, 5, FALSE)</f>
        <v>3</v>
      </c>
      <c r="F451" s="213" t="b">
        <f>VLOOKUP(C451, 'List of log slots'!$A:$C, 3, FALSE)</f>
        <v>0</v>
      </c>
      <c r="G451" s="210" t="b">
        <f t="shared" ref="G451:G453" si="230">TRUE</f>
        <v>1</v>
      </c>
      <c r="H451" s="209" t="b">
        <f t="shared" si="7"/>
        <v>0</v>
      </c>
      <c r="I451" s="208" t="b">
        <f t="shared" ref="I451:J451" si="229">FALSE</f>
        <v>0</v>
      </c>
      <c r="J451" s="208" t="b">
        <f t="shared" si="229"/>
        <v>0</v>
      </c>
      <c r="K451" s="214">
        <v>150.0</v>
      </c>
      <c r="L451" s="212" t="str">
        <f t="shared" si="3"/>
        <v>n/a</v>
      </c>
      <c r="M451" s="212" t="str">
        <f t="shared" si="4"/>
        <v>n/a</v>
      </c>
      <c r="N451" s="207" t="str">
        <f t="shared" si="5"/>
        <v>n/a</v>
      </c>
      <c r="O451" s="207">
        <f t="shared" si="6"/>
        <v>0.006666666667</v>
      </c>
    </row>
    <row r="452" ht="15.75" customHeight="1">
      <c r="A452" s="207">
        <v>56.0</v>
      </c>
      <c r="B452" s="6" t="str">
        <f>VLOOKUP($A452, 'Completion rates'!$A:$E, 2, FALSE)</f>
        <v>Searching the reward cart (wintertodt)</v>
      </c>
      <c r="C452" s="207">
        <v>20706.0</v>
      </c>
      <c r="D452" s="6" t="str">
        <f>VLOOKUP($C452, 'List of log slots'!$A:$E, 2, FALSE)</f>
        <v>Pyromancer robe</v>
      </c>
      <c r="E452" s="207">
        <f>VLOOKUP($C452, 'List of log slots'!$A:$E, 5, FALSE)</f>
        <v>3</v>
      </c>
      <c r="F452" s="213" t="b">
        <f>VLOOKUP(C452, 'List of log slots'!$A:$C, 3, FALSE)</f>
        <v>0</v>
      </c>
      <c r="G452" s="210" t="b">
        <f t="shared" si="230"/>
        <v>1</v>
      </c>
      <c r="H452" s="209" t="b">
        <f t="shared" si="7"/>
        <v>0</v>
      </c>
      <c r="I452" s="208" t="b">
        <f t="shared" ref="I452:J452" si="231">FALSE</f>
        <v>0</v>
      </c>
      <c r="J452" s="208" t="b">
        <f t="shared" si="231"/>
        <v>0</v>
      </c>
      <c r="K452" s="214">
        <v>150.0</v>
      </c>
      <c r="L452" s="212" t="str">
        <f t="shared" si="3"/>
        <v>n/a</v>
      </c>
      <c r="M452" s="212" t="str">
        <f t="shared" si="4"/>
        <v>n/a</v>
      </c>
      <c r="N452" s="207" t="str">
        <f t="shared" si="5"/>
        <v>n/a</v>
      </c>
      <c r="O452" s="207">
        <f t="shared" si="6"/>
        <v>0.006666666667</v>
      </c>
    </row>
    <row r="453" ht="15.75" customHeight="1">
      <c r="A453" s="207">
        <v>56.0</v>
      </c>
      <c r="B453" s="6" t="str">
        <f>VLOOKUP($A453, 'Completion rates'!$A:$E, 2, FALSE)</f>
        <v>Searching the reward cart (wintertodt)</v>
      </c>
      <c r="C453" s="207">
        <v>20710.0</v>
      </c>
      <c r="D453" s="6" t="str">
        <f>VLOOKUP($C453, 'List of log slots'!$A:$E, 2, FALSE)</f>
        <v>Pyromancer boots</v>
      </c>
      <c r="E453" s="207">
        <f>VLOOKUP($C453, 'List of log slots'!$A:$E, 5, FALSE)</f>
        <v>3</v>
      </c>
      <c r="F453" s="213" t="b">
        <f>VLOOKUP(C453, 'List of log slots'!$A:$C, 3, FALSE)</f>
        <v>0</v>
      </c>
      <c r="G453" s="210" t="b">
        <f t="shared" si="230"/>
        <v>1</v>
      </c>
      <c r="H453" s="209" t="b">
        <f t="shared" si="7"/>
        <v>0</v>
      </c>
      <c r="I453" s="208" t="b">
        <f t="shared" ref="I453:J453" si="232">FALSE</f>
        <v>0</v>
      </c>
      <c r="J453" s="208" t="b">
        <f t="shared" si="232"/>
        <v>0</v>
      </c>
      <c r="K453" s="214">
        <v>150.0</v>
      </c>
      <c r="L453" s="212" t="str">
        <f t="shared" si="3"/>
        <v>n/a</v>
      </c>
      <c r="M453" s="212" t="str">
        <f t="shared" si="4"/>
        <v>n/a</v>
      </c>
      <c r="N453" s="207" t="str">
        <f t="shared" si="5"/>
        <v>n/a</v>
      </c>
      <c r="O453" s="207">
        <f t="shared" si="6"/>
        <v>0.006666666667</v>
      </c>
    </row>
    <row r="454" ht="15.75" customHeight="1">
      <c r="A454" s="207">
        <v>56.0</v>
      </c>
      <c r="B454" s="6" t="str">
        <f>VLOOKUP($A454, 'Completion rates'!$A:$E, 2, FALSE)</f>
        <v>Searching the reward cart (wintertodt)</v>
      </c>
      <c r="C454" s="207">
        <v>20712.0</v>
      </c>
      <c r="D454" s="6" t="str">
        <f>VLOOKUP($C454, 'List of log slots'!$A:$E, 2, FALSE)</f>
        <v>Warm gloves</v>
      </c>
      <c r="E454" s="207">
        <f>VLOOKUP($C454, 'List of log slots'!$A:$E, 5, FALSE)</f>
        <v>3</v>
      </c>
      <c r="F454" s="213" t="b">
        <f>VLOOKUP(C454, 'List of log slots'!$A:$C, 3, FALSE)</f>
        <v>0</v>
      </c>
      <c r="G454" s="209" t="b">
        <f t="shared" ref="G454:G516" si="234">FALSE</f>
        <v>0</v>
      </c>
      <c r="H454" s="209" t="b">
        <f t="shared" si="7"/>
        <v>1</v>
      </c>
      <c r="I454" s="208" t="b">
        <f t="shared" ref="I454:J454" si="233">FALSE</f>
        <v>0</v>
      </c>
      <c r="J454" s="208" t="b">
        <f t="shared" si="233"/>
        <v>0</v>
      </c>
      <c r="K454" s="214">
        <v>150.0</v>
      </c>
      <c r="L454" s="212" t="str">
        <f t="shared" si="3"/>
        <v>n/a</v>
      </c>
      <c r="M454" s="212" t="str">
        <f t="shared" si="4"/>
        <v>n/a</v>
      </c>
      <c r="N454" s="207" t="str">
        <f t="shared" si="5"/>
        <v>n/a</v>
      </c>
      <c r="O454" s="207">
        <f t="shared" si="6"/>
        <v>0.006666666667</v>
      </c>
    </row>
    <row r="455" ht="15.75" customHeight="1">
      <c r="A455" s="207">
        <v>56.0</v>
      </c>
      <c r="B455" s="6" t="str">
        <f>VLOOKUP($A455, 'Completion rates'!$A:$E, 2, FALSE)</f>
        <v>Searching the reward cart (wintertodt)</v>
      </c>
      <c r="C455" s="207">
        <v>20720.0</v>
      </c>
      <c r="D455" s="6" t="str">
        <f>VLOOKUP($C455, 'List of log slots'!$A:$E, 2, FALSE)</f>
        <v>Bruma torch</v>
      </c>
      <c r="E455" s="207">
        <f>VLOOKUP($C455, 'List of log slots'!$A:$E, 5, FALSE)</f>
        <v>3</v>
      </c>
      <c r="F455" s="213" t="b">
        <f>VLOOKUP(C455, 'List of log slots'!$A:$C, 3, FALSE)</f>
        <v>0</v>
      </c>
      <c r="G455" s="209" t="b">
        <f t="shared" si="234"/>
        <v>0</v>
      </c>
      <c r="H455" s="209" t="b">
        <f t="shared" si="7"/>
        <v>1</v>
      </c>
      <c r="I455" s="208" t="b">
        <f t="shared" ref="I455:J455" si="235">FALSE</f>
        <v>0</v>
      </c>
      <c r="J455" s="208" t="b">
        <f t="shared" si="235"/>
        <v>0</v>
      </c>
      <c r="K455" s="214">
        <v>150.0</v>
      </c>
      <c r="L455" s="212" t="str">
        <f t="shared" si="3"/>
        <v>n/a</v>
      </c>
      <c r="M455" s="212" t="str">
        <f t="shared" si="4"/>
        <v>n/a</v>
      </c>
      <c r="N455" s="207" t="str">
        <f t="shared" si="5"/>
        <v>n/a</v>
      </c>
      <c r="O455" s="207">
        <f t="shared" si="6"/>
        <v>0.006666666667</v>
      </c>
    </row>
    <row r="456" ht="15.75" customHeight="1">
      <c r="A456" s="207">
        <v>57.0</v>
      </c>
      <c r="B456" s="6" t="str">
        <f>VLOOKUP($A456, 'Completion rates'!$A:$E, 2, FALSE)</f>
        <v>Defeating yama (duo)</v>
      </c>
      <c r="C456" s="207">
        <v>30888.0</v>
      </c>
      <c r="D456" s="6" t="str">
        <f>VLOOKUP($C456, 'List of log slots'!$A:$E, 2, FALSE)</f>
        <v>Yami</v>
      </c>
      <c r="E456" s="207">
        <f>VLOOKUP($C456, 'List of log slots'!$A:$E, 5, FALSE)</f>
        <v>7</v>
      </c>
      <c r="F456" s="208" t="b">
        <f>VLOOKUP(C456, 'List of log slots'!$A:$C, 3, FALSE)</f>
        <v>0</v>
      </c>
      <c r="G456" s="209" t="b">
        <f t="shared" si="234"/>
        <v>0</v>
      </c>
      <c r="H456" s="210" t="b">
        <f t="shared" si="7"/>
        <v>1</v>
      </c>
      <c r="I456" s="208" t="b">
        <f t="shared" ref="I456:J456" si="236">FALSE</f>
        <v>0</v>
      </c>
      <c r="J456" s="208" t="b">
        <f t="shared" si="236"/>
        <v>0</v>
      </c>
      <c r="K456" s="214">
        <v>2500.0</v>
      </c>
      <c r="L456" s="212" t="str">
        <f t="shared" si="3"/>
        <v>n/a</v>
      </c>
      <c r="M456" s="212" t="str">
        <f t="shared" si="4"/>
        <v>n/a</v>
      </c>
      <c r="N456" s="207" t="str">
        <f t="shared" si="5"/>
        <v>n/a</v>
      </c>
      <c r="O456" s="207">
        <f t="shared" si="6"/>
        <v>0.0004</v>
      </c>
    </row>
    <row r="457" ht="15.75" customHeight="1">
      <c r="A457" s="207">
        <v>57.0</v>
      </c>
      <c r="B457" s="6" t="str">
        <f>VLOOKUP($A457, 'Completion rates'!$A:$E, 2, FALSE)</f>
        <v>Defeating yama (duo)</v>
      </c>
      <c r="C457" s="207">
        <v>30775.0</v>
      </c>
      <c r="D457" s="6" t="str">
        <f>VLOOKUP($C457, 'List of log slots'!$A:$E, 2, FALSE)</f>
        <v>Chasm teleport scroll</v>
      </c>
      <c r="E457" s="207">
        <f>VLOOKUP($C457, 'List of log slots'!$A:$E, 5, FALSE)</f>
        <v>5</v>
      </c>
      <c r="F457" s="208" t="b">
        <f>VLOOKUP(C457, 'List of log slots'!$A:$C, 3, FALSE)</f>
        <v>0</v>
      </c>
      <c r="G457" s="209" t="b">
        <f t="shared" si="234"/>
        <v>0</v>
      </c>
      <c r="H457" s="210" t="b">
        <f t="shared" si="7"/>
        <v>1</v>
      </c>
      <c r="I457" s="208" t="b">
        <f t="shared" ref="I457:J457" si="237">FALSE</f>
        <v>0</v>
      </c>
      <c r="J457" s="208" t="b">
        <f t="shared" si="237"/>
        <v>0</v>
      </c>
      <c r="K457" s="214">
        <v>21.0</v>
      </c>
      <c r="L457" s="212" t="str">
        <f t="shared" si="3"/>
        <v>n/a</v>
      </c>
      <c r="M457" s="212" t="str">
        <f t="shared" si="4"/>
        <v>n/a</v>
      </c>
      <c r="N457" s="207" t="str">
        <f t="shared" si="5"/>
        <v>n/a</v>
      </c>
      <c r="O457" s="207">
        <f t="shared" si="6"/>
        <v>0.04761904762</v>
      </c>
    </row>
    <row r="458" ht="15.75" customHeight="1">
      <c r="A458" s="207">
        <v>57.0</v>
      </c>
      <c r="B458" s="6" t="str">
        <f>VLOOKUP($A458, 'Completion rates'!$A:$E, 2, FALSE)</f>
        <v>Defeating yama (duo)</v>
      </c>
      <c r="C458" s="207">
        <v>30750.0</v>
      </c>
      <c r="D458" s="6" t="str">
        <f>VLOOKUP($C458, 'List of log slots'!$A:$E, 2, FALSE)</f>
        <v>Oathplate helm</v>
      </c>
      <c r="E458" s="207">
        <f>VLOOKUP($C458, 'List of log slots'!$A:$E, 5, FALSE)</f>
        <v>6</v>
      </c>
      <c r="F458" s="208" t="b">
        <f>VLOOKUP(C458, 'List of log slots'!$A:$C, 3, FALSE)</f>
        <v>0</v>
      </c>
      <c r="G458" s="209" t="b">
        <f t="shared" si="234"/>
        <v>0</v>
      </c>
      <c r="H458" s="210" t="b">
        <f t="shared" si="7"/>
        <v>1</v>
      </c>
      <c r="I458" s="208" t="b">
        <f t="shared" ref="I458:J458" si="238">FALSE</f>
        <v>0</v>
      </c>
      <c r="J458" s="208" t="b">
        <f t="shared" si="238"/>
        <v>0</v>
      </c>
      <c r="K458" s="214">
        <v>1100.0</v>
      </c>
      <c r="L458" s="212" t="str">
        <f t="shared" si="3"/>
        <v>n/a</v>
      </c>
      <c r="M458" s="212" t="str">
        <f t="shared" si="4"/>
        <v>n/a</v>
      </c>
      <c r="N458" s="207" t="str">
        <f t="shared" si="5"/>
        <v>n/a</v>
      </c>
      <c r="O458" s="207">
        <f t="shared" si="6"/>
        <v>0.0009090909091</v>
      </c>
    </row>
    <row r="459" ht="15.75" customHeight="1">
      <c r="A459" s="207">
        <v>57.0</v>
      </c>
      <c r="B459" s="6" t="str">
        <f>VLOOKUP($A459, 'Completion rates'!$A:$E, 2, FALSE)</f>
        <v>Defeating yama (duo)</v>
      </c>
      <c r="C459" s="207">
        <v>30753.0</v>
      </c>
      <c r="D459" s="6" t="str">
        <f>VLOOKUP($C459, 'List of log slots'!$A:$E, 2, FALSE)</f>
        <v>Oathplate chest</v>
      </c>
      <c r="E459" s="207">
        <f>VLOOKUP($C459, 'List of log slots'!$A:$E, 5, FALSE)</f>
        <v>6</v>
      </c>
      <c r="F459" s="208" t="b">
        <f>VLOOKUP(C459, 'List of log slots'!$A:$C, 3, FALSE)</f>
        <v>0</v>
      </c>
      <c r="G459" s="209" t="b">
        <f t="shared" si="234"/>
        <v>0</v>
      </c>
      <c r="H459" s="210" t="b">
        <f t="shared" si="7"/>
        <v>1</v>
      </c>
      <c r="I459" s="208" t="b">
        <f t="shared" ref="I459:J459" si="239">FALSE</f>
        <v>0</v>
      </c>
      <c r="J459" s="208" t="b">
        <f t="shared" si="239"/>
        <v>0</v>
      </c>
      <c r="K459" s="214">
        <v>1100.0</v>
      </c>
      <c r="L459" s="212" t="str">
        <f t="shared" si="3"/>
        <v>n/a</v>
      </c>
      <c r="M459" s="212" t="str">
        <f t="shared" si="4"/>
        <v>n/a</v>
      </c>
      <c r="N459" s="207" t="str">
        <f t="shared" si="5"/>
        <v>n/a</v>
      </c>
      <c r="O459" s="207">
        <f t="shared" si="6"/>
        <v>0.0009090909091</v>
      </c>
    </row>
    <row r="460" ht="15.75" customHeight="1">
      <c r="A460" s="207">
        <v>57.0</v>
      </c>
      <c r="B460" s="6" t="str">
        <f>VLOOKUP($A460, 'Completion rates'!$A:$E, 2, FALSE)</f>
        <v>Defeating yama (duo)</v>
      </c>
      <c r="C460" s="207">
        <v>30756.0</v>
      </c>
      <c r="D460" s="6" t="str">
        <f>VLOOKUP($C460, 'List of log slots'!$A:$E, 2, FALSE)</f>
        <v>Oathplate legs</v>
      </c>
      <c r="E460" s="207">
        <f>VLOOKUP($C460, 'List of log slots'!$A:$E, 5, FALSE)</f>
        <v>6</v>
      </c>
      <c r="F460" s="208" t="b">
        <f>VLOOKUP(C460, 'List of log slots'!$A:$C, 3, FALSE)</f>
        <v>0</v>
      </c>
      <c r="G460" s="209" t="b">
        <f t="shared" si="234"/>
        <v>0</v>
      </c>
      <c r="H460" s="210" t="b">
        <f t="shared" si="7"/>
        <v>1</v>
      </c>
      <c r="I460" s="208" t="b">
        <f t="shared" ref="I460:J460" si="240">FALSE</f>
        <v>0</v>
      </c>
      <c r="J460" s="208" t="b">
        <f t="shared" si="240"/>
        <v>0</v>
      </c>
      <c r="K460" s="214">
        <v>1100.0</v>
      </c>
      <c r="L460" s="212" t="str">
        <f t="shared" si="3"/>
        <v>n/a</v>
      </c>
      <c r="M460" s="212" t="str">
        <f t="shared" si="4"/>
        <v>n/a</v>
      </c>
      <c r="N460" s="207" t="str">
        <f t="shared" si="5"/>
        <v>n/a</v>
      </c>
      <c r="O460" s="207">
        <f t="shared" si="6"/>
        <v>0.0009090909091</v>
      </c>
    </row>
    <row r="461" ht="15.75" customHeight="1">
      <c r="A461" s="207">
        <v>57.0</v>
      </c>
      <c r="B461" s="6" t="str">
        <f>VLOOKUP($A461, 'Completion rates'!$A:$E, 2, FALSE)</f>
        <v>Defeating yama (duo)</v>
      </c>
      <c r="C461" s="207">
        <v>30759.0</v>
      </c>
      <c r="D461" s="6" t="str">
        <f>VLOOKUP($C461, 'List of log slots'!$A:$E, 2, FALSE)</f>
        <v>Soulflame horn</v>
      </c>
      <c r="E461" s="207">
        <f>VLOOKUP($C461, 'List of log slots'!$A:$E, 5, FALSE)</f>
        <v>6</v>
      </c>
      <c r="F461" s="208" t="b">
        <f>VLOOKUP(C461, 'List of log slots'!$A:$C, 3, FALSE)</f>
        <v>0</v>
      </c>
      <c r="G461" s="209" t="b">
        <f t="shared" si="234"/>
        <v>0</v>
      </c>
      <c r="H461" s="210" t="b">
        <f t="shared" si="7"/>
        <v>1</v>
      </c>
      <c r="I461" s="208" t="b">
        <f t="shared" ref="I461:J461" si="241">FALSE</f>
        <v>0</v>
      </c>
      <c r="J461" s="208" t="b">
        <f t="shared" si="241"/>
        <v>0</v>
      </c>
      <c r="K461" s="214">
        <v>600.0</v>
      </c>
      <c r="L461" s="212" t="str">
        <f t="shared" si="3"/>
        <v>n/a</v>
      </c>
      <c r="M461" s="212" t="str">
        <f t="shared" si="4"/>
        <v>n/a</v>
      </c>
      <c r="N461" s="207" t="str">
        <f t="shared" si="5"/>
        <v>n/a</v>
      </c>
      <c r="O461" s="207">
        <f t="shared" si="6"/>
        <v>0.001666666667</v>
      </c>
    </row>
    <row r="462" ht="15.75" customHeight="1">
      <c r="A462" s="207">
        <v>57.0</v>
      </c>
      <c r="B462" s="6" t="str">
        <f>VLOOKUP($A462, 'Completion rates'!$A:$E, 2, FALSE)</f>
        <v>Defeating yama (duo)</v>
      </c>
      <c r="C462" s="207">
        <v>30765.0</v>
      </c>
      <c r="D462" s="6" t="str">
        <f>VLOOKUP($C462, 'List of log slots'!$A:$E, 2, FALSE)</f>
        <v>Oathplate shards</v>
      </c>
      <c r="E462" s="207">
        <f>VLOOKUP($C462, 'List of log slots'!$A:$E, 5, FALSE)</f>
        <v>5</v>
      </c>
      <c r="F462" s="208" t="b">
        <f>VLOOKUP(C462, 'List of log slots'!$A:$C, 3, FALSE)</f>
        <v>0</v>
      </c>
      <c r="G462" s="209" t="b">
        <f t="shared" si="234"/>
        <v>0</v>
      </c>
      <c r="H462" s="210" t="b">
        <f t="shared" si="7"/>
        <v>1</v>
      </c>
      <c r="I462" s="208" t="b">
        <f t="shared" ref="I462:J462" si="242">FALSE</f>
        <v>0</v>
      </c>
      <c r="J462" s="208" t="b">
        <f t="shared" si="242"/>
        <v>0</v>
      </c>
      <c r="K462" s="214">
        <v>30.0</v>
      </c>
      <c r="L462" s="212" t="str">
        <f t="shared" si="3"/>
        <v>n/a</v>
      </c>
      <c r="M462" s="212" t="str">
        <f t="shared" si="4"/>
        <v>n/a</v>
      </c>
      <c r="N462" s="207" t="str">
        <f t="shared" si="5"/>
        <v>n/a</v>
      </c>
      <c r="O462" s="207">
        <f t="shared" si="6"/>
        <v>0.03333333333</v>
      </c>
    </row>
    <row r="463" ht="15.75" customHeight="1">
      <c r="A463" s="207">
        <v>57.0</v>
      </c>
      <c r="B463" s="6" t="str">
        <f>VLOOKUP($A463, 'Completion rates'!$A:$E, 2, FALSE)</f>
        <v>Defeating yama (duo)</v>
      </c>
      <c r="C463" s="207">
        <v>30806.0</v>
      </c>
      <c r="D463" s="6" t="str">
        <f>VLOOKUP($C463, 'List of log slots'!$A:$E, 2, FALSE)</f>
        <v>Rite of vile transference</v>
      </c>
      <c r="E463" s="207">
        <f>VLOOKUP($C463, 'List of log slots'!$A:$E, 5, FALSE)</f>
        <v>6</v>
      </c>
      <c r="F463" s="208" t="b">
        <f>VLOOKUP(C463, 'List of log slots'!$A:$C, 3, FALSE)</f>
        <v>0</v>
      </c>
      <c r="G463" s="209" t="b">
        <f t="shared" si="234"/>
        <v>0</v>
      </c>
      <c r="H463" s="210" t="b">
        <f t="shared" si="7"/>
        <v>1</v>
      </c>
      <c r="I463" s="213" t="b">
        <f>TRUE</f>
        <v>1</v>
      </c>
      <c r="J463" s="208" t="b">
        <f>FALSE</f>
        <v>0</v>
      </c>
      <c r="K463" s="214">
        <v>100.0</v>
      </c>
      <c r="L463" s="212" t="str">
        <f t="shared" si="3"/>
        <v>n/a</v>
      </c>
      <c r="M463" s="212">
        <f t="shared" si="4"/>
        <v>100</v>
      </c>
      <c r="N463" s="207" t="str">
        <f t="shared" si="5"/>
        <v>n/a</v>
      </c>
      <c r="O463" s="207" t="str">
        <f t="shared" si="6"/>
        <v>n/a</v>
      </c>
    </row>
    <row r="464" ht="15.75" customHeight="1">
      <c r="A464" s="207">
        <v>57.0</v>
      </c>
      <c r="B464" s="6" t="str">
        <f>VLOOKUP($A464, 'Completion rates'!$A:$E, 2, FALSE)</f>
        <v>Defeating yama (duo)</v>
      </c>
      <c r="C464" s="207">
        <v>30806.0</v>
      </c>
      <c r="D464" s="6" t="str">
        <f>VLOOKUP($C464, 'List of log slots'!$A:$E, 2, FALSE)</f>
        <v>Rite of vile transference</v>
      </c>
      <c r="E464" s="207">
        <f>VLOOKUP($C464, 'List of log slots'!$A:$E, 5, FALSE)</f>
        <v>6</v>
      </c>
      <c r="F464" s="208" t="b">
        <f>VLOOKUP(C464, 'List of log slots'!$A:$C, 3, FALSE)</f>
        <v>0</v>
      </c>
      <c r="G464" s="209" t="b">
        <f t="shared" si="234"/>
        <v>0</v>
      </c>
      <c r="H464" s="210" t="b">
        <f t="shared" si="7"/>
        <v>1</v>
      </c>
      <c r="I464" s="208" t="b">
        <f t="shared" ref="I464:J464" si="243">FALSE</f>
        <v>0</v>
      </c>
      <c r="J464" s="208" t="b">
        <f t="shared" si="243"/>
        <v>0</v>
      </c>
      <c r="K464" s="214">
        <v>180.0</v>
      </c>
      <c r="L464" s="212" t="str">
        <f t="shared" si="3"/>
        <v>n/a</v>
      </c>
      <c r="M464" s="212" t="str">
        <f t="shared" si="4"/>
        <v>n/a</v>
      </c>
      <c r="N464" s="207" t="str">
        <f t="shared" si="5"/>
        <v>n/a</v>
      </c>
      <c r="O464" s="207">
        <f t="shared" si="6"/>
        <v>0.005555555556</v>
      </c>
    </row>
    <row r="465" ht="15.75" customHeight="1">
      <c r="A465" s="207">
        <v>57.0</v>
      </c>
      <c r="B465" s="6" t="str">
        <f>VLOOKUP($A465, 'Completion rates'!$A:$E, 2, FALSE)</f>
        <v>Defeating yama (duo)</v>
      </c>
      <c r="C465" s="207">
        <v>30763.0</v>
      </c>
      <c r="D465" s="6" t="str">
        <f>VLOOKUP($C465, 'List of log slots'!$A:$E, 2, FALSE)</f>
        <v>Forgotten lockbox</v>
      </c>
      <c r="E465" s="207">
        <f>VLOOKUP($C465, 'List of log slots'!$A:$E, 5, FALSE)</f>
        <v>5</v>
      </c>
      <c r="F465" s="208" t="b">
        <f>VLOOKUP(C465, 'List of log slots'!$A:$C, 3, FALSE)</f>
        <v>0</v>
      </c>
      <c r="G465" s="209" t="b">
        <f t="shared" si="234"/>
        <v>0</v>
      </c>
      <c r="H465" s="210" t="b">
        <f t="shared" si="7"/>
        <v>1</v>
      </c>
      <c r="I465" s="208" t="b">
        <f t="shared" ref="I465:J465" si="244">FALSE</f>
        <v>0</v>
      </c>
      <c r="J465" s="208" t="b">
        <f t="shared" si="244"/>
        <v>0</v>
      </c>
      <c r="K465" s="214">
        <v>33.0</v>
      </c>
      <c r="L465" s="212" t="str">
        <f t="shared" si="3"/>
        <v>n/a</v>
      </c>
      <c r="M465" s="212" t="str">
        <f t="shared" si="4"/>
        <v>n/a</v>
      </c>
      <c r="N465" s="207" t="str">
        <f t="shared" si="5"/>
        <v>n/a</v>
      </c>
      <c r="O465" s="207">
        <f t="shared" si="6"/>
        <v>0.0303030303</v>
      </c>
    </row>
    <row r="466" ht="15.75" customHeight="1">
      <c r="A466" s="207">
        <v>57.0</v>
      </c>
      <c r="B466" s="6" t="str">
        <f>VLOOKUP($A466, 'Completion rates'!$A:$E, 2, FALSE)</f>
        <v>Defeating yama (duo)</v>
      </c>
      <c r="C466" s="207">
        <v>30805.0</v>
      </c>
      <c r="D466" s="6" t="str">
        <f>VLOOKUP($C466, 'List of log slots'!$A:$E, 2, FALSE)</f>
        <v>Dossier</v>
      </c>
      <c r="E466" s="207">
        <f>VLOOKUP($C466, 'List of log slots'!$A:$E, 5, FALSE)</f>
        <v>5</v>
      </c>
      <c r="F466" s="208" t="b">
        <f>VLOOKUP(C466, 'List of log slots'!$A:$C, 3, FALSE)</f>
        <v>0</v>
      </c>
      <c r="G466" s="209" t="b">
        <f t="shared" si="234"/>
        <v>0</v>
      </c>
      <c r="H466" s="210" t="b">
        <f t="shared" si="7"/>
        <v>1</v>
      </c>
      <c r="I466" s="208" t="b">
        <f t="shared" ref="I466:J466" si="245">FALSE</f>
        <v>0</v>
      </c>
      <c r="J466" s="208" t="b">
        <f t="shared" si="245"/>
        <v>0</v>
      </c>
      <c r="K466" s="214">
        <v>12.0</v>
      </c>
      <c r="L466" s="212" t="str">
        <f t="shared" si="3"/>
        <v>n/a</v>
      </c>
      <c r="M466" s="212" t="str">
        <f t="shared" si="4"/>
        <v>n/a</v>
      </c>
      <c r="N466" s="207" t="str">
        <f t="shared" si="5"/>
        <v>n/a</v>
      </c>
      <c r="O466" s="207">
        <f t="shared" si="6"/>
        <v>0.08333333333</v>
      </c>
    </row>
    <row r="467" ht="15.75" customHeight="1">
      <c r="A467" s="207">
        <v>57.0</v>
      </c>
      <c r="B467" s="6" t="str">
        <f>VLOOKUP($A467, 'Completion rates'!$A:$E, 2, FALSE)</f>
        <v>Defeating yama (duo)</v>
      </c>
      <c r="C467" s="207">
        <v>30795.0</v>
      </c>
      <c r="D467" s="6" t="str">
        <f>VLOOKUP($C467, 'List of log slots'!$A:$E, 2, FALSE)</f>
        <v>Barrel of demonic tallow (full)</v>
      </c>
      <c r="E467" s="207">
        <f>VLOOKUP($C467, 'List of log slots'!$A:$E, 5, FALSE)</f>
        <v>5</v>
      </c>
      <c r="F467" s="208" t="b">
        <f>VLOOKUP(C467, 'List of log slots'!$A:$C, 3, FALSE)</f>
        <v>0</v>
      </c>
      <c r="G467" s="209" t="b">
        <f t="shared" si="234"/>
        <v>0</v>
      </c>
      <c r="H467" s="210" t="b">
        <f t="shared" si="7"/>
        <v>1</v>
      </c>
      <c r="I467" s="208" t="b">
        <f t="shared" ref="I467:J467" si="246">FALSE</f>
        <v>0</v>
      </c>
      <c r="J467" s="208" t="b">
        <f t="shared" si="246"/>
        <v>0</v>
      </c>
      <c r="K467" s="214">
        <v>19.0</v>
      </c>
      <c r="L467" s="212" t="str">
        <f t="shared" si="3"/>
        <v>n/a</v>
      </c>
      <c r="M467" s="212" t="str">
        <f t="shared" si="4"/>
        <v>n/a</v>
      </c>
      <c r="N467" s="207" t="str">
        <f t="shared" si="5"/>
        <v>n/a</v>
      </c>
      <c r="O467" s="207">
        <f t="shared" si="6"/>
        <v>0.05263157895</v>
      </c>
    </row>
    <row r="468" ht="15.75" customHeight="1">
      <c r="A468" s="207">
        <v>58.0</v>
      </c>
      <c r="B468" s="6" t="str">
        <f>VLOOKUP($A468, 'Completion rates'!$A:$E, 2, FALSE)</f>
        <v>Killing zalcano (1-down teams)</v>
      </c>
      <c r="C468" s="207">
        <v>6571.0</v>
      </c>
      <c r="D468" s="6" t="str">
        <f>VLOOKUP($C468, 'List of log slots'!$A:$E, 2, FALSE)</f>
        <v>Uncut onyx</v>
      </c>
      <c r="E468" s="207">
        <f>VLOOKUP($C468, 'List of log slots'!$A:$E, 5, FALSE)</f>
        <v>6</v>
      </c>
      <c r="F468" s="213" t="b">
        <f>VLOOKUP(C468, 'List of log slots'!$A:$C, 3, FALSE)</f>
        <v>0</v>
      </c>
      <c r="G468" s="209" t="b">
        <f t="shared" si="234"/>
        <v>0</v>
      </c>
      <c r="H468" s="209" t="b">
        <f t="shared" si="7"/>
        <v>1</v>
      </c>
      <c r="I468" s="208" t="b">
        <f t="shared" ref="I468:J468" si="247">FALSE</f>
        <v>0</v>
      </c>
      <c r="J468" s="208" t="b">
        <f t="shared" si="247"/>
        <v>0</v>
      </c>
      <c r="K468" s="214">
        <v>8000.0</v>
      </c>
      <c r="L468" s="212" t="str">
        <f t="shared" si="3"/>
        <v>n/a</v>
      </c>
      <c r="M468" s="212" t="str">
        <f t="shared" si="4"/>
        <v>n/a</v>
      </c>
      <c r="N468" s="207" t="str">
        <f t="shared" si="5"/>
        <v>n/a</v>
      </c>
      <c r="O468" s="207">
        <f t="shared" si="6"/>
        <v>0.000125</v>
      </c>
    </row>
    <row r="469" ht="15.75" customHeight="1">
      <c r="A469" s="207">
        <v>58.0</v>
      </c>
      <c r="B469" s="6" t="str">
        <f>VLOOKUP($A469, 'Completion rates'!$A:$E, 2, FALSE)</f>
        <v>Killing zalcano (1-down teams)</v>
      </c>
      <c r="C469" s="207">
        <v>23760.0</v>
      </c>
      <c r="D469" s="6" t="str">
        <f>VLOOKUP($C469, 'List of log slots'!$A:$E, 2, FALSE)</f>
        <v>Smolcano</v>
      </c>
      <c r="E469" s="207">
        <f>VLOOKUP($C469, 'List of log slots'!$A:$E, 5, FALSE)</f>
        <v>7</v>
      </c>
      <c r="F469" s="208" t="b">
        <f>VLOOKUP(C469, 'List of log slots'!$A:$C, 3, FALSE)</f>
        <v>0</v>
      </c>
      <c r="G469" s="209" t="b">
        <f t="shared" si="234"/>
        <v>0</v>
      </c>
      <c r="H469" s="210" t="b">
        <f t="shared" si="7"/>
        <v>1</v>
      </c>
      <c r="I469" s="208" t="b">
        <f t="shared" ref="I469:J469" si="248">FALSE</f>
        <v>0</v>
      </c>
      <c r="J469" s="208" t="b">
        <f t="shared" si="248"/>
        <v>0</v>
      </c>
      <c r="K469" s="214">
        <v>2250.0</v>
      </c>
      <c r="L469" s="212" t="str">
        <f t="shared" si="3"/>
        <v>n/a</v>
      </c>
      <c r="M469" s="212" t="str">
        <f t="shared" si="4"/>
        <v>n/a</v>
      </c>
      <c r="N469" s="207" t="str">
        <f t="shared" si="5"/>
        <v>n/a</v>
      </c>
      <c r="O469" s="207">
        <f t="shared" si="6"/>
        <v>0.0004444444444</v>
      </c>
    </row>
    <row r="470" ht="15.75" customHeight="1">
      <c r="A470" s="207">
        <v>58.0</v>
      </c>
      <c r="B470" s="6" t="str">
        <f>VLOOKUP($A470, 'Completion rates'!$A:$E, 2, FALSE)</f>
        <v>Killing zalcano (1-down teams)</v>
      </c>
      <c r="C470" s="207">
        <v>23953.0</v>
      </c>
      <c r="D470" s="6" t="str">
        <f>VLOOKUP($C470, 'List of log slots'!$A:$E, 2, FALSE)</f>
        <v>Crystal tool seed</v>
      </c>
      <c r="E470" s="207">
        <f>VLOOKUP($C470, 'List of log slots'!$A:$E, 5, FALSE)</f>
        <v>6</v>
      </c>
      <c r="F470" s="213" t="b">
        <f>VLOOKUP(C470, 'List of log slots'!$A:$C, 3, FALSE)</f>
        <v>0</v>
      </c>
      <c r="G470" s="209" t="b">
        <f t="shared" si="234"/>
        <v>0</v>
      </c>
      <c r="H470" s="209" t="b">
        <f t="shared" si="7"/>
        <v>1</v>
      </c>
      <c r="I470" s="208" t="b">
        <f t="shared" ref="I470:J470" si="249">FALSE</f>
        <v>0</v>
      </c>
      <c r="J470" s="208" t="b">
        <f t="shared" si="249"/>
        <v>0</v>
      </c>
      <c r="K470" s="214">
        <v>800.0</v>
      </c>
      <c r="L470" s="212" t="str">
        <f t="shared" si="3"/>
        <v>n/a</v>
      </c>
      <c r="M470" s="212" t="str">
        <f t="shared" si="4"/>
        <v>n/a</v>
      </c>
      <c r="N470" s="207" t="str">
        <f t="shared" si="5"/>
        <v>n/a</v>
      </c>
      <c r="O470" s="207">
        <f t="shared" si="6"/>
        <v>0.00125</v>
      </c>
    </row>
    <row r="471" ht="15.75" customHeight="1">
      <c r="A471" s="207">
        <v>58.0</v>
      </c>
      <c r="B471" s="6" t="str">
        <f>VLOOKUP($A471, 'Completion rates'!$A:$E, 2, FALSE)</f>
        <v>Killing zalcano (1-down teams)</v>
      </c>
      <c r="C471" s="207">
        <v>23908.0</v>
      </c>
      <c r="D471" s="6" t="str">
        <f>VLOOKUP($C471, 'List of log slots'!$A:$E, 2, FALSE)</f>
        <v>Zalcano shard</v>
      </c>
      <c r="E471" s="207">
        <f>VLOOKUP($C471, 'List of log slots'!$A:$E, 5, FALSE)</f>
        <v>6</v>
      </c>
      <c r="F471" s="208" t="b">
        <f>VLOOKUP(C471, 'List of log slots'!$A:$C, 3, FALSE)</f>
        <v>0</v>
      </c>
      <c r="G471" s="209" t="b">
        <f t="shared" si="234"/>
        <v>0</v>
      </c>
      <c r="H471" s="210" t="b">
        <f t="shared" si="7"/>
        <v>1</v>
      </c>
      <c r="I471" s="208" t="b">
        <f t="shared" ref="I471:J471" si="250">FALSE</f>
        <v>0</v>
      </c>
      <c r="J471" s="208" t="b">
        <f t="shared" si="250"/>
        <v>0</v>
      </c>
      <c r="K471" s="214">
        <v>1250.0</v>
      </c>
      <c r="L471" s="212" t="str">
        <f t="shared" si="3"/>
        <v>n/a</v>
      </c>
      <c r="M471" s="212" t="str">
        <f t="shared" si="4"/>
        <v>n/a</v>
      </c>
      <c r="N471" s="207" t="str">
        <f t="shared" si="5"/>
        <v>n/a</v>
      </c>
      <c r="O471" s="207">
        <f t="shared" si="6"/>
        <v>0.0008</v>
      </c>
    </row>
    <row r="472" ht="15.75" customHeight="1">
      <c r="A472" s="207">
        <v>59.0</v>
      </c>
      <c r="B472" s="6" t="str">
        <f>VLOOKUP($A472, 'Completion rates'!$A:$E, 2, FALSE)</f>
        <v>Killing zulrah</v>
      </c>
      <c r="C472" s="207">
        <v>6571.0</v>
      </c>
      <c r="D472" s="6" t="str">
        <f>VLOOKUP($C472, 'List of log slots'!$A:$E, 2, FALSE)</f>
        <v>Uncut onyx</v>
      </c>
      <c r="E472" s="207">
        <f>VLOOKUP($C472, 'List of log slots'!$A:$E, 5, FALSE)</f>
        <v>6</v>
      </c>
      <c r="F472" s="213" t="b">
        <f>VLOOKUP(C472, 'List of log slots'!$A:$C, 3, FALSE)</f>
        <v>0</v>
      </c>
      <c r="G472" s="209" t="b">
        <f t="shared" si="234"/>
        <v>0</v>
      </c>
      <c r="H472" s="209" t="b">
        <f t="shared" si="7"/>
        <v>1</v>
      </c>
      <c r="I472" s="208" t="b">
        <f t="shared" ref="I472:J472" si="251">FALSE</f>
        <v>0</v>
      </c>
      <c r="J472" s="208" t="b">
        <f t="shared" si="251"/>
        <v>0</v>
      </c>
      <c r="K472" s="214">
        <v>512.0</v>
      </c>
      <c r="L472" s="212" t="str">
        <f t="shared" si="3"/>
        <v>n/a</v>
      </c>
      <c r="M472" s="212" t="str">
        <f t="shared" si="4"/>
        <v>n/a</v>
      </c>
      <c r="N472" s="207" t="str">
        <f t="shared" si="5"/>
        <v>n/a</v>
      </c>
      <c r="O472" s="207">
        <f t="shared" si="6"/>
        <v>0.001953125</v>
      </c>
    </row>
    <row r="473" ht="15.75" customHeight="1">
      <c r="A473" s="207">
        <v>59.0</v>
      </c>
      <c r="B473" s="6" t="str">
        <f>VLOOKUP($A473, 'Completion rates'!$A:$E, 2, FALSE)</f>
        <v>Killing zulrah</v>
      </c>
      <c r="C473" s="207">
        <v>12921.0</v>
      </c>
      <c r="D473" s="6" t="str">
        <f>VLOOKUP($C473, 'List of log slots'!$A:$E, 2, FALSE)</f>
        <v>Pet snakeling</v>
      </c>
      <c r="E473" s="207">
        <f>VLOOKUP($C473, 'List of log slots'!$A:$E, 5, FALSE)</f>
        <v>7</v>
      </c>
      <c r="F473" s="208" t="b">
        <f>VLOOKUP(C473, 'List of log slots'!$A:$C, 3, FALSE)</f>
        <v>0</v>
      </c>
      <c r="G473" s="209" t="b">
        <f t="shared" si="234"/>
        <v>0</v>
      </c>
      <c r="H473" s="210" t="b">
        <f t="shared" si="7"/>
        <v>1</v>
      </c>
      <c r="I473" s="208" t="b">
        <f t="shared" ref="I473:J473" si="252">FALSE</f>
        <v>0</v>
      </c>
      <c r="J473" s="208" t="b">
        <f t="shared" si="252"/>
        <v>0</v>
      </c>
      <c r="K473" s="214">
        <v>4000.0</v>
      </c>
      <c r="L473" s="212" t="str">
        <f t="shared" si="3"/>
        <v>n/a</v>
      </c>
      <c r="M473" s="212" t="str">
        <f t="shared" si="4"/>
        <v>n/a</v>
      </c>
      <c r="N473" s="207" t="str">
        <f t="shared" si="5"/>
        <v>n/a</v>
      </c>
      <c r="O473" s="207">
        <f t="shared" si="6"/>
        <v>0.00025</v>
      </c>
    </row>
    <row r="474" ht="15.75" customHeight="1">
      <c r="A474" s="207">
        <v>59.0</v>
      </c>
      <c r="B474" s="6" t="str">
        <f>VLOOKUP($A474, 'Completion rates'!$A:$E, 2, FALSE)</f>
        <v>Killing zulrah</v>
      </c>
      <c r="C474" s="207">
        <v>13200.0</v>
      </c>
      <c r="D474" s="6" t="str">
        <f>VLOOKUP($C474, 'List of log slots'!$A:$E, 2, FALSE)</f>
        <v>Tanzanite mutagen</v>
      </c>
      <c r="E474" s="207">
        <f>VLOOKUP($C474, 'List of log slots'!$A:$E, 5, FALSE)</f>
        <v>7</v>
      </c>
      <c r="F474" s="208" t="b">
        <f>VLOOKUP(C474, 'List of log slots'!$A:$C, 3, FALSE)</f>
        <v>0</v>
      </c>
      <c r="G474" s="209" t="b">
        <f t="shared" si="234"/>
        <v>0</v>
      </c>
      <c r="H474" s="210" t="b">
        <f t="shared" si="7"/>
        <v>1</v>
      </c>
      <c r="I474" s="208" t="b">
        <f t="shared" ref="I474:J474" si="253">FALSE</f>
        <v>0</v>
      </c>
      <c r="J474" s="208" t="b">
        <f t="shared" si="253"/>
        <v>0</v>
      </c>
      <c r="K474" s="214">
        <v>6553.0</v>
      </c>
      <c r="L474" s="212" t="str">
        <f t="shared" si="3"/>
        <v>n/a</v>
      </c>
      <c r="M474" s="212" t="str">
        <f t="shared" si="4"/>
        <v>n/a</v>
      </c>
      <c r="N474" s="207" t="str">
        <f t="shared" si="5"/>
        <v>n/a</v>
      </c>
      <c r="O474" s="207">
        <f t="shared" si="6"/>
        <v>0.0001526018617</v>
      </c>
    </row>
    <row r="475" ht="15.75" customHeight="1">
      <c r="A475" s="207">
        <v>59.0</v>
      </c>
      <c r="B475" s="6" t="str">
        <f>VLOOKUP($A475, 'Completion rates'!$A:$E, 2, FALSE)</f>
        <v>Killing zulrah</v>
      </c>
      <c r="C475" s="207">
        <v>13201.0</v>
      </c>
      <c r="D475" s="6" t="str">
        <f>VLOOKUP($C475, 'List of log slots'!$A:$E, 2, FALSE)</f>
        <v>Magma mutagen</v>
      </c>
      <c r="E475" s="207">
        <f>VLOOKUP($C475, 'List of log slots'!$A:$E, 5, FALSE)</f>
        <v>7</v>
      </c>
      <c r="F475" s="208" t="b">
        <f>VLOOKUP(C475, 'List of log slots'!$A:$C, 3, FALSE)</f>
        <v>0</v>
      </c>
      <c r="G475" s="209" t="b">
        <f t="shared" si="234"/>
        <v>0</v>
      </c>
      <c r="H475" s="210" t="b">
        <f t="shared" si="7"/>
        <v>1</v>
      </c>
      <c r="I475" s="208" t="b">
        <f t="shared" ref="I475:J475" si="254">FALSE</f>
        <v>0</v>
      </c>
      <c r="J475" s="208" t="b">
        <f t="shared" si="254"/>
        <v>0</v>
      </c>
      <c r="K475" s="214">
        <v>6553.0</v>
      </c>
      <c r="L475" s="212" t="str">
        <f t="shared" si="3"/>
        <v>n/a</v>
      </c>
      <c r="M475" s="212" t="str">
        <f t="shared" si="4"/>
        <v>n/a</v>
      </c>
      <c r="N475" s="207" t="str">
        <f t="shared" si="5"/>
        <v>n/a</v>
      </c>
      <c r="O475" s="207">
        <f t="shared" si="6"/>
        <v>0.0001526018617</v>
      </c>
    </row>
    <row r="476" ht="15.75" customHeight="1">
      <c r="A476" s="207">
        <v>59.0</v>
      </c>
      <c r="B476" s="6" t="str">
        <f>VLOOKUP($A476, 'Completion rates'!$A:$E, 2, FALSE)</f>
        <v>Killing zulrah</v>
      </c>
      <c r="C476" s="207">
        <v>12936.0</v>
      </c>
      <c r="D476" s="6" t="str">
        <f>VLOOKUP($C476, 'List of log slots'!$A:$E, 2, FALSE)</f>
        <v>Jar of swamp</v>
      </c>
      <c r="E476" s="207">
        <f>VLOOKUP($C476, 'List of log slots'!$A:$E, 5, FALSE)</f>
        <v>7</v>
      </c>
      <c r="F476" s="208" t="b">
        <f>VLOOKUP(C476, 'List of log slots'!$A:$C, 3, FALSE)</f>
        <v>0</v>
      </c>
      <c r="G476" s="209" t="b">
        <f t="shared" si="234"/>
        <v>0</v>
      </c>
      <c r="H476" s="210" t="b">
        <f t="shared" si="7"/>
        <v>1</v>
      </c>
      <c r="I476" s="208" t="b">
        <f t="shared" ref="I476:J476" si="255">FALSE</f>
        <v>0</v>
      </c>
      <c r="J476" s="208" t="b">
        <f t="shared" si="255"/>
        <v>0</v>
      </c>
      <c r="K476" s="214">
        <v>3000.0</v>
      </c>
      <c r="L476" s="212" t="str">
        <f t="shared" si="3"/>
        <v>n/a</v>
      </c>
      <c r="M476" s="212" t="str">
        <f t="shared" si="4"/>
        <v>n/a</v>
      </c>
      <c r="N476" s="207" t="str">
        <f t="shared" si="5"/>
        <v>n/a</v>
      </c>
      <c r="O476" s="207">
        <f t="shared" si="6"/>
        <v>0.0003333333333</v>
      </c>
    </row>
    <row r="477" ht="15.75" customHeight="1">
      <c r="A477" s="207">
        <v>59.0</v>
      </c>
      <c r="B477" s="6" t="str">
        <f>VLOOKUP($A477, 'Completion rates'!$A:$E, 2, FALSE)</f>
        <v>Killing zulrah</v>
      </c>
      <c r="C477" s="207">
        <v>12932.0</v>
      </c>
      <c r="D477" s="6" t="str">
        <f>VLOOKUP($C477, 'List of log slots'!$A:$E, 2, FALSE)</f>
        <v>Magic fang</v>
      </c>
      <c r="E477" s="207">
        <f>VLOOKUP($C477, 'List of log slots'!$A:$E, 5, FALSE)</f>
        <v>5</v>
      </c>
      <c r="F477" s="213" t="b">
        <f>VLOOKUP(C477, 'List of log slots'!$A:$C, 3, FALSE)</f>
        <v>0</v>
      </c>
      <c r="G477" s="209" t="b">
        <f t="shared" si="234"/>
        <v>0</v>
      </c>
      <c r="H477" s="209" t="b">
        <f t="shared" si="7"/>
        <v>1</v>
      </c>
      <c r="I477" s="208" t="b">
        <f t="shared" ref="I477:J477" si="256">FALSE</f>
        <v>0</v>
      </c>
      <c r="J477" s="208" t="b">
        <f t="shared" si="256"/>
        <v>0</v>
      </c>
      <c r="K477" s="214">
        <v>512.0</v>
      </c>
      <c r="L477" s="212" t="str">
        <f t="shared" si="3"/>
        <v>n/a</v>
      </c>
      <c r="M477" s="212" t="str">
        <f t="shared" si="4"/>
        <v>n/a</v>
      </c>
      <c r="N477" s="207" t="str">
        <f t="shared" si="5"/>
        <v>n/a</v>
      </c>
      <c r="O477" s="207">
        <f t="shared" si="6"/>
        <v>0.001953125</v>
      </c>
    </row>
    <row r="478" ht="15.75" customHeight="1">
      <c r="A478" s="207">
        <v>59.0</v>
      </c>
      <c r="B478" s="6" t="str">
        <f>VLOOKUP($A478, 'Completion rates'!$A:$E, 2, FALSE)</f>
        <v>Killing zulrah</v>
      </c>
      <c r="C478" s="207">
        <v>12927.0</v>
      </c>
      <c r="D478" s="6" t="str">
        <f>VLOOKUP($C478, 'List of log slots'!$A:$E, 2, FALSE)</f>
        <v>Serpentine visage</v>
      </c>
      <c r="E478" s="207">
        <f>VLOOKUP($C478, 'List of log slots'!$A:$E, 5, FALSE)</f>
        <v>5</v>
      </c>
      <c r="F478" s="208" t="b">
        <f>VLOOKUP(C478, 'List of log slots'!$A:$C, 3, FALSE)</f>
        <v>0</v>
      </c>
      <c r="G478" s="209" t="b">
        <f t="shared" si="234"/>
        <v>0</v>
      </c>
      <c r="H478" s="210" t="b">
        <f t="shared" si="7"/>
        <v>1</v>
      </c>
      <c r="I478" s="208" t="b">
        <f t="shared" ref="I478:J478" si="257">FALSE</f>
        <v>0</v>
      </c>
      <c r="J478" s="208" t="b">
        <f t="shared" si="257"/>
        <v>0</v>
      </c>
      <c r="K478" s="214">
        <v>512.0</v>
      </c>
      <c r="L478" s="212" t="str">
        <f t="shared" si="3"/>
        <v>n/a</v>
      </c>
      <c r="M478" s="212" t="str">
        <f t="shared" si="4"/>
        <v>n/a</v>
      </c>
      <c r="N478" s="207" t="str">
        <f t="shared" si="5"/>
        <v>n/a</v>
      </c>
      <c r="O478" s="207">
        <f t="shared" si="6"/>
        <v>0.001953125</v>
      </c>
    </row>
    <row r="479" ht="15.75" customHeight="1">
      <c r="A479" s="207">
        <v>59.0</v>
      </c>
      <c r="B479" s="6" t="str">
        <f>VLOOKUP($A479, 'Completion rates'!$A:$E, 2, FALSE)</f>
        <v>Killing zulrah</v>
      </c>
      <c r="C479" s="207">
        <v>12922.0</v>
      </c>
      <c r="D479" s="6" t="str">
        <f>VLOOKUP($C479, 'List of log slots'!$A:$E, 2, FALSE)</f>
        <v>Tanzanite fang</v>
      </c>
      <c r="E479" s="207">
        <f>VLOOKUP($C479, 'List of log slots'!$A:$E, 5, FALSE)</f>
        <v>5</v>
      </c>
      <c r="F479" s="208" t="b">
        <f>VLOOKUP(C479, 'List of log slots'!$A:$C, 3, FALSE)</f>
        <v>0</v>
      </c>
      <c r="G479" s="209" t="b">
        <f t="shared" si="234"/>
        <v>0</v>
      </c>
      <c r="H479" s="210" t="b">
        <f t="shared" si="7"/>
        <v>1</v>
      </c>
      <c r="I479" s="208" t="b">
        <f t="shared" ref="I479:J479" si="258">FALSE</f>
        <v>0</v>
      </c>
      <c r="J479" s="208" t="b">
        <f t="shared" si="258"/>
        <v>0</v>
      </c>
      <c r="K479" s="214">
        <v>512.0</v>
      </c>
      <c r="L479" s="212" t="str">
        <f t="shared" si="3"/>
        <v>n/a</v>
      </c>
      <c r="M479" s="212" t="str">
        <f t="shared" si="4"/>
        <v>n/a</v>
      </c>
      <c r="N479" s="207" t="str">
        <f t="shared" si="5"/>
        <v>n/a</v>
      </c>
      <c r="O479" s="207">
        <f t="shared" si="6"/>
        <v>0.001953125</v>
      </c>
    </row>
    <row r="480" ht="15.75" customHeight="1">
      <c r="A480" s="207">
        <v>59.0</v>
      </c>
      <c r="B480" s="6" t="str">
        <f>VLOOKUP($A480, 'Completion rates'!$A:$E, 2, FALSE)</f>
        <v>Killing zulrah</v>
      </c>
      <c r="C480" s="207">
        <v>12938.0</v>
      </c>
      <c r="D480" s="6" t="str">
        <f>VLOOKUP($C480, 'List of log slots'!$A:$E, 2, FALSE)</f>
        <v>Zul-andra teleport</v>
      </c>
      <c r="E480" s="207">
        <f>VLOOKUP($C480, 'List of log slots'!$A:$E, 5, FALSE)</f>
        <v>4</v>
      </c>
      <c r="F480" s="213" t="b">
        <f>VLOOKUP(C480, 'List of log slots'!$A:$C, 3, FALSE)</f>
        <v>0</v>
      </c>
      <c r="G480" s="209" t="b">
        <f t="shared" si="234"/>
        <v>0</v>
      </c>
      <c r="H480" s="209" t="b">
        <f t="shared" si="7"/>
        <v>1</v>
      </c>
      <c r="I480" s="208" t="b">
        <f t="shared" ref="I480:J480" si="259">FALSE</f>
        <v>0</v>
      </c>
      <c r="J480" s="208" t="b">
        <f t="shared" si="259"/>
        <v>0</v>
      </c>
      <c r="K480" s="214">
        <v>10.0</v>
      </c>
      <c r="L480" s="212" t="str">
        <f t="shared" si="3"/>
        <v>n/a</v>
      </c>
      <c r="M480" s="212" t="str">
        <f t="shared" si="4"/>
        <v>n/a</v>
      </c>
      <c r="N480" s="207" t="str">
        <f t="shared" si="5"/>
        <v>n/a</v>
      </c>
      <c r="O480" s="207">
        <f t="shared" si="6"/>
        <v>0.1</v>
      </c>
    </row>
    <row r="481" ht="15.75" customHeight="1">
      <c r="A481" s="207">
        <v>59.0</v>
      </c>
      <c r="B481" s="6" t="str">
        <f>VLOOKUP($A481, 'Completion rates'!$A:$E, 2, FALSE)</f>
        <v>Killing zulrah</v>
      </c>
      <c r="C481" s="207">
        <v>12934.0</v>
      </c>
      <c r="D481" s="6" t="str">
        <f>VLOOKUP($C481, 'List of log slots'!$A:$E, 2, FALSE)</f>
        <v>Zulrah's scales</v>
      </c>
      <c r="E481" s="207">
        <f>VLOOKUP($C481, 'List of log slots'!$A:$E, 5, FALSE)</f>
        <v>4</v>
      </c>
      <c r="F481" s="213" t="b">
        <f>VLOOKUP(C481, 'List of log slots'!$A:$C, 3, FALSE)</f>
        <v>0</v>
      </c>
      <c r="G481" s="209" t="b">
        <f t="shared" si="234"/>
        <v>0</v>
      </c>
      <c r="H481" s="209" t="b">
        <f t="shared" si="7"/>
        <v>1</v>
      </c>
      <c r="I481" s="213" t="b">
        <f>TRUE</f>
        <v>1</v>
      </c>
      <c r="J481" s="208" t="b">
        <f>FALSE</f>
        <v>0</v>
      </c>
      <c r="K481" s="214">
        <v>1.0</v>
      </c>
      <c r="L481" s="212" t="str">
        <f t="shared" si="3"/>
        <v>n/a</v>
      </c>
      <c r="M481" s="212">
        <f t="shared" si="4"/>
        <v>1</v>
      </c>
      <c r="N481" s="207" t="str">
        <f t="shared" si="5"/>
        <v>n/a</v>
      </c>
      <c r="O481" s="207" t="str">
        <f t="shared" si="6"/>
        <v>n/a</v>
      </c>
    </row>
    <row r="482" ht="15.75" customHeight="1">
      <c r="A482" s="207">
        <v>60.0</v>
      </c>
      <c r="B482" s="6" t="str">
        <f>VLOOKUP($A482, 'Completion rates'!$A:$E, 2, FALSE)</f>
        <v>Ancient chest (chambers of xeric)</v>
      </c>
      <c r="C482" s="207">
        <v>20851.0</v>
      </c>
      <c r="D482" s="6" t="str">
        <f>VLOOKUP($C482, 'List of log slots'!$A:$E, 2, FALSE)</f>
        <v>Olmlet</v>
      </c>
      <c r="E482" s="207">
        <f>VLOOKUP($C482, 'List of log slots'!$A:$E, 5, FALSE)</f>
        <v>8</v>
      </c>
      <c r="F482" s="208" t="b">
        <f>VLOOKUP(C482, 'List of log slots'!$A:$C, 3, FALSE)</f>
        <v>0</v>
      </c>
      <c r="G482" s="209" t="b">
        <f t="shared" si="234"/>
        <v>0</v>
      </c>
      <c r="H482" s="210" t="b">
        <f t="shared" si="7"/>
        <v>1</v>
      </c>
      <c r="I482" s="208" t="b">
        <f t="shared" ref="I482:J482" si="260">FALSE</f>
        <v>0</v>
      </c>
      <c r="J482" s="208" t="b">
        <f t="shared" si="260"/>
        <v>0</v>
      </c>
      <c r="K482" s="214">
        <v>2304.0</v>
      </c>
      <c r="L482" s="212" t="str">
        <f t="shared" si="3"/>
        <v>n/a</v>
      </c>
      <c r="M482" s="212" t="str">
        <f t="shared" si="4"/>
        <v>n/a</v>
      </c>
      <c r="N482" s="207" t="str">
        <f t="shared" si="5"/>
        <v>n/a</v>
      </c>
      <c r="O482" s="207">
        <f t="shared" si="6"/>
        <v>0.0004340277778</v>
      </c>
    </row>
    <row r="483" ht="15.75" customHeight="1">
      <c r="A483" s="207">
        <v>60.0</v>
      </c>
      <c r="B483" s="6" t="str">
        <f>VLOOKUP($A483, 'Completion rates'!$A:$E, 2, FALSE)</f>
        <v>Ancient chest (chambers of xeric)</v>
      </c>
      <c r="C483" s="207">
        <v>20997.0</v>
      </c>
      <c r="D483" s="6" t="str">
        <f>VLOOKUP($C483, 'List of log slots'!$A:$E, 2, FALSE)</f>
        <v>Twisted bow</v>
      </c>
      <c r="E483" s="207">
        <f>VLOOKUP($C483, 'List of log slots'!$A:$E, 5, FALSE)</f>
        <v>8</v>
      </c>
      <c r="F483" s="208" t="b">
        <f>VLOOKUP(C483, 'List of log slots'!$A:$C, 3, FALSE)</f>
        <v>0</v>
      </c>
      <c r="G483" s="209" t="b">
        <f t="shared" si="234"/>
        <v>0</v>
      </c>
      <c r="H483" s="210" t="b">
        <f t="shared" si="7"/>
        <v>1</v>
      </c>
      <c r="I483" s="208" t="b">
        <f t="shared" ref="I483:J483" si="261">FALSE</f>
        <v>0</v>
      </c>
      <c r="J483" s="208" t="b">
        <f t="shared" si="261"/>
        <v>0</v>
      </c>
      <c r="K483" s="214">
        <v>1500.0</v>
      </c>
      <c r="L483" s="212" t="str">
        <f t="shared" si="3"/>
        <v>n/a</v>
      </c>
      <c r="M483" s="212" t="str">
        <f t="shared" si="4"/>
        <v>n/a</v>
      </c>
      <c r="N483" s="207" t="str">
        <f t="shared" si="5"/>
        <v>n/a</v>
      </c>
      <c r="O483" s="207">
        <f t="shared" si="6"/>
        <v>0.0006666666667</v>
      </c>
    </row>
    <row r="484" ht="15.75" customHeight="1">
      <c r="A484" s="207">
        <v>60.0</v>
      </c>
      <c r="B484" s="6" t="str">
        <f>VLOOKUP($A484, 'Completion rates'!$A:$E, 2, FALSE)</f>
        <v>Ancient chest (chambers of xeric)</v>
      </c>
      <c r="C484" s="207">
        <v>21003.0</v>
      </c>
      <c r="D484" s="6" t="str">
        <f>VLOOKUP($C484, 'List of log slots'!$A:$E, 2, FALSE)</f>
        <v>Elder maul</v>
      </c>
      <c r="E484" s="207">
        <f>VLOOKUP($C484, 'List of log slots'!$A:$E, 5, FALSE)</f>
        <v>8</v>
      </c>
      <c r="F484" s="208" t="b">
        <f>VLOOKUP(C484, 'List of log slots'!$A:$C, 3, FALSE)</f>
        <v>0</v>
      </c>
      <c r="G484" s="209" t="b">
        <f t="shared" si="234"/>
        <v>0</v>
      </c>
      <c r="H484" s="210" t="b">
        <f t="shared" si="7"/>
        <v>1</v>
      </c>
      <c r="I484" s="208" t="b">
        <f t="shared" ref="I484:J484" si="262">FALSE</f>
        <v>0</v>
      </c>
      <c r="J484" s="208" t="b">
        <f t="shared" si="262"/>
        <v>0</v>
      </c>
      <c r="K484" s="214">
        <v>1500.0</v>
      </c>
      <c r="L484" s="212" t="str">
        <f t="shared" si="3"/>
        <v>n/a</v>
      </c>
      <c r="M484" s="212" t="str">
        <f t="shared" si="4"/>
        <v>n/a</v>
      </c>
      <c r="N484" s="207" t="str">
        <f t="shared" si="5"/>
        <v>n/a</v>
      </c>
      <c r="O484" s="207">
        <f t="shared" si="6"/>
        <v>0.0006666666667</v>
      </c>
    </row>
    <row r="485" ht="15.75" customHeight="1">
      <c r="A485" s="207">
        <v>60.0</v>
      </c>
      <c r="B485" s="6" t="str">
        <f>VLOOKUP($A485, 'Completion rates'!$A:$E, 2, FALSE)</f>
        <v>Ancient chest (chambers of xeric)</v>
      </c>
      <c r="C485" s="207">
        <v>21043.0</v>
      </c>
      <c r="D485" s="6" t="str">
        <f>VLOOKUP($C485, 'List of log slots'!$A:$E, 2, FALSE)</f>
        <v>Kodai insignia</v>
      </c>
      <c r="E485" s="207">
        <f>VLOOKUP($C485, 'List of log slots'!$A:$E, 5, FALSE)</f>
        <v>8</v>
      </c>
      <c r="F485" s="208" t="b">
        <f>VLOOKUP(C485, 'List of log slots'!$A:$C, 3, FALSE)</f>
        <v>0</v>
      </c>
      <c r="G485" s="209" t="b">
        <f t="shared" si="234"/>
        <v>0</v>
      </c>
      <c r="H485" s="210" t="b">
        <f t="shared" si="7"/>
        <v>1</v>
      </c>
      <c r="I485" s="208" t="b">
        <f t="shared" ref="I485:J485" si="263">FALSE</f>
        <v>0</v>
      </c>
      <c r="J485" s="208" t="b">
        <f t="shared" si="263"/>
        <v>0</v>
      </c>
      <c r="K485" s="214">
        <v>1500.0</v>
      </c>
      <c r="L485" s="212" t="str">
        <f t="shared" si="3"/>
        <v>n/a</v>
      </c>
      <c r="M485" s="212" t="str">
        <f t="shared" si="4"/>
        <v>n/a</v>
      </c>
      <c r="N485" s="207" t="str">
        <f t="shared" si="5"/>
        <v>n/a</v>
      </c>
      <c r="O485" s="207">
        <f t="shared" si="6"/>
        <v>0.0006666666667</v>
      </c>
    </row>
    <row r="486" ht="15.75" customHeight="1">
      <c r="A486" s="207">
        <v>60.0</v>
      </c>
      <c r="B486" s="6" t="str">
        <f>VLOOKUP($A486, 'Completion rates'!$A:$E, 2, FALSE)</f>
        <v>Ancient chest (chambers of xeric)</v>
      </c>
      <c r="C486" s="207">
        <v>13652.0</v>
      </c>
      <c r="D486" s="6" t="str">
        <f>VLOOKUP($C486, 'List of log slots'!$A:$E, 2, FALSE)</f>
        <v>Dragon claws</v>
      </c>
      <c r="E486" s="207">
        <f>VLOOKUP($C486, 'List of log slots'!$A:$E, 5, FALSE)</f>
        <v>7</v>
      </c>
      <c r="F486" s="208" t="b">
        <f>VLOOKUP(C486, 'List of log slots'!$A:$C, 3, FALSE)</f>
        <v>0</v>
      </c>
      <c r="G486" s="209" t="b">
        <f t="shared" si="234"/>
        <v>0</v>
      </c>
      <c r="H486" s="210" t="b">
        <f t="shared" si="7"/>
        <v>1</v>
      </c>
      <c r="I486" s="208" t="b">
        <f t="shared" ref="I486:J486" si="264">FALSE</f>
        <v>0</v>
      </c>
      <c r="J486" s="208" t="b">
        <f t="shared" si="264"/>
        <v>0</v>
      </c>
      <c r="K486" s="214">
        <v>1000.0</v>
      </c>
      <c r="L486" s="212" t="str">
        <f t="shared" si="3"/>
        <v>n/a</v>
      </c>
      <c r="M486" s="212" t="str">
        <f t="shared" si="4"/>
        <v>n/a</v>
      </c>
      <c r="N486" s="207" t="str">
        <f t="shared" si="5"/>
        <v>n/a</v>
      </c>
      <c r="O486" s="207">
        <f t="shared" si="6"/>
        <v>0.001</v>
      </c>
    </row>
    <row r="487" ht="15.75" customHeight="1">
      <c r="A487" s="207">
        <v>60.0</v>
      </c>
      <c r="B487" s="6" t="str">
        <f>VLOOKUP($A487, 'Completion rates'!$A:$E, 2, FALSE)</f>
        <v>Ancient chest (chambers of xeric)</v>
      </c>
      <c r="C487" s="207">
        <v>21018.0</v>
      </c>
      <c r="D487" s="6" t="str">
        <f>VLOOKUP($C487, 'List of log slots'!$A:$E, 2, FALSE)</f>
        <v>Ancestral hat</v>
      </c>
      <c r="E487" s="207">
        <f>VLOOKUP($C487, 'List of log slots'!$A:$E, 5, FALSE)</f>
        <v>7</v>
      </c>
      <c r="F487" s="208" t="b">
        <f>VLOOKUP(C487, 'List of log slots'!$A:$C, 3, FALSE)</f>
        <v>0</v>
      </c>
      <c r="G487" s="209" t="b">
        <f t="shared" si="234"/>
        <v>0</v>
      </c>
      <c r="H487" s="210" t="b">
        <f t="shared" si="7"/>
        <v>1</v>
      </c>
      <c r="I487" s="208" t="b">
        <f t="shared" ref="I487:J487" si="265">FALSE</f>
        <v>0</v>
      </c>
      <c r="J487" s="208" t="b">
        <f t="shared" si="265"/>
        <v>0</v>
      </c>
      <c r="K487" s="214">
        <v>1000.0</v>
      </c>
      <c r="L487" s="212" t="str">
        <f t="shared" si="3"/>
        <v>n/a</v>
      </c>
      <c r="M487" s="212" t="str">
        <f t="shared" si="4"/>
        <v>n/a</v>
      </c>
      <c r="N487" s="207" t="str">
        <f t="shared" si="5"/>
        <v>n/a</v>
      </c>
      <c r="O487" s="207">
        <f t="shared" si="6"/>
        <v>0.001</v>
      </c>
    </row>
    <row r="488" ht="15.75" customHeight="1">
      <c r="A488" s="207">
        <v>60.0</v>
      </c>
      <c r="B488" s="6" t="str">
        <f>VLOOKUP($A488, 'Completion rates'!$A:$E, 2, FALSE)</f>
        <v>Ancient chest (chambers of xeric)</v>
      </c>
      <c r="C488" s="207">
        <v>21021.0</v>
      </c>
      <c r="D488" s="6" t="str">
        <f>VLOOKUP($C488, 'List of log slots'!$A:$E, 2, FALSE)</f>
        <v>Ancestral robe top</v>
      </c>
      <c r="E488" s="207">
        <f>VLOOKUP($C488, 'List of log slots'!$A:$E, 5, FALSE)</f>
        <v>7</v>
      </c>
      <c r="F488" s="208" t="b">
        <f>VLOOKUP(C488, 'List of log slots'!$A:$C, 3, FALSE)</f>
        <v>0</v>
      </c>
      <c r="G488" s="209" t="b">
        <f t="shared" si="234"/>
        <v>0</v>
      </c>
      <c r="H488" s="210" t="b">
        <f t="shared" si="7"/>
        <v>1</v>
      </c>
      <c r="I488" s="208" t="b">
        <f t="shared" ref="I488:J488" si="266">FALSE</f>
        <v>0</v>
      </c>
      <c r="J488" s="208" t="b">
        <f t="shared" si="266"/>
        <v>0</v>
      </c>
      <c r="K488" s="214">
        <v>1000.0</v>
      </c>
      <c r="L488" s="212" t="str">
        <f t="shared" si="3"/>
        <v>n/a</v>
      </c>
      <c r="M488" s="212" t="str">
        <f t="shared" si="4"/>
        <v>n/a</v>
      </c>
      <c r="N488" s="207" t="str">
        <f t="shared" si="5"/>
        <v>n/a</v>
      </c>
      <c r="O488" s="207">
        <f t="shared" si="6"/>
        <v>0.001</v>
      </c>
    </row>
    <row r="489" ht="15.75" customHeight="1">
      <c r="A489" s="207">
        <v>60.0</v>
      </c>
      <c r="B489" s="6" t="str">
        <f>VLOOKUP($A489, 'Completion rates'!$A:$E, 2, FALSE)</f>
        <v>Ancient chest (chambers of xeric)</v>
      </c>
      <c r="C489" s="207">
        <v>21024.0</v>
      </c>
      <c r="D489" s="6" t="str">
        <f>VLOOKUP($C489, 'List of log slots'!$A:$E, 2, FALSE)</f>
        <v>Ancestral robe bottom</v>
      </c>
      <c r="E489" s="207">
        <f>VLOOKUP($C489, 'List of log slots'!$A:$E, 5, FALSE)</f>
        <v>7</v>
      </c>
      <c r="F489" s="208" t="b">
        <f>VLOOKUP(C489, 'List of log slots'!$A:$C, 3, FALSE)</f>
        <v>0</v>
      </c>
      <c r="G489" s="209" t="b">
        <f t="shared" si="234"/>
        <v>0</v>
      </c>
      <c r="H489" s="210" t="b">
        <f t="shared" si="7"/>
        <v>1</v>
      </c>
      <c r="I489" s="208" t="b">
        <f t="shared" ref="I489:J489" si="267">FALSE</f>
        <v>0</v>
      </c>
      <c r="J489" s="208" t="b">
        <f t="shared" si="267"/>
        <v>0</v>
      </c>
      <c r="K489" s="214">
        <v>1000.0</v>
      </c>
      <c r="L489" s="212" t="str">
        <f t="shared" si="3"/>
        <v>n/a</v>
      </c>
      <c r="M489" s="212" t="str">
        <f t="shared" si="4"/>
        <v>n/a</v>
      </c>
      <c r="N489" s="207" t="str">
        <f t="shared" si="5"/>
        <v>n/a</v>
      </c>
      <c r="O489" s="207">
        <f t="shared" si="6"/>
        <v>0.001</v>
      </c>
    </row>
    <row r="490" ht="15.75" customHeight="1">
      <c r="A490" s="207">
        <v>60.0</v>
      </c>
      <c r="B490" s="6" t="str">
        <f>VLOOKUP($A490, 'Completion rates'!$A:$E, 2, FALSE)</f>
        <v>Ancient chest (chambers of xeric)</v>
      </c>
      <c r="C490" s="207">
        <v>21015.0</v>
      </c>
      <c r="D490" s="6" t="str">
        <f>VLOOKUP($C490, 'List of log slots'!$A:$E, 2, FALSE)</f>
        <v>Dinh's bulwark</v>
      </c>
      <c r="E490" s="207">
        <f>VLOOKUP($C490, 'List of log slots'!$A:$E, 5, FALSE)</f>
        <v>7</v>
      </c>
      <c r="F490" s="208" t="b">
        <f>VLOOKUP(C490, 'List of log slots'!$A:$C, 3, FALSE)</f>
        <v>0</v>
      </c>
      <c r="G490" s="209" t="b">
        <f t="shared" si="234"/>
        <v>0</v>
      </c>
      <c r="H490" s="210" t="b">
        <f t="shared" si="7"/>
        <v>1</v>
      </c>
      <c r="I490" s="208" t="b">
        <f t="shared" ref="I490:J490" si="268">FALSE</f>
        <v>0</v>
      </c>
      <c r="J490" s="208" t="b">
        <f t="shared" si="268"/>
        <v>0</v>
      </c>
      <c r="K490" s="214">
        <v>1000.0</v>
      </c>
      <c r="L490" s="212" t="str">
        <f t="shared" si="3"/>
        <v>n/a</v>
      </c>
      <c r="M490" s="212" t="str">
        <f t="shared" si="4"/>
        <v>n/a</v>
      </c>
      <c r="N490" s="207" t="str">
        <f t="shared" si="5"/>
        <v>n/a</v>
      </c>
      <c r="O490" s="207">
        <f t="shared" si="6"/>
        <v>0.001</v>
      </c>
    </row>
    <row r="491" ht="15.75" customHeight="1">
      <c r="A491" s="207">
        <v>60.0</v>
      </c>
      <c r="B491" s="6" t="str">
        <f>VLOOKUP($A491, 'Completion rates'!$A:$E, 2, FALSE)</f>
        <v>Ancient chest (chambers of xeric)</v>
      </c>
      <c r="C491" s="207">
        <v>21034.0</v>
      </c>
      <c r="D491" s="6" t="str">
        <f>VLOOKUP($C491, 'List of log slots'!$A:$E, 2, FALSE)</f>
        <v>Dextrous prayer scroll</v>
      </c>
      <c r="E491" s="207">
        <f>VLOOKUP($C491, 'List of log slots'!$A:$E, 5, FALSE)</f>
        <v>6</v>
      </c>
      <c r="F491" s="208" t="b">
        <f>VLOOKUP(C491, 'List of log slots'!$A:$C, 3, FALSE)</f>
        <v>0</v>
      </c>
      <c r="G491" s="209" t="b">
        <f t="shared" si="234"/>
        <v>0</v>
      </c>
      <c r="H491" s="210" t="b">
        <f t="shared" si="7"/>
        <v>1</v>
      </c>
      <c r="I491" s="208" t="b">
        <f t="shared" ref="I491:J491" si="269">FALSE</f>
        <v>0</v>
      </c>
      <c r="J491" s="208" t="b">
        <f t="shared" si="269"/>
        <v>0</v>
      </c>
      <c r="K491" s="214">
        <v>150.0</v>
      </c>
      <c r="L491" s="212" t="str">
        <f t="shared" si="3"/>
        <v>n/a</v>
      </c>
      <c r="M491" s="212" t="str">
        <f t="shared" si="4"/>
        <v>n/a</v>
      </c>
      <c r="N491" s="207" t="str">
        <f t="shared" si="5"/>
        <v>n/a</v>
      </c>
      <c r="O491" s="207">
        <f t="shared" si="6"/>
        <v>0.006666666667</v>
      </c>
    </row>
    <row r="492" ht="15.75" customHeight="1">
      <c r="A492" s="207">
        <v>60.0</v>
      </c>
      <c r="B492" s="6" t="str">
        <f>VLOOKUP($A492, 'Completion rates'!$A:$E, 2, FALSE)</f>
        <v>Ancient chest (chambers of xeric)</v>
      </c>
      <c r="C492" s="207">
        <v>21079.0</v>
      </c>
      <c r="D492" s="6" t="str">
        <f>VLOOKUP($C492, 'List of log slots'!$A:$E, 2, FALSE)</f>
        <v>Arcane prayer scroll</v>
      </c>
      <c r="E492" s="207">
        <f>VLOOKUP($C492, 'List of log slots'!$A:$E, 5, FALSE)</f>
        <v>6</v>
      </c>
      <c r="F492" s="208" t="b">
        <f>VLOOKUP(C492, 'List of log slots'!$A:$C, 3, FALSE)</f>
        <v>0</v>
      </c>
      <c r="G492" s="209" t="b">
        <f t="shared" si="234"/>
        <v>0</v>
      </c>
      <c r="H492" s="210" t="b">
        <f t="shared" si="7"/>
        <v>1</v>
      </c>
      <c r="I492" s="208" t="b">
        <f t="shared" ref="I492:J492" si="270">FALSE</f>
        <v>0</v>
      </c>
      <c r="J492" s="208" t="b">
        <f t="shared" si="270"/>
        <v>0</v>
      </c>
      <c r="K492" s="214">
        <v>150.0</v>
      </c>
      <c r="L492" s="212" t="str">
        <f t="shared" si="3"/>
        <v>n/a</v>
      </c>
      <c r="M492" s="212" t="str">
        <f t="shared" si="4"/>
        <v>n/a</v>
      </c>
      <c r="N492" s="207" t="str">
        <f t="shared" si="5"/>
        <v>n/a</v>
      </c>
      <c r="O492" s="207">
        <f t="shared" si="6"/>
        <v>0.006666666667</v>
      </c>
    </row>
    <row r="493" ht="15.75" customHeight="1">
      <c r="A493" s="207">
        <v>60.0</v>
      </c>
      <c r="B493" s="6" t="str">
        <f>VLOOKUP($A493, 'Completion rates'!$A:$E, 2, FALSE)</f>
        <v>Ancient chest (chambers of xeric)</v>
      </c>
      <c r="C493" s="207">
        <v>21012.0</v>
      </c>
      <c r="D493" s="6" t="str">
        <f>VLOOKUP($C493, 'List of log slots'!$A:$E, 2, FALSE)</f>
        <v>Dragon hunter crossbow</v>
      </c>
      <c r="E493" s="207">
        <f>VLOOKUP($C493, 'List of log slots'!$A:$E, 5, FALSE)</f>
        <v>7</v>
      </c>
      <c r="F493" s="208" t="b">
        <f>VLOOKUP(C493, 'List of log slots'!$A:$C, 3, FALSE)</f>
        <v>0</v>
      </c>
      <c r="G493" s="209" t="b">
        <f t="shared" si="234"/>
        <v>0</v>
      </c>
      <c r="H493" s="210" t="b">
        <f t="shared" si="7"/>
        <v>1</v>
      </c>
      <c r="I493" s="208" t="b">
        <f t="shared" ref="I493:J493" si="271">FALSE</f>
        <v>0</v>
      </c>
      <c r="J493" s="208" t="b">
        <f t="shared" si="271"/>
        <v>0</v>
      </c>
      <c r="K493" s="214">
        <v>750.0</v>
      </c>
      <c r="L493" s="212" t="str">
        <f t="shared" si="3"/>
        <v>n/a</v>
      </c>
      <c r="M493" s="212" t="str">
        <f t="shared" si="4"/>
        <v>n/a</v>
      </c>
      <c r="N493" s="207" t="str">
        <f t="shared" si="5"/>
        <v>n/a</v>
      </c>
      <c r="O493" s="207">
        <f t="shared" si="6"/>
        <v>0.001333333333</v>
      </c>
    </row>
    <row r="494" ht="15.75" customHeight="1">
      <c r="A494" s="207">
        <v>60.0</v>
      </c>
      <c r="B494" s="6" t="str">
        <f>VLOOKUP($A494, 'Completion rates'!$A:$E, 2, FALSE)</f>
        <v>Ancient chest (chambers of xeric)</v>
      </c>
      <c r="C494" s="207">
        <v>21000.0</v>
      </c>
      <c r="D494" s="6" t="str">
        <f>VLOOKUP($C494, 'List of log slots'!$A:$E, 2, FALSE)</f>
        <v>Twisted buckler</v>
      </c>
      <c r="E494" s="207">
        <f>VLOOKUP($C494, 'List of log slots'!$A:$E, 5, FALSE)</f>
        <v>7</v>
      </c>
      <c r="F494" s="208" t="b">
        <f>VLOOKUP(C494, 'List of log slots'!$A:$C, 3, FALSE)</f>
        <v>0</v>
      </c>
      <c r="G494" s="209" t="b">
        <f t="shared" si="234"/>
        <v>0</v>
      </c>
      <c r="H494" s="210" t="b">
        <f t="shared" si="7"/>
        <v>1</v>
      </c>
      <c r="I494" s="208" t="b">
        <f t="shared" ref="I494:J494" si="272">FALSE</f>
        <v>0</v>
      </c>
      <c r="J494" s="208" t="b">
        <f t="shared" si="272"/>
        <v>0</v>
      </c>
      <c r="K494" s="214">
        <v>750.0</v>
      </c>
      <c r="L494" s="212" t="str">
        <f t="shared" si="3"/>
        <v>n/a</v>
      </c>
      <c r="M494" s="212" t="str">
        <f t="shared" si="4"/>
        <v>n/a</v>
      </c>
      <c r="N494" s="207" t="str">
        <f t="shared" si="5"/>
        <v>n/a</v>
      </c>
      <c r="O494" s="207">
        <f t="shared" si="6"/>
        <v>0.001333333333</v>
      </c>
    </row>
    <row r="495" ht="15.75" customHeight="1">
      <c r="A495" s="207">
        <v>60.0</v>
      </c>
      <c r="B495" s="6" t="str">
        <f>VLOOKUP($A495, 'Completion rates'!$A:$E, 2, FALSE)</f>
        <v>Ancient chest (chambers of xeric)</v>
      </c>
      <c r="C495" s="207">
        <v>21047.0</v>
      </c>
      <c r="D495" s="6" t="str">
        <f>VLOOKUP($C495, 'List of log slots'!$A:$E, 2, FALSE)</f>
        <v>Torn prayer scroll</v>
      </c>
      <c r="E495" s="207">
        <f>VLOOKUP($C495, 'List of log slots'!$A:$E, 5, FALSE)</f>
        <v>5</v>
      </c>
      <c r="F495" s="208" t="b">
        <f>VLOOKUP(C495, 'List of log slots'!$A:$C, 3, FALSE)</f>
        <v>0</v>
      </c>
      <c r="G495" s="209" t="b">
        <f t="shared" si="234"/>
        <v>0</v>
      </c>
      <c r="H495" s="210" t="b">
        <f t="shared" si="7"/>
        <v>1</v>
      </c>
      <c r="I495" s="208" t="b">
        <f t="shared" ref="I495:J495" si="273">FALSE</f>
        <v>0</v>
      </c>
      <c r="J495" s="208" t="b">
        <f t="shared" si="273"/>
        <v>0</v>
      </c>
      <c r="K495" s="214">
        <v>16.0</v>
      </c>
      <c r="L495" s="212" t="str">
        <f t="shared" si="3"/>
        <v>n/a</v>
      </c>
      <c r="M495" s="212" t="str">
        <f t="shared" si="4"/>
        <v>n/a</v>
      </c>
      <c r="N495" s="207" t="str">
        <f t="shared" si="5"/>
        <v>n/a</v>
      </c>
      <c r="O495" s="207">
        <f t="shared" si="6"/>
        <v>0.0625</v>
      </c>
    </row>
    <row r="496" ht="15.75" customHeight="1">
      <c r="A496" s="207">
        <v>60.0</v>
      </c>
      <c r="B496" s="6" t="str">
        <f>VLOOKUP($A496, 'Completion rates'!$A:$E, 2, FALSE)</f>
        <v>Ancient chest (chambers of xeric)</v>
      </c>
      <c r="C496" s="207">
        <v>21027.0</v>
      </c>
      <c r="D496" s="6" t="str">
        <f>VLOOKUP($C496, 'List of log slots'!$A:$E, 2, FALSE)</f>
        <v>Dark relic</v>
      </c>
      <c r="E496" s="207">
        <f>VLOOKUP($C496, 'List of log slots'!$A:$E, 5, FALSE)</f>
        <v>5</v>
      </c>
      <c r="F496" s="208" t="b">
        <f>VLOOKUP(C496, 'List of log slots'!$A:$C, 3, FALSE)</f>
        <v>0</v>
      </c>
      <c r="G496" s="209" t="b">
        <f t="shared" si="234"/>
        <v>0</v>
      </c>
      <c r="H496" s="210" t="b">
        <f t="shared" si="7"/>
        <v>1</v>
      </c>
      <c r="I496" s="208" t="b">
        <f t="shared" ref="I496:J496" si="274">FALSE</f>
        <v>0</v>
      </c>
      <c r="J496" s="208" t="b">
        <f t="shared" si="274"/>
        <v>0</v>
      </c>
      <c r="K496" s="214">
        <v>16.0</v>
      </c>
      <c r="L496" s="212" t="str">
        <f t="shared" si="3"/>
        <v>n/a</v>
      </c>
      <c r="M496" s="212" t="str">
        <f t="shared" si="4"/>
        <v>n/a</v>
      </c>
      <c r="N496" s="207" t="str">
        <f t="shared" si="5"/>
        <v>n/a</v>
      </c>
      <c r="O496" s="207">
        <f t="shared" si="6"/>
        <v>0.0625</v>
      </c>
    </row>
    <row r="497" ht="15.75" customHeight="1">
      <c r="A497" s="207">
        <v>60.0</v>
      </c>
      <c r="B497" s="6" t="str">
        <f>VLOOKUP($A497, 'Completion rates'!$A:$E, 2, FALSE)</f>
        <v>Ancient chest (chambers of xeric)</v>
      </c>
      <c r="C497" s="207">
        <v>6573.0</v>
      </c>
      <c r="D497" s="6" t="str">
        <f>VLOOKUP($C497, 'List of log slots'!$A:$E, 2, FALSE)</f>
        <v>Onyx</v>
      </c>
      <c r="E497" s="207">
        <f>VLOOKUP($C497, 'List of log slots'!$A:$E, 5, FALSE)</f>
        <v>7</v>
      </c>
      <c r="F497" s="208" t="b">
        <f>VLOOKUP(C497, 'List of log slots'!$A:$C, 3, FALSE)</f>
        <v>0</v>
      </c>
      <c r="G497" s="209" t="b">
        <f t="shared" si="234"/>
        <v>0</v>
      </c>
      <c r="H497" s="210" t="b">
        <f t="shared" si="7"/>
        <v>1</v>
      </c>
      <c r="I497" s="208" t="b">
        <f t="shared" ref="I497:J497" si="275">FALSE</f>
        <v>0</v>
      </c>
      <c r="J497" s="208" t="b">
        <f t="shared" si="275"/>
        <v>0</v>
      </c>
      <c r="K497" s="214">
        <v>450.0</v>
      </c>
      <c r="L497" s="212" t="str">
        <f t="shared" si="3"/>
        <v>n/a</v>
      </c>
      <c r="M497" s="212" t="str">
        <f t="shared" si="4"/>
        <v>n/a</v>
      </c>
      <c r="N497" s="207" t="str">
        <f t="shared" si="5"/>
        <v>n/a</v>
      </c>
      <c r="O497" s="207">
        <f t="shared" si="6"/>
        <v>0.002222222222</v>
      </c>
    </row>
    <row r="498" ht="15.75" customHeight="1">
      <c r="A498" s="207">
        <v>61.0</v>
      </c>
      <c r="B498" s="6" t="str">
        <f>VLOOKUP($A498, 'Completion rates'!$A:$E, 2, FALSE)</f>
        <v>Ancient chest (chambers of xeric challenge mode)</v>
      </c>
      <c r="C498" s="207">
        <v>20851.0</v>
      </c>
      <c r="D498" s="6" t="str">
        <f>VLOOKUP($C498, 'List of log slots'!$A:$E, 2, FALSE)</f>
        <v>Olmlet</v>
      </c>
      <c r="E498" s="207">
        <f>VLOOKUP($C498, 'List of log slots'!$A:$E, 5, FALSE)</f>
        <v>8</v>
      </c>
      <c r="F498" s="208" t="b">
        <f>VLOOKUP(C498, 'List of log slots'!$A:$C, 3, FALSE)</f>
        <v>0</v>
      </c>
      <c r="G498" s="209" t="b">
        <f t="shared" si="234"/>
        <v>0</v>
      </c>
      <c r="H498" s="210" t="b">
        <f t="shared" si="7"/>
        <v>1</v>
      </c>
      <c r="I498" s="208" t="b">
        <f t="shared" ref="I498:J498" si="276">FALSE</f>
        <v>0</v>
      </c>
      <c r="J498" s="208" t="b">
        <f t="shared" si="276"/>
        <v>0</v>
      </c>
      <c r="K498" s="214">
        <v>1844.0</v>
      </c>
      <c r="L498" s="212" t="str">
        <f t="shared" si="3"/>
        <v>n/a</v>
      </c>
      <c r="M498" s="212" t="str">
        <f t="shared" si="4"/>
        <v>n/a</v>
      </c>
      <c r="N498" s="207" t="str">
        <f t="shared" si="5"/>
        <v>n/a</v>
      </c>
      <c r="O498" s="207">
        <f t="shared" si="6"/>
        <v>0.0005422993492</v>
      </c>
    </row>
    <row r="499" ht="15.75" customHeight="1">
      <c r="A499" s="207">
        <v>61.0</v>
      </c>
      <c r="B499" s="6" t="str">
        <f>VLOOKUP($A499, 'Completion rates'!$A:$E, 2, FALSE)</f>
        <v>Ancient chest (chambers of xeric challenge mode)</v>
      </c>
      <c r="C499" s="207">
        <v>22386.0</v>
      </c>
      <c r="D499" s="6" t="str">
        <f>VLOOKUP($C499, 'List of log slots'!$A:$E, 2, FALSE)</f>
        <v>Metamorphic dust</v>
      </c>
      <c r="E499" s="207">
        <f>VLOOKUP($C499, 'List of log slots'!$A:$E, 5, FALSE)</f>
        <v>8</v>
      </c>
      <c r="F499" s="208" t="b">
        <f>VLOOKUP(C499, 'List of log slots'!$A:$C, 3, FALSE)</f>
        <v>0</v>
      </c>
      <c r="G499" s="209" t="b">
        <f t="shared" si="234"/>
        <v>0</v>
      </c>
      <c r="H499" s="210" t="b">
        <f t="shared" si="7"/>
        <v>1</v>
      </c>
      <c r="I499" s="208" t="b">
        <f t="shared" ref="I499:J499" si="277">FALSE</f>
        <v>0</v>
      </c>
      <c r="J499" s="208" t="b">
        <f t="shared" si="277"/>
        <v>0</v>
      </c>
      <c r="K499" s="214">
        <v>400.0</v>
      </c>
      <c r="L499" s="212" t="str">
        <f t="shared" si="3"/>
        <v>n/a</v>
      </c>
      <c r="M499" s="212" t="str">
        <f t="shared" si="4"/>
        <v>n/a</v>
      </c>
      <c r="N499" s="207" t="str">
        <f t="shared" si="5"/>
        <v>n/a</v>
      </c>
      <c r="O499" s="207">
        <f t="shared" si="6"/>
        <v>0.0025</v>
      </c>
    </row>
    <row r="500" ht="15.75" customHeight="1">
      <c r="A500" s="207">
        <v>61.0</v>
      </c>
      <c r="B500" s="6" t="str">
        <f>VLOOKUP($A500, 'Completion rates'!$A:$E, 2, FALSE)</f>
        <v>Ancient chest (chambers of xeric challenge mode)</v>
      </c>
      <c r="C500" s="207">
        <v>20997.0</v>
      </c>
      <c r="D500" s="6" t="str">
        <f>VLOOKUP($C500, 'List of log slots'!$A:$E, 2, FALSE)</f>
        <v>Twisted bow</v>
      </c>
      <c r="E500" s="207">
        <f>VLOOKUP($C500, 'List of log slots'!$A:$E, 5, FALSE)</f>
        <v>8</v>
      </c>
      <c r="F500" s="208" t="b">
        <f>VLOOKUP(C500, 'List of log slots'!$A:$C, 3, FALSE)</f>
        <v>0</v>
      </c>
      <c r="G500" s="209" t="b">
        <f t="shared" si="234"/>
        <v>0</v>
      </c>
      <c r="H500" s="210" t="b">
        <f t="shared" si="7"/>
        <v>1</v>
      </c>
      <c r="I500" s="208" t="b">
        <f t="shared" ref="I500:J500" si="278">FALSE</f>
        <v>0</v>
      </c>
      <c r="J500" s="208" t="b">
        <f t="shared" si="278"/>
        <v>0</v>
      </c>
      <c r="K500" s="214">
        <v>1200.0</v>
      </c>
      <c r="L500" s="212" t="str">
        <f t="shared" si="3"/>
        <v>n/a</v>
      </c>
      <c r="M500" s="212" t="str">
        <f t="shared" si="4"/>
        <v>n/a</v>
      </c>
      <c r="N500" s="207" t="str">
        <f t="shared" si="5"/>
        <v>n/a</v>
      </c>
      <c r="O500" s="207">
        <f t="shared" si="6"/>
        <v>0.0008333333333</v>
      </c>
    </row>
    <row r="501" ht="15.75" customHeight="1">
      <c r="A501" s="207">
        <v>61.0</v>
      </c>
      <c r="B501" s="6" t="str">
        <f>VLOOKUP($A501, 'Completion rates'!$A:$E, 2, FALSE)</f>
        <v>Ancient chest (chambers of xeric challenge mode)</v>
      </c>
      <c r="C501" s="207">
        <v>21003.0</v>
      </c>
      <c r="D501" s="6" t="str">
        <f>VLOOKUP($C501, 'List of log slots'!$A:$E, 2, FALSE)</f>
        <v>Elder maul</v>
      </c>
      <c r="E501" s="207">
        <f>VLOOKUP($C501, 'List of log slots'!$A:$E, 5, FALSE)</f>
        <v>8</v>
      </c>
      <c r="F501" s="208" t="b">
        <f>VLOOKUP(C501, 'List of log slots'!$A:$C, 3, FALSE)</f>
        <v>0</v>
      </c>
      <c r="G501" s="209" t="b">
        <f t="shared" si="234"/>
        <v>0</v>
      </c>
      <c r="H501" s="210" t="b">
        <f t="shared" si="7"/>
        <v>1</v>
      </c>
      <c r="I501" s="208" t="b">
        <f t="shared" ref="I501:J501" si="279">FALSE</f>
        <v>0</v>
      </c>
      <c r="J501" s="208" t="b">
        <f t="shared" si="279"/>
        <v>0</v>
      </c>
      <c r="K501" s="214">
        <v>1200.0</v>
      </c>
      <c r="L501" s="212" t="str">
        <f t="shared" si="3"/>
        <v>n/a</v>
      </c>
      <c r="M501" s="212" t="str">
        <f t="shared" si="4"/>
        <v>n/a</v>
      </c>
      <c r="N501" s="207" t="str">
        <f t="shared" si="5"/>
        <v>n/a</v>
      </c>
      <c r="O501" s="207">
        <f t="shared" si="6"/>
        <v>0.0008333333333</v>
      </c>
    </row>
    <row r="502" ht="15.75" customHeight="1">
      <c r="A502" s="207">
        <v>61.0</v>
      </c>
      <c r="B502" s="6" t="str">
        <f>VLOOKUP($A502, 'Completion rates'!$A:$E, 2, FALSE)</f>
        <v>Ancient chest (chambers of xeric challenge mode)</v>
      </c>
      <c r="C502" s="207">
        <v>21043.0</v>
      </c>
      <c r="D502" s="6" t="str">
        <f>VLOOKUP($C502, 'List of log slots'!$A:$E, 2, FALSE)</f>
        <v>Kodai insignia</v>
      </c>
      <c r="E502" s="207">
        <f>VLOOKUP($C502, 'List of log slots'!$A:$E, 5, FALSE)</f>
        <v>8</v>
      </c>
      <c r="F502" s="208" t="b">
        <f>VLOOKUP(C502, 'List of log slots'!$A:$C, 3, FALSE)</f>
        <v>0</v>
      </c>
      <c r="G502" s="209" t="b">
        <f t="shared" si="234"/>
        <v>0</v>
      </c>
      <c r="H502" s="210" t="b">
        <f t="shared" si="7"/>
        <v>1</v>
      </c>
      <c r="I502" s="208" t="b">
        <f t="shared" ref="I502:J502" si="280">FALSE</f>
        <v>0</v>
      </c>
      <c r="J502" s="208" t="b">
        <f t="shared" si="280"/>
        <v>0</v>
      </c>
      <c r="K502" s="214">
        <v>1200.0</v>
      </c>
      <c r="L502" s="212" t="str">
        <f t="shared" si="3"/>
        <v>n/a</v>
      </c>
      <c r="M502" s="212" t="str">
        <f t="shared" si="4"/>
        <v>n/a</v>
      </c>
      <c r="N502" s="207" t="str">
        <f t="shared" si="5"/>
        <v>n/a</v>
      </c>
      <c r="O502" s="207">
        <f t="shared" si="6"/>
        <v>0.0008333333333</v>
      </c>
    </row>
    <row r="503" ht="15.75" customHeight="1">
      <c r="A503" s="207">
        <v>61.0</v>
      </c>
      <c r="B503" s="6" t="str">
        <f>VLOOKUP($A503, 'Completion rates'!$A:$E, 2, FALSE)</f>
        <v>Ancient chest (chambers of xeric challenge mode)</v>
      </c>
      <c r="C503" s="207">
        <v>13652.0</v>
      </c>
      <c r="D503" s="6" t="str">
        <f>VLOOKUP($C503, 'List of log slots'!$A:$E, 2, FALSE)</f>
        <v>Dragon claws</v>
      </c>
      <c r="E503" s="207">
        <f>VLOOKUP($C503, 'List of log slots'!$A:$E, 5, FALSE)</f>
        <v>7</v>
      </c>
      <c r="F503" s="208" t="b">
        <f>VLOOKUP(C503, 'List of log slots'!$A:$C, 3, FALSE)</f>
        <v>0</v>
      </c>
      <c r="G503" s="209" t="b">
        <f t="shared" si="234"/>
        <v>0</v>
      </c>
      <c r="H503" s="210" t="b">
        <f t="shared" si="7"/>
        <v>1</v>
      </c>
      <c r="I503" s="208" t="b">
        <f t="shared" ref="I503:J503" si="281">FALSE</f>
        <v>0</v>
      </c>
      <c r="J503" s="208" t="b">
        <f t="shared" si="281"/>
        <v>0</v>
      </c>
      <c r="K503" s="214">
        <v>800.0</v>
      </c>
      <c r="L503" s="212" t="str">
        <f t="shared" si="3"/>
        <v>n/a</v>
      </c>
      <c r="M503" s="212" t="str">
        <f t="shared" si="4"/>
        <v>n/a</v>
      </c>
      <c r="N503" s="207" t="str">
        <f t="shared" si="5"/>
        <v>n/a</v>
      </c>
      <c r="O503" s="207">
        <f t="shared" si="6"/>
        <v>0.00125</v>
      </c>
    </row>
    <row r="504" ht="15.75" customHeight="1">
      <c r="A504" s="207">
        <v>61.0</v>
      </c>
      <c r="B504" s="6" t="str">
        <f>VLOOKUP($A504, 'Completion rates'!$A:$E, 2, FALSE)</f>
        <v>Ancient chest (chambers of xeric challenge mode)</v>
      </c>
      <c r="C504" s="207">
        <v>21018.0</v>
      </c>
      <c r="D504" s="6" t="str">
        <f>VLOOKUP($C504, 'List of log slots'!$A:$E, 2, FALSE)</f>
        <v>Ancestral hat</v>
      </c>
      <c r="E504" s="207">
        <f>VLOOKUP($C504, 'List of log slots'!$A:$E, 5, FALSE)</f>
        <v>7</v>
      </c>
      <c r="F504" s="208" t="b">
        <f>VLOOKUP(C504, 'List of log slots'!$A:$C, 3, FALSE)</f>
        <v>0</v>
      </c>
      <c r="G504" s="209" t="b">
        <f t="shared" si="234"/>
        <v>0</v>
      </c>
      <c r="H504" s="210" t="b">
        <f t="shared" si="7"/>
        <v>1</v>
      </c>
      <c r="I504" s="208" t="b">
        <f t="shared" ref="I504:J504" si="282">FALSE</f>
        <v>0</v>
      </c>
      <c r="J504" s="208" t="b">
        <f t="shared" si="282"/>
        <v>0</v>
      </c>
      <c r="K504" s="214">
        <v>800.0</v>
      </c>
      <c r="L504" s="212" t="str">
        <f t="shared" si="3"/>
        <v>n/a</v>
      </c>
      <c r="M504" s="212" t="str">
        <f t="shared" si="4"/>
        <v>n/a</v>
      </c>
      <c r="N504" s="207" t="str">
        <f t="shared" si="5"/>
        <v>n/a</v>
      </c>
      <c r="O504" s="207">
        <f t="shared" si="6"/>
        <v>0.00125</v>
      </c>
    </row>
    <row r="505" ht="15.75" customHeight="1">
      <c r="A505" s="207">
        <v>61.0</v>
      </c>
      <c r="B505" s="6" t="str">
        <f>VLOOKUP($A505, 'Completion rates'!$A:$E, 2, FALSE)</f>
        <v>Ancient chest (chambers of xeric challenge mode)</v>
      </c>
      <c r="C505" s="207">
        <v>21021.0</v>
      </c>
      <c r="D505" s="6" t="str">
        <f>VLOOKUP($C505, 'List of log slots'!$A:$E, 2, FALSE)</f>
        <v>Ancestral robe top</v>
      </c>
      <c r="E505" s="207">
        <f>VLOOKUP($C505, 'List of log slots'!$A:$E, 5, FALSE)</f>
        <v>7</v>
      </c>
      <c r="F505" s="208" t="b">
        <f>VLOOKUP(C505, 'List of log slots'!$A:$C, 3, FALSE)</f>
        <v>0</v>
      </c>
      <c r="G505" s="209" t="b">
        <f t="shared" si="234"/>
        <v>0</v>
      </c>
      <c r="H505" s="210" t="b">
        <f t="shared" si="7"/>
        <v>1</v>
      </c>
      <c r="I505" s="208" t="b">
        <f t="shared" ref="I505:J505" si="283">FALSE</f>
        <v>0</v>
      </c>
      <c r="J505" s="208" t="b">
        <f t="shared" si="283"/>
        <v>0</v>
      </c>
      <c r="K505" s="214">
        <v>800.0</v>
      </c>
      <c r="L505" s="212" t="str">
        <f t="shared" si="3"/>
        <v>n/a</v>
      </c>
      <c r="M505" s="212" t="str">
        <f t="shared" si="4"/>
        <v>n/a</v>
      </c>
      <c r="N505" s="207" t="str">
        <f t="shared" si="5"/>
        <v>n/a</v>
      </c>
      <c r="O505" s="207">
        <f t="shared" si="6"/>
        <v>0.00125</v>
      </c>
    </row>
    <row r="506" ht="15.75" customHeight="1">
      <c r="A506" s="207">
        <v>61.0</v>
      </c>
      <c r="B506" s="6" t="str">
        <f>VLOOKUP($A506, 'Completion rates'!$A:$E, 2, FALSE)</f>
        <v>Ancient chest (chambers of xeric challenge mode)</v>
      </c>
      <c r="C506" s="207">
        <v>21024.0</v>
      </c>
      <c r="D506" s="6" t="str">
        <f>VLOOKUP($C506, 'List of log slots'!$A:$E, 2, FALSE)</f>
        <v>Ancestral robe bottom</v>
      </c>
      <c r="E506" s="207">
        <f>VLOOKUP($C506, 'List of log slots'!$A:$E, 5, FALSE)</f>
        <v>7</v>
      </c>
      <c r="F506" s="208" t="b">
        <f>VLOOKUP(C506, 'List of log slots'!$A:$C, 3, FALSE)</f>
        <v>0</v>
      </c>
      <c r="G506" s="209" t="b">
        <f t="shared" si="234"/>
        <v>0</v>
      </c>
      <c r="H506" s="210" t="b">
        <f t="shared" si="7"/>
        <v>1</v>
      </c>
      <c r="I506" s="208" t="b">
        <f t="shared" ref="I506:J506" si="284">FALSE</f>
        <v>0</v>
      </c>
      <c r="J506" s="208" t="b">
        <f t="shared" si="284"/>
        <v>0</v>
      </c>
      <c r="K506" s="214">
        <v>800.0</v>
      </c>
      <c r="L506" s="212" t="str">
        <f t="shared" si="3"/>
        <v>n/a</v>
      </c>
      <c r="M506" s="212" t="str">
        <f t="shared" si="4"/>
        <v>n/a</v>
      </c>
      <c r="N506" s="207" t="str">
        <f t="shared" si="5"/>
        <v>n/a</v>
      </c>
      <c r="O506" s="207">
        <f t="shared" si="6"/>
        <v>0.00125</v>
      </c>
    </row>
    <row r="507" ht="15.75" customHeight="1">
      <c r="A507" s="207">
        <v>61.0</v>
      </c>
      <c r="B507" s="6" t="str">
        <f>VLOOKUP($A507, 'Completion rates'!$A:$E, 2, FALSE)</f>
        <v>Ancient chest (chambers of xeric challenge mode)</v>
      </c>
      <c r="C507" s="207">
        <v>21015.0</v>
      </c>
      <c r="D507" s="6" t="str">
        <f>VLOOKUP($C507, 'List of log slots'!$A:$E, 2, FALSE)</f>
        <v>Dinh's bulwark</v>
      </c>
      <c r="E507" s="207">
        <f>VLOOKUP($C507, 'List of log slots'!$A:$E, 5, FALSE)</f>
        <v>7</v>
      </c>
      <c r="F507" s="208" t="b">
        <f>VLOOKUP(C507, 'List of log slots'!$A:$C, 3, FALSE)</f>
        <v>0</v>
      </c>
      <c r="G507" s="209" t="b">
        <f t="shared" si="234"/>
        <v>0</v>
      </c>
      <c r="H507" s="210" t="b">
        <f t="shared" si="7"/>
        <v>1</v>
      </c>
      <c r="I507" s="208" t="b">
        <f t="shared" ref="I507:J507" si="285">FALSE</f>
        <v>0</v>
      </c>
      <c r="J507" s="208" t="b">
        <f t="shared" si="285"/>
        <v>0</v>
      </c>
      <c r="K507" s="214">
        <v>800.0</v>
      </c>
      <c r="L507" s="212" t="str">
        <f t="shared" si="3"/>
        <v>n/a</v>
      </c>
      <c r="M507" s="212" t="str">
        <f t="shared" si="4"/>
        <v>n/a</v>
      </c>
      <c r="N507" s="207" t="str">
        <f t="shared" si="5"/>
        <v>n/a</v>
      </c>
      <c r="O507" s="207">
        <f t="shared" si="6"/>
        <v>0.00125</v>
      </c>
    </row>
    <row r="508" ht="15.75" customHeight="1">
      <c r="A508" s="207">
        <v>61.0</v>
      </c>
      <c r="B508" s="6" t="str">
        <f>VLOOKUP($A508, 'Completion rates'!$A:$E, 2, FALSE)</f>
        <v>Ancient chest (chambers of xeric challenge mode)</v>
      </c>
      <c r="C508" s="207">
        <v>21034.0</v>
      </c>
      <c r="D508" s="6" t="str">
        <f>VLOOKUP($C508, 'List of log slots'!$A:$E, 2, FALSE)</f>
        <v>Dextrous prayer scroll</v>
      </c>
      <c r="E508" s="207">
        <f>VLOOKUP($C508, 'List of log slots'!$A:$E, 5, FALSE)</f>
        <v>6</v>
      </c>
      <c r="F508" s="208" t="b">
        <f>VLOOKUP(C508, 'List of log slots'!$A:$C, 3, FALSE)</f>
        <v>0</v>
      </c>
      <c r="G508" s="209" t="b">
        <f t="shared" si="234"/>
        <v>0</v>
      </c>
      <c r="H508" s="210" t="b">
        <f t="shared" si="7"/>
        <v>1</v>
      </c>
      <c r="I508" s="208" t="b">
        <f t="shared" ref="I508:J508" si="286">FALSE</f>
        <v>0</v>
      </c>
      <c r="J508" s="208" t="b">
        <f t="shared" si="286"/>
        <v>0</v>
      </c>
      <c r="K508" s="214">
        <v>120.0</v>
      </c>
      <c r="L508" s="212" t="str">
        <f t="shared" si="3"/>
        <v>n/a</v>
      </c>
      <c r="M508" s="212" t="str">
        <f t="shared" si="4"/>
        <v>n/a</v>
      </c>
      <c r="N508" s="207" t="str">
        <f t="shared" si="5"/>
        <v>n/a</v>
      </c>
      <c r="O508" s="207">
        <f t="shared" si="6"/>
        <v>0.008333333333</v>
      </c>
    </row>
    <row r="509" ht="15.75" customHeight="1">
      <c r="A509" s="207">
        <v>61.0</v>
      </c>
      <c r="B509" s="6" t="str">
        <f>VLOOKUP($A509, 'Completion rates'!$A:$E, 2, FALSE)</f>
        <v>Ancient chest (chambers of xeric challenge mode)</v>
      </c>
      <c r="C509" s="207">
        <v>21079.0</v>
      </c>
      <c r="D509" s="6" t="str">
        <f>VLOOKUP($C509, 'List of log slots'!$A:$E, 2, FALSE)</f>
        <v>Arcane prayer scroll</v>
      </c>
      <c r="E509" s="207">
        <f>VLOOKUP($C509, 'List of log slots'!$A:$E, 5, FALSE)</f>
        <v>6</v>
      </c>
      <c r="F509" s="208" t="b">
        <f>VLOOKUP(C509, 'List of log slots'!$A:$C, 3, FALSE)</f>
        <v>0</v>
      </c>
      <c r="G509" s="209" t="b">
        <f t="shared" si="234"/>
        <v>0</v>
      </c>
      <c r="H509" s="210" t="b">
        <f t="shared" si="7"/>
        <v>1</v>
      </c>
      <c r="I509" s="208" t="b">
        <f t="shared" ref="I509:J509" si="287">FALSE</f>
        <v>0</v>
      </c>
      <c r="J509" s="208" t="b">
        <f t="shared" si="287"/>
        <v>0</v>
      </c>
      <c r="K509" s="214">
        <v>120.0</v>
      </c>
      <c r="L509" s="212" t="str">
        <f t="shared" si="3"/>
        <v>n/a</v>
      </c>
      <c r="M509" s="212" t="str">
        <f t="shared" si="4"/>
        <v>n/a</v>
      </c>
      <c r="N509" s="207" t="str">
        <f t="shared" si="5"/>
        <v>n/a</v>
      </c>
      <c r="O509" s="207">
        <f t="shared" si="6"/>
        <v>0.008333333333</v>
      </c>
    </row>
    <row r="510" ht="15.75" customHeight="1">
      <c r="A510" s="207">
        <v>61.0</v>
      </c>
      <c r="B510" s="6" t="str">
        <f>VLOOKUP($A510, 'Completion rates'!$A:$E, 2, FALSE)</f>
        <v>Ancient chest (chambers of xeric challenge mode)</v>
      </c>
      <c r="C510" s="207">
        <v>21012.0</v>
      </c>
      <c r="D510" s="6" t="str">
        <f>VLOOKUP($C510, 'List of log slots'!$A:$E, 2, FALSE)</f>
        <v>Dragon hunter crossbow</v>
      </c>
      <c r="E510" s="207">
        <f>VLOOKUP($C510, 'List of log slots'!$A:$E, 5, FALSE)</f>
        <v>7</v>
      </c>
      <c r="F510" s="208" t="b">
        <f>VLOOKUP(C510, 'List of log slots'!$A:$C, 3, FALSE)</f>
        <v>0</v>
      </c>
      <c r="G510" s="209" t="b">
        <f t="shared" si="234"/>
        <v>0</v>
      </c>
      <c r="H510" s="210" t="b">
        <f t="shared" si="7"/>
        <v>1</v>
      </c>
      <c r="I510" s="208" t="b">
        <f t="shared" ref="I510:J510" si="288">FALSE</f>
        <v>0</v>
      </c>
      <c r="J510" s="208" t="b">
        <f t="shared" si="288"/>
        <v>0</v>
      </c>
      <c r="K510" s="214">
        <v>600.0</v>
      </c>
      <c r="L510" s="212" t="str">
        <f t="shared" si="3"/>
        <v>n/a</v>
      </c>
      <c r="M510" s="212" t="str">
        <f t="shared" si="4"/>
        <v>n/a</v>
      </c>
      <c r="N510" s="207" t="str">
        <f t="shared" si="5"/>
        <v>n/a</v>
      </c>
      <c r="O510" s="207">
        <f t="shared" si="6"/>
        <v>0.001666666667</v>
      </c>
    </row>
    <row r="511" ht="15.75" customHeight="1">
      <c r="A511" s="207">
        <v>61.0</v>
      </c>
      <c r="B511" s="6" t="str">
        <f>VLOOKUP($A511, 'Completion rates'!$A:$E, 2, FALSE)</f>
        <v>Ancient chest (chambers of xeric challenge mode)</v>
      </c>
      <c r="C511" s="207">
        <v>21000.0</v>
      </c>
      <c r="D511" s="6" t="str">
        <f>VLOOKUP($C511, 'List of log slots'!$A:$E, 2, FALSE)</f>
        <v>Twisted buckler</v>
      </c>
      <c r="E511" s="207">
        <f>VLOOKUP($C511, 'List of log slots'!$A:$E, 5, FALSE)</f>
        <v>7</v>
      </c>
      <c r="F511" s="208" t="b">
        <f>VLOOKUP(C511, 'List of log slots'!$A:$C, 3, FALSE)</f>
        <v>0</v>
      </c>
      <c r="G511" s="209" t="b">
        <f t="shared" si="234"/>
        <v>0</v>
      </c>
      <c r="H511" s="210" t="b">
        <f t="shared" si="7"/>
        <v>1</v>
      </c>
      <c r="I511" s="208" t="b">
        <f t="shared" ref="I511:J511" si="289">FALSE</f>
        <v>0</v>
      </c>
      <c r="J511" s="208" t="b">
        <f t="shared" si="289"/>
        <v>0</v>
      </c>
      <c r="K511" s="214">
        <v>600.0</v>
      </c>
      <c r="L511" s="212" t="str">
        <f t="shared" si="3"/>
        <v>n/a</v>
      </c>
      <c r="M511" s="212" t="str">
        <f t="shared" si="4"/>
        <v>n/a</v>
      </c>
      <c r="N511" s="207" t="str">
        <f t="shared" si="5"/>
        <v>n/a</v>
      </c>
      <c r="O511" s="207">
        <f t="shared" si="6"/>
        <v>0.001666666667</v>
      </c>
    </row>
    <row r="512" ht="15.75" customHeight="1">
      <c r="A512" s="207">
        <v>61.0</v>
      </c>
      <c r="B512" s="6" t="str">
        <f>VLOOKUP($A512, 'Completion rates'!$A:$E, 2, FALSE)</f>
        <v>Ancient chest (chambers of xeric challenge mode)</v>
      </c>
      <c r="C512" s="207">
        <v>21047.0</v>
      </c>
      <c r="D512" s="6" t="str">
        <f>VLOOKUP($C512, 'List of log slots'!$A:$E, 2, FALSE)</f>
        <v>Torn prayer scroll</v>
      </c>
      <c r="E512" s="207">
        <f>VLOOKUP($C512, 'List of log slots'!$A:$E, 5, FALSE)</f>
        <v>5</v>
      </c>
      <c r="F512" s="208" t="b">
        <f>VLOOKUP(C512, 'List of log slots'!$A:$C, 3, FALSE)</f>
        <v>0</v>
      </c>
      <c r="G512" s="209" t="b">
        <f t="shared" si="234"/>
        <v>0</v>
      </c>
      <c r="H512" s="210" t="b">
        <f t="shared" si="7"/>
        <v>1</v>
      </c>
      <c r="I512" s="208" t="b">
        <f t="shared" ref="I512:J512" si="290">FALSE</f>
        <v>0</v>
      </c>
      <c r="J512" s="208" t="b">
        <f t="shared" si="290"/>
        <v>0</v>
      </c>
      <c r="K512" s="214">
        <v>32.0</v>
      </c>
      <c r="L512" s="212" t="str">
        <f t="shared" si="3"/>
        <v>n/a</v>
      </c>
      <c r="M512" s="212" t="str">
        <f t="shared" si="4"/>
        <v>n/a</v>
      </c>
      <c r="N512" s="207" t="str">
        <f t="shared" si="5"/>
        <v>n/a</v>
      </c>
      <c r="O512" s="207">
        <f t="shared" si="6"/>
        <v>0.03125</v>
      </c>
    </row>
    <row r="513" ht="15.75" customHeight="1">
      <c r="A513" s="207">
        <v>61.0</v>
      </c>
      <c r="B513" s="6" t="str">
        <f>VLOOKUP($A513, 'Completion rates'!$A:$E, 2, FALSE)</f>
        <v>Ancient chest (chambers of xeric challenge mode)</v>
      </c>
      <c r="C513" s="207">
        <v>21027.0</v>
      </c>
      <c r="D513" s="6" t="str">
        <f>VLOOKUP($C513, 'List of log slots'!$A:$E, 2, FALSE)</f>
        <v>Dark relic</v>
      </c>
      <c r="E513" s="207">
        <f>VLOOKUP($C513, 'List of log slots'!$A:$E, 5, FALSE)</f>
        <v>5</v>
      </c>
      <c r="F513" s="208" t="b">
        <f>VLOOKUP(C513, 'List of log slots'!$A:$C, 3, FALSE)</f>
        <v>0</v>
      </c>
      <c r="G513" s="209" t="b">
        <f t="shared" si="234"/>
        <v>0</v>
      </c>
      <c r="H513" s="210" t="b">
        <f t="shared" si="7"/>
        <v>1</v>
      </c>
      <c r="I513" s="208" t="b">
        <f t="shared" ref="I513:J513" si="291">FALSE</f>
        <v>0</v>
      </c>
      <c r="J513" s="208" t="b">
        <f t="shared" si="291"/>
        <v>0</v>
      </c>
      <c r="K513" s="214">
        <v>32.0</v>
      </c>
      <c r="L513" s="212" t="str">
        <f t="shared" si="3"/>
        <v>n/a</v>
      </c>
      <c r="M513" s="212" t="str">
        <f t="shared" si="4"/>
        <v>n/a</v>
      </c>
      <c r="N513" s="207" t="str">
        <f t="shared" si="5"/>
        <v>n/a</v>
      </c>
      <c r="O513" s="207">
        <f t="shared" si="6"/>
        <v>0.03125</v>
      </c>
    </row>
    <row r="514" ht="15.75" customHeight="1">
      <c r="A514" s="207">
        <v>61.0</v>
      </c>
      <c r="B514" s="6" t="str">
        <f>VLOOKUP($A514, 'Completion rates'!$A:$E, 2, FALSE)</f>
        <v>Ancient chest (chambers of xeric challenge mode)</v>
      </c>
      <c r="C514" s="207">
        <v>6573.0</v>
      </c>
      <c r="D514" s="6" t="str">
        <f>VLOOKUP($C514, 'List of log slots'!$A:$E, 2, FALSE)</f>
        <v>Onyx</v>
      </c>
      <c r="E514" s="207">
        <f>VLOOKUP($C514, 'List of log slots'!$A:$E, 5, FALSE)</f>
        <v>7</v>
      </c>
      <c r="F514" s="208" t="b">
        <f>VLOOKUP(C514, 'List of log slots'!$A:$C, 3, FALSE)</f>
        <v>0</v>
      </c>
      <c r="G514" s="209" t="b">
        <f t="shared" si="234"/>
        <v>0</v>
      </c>
      <c r="H514" s="210" t="b">
        <f t="shared" si="7"/>
        <v>1</v>
      </c>
      <c r="I514" s="208" t="b">
        <f t="shared" ref="I514:J514" si="292">FALSE</f>
        <v>0</v>
      </c>
      <c r="J514" s="208" t="b">
        <f t="shared" si="292"/>
        <v>0</v>
      </c>
      <c r="K514" s="214">
        <v>450.0</v>
      </c>
      <c r="L514" s="212" t="str">
        <f t="shared" si="3"/>
        <v>n/a</v>
      </c>
      <c r="M514" s="212" t="str">
        <f t="shared" si="4"/>
        <v>n/a</v>
      </c>
      <c r="N514" s="207" t="str">
        <f t="shared" si="5"/>
        <v>n/a</v>
      </c>
      <c r="O514" s="207">
        <f t="shared" si="6"/>
        <v>0.002222222222</v>
      </c>
    </row>
    <row r="515" ht="15.75" customHeight="1">
      <c r="A515" s="207">
        <v>61.0</v>
      </c>
      <c r="B515" s="6" t="str">
        <f>VLOOKUP($A515, 'Completion rates'!$A:$E, 2, FALSE)</f>
        <v>Ancient chest (chambers of xeric challenge mode)</v>
      </c>
      <c r="C515" s="207">
        <v>24670.0</v>
      </c>
      <c r="D515" s="6" t="str">
        <f>VLOOKUP($C515, 'List of log slots'!$A:$E, 2, FALSE)</f>
        <v>Twisted ancestral color kit</v>
      </c>
      <c r="E515" s="207">
        <f>VLOOKUP($C515, 'List of log slots'!$A:$E, 5, FALSE)</f>
        <v>7</v>
      </c>
      <c r="F515" s="208" t="b">
        <f>VLOOKUP(C515, 'List of log slots'!$A:$C, 3, FALSE)</f>
        <v>0</v>
      </c>
      <c r="G515" s="209" t="b">
        <f t="shared" si="234"/>
        <v>0</v>
      </c>
      <c r="H515" s="210" t="b">
        <f t="shared" si="7"/>
        <v>1</v>
      </c>
      <c r="I515" s="208" t="b">
        <f t="shared" ref="I515:J515" si="293">FALSE</f>
        <v>0</v>
      </c>
      <c r="J515" s="208" t="b">
        <f t="shared" si="293"/>
        <v>0</v>
      </c>
      <c r="K515" s="214">
        <v>75.0</v>
      </c>
      <c r="L515" s="212" t="str">
        <f t="shared" si="3"/>
        <v>n/a</v>
      </c>
      <c r="M515" s="212" t="str">
        <f t="shared" si="4"/>
        <v>n/a</v>
      </c>
      <c r="N515" s="207" t="str">
        <f t="shared" si="5"/>
        <v>n/a</v>
      </c>
      <c r="O515" s="207">
        <f t="shared" si="6"/>
        <v>0.01333333333</v>
      </c>
    </row>
    <row r="516" ht="15.75" customHeight="1">
      <c r="A516" s="207">
        <v>61.0</v>
      </c>
      <c r="B516" s="6" t="str">
        <f>VLOOKUP($A516, 'Completion rates'!$A:$E, 2, FALSE)</f>
        <v>Ancient chest (chambers of xeric challenge mode)</v>
      </c>
      <c r="C516" s="207">
        <v>22388.0</v>
      </c>
      <c r="D516" s="6" t="str">
        <f>VLOOKUP($C516, 'List of log slots'!$A:$E, 2, FALSE)</f>
        <v>Xeric's guard</v>
      </c>
      <c r="E516" s="207">
        <f>VLOOKUP($C516, 'List of log slots'!$A:$E, 5, FALSE)</f>
        <v>7</v>
      </c>
      <c r="F516" s="208" t="b">
        <f>VLOOKUP(C516, 'List of log slots'!$A:$C, 3, FALSE)</f>
        <v>0</v>
      </c>
      <c r="G516" s="209" t="b">
        <f t="shared" si="234"/>
        <v>0</v>
      </c>
      <c r="H516" s="210" t="b">
        <f t="shared" si="7"/>
        <v>1</v>
      </c>
      <c r="I516" s="213" t="b">
        <f t="shared" ref="I516:I520" si="294">TRUE</f>
        <v>1</v>
      </c>
      <c r="J516" s="208" t="b">
        <f t="shared" ref="J516:J520" si="295">FALSE</f>
        <v>0</v>
      </c>
      <c r="K516" s="214">
        <v>100.0</v>
      </c>
      <c r="L516" s="212" t="str">
        <f t="shared" si="3"/>
        <v>n/a</v>
      </c>
      <c r="M516" s="212">
        <f t="shared" si="4"/>
        <v>100</v>
      </c>
      <c r="N516" s="207" t="str">
        <f t="shared" si="5"/>
        <v>n/a</v>
      </c>
      <c r="O516" s="207" t="str">
        <f t="shared" si="6"/>
        <v>n/a</v>
      </c>
    </row>
    <row r="517" ht="15.75" customHeight="1">
      <c r="A517" s="207">
        <v>61.0</v>
      </c>
      <c r="B517" s="6" t="str">
        <f>VLOOKUP($A517, 'Completion rates'!$A:$E, 2, FALSE)</f>
        <v>Ancient chest (chambers of xeric challenge mode)</v>
      </c>
      <c r="C517" s="207">
        <v>22390.0</v>
      </c>
      <c r="D517" s="6" t="str">
        <f>VLOOKUP($C517, 'List of log slots'!$A:$E, 2, FALSE)</f>
        <v>Xeric's warrior</v>
      </c>
      <c r="E517" s="207">
        <f>VLOOKUP($C517, 'List of log slots'!$A:$E, 5, FALSE)</f>
        <v>8</v>
      </c>
      <c r="F517" s="208" t="b">
        <f>VLOOKUP(C517, 'List of log slots'!$A:$C, 3, FALSE)</f>
        <v>0</v>
      </c>
      <c r="G517" s="210" t="b">
        <f t="shared" ref="G517:G520" si="296">TRUE</f>
        <v>1</v>
      </c>
      <c r="H517" s="209" t="b">
        <f t="shared" si="7"/>
        <v>0</v>
      </c>
      <c r="I517" s="213" t="b">
        <f t="shared" si="294"/>
        <v>1</v>
      </c>
      <c r="J517" s="208" t="b">
        <f t="shared" si="295"/>
        <v>0</v>
      </c>
      <c r="K517" s="214">
        <v>400.0</v>
      </c>
      <c r="L517" s="212" t="str">
        <f t="shared" si="3"/>
        <v>n/a</v>
      </c>
      <c r="M517" s="212">
        <f t="shared" si="4"/>
        <v>400</v>
      </c>
      <c r="N517" s="207" t="str">
        <f t="shared" si="5"/>
        <v>n/a</v>
      </c>
      <c r="O517" s="207" t="str">
        <f t="shared" si="6"/>
        <v>n/a</v>
      </c>
    </row>
    <row r="518" ht="15.75" customHeight="1">
      <c r="A518" s="207">
        <v>61.0</v>
      </c>
      <c r="B518" s="6" t="str">
        <f>VLOOKUP($A518, 'Completion rates'!$A:$E, 2, FALSE)</f>
        <v>Ancient chest (chambers of xeric challenge mode)</v>
      </c>
      <c r="C518" s="207">
        <v>22392.0</v>
      </c>
      <c r="D518" s="6" t="str">
        <f>VLOOKUP($C518, 'List of log slots'!$A:$E, 2, FALSE)</f>
        <v>Xeric's sentinel</v>
      </c>
      <c r="E518" s="207">
        <f>VLOOKUP($C518, 'List of log slots'!$A:$E, 5, FALSE)</f>
        <v>8</v>
      </c>
      <c r="F518" s="208" t="b">
        <f>VLOOKUP(C518, 'List of log slots'!$A:$C, 3, FALSE)</f>
        <v>0</v>
      </c>
      <c r="G518" s="210" t="b">
        <f t="shared" si="296"/>
        <v>1</v>
      </c>
      <c r="H518" s="209" t="b">
        <f t="shared" si="7"/>
        <v>0</v>
      </c>
      <c r="I518" s="213" t="b">
        <f t="shared" si="294"/>
        <v>1</v>
      </c>
      <c r="J518" s="208" t="b">
        <f t="shared" si="295"/>
        <v>0</v>
      </c>
      <c r="K518" s="214">
        <v>500.0</v>
      </c>
      <c r="L518" s="212" t="str">
        <f t="shared" si="3"/>
        <v>n/a</v>
      </c>
      <c r="M518" s="212">
        <f t="shared" si="4"/>
        <v>500</v>
      </c>
      <c r="N518" s="207" t="str">
        <f t="shared" si="5"/>
        <v>n/a</v>
      </c>
      <c r="O518" s="207" t="str">
        <f t="shared" si="6"/>
        <v>n/a</v>
      </c>
    </row>
    <row r="519" ht="15.75" customHeight="1">
      <c r="A519" s="207">
        <v>61.0</v>
      </c>
      <c r="B519" s="6" t="str">
        <f>VLOOKUP($A519, 'Completion rates'!$A:$E, 2, FALSE)</f>
        <v>Ancient chest (chambers of xeric challenge mode)</v>
      </c>
      <c r="C519" s="207">
        <v>22394.0</v>
      </c>
      <c r="D519" s="6" t="str">
        <f>VLOOKUP($C519, 'List of log slots'!$A:$E, 2, FALSE)</f>
        <v>Xeric's general</v>
      </c>
      <c r="E519" s="207">
        <f>VLOOKUP($C519, 'List of log slots'!$A:$E, 5, FALSE)</f>
        <v>9</v>
      </c>
      <c r="F519" s="208" t="b">
        <f>VLOOKUP(C519, 'List of log slots'!$A:$C, 3, FALSE)</f>
        <v>0</v>
      </c>
      <c r="G519" s="210" t="b">
        <f t="shared" si="296"/>
        <v>1</v>
      </c>
      <c r="H519" s="209" t="b">
        <f t="shared" si="7"/>
        <v>0</v>
      </c>
      <c r="I519" s="213" t="b">
        <f t="shared" si="294"/>
        <v>1</v>
      </c>
      <c r="J519" s="208" t="b">
        <f t="shared" si="295"/>
        <v>0</v>
      </c>
      <c r="K519" s="214">
        <v>500.0</v>
      </c>
      <c r="L519" s="212" t="str">
        <f t="shared" si="3"/>
        <v>n/a</v>
      </c>
      <c r="M519" s="212">
        <f t="shared" si="4"/>
        <v>500</v>
      </c>
      <c r="N519" s="207" t="str">
        <f t="shared" si="5"/>
        <v>n/a</v>
      </c>
      <c r="O519" s="207" t="str">
        <f t="shared" si="6"/>
        <v>n/a</v>
      </c>
    </row>
    <row r="520" ht="15.75" customHeight="1">
      <c r="A520" s="207">
        <v>61.0</v>
      </c>
      <c r="B520" s="6" t="str">
        <f>VLOOKUP($A520, 'Completion rates'!$A:$E, 2, FALSE)</f>
        <v>Ancient chest (chambers of xeric challenge mode)</v>
      </c>
      <c r="C520" s="207">
        <v>22396.0</v>
      </c>
      <c r="D520" s="6" t="str">
        <f>VLOOKUP($C520, 'List of log slots'!$A:$E, 2, FALSE)</f>
        <v>Xeric's champion</v>
      </c>
      <c r="E520" s="207">
        <f>VLOOKUP($C520, 'List of log slots'!$A:$E, 5, FALSE)</f>
        <v>9</v>
      </c>
      <c r="F520" s="208" t="b">
        <f>VLOOKUP(C520, 'List of log slots'!$A:$C, 3, FALSE)</f>
        <v>0</v>
      </c>
      <c r="G520" s="210" t="b">
        <f t="shared" si="296"/>
        <v>1</v>
      </c>
      <c r="H520" s="209" t="b">
        <f t="shared" si="7"/>
        <v>0</v>
      </c>
      <c r="I520" s="213" t="b">
        <f t="shared" si="294"/>
        <v>1</v>
      </c>
      <c r="J520" s="208" t="b">
        <f t="shared" si="295"/>
        <v>0</v>
      </c>
      <c r="K520" s="214">
        <v>500.0</v>
      </c>
      <c r="L520" s="212" t="str">
        <f t="shared" si="3"/>
        <v>n/a</v>
      </c>
      <c r="M520" s="212">
        <f t="shared" si="4"/>
        <v>500</v>
      </c>
      <c r="N520" s="207" t="str">
        <f t="shared" si="5"/>
        <v>n/a</v>
      </c>
      <c r="O520" s="207" t="str">
        <f t="shared" si="6"/>
        <v>n/a</v>
      </c>
    </row>
    <row r="521" ht="15.75" customHeight="1">
      <c r="A521" s="207">
        <v>62.0</v>
      </c>
      <c r="B521" s="6" t="str">
        <f>VLOOKUP($A521, 'Completion rates'!$A:$E, 2, FALSE)</f>
        <v>Theater of blood (4 person team)</v>
      </c>
      <c r="C521" s="207">
        <v>22473.0</v>
      </c>
      <c r="D521" s="6" t="str">
        <f>VLOOKUP($C521, 'List of log slots'!$A:$E, 2, FALSE)</f>
        <v>Lil' zik</v>
      </c>
      <c r="E521" s="207">
        <f>VLOOKUP($C521, 'List of log slots'!$A:$E, 5, FALSE)</f>
        <v>8</v>
      </c>
      <c r="F521" s="208" t="b">
        <f>VLOOKUP(C521, 'List of log slots'!$A:$C, 3, FALSE)</f>
        <v>0</v>
      </c>
      <c r="G521" s="209" t="b">
        <f t="shared" ref="G521:G530" si="298">FALSE</f>
        <v>0</v>
      </c>
      <c r="H521" s="210" t="b">
        <f t="shared" si="7"/>
        <v>1</v>
      </c>
      <c r="I521" s="208" t="b">
        <f t="shared" ref="I521:J521" si="297">FALSE</f>
        <v>0</v>
      </c>
      <c r="J521" s="208" t="b">
        <f t="shared" si="297"/>
        <v>0</v>
      </c>
      <c r="K521" s="214">
        <v>650.0</v>
      </c>
      <c r="L521" s="212" t="str">
        <f t="shared" si="3"/>
        <v>n/a</v>
      </c>
      <c r="M521" s="212" t="str">
        <f t="shared" si="4"/>
        <v>n/a</v>
      </c>
      <c r="N521" s="207" t="str">
        <f t="shared" si="5"/>
        <v>n/a</v>
      </c>
      <c r="O521" s="207">
        <f t="shared" si="6"/>
        <v>0.001538461538</v>
      </c>
    </row>
    <row r="522" ht="15.75" customHeight="1">
      <c r="A522" s="207">
        <v>62.0</v>
      </c>
      <c r="B522" s="6" t="str">
        <f>VLOOKUP($A522, 'Completion rates'!$A:$E, 2, FALSE)</f>
        <v>Theater of blood (4 person team)</v>
      </c>
      <c r="C522" s="207">
        <v>22486.0</v>
      </c>
      <c r="D522" s="6" t="str">
        <f>VLOOKUP($C522, 'List of log slots'!$A:$E, 2, FALSE)</f>
        <v>Scythe of vitur (uncharged)</v>
      </c>
      <c r="E522" s="207">
        <f>VLOOKUP($C522, 'List of log slots'!$A:$E, 5, FALSE)</f>
        <v>8</v>
      </c>
      <c r="F522" s="208" t="b">
        <f>VLOOKUP(C522, 'List of log slots'!$A:$C, 3, FALSE)</f>
        <v>0</v>
      </c>
      <c r="G522" s="209" t="b">
        <f t="shared" si="298"/>
        <v>0</v>
      </c>
      <c r="H522" s="210" t="b">
        <f t="shared" si="7"/>
        <v>1</v>
      </c>
      <c r="I522" s="208" t="b">
        <f t="shared" ref="I522:J522" si="299">FALSE</f>
        <v>0</v>
      </c>
      <c r="J522" s="208" t="b">
        <f t="shared" si="299"/>
        <v>0</v>
      </c>
      <c r="K522" s="214">
        <v>692.0</v>
      </c>
      <c r="L522" s="212" t="str">
        <f t="shared" si="3"/>
        <v>n/a</v>
      </c>
      <c r="M522" s="212" t="str">
        <f t="shared" si="4"/>
        <v>n/a</v>
      </c>
      <c r="N522" s="207" t="str">
        <f t="shared" si="5"/>
        <v>n/a</v>
      </c>
      <c r="O522" s="207">
        <f t="shared" si="6"/>
        <v>0.001445086705</v>
      </c>
    </row>
    <row r="523" ht="15.75" customHeight="1">
      <c r="A523" s="207">
        <v>62.0</v>
      </c>
      <c r="B523" s="6" t="str">
        <f>VLOOKUP($A523, 'Completion rates'!$A:$E, 2, FALSE)</f>
        <v>Theater of blood (4 person team)</v>
      </c>
      <c r="C523" s="207">
        <v>22324.0</v>
      </c>
      <c r="D523" s="6" t="str">
        <f>VLOOKUP($C523, 'List of log slots'!$A:$E, 2, FALSE)</f>
        <v>Ghrazi rapier</v>
      </c>
      <c r="E523" s="207">
        <f>VLOOKUP($C523, 'List of log slots'!$A:$E, 5, FALSE)</f>
        <v>7</v>
      </c>
      <c r="F523" s="208" t="b">
        <f>VLOOKUP(C523, 'List of log slots'!$A:$C, 3, FALSE)</f>
        <v>0</v>
      </c>
      <c r="G523" s="209" t="b">
        <f t="shared" si="298"/>
        <v>0</v>
      </c>
      <c r="H523" s="210" t="b">
        <f t="shared" si="7"/>
        <v>1</v>
      </c>
      <c r="I523" s="208" t="b">
        <f t="shared" ref="I523:J523" si="300">FALSE</f>
        <v>0</v>
      </c>
      <c r="J523" s="208" t="b">
        <f t="shared" si="300"/>
        <v>0</v>
      </c>
      <c r="K523" s="214">
        <v>346.0</v>
      </c>
      <c r="L523" s="212" t="str">
        <f t="shared" si="3"/>
        <v>n/a</v>
      </c>
      <c r="M523" s="212" t="str">
        <f t="shared" si="4"/>
        <v>n/a</v>
      </c>
      <c r="N523" s="207" t="str">
        <f t="shared" si="5"/>
        <v>n/a</v>
      </c>
      <c r="O523" s="207">
        <f t="shared" si="6"/>
        <v>0.00289017341</v>
      </c>
    </row>
    <row r="524" ht="15.75" customHeight="1">
      <c r="A524" s="207">
        <v>62.0</v>
      </c>
      <c r="B524" s="6" t="str">
        <f>VLOOKUP($A524, 'Completion rates'!$A:$E, 2, FALSE)</f>
        <v>Theater of blood (4 person team)</v>
      </c>
      <c r="C524" s="207">
        <v>22481.0</v>
      </c>
      <c r="D524" s="6" t="str">
        <f>VLOOKUP($C524, 'List of log slots'!$A:$E, 2, FALSE)</f>
        <v>Sanguinesti staff (uncharged)</v>
      </c>
      <c r="E524" s="207">
        <f>VLOOKUP($C524, 'List of log slots'!$A:$E, 5, FALSE)</f>
        <v>7</v>
      </c>
      <c r="F524" s="208" t="b">
        <f>VLOOKUP(C524, 'List of log slots'!$A:$C, 3, FALSE)</f>
        <v>0</v>
      </c>
      <c r="G524" s="209" t="b">
        <f t="shared" si="298"/>
        <v>0</v>
      </c>
      <c r="H524" s="210" t="b">
        <f t="shared" si="7"/>
        <v>1</v>
      </c>
      <c r="I524" s="208" t="b">
        <f t="shared" ref="I524:J524" si="301">FALSE</f>
        <v>0</v>
      </c>
      <c r="J524" s="208" t="b">
        <f t="shared" si="301"/>
        <v>0</v>
      </c>
      <c r="K524" s="214">
        <v>346.0</v>
      </c>
      <c r="L524" s="212" t="str">
        <f t="shared" si="3"/>
        <v>n/a</v>
      </c>
      <c r="M524" s="212" t="str">
        <f t="shared" si="4"/>
        <v>n/a</v>
      </c>
      <c r="N524" s="207" t="str">
        <f t="shared" si="5"/>
        <v>n/a</v>
      </c>
      <c r="O524" s="207">
        <f t="shared" si="6"/>
        <v>0.00289017341</v>
      </c>
    </row>
    <row r="525" ht="15.75" customHeight="1">
      <c r="A525" s="207">
        <v>62.0</v>
      </c>
      <c r="B525" s="6" t="str">
        <f>VLOOKUP($A525, 'Completion rates'!$A:$E, 2, FALSE)</f>
        <v>Theater of blood (4 person team)</v>
      </c>
      <c r="C525" s="207">
        <v>22326.0</v>
      </c>
      <c r="D525" s="6" t="str">
        <f>VLOOKUP($C525, 'List of log slots'!$A:$E, 2, FALSE)</f>
        <v>Justiciar faceguard</v>
      </c>
      <c r="E525" s="207">
        <f>VLOOKUP($C525, 'List of log slots'!$A:$E, 5, FALSE)</f>
        <v>7</v>
      </c>
      <c r="F525" s="208" t="b">
        <f>VLOOKUP(C525, 'List of log slots'!$A:$C, 3, FALSE)</f>
        <v>0</v>
      </c>
      <c r="G525" s="209" t="b">
        <f t="shared" si="298"/>
        <v>0</v>
      </c>
      <c r="H525" s="210" t="b">
        <f t="shared" si="7"/>
        <v>1</v>
      </c>
      <c r="I525" s="208" t="b">
        <f t="shared" ref="I525:J525" si="302">FALSE</f>
        <v>0</v>
      </c>
      <c r="J525" s="208" t="b">
        <f t="shared" si="302"/>
        <v>0</v>
      </c>
      <c r="K525" s="214">
        <v>346.0</v>
      </c>
      <c r="L525" s="212" t="str">
        <f t="shared" si="3"/>
        <v>n/a</v>
      </c>
      <c r="M525" s="212" t="str">
        <f t="shared" si="4"/>
        <v>n/a</v>
      </c>
      <c r="N525" s="207" t="str">
        <f t="shared" si="5"/>
        <v>n/a</v>
      </c>
      <c r="O525" s="207">
        <f t="shared" si="6"/>
        <v>0.00289017341</v>
      </c>
    </row>
    <row r="526" ht="15.75" customHeight="1">
      <c r="A526" s="207">
        <v>62.0</v>
      </c>
      <c r="B526" s="6" t="str">
        <f>VLOOKUP($A526, 'Completion rates'!$A:$E, 2, FALSE)</f>
        <v>Theater of blood (4 person team)</v>
      </c>
      <c r="C526" s="207">
        <v>22327.0</v>
      </c>
      <c r="D526" s="6" t="str">
        <f>VLOOKUP($C526, 'List of log slots'!$A:$E, 2, FALSE)</f>
        <v>Justiciar chestguard</v>
      </c>
      <c r="E526" s="207">
        <f>VLOOKUP($C526, 'List of log slots'!$A:$E, 5, FALSE)</f>
        <v>7</v>
      </c>
      <c r="F526" s="208" t="b">
        <f>VLOOKUP(C526, 'List of log slots'!$A:$C, 3, FALSE)</f>
        <v>0</v>
      </c>
      <c r="G526" s="209" t="b">
        <f t="shared" si="298"/>
        <v>0</v>
      </c>
      <c r="H526" s="210" t="b">
        <f t="shared" si="7"/>
        <v>1</v>
      </c>
      <c r="I526" s="208" t="b">
        <f t="shared" ref="I526:J526" si="303">FALSE</f>
        <v>0</v>
      </c>
      <c r="J526" s="208" t="b">
        <f t="shared" si="303"/>
        <v>0</v>
      </c>
      <c r="K526" s="214">
        <v>346.0</v>
      </c>
      <c r="L526" s="212" t="str">
        <f t="shared" si="3"/>
        <v>n/a</v>
      </c>
      <c r="M526" s="212" t="str">
        <f t="shared" si="4"/>
        <v>n/a</v>
      </c>
      <c r="N526" s="207" t="str">
        <f t="shared" si="5"/>
        <v>n/a</v>
      </c>
      <c r="O526" s="207">
        <f t="shared" si="6"/>
        <v>0.00289017341</v>
      </c>
    </row>
    <row r="527" ht="15.75" customHeight="1">
      <c r="A527" s="207">
        <v>62.0</v>
      </c>
      <c r="B527" s="6" t="str">
        <f>VLOOKUP($A527, 'Completion rates'!$A:$E, 2, FALSE)</f>
        <v>Theater of blood (4 person team)</v>
      </c>
      <c r="C527" s="207">
        <v>22328.0</v>
      </c>
      <c r="D527" s="6" t="str">
        <f>VLOOKUP($C527, 'List of log slots'!$A:$E, 2, FALSE)</f>
        <v>Justiciar legguards</v>
      </c>
      <c r="E527" s="207">
        <f>VLOOKUP($C527, 'List of log slots'!$A:$E, 5, FALSE)</f>
        <v>7</v>
      </c>
      <c r="F527" s="208" t="b">
        <f>VLOOKUP(C527, 'List of log slots'!$A:$C, 3, FALSE)</f>
        <v>0</v>
      </c>
      <c r="G527" s="209" t="b">
        <f t="shared" si="298"/>
        <v>0</v>
      </c>
      <c r="H527" s="210" t="b">
        <f t="shared" si="7"/>
        <v>1</v>
      </c>
      <c r="I527" s="208" t="b">
        <f t="shared" ref="I527:J527" si="304">FALSE</f>
        <v>0</v>
      </c>
      <c r="J527" s="208" t="b">
        <f t="shared" si="304"/>
        <v>0</v>
      </c>
      <c r="K527" s="214">
        <v>346.0</v>
      </c>
      <c r="L527" s="212" t="str">
        <f t="shared" si="3"/>
        <v>n/a</v>
      </c>
      <c r="M527" s="212" t="str">
        <f t="shared" si="4"/>
        <v>n/a</v>
      </c>
      <c r="N527" s="207" t="str">
        <f t="shared" si="5"/>
        <v>n/a</v>
      </c>
      <c r="O527" s="207">
        <f t="shared" si="6"/>
        <v>0.00289017341</v>
      </c>
    </row>
    <row r="528" ht="15.75" customHeight="1">
      <c r="A528" s="207">
        <v>62.0</v>
      </c>
      <c r="B528" s="6" t="str">
        <f>VLOOKUP($A528, 'Completion rates'!$A:$E, 2, FALSE)</f>
        <v>Theater of blood (4 person team)</v>
      </c>
      <c r="C528" s="207">
        <v>22477.0</v>
      </c>
      <c r="D528" s="6" t="str">
        <f>VLOOKUP($C528, 'List of log slots'!$A:$E, 2, FALSE)</f>
        <v>Avernic defender hilt</v>
      </c>
      <c r="E528" s="207">
        <f>VLOOKUP($C528, 'List of log slots'!$A:$E, 5, FALSE)</f>
        <v>7</v>
      </c>
      <c r="F528" s="208" t="b">
        <f>VLOOKUP(C528, 'List of log slots'!$A:$C, 3, FALSE)</f>
        <v>0</v>
      </c>
      <c r="G528" s="209" t="b">
        <f t="shared" si="298"/>
        <v>0</v>
      </c>
      <c r="H528" s="210" t="b">
        <f t="shared" si="7"/>
        <v>1</v>
      </c>
      <c r="I528" s="208" t="b">
        <f t="shared" ref="I528:J528" si="305">FALSE</f>
        <v>0</v>
      </c>
      <c r="J528" s="208" t="b">
        <f t="shared" si="305"/>
        <v>0</v>
      </c>
      <c r="K528" s="214">
        <v>86.0</v>
      </c>
      <c r="L528" s="212" t="str">
        <f t="shared" si="3"/>
        <v>n/a</v>
      </c>
      <c r="M528" s="212" t="str">
        <f t="shared" si="4"/>
        <v>n/a</v>
      </c>
      <c r="N528" s="207" t="str">
        <f t="shared" si="5"/>
        <v>n/a</v>
      </c>
      <c r="O528" s="207">
        <f t="shared" si="6"/>
        <v>0.01162790698</v>
      </c>
    </row>
    <row r="529" ht="15.75" customHeight="1">
      <c r="A529" s="207">
        <v>62.0</v>
      </c>
      <c r="B529" s="6" t="str">
        <f>VLOOKUP($A529, 'Completion rates'!$A:$E, 2, FALSE)</f>
        <v>Theater of blood (4 person team)</v>
      </c>
      <c r="C529" s="207">
        <v>22446.0</v>
      </c>
      <c r="D529" s="6" t="str">
        <f>VLOOKUP($C529, 'List of log slots'!$A:$E, 2, FALSE)</f>
        <v>Vial of blood</v>
      </c>
      <c r="E529" s="207">
        <f>VLOOKUP($C529, 'List of log slots'!$A:$E, 5, FALSE)</f>
        <v>6</v>
      </c>
      <c r="F529" s="208" t="b">
        <f>VLOOKUP(C529, 'List of log slots'!$A:$C, 3, FALSE)</f>
        <v>0</v>
      </c>
      <c r="G529" s="209" t="b">
        <f t="shared" si="298"/>
        <v>0</v>
      </c>
      <c r="H529" s="210" t="b">
        <f t="shared" si="7"/>
        <v>1</v>
      </c>
      <c r="I529" s="208" t="b">
        <f t="shared" ref="I529:J529" si="306">FALSE</f>
        <v>0</v>
      </c>
      <c r="J529" s="208" t="b">
        <f t="shared" si="306"/>
        <v>0</v>
      </c>
      <c r="K529" s="214">
        <v>5.0</v>
      </c>
      <c r="L529" s="212" t="str">
        <f t="shared" si="3"/>
        <v>n/a</v>
      </c>
      <c r="M529" s="212" t="str">
        <f t="shared" si="4"/>
        <v>n/a</v>
      </c>
      <c r="N529" s="207" t="str">
        <f t="shared" si="5"/>
        <v>n/a</v>
      </c>
      <c r="O529" s="207">
        <f t="shared" si="6"/>
        <v>0.2</v>
      </c>
    </row>
    <row r="530" ht="15.75" customHeight="1">
      <c r="A530" s="207">
        <v>62.0</v>
      </c>
      <c r="B530" s="6" t="str">
        <f>VLOOKUP($A530, 'Completion rates'!$A:$E, 2, FALSE)</f>
        <v>Theater of blood (4 person team)</v>
      </c>
      <c r="C530" s="207">
        <v>22494.0</v>
      </c>
      <c r="D530" s="6" t="str">
        <f>VLOOKUP($C530, 'List of log slots'!$A:$E, 2, FALSE)</f>
        <v>Sinhaza shroud tier 1</v>
      </c>
      <c r="E530" s="207">
        <f>VLOOKUP($C530, 'List of log slots'!$A:$E, 5, FALSE)</f>
        <v>7</v>
      </c>
      <c r="F530" s="208" t="b">
        <f>VLOOKUP(C530, 'List of log slots'!$A:$C, 3, FALSE)</f>
        <v>0</v>
      </c>
      <c r="G530" s="209" t="b">
        <f t="shared" si="298"/>
        <v>0</v>
      </c>
      <c r="H530" s="210" t="b">
        <f t="shared" si="7"/>
        <v>1</v>
      </c>
      <c r="I530" s="213" t="b">
        <f t="shared" ref="I530:I534" si="307">TRUE</f>
        <v>1</v>
      </c>
      <c r="J530" s="208" t="b">
        <f t="shared" ref="J530:J534" si="308">FALSE</f>
        <v>0</v>
      </c>
      <c r="K530" s="214">
        <v>100.0</v>
      </c>
      <c r="L530" s="212" t="str">
        <f t="shared" si="3"/>
        <v>n/a</v>
      </c>
      <c r="M530" s="212">
        <f t="shared" si="4"/>
        <v>100</v>
      </c>
      <c r="N530" s="207" t="str">
        <f t="shared" si="5"/>
        <v>n/a</v>
      </c>
      <c r="O530" s="207" t="str">
        <f t="shared" si="6"/>
        <v>n/a</v>
      </c>
    </row>
    <row r="531" ht="15.75" customHeight="1">
      <c r="A531" s="207">
        <v>62.0</v>
      </c>
      <c r="B531" s="6" t="str">
        <f>VLOOKUP($A531, 'Completion rates'!$A:$E, 2, FALSE)</f>
        <v>Theater of blood (4 person team)</v>
      </c>
      <c r="C531" s="207">
        <v>22496.0</v>
      </c>
      <c r="D531" s="6" t="str">
        <f>VLOOKUP($C531, 'List of log slots'!$A:$E, 2, FALSE)</f>
        <v>Sinhaza shroud tier 2</v>
      </c>
      <c r="E531" s="207">
        <f>VLOOKUP($C531, 'List of log slots'!$A:$E, 5, FALSE)</f>
        <v>8</v>
      </c>
      <c r="F531" s="208" t="b">
        <f>VLOOKUP(C531, 'List of log slots'!$A:$C, 3, FALSE)</f>
        <v>0</v>
      </c>
      <c r="G531" s="210" t="b">
        <f t="shared" ref="G531:G534" si="309">TRUE</f>
        <v>1</v>
      </c>
      <c r="H531" s="209" t="b">
        <f t="shared" si="7"/>
        <v>0</v>
      </c>
      <c r="I531" s="213" t="b">
        <f t="shared" si="307"/>
        <v>1</v>
      </c>
      <c r="J531" s="208" t="b">
        <f t="shared" si="308"/>
        <v>0</v>
      </c>
      <c r="K531" s="214">
        <v>400.0</v>
      </c>
      <c r="L531" s="212" t="str">
        <f t="shared" si="3"/>
        <v>n/a</v>
      </c>
      <c r="M531" s="212">
        <f t="shared" si="4"/>
        <v>400</v>
      </c>
      <c r="N531" s="207" t="str">
        <f t="shared" si="5"/>
        <v>n/a</v>
      </c>
      <c r="O531" s="207" t="str">
        <f t="shared" si="6"/>
        <v>n/a</v>
      </c>
    </row>
    <row r="532" ht="15.75" customHeight="1">
      <c r="A532" s="207">
        <v>62.0</v>
      </c>
      <c r="B532" s="6" t="str">
        <f>VLOOKUP($A532, 'Completion rates'!$A:$E, 2, FALSE)</f>
        <v>Theater of blood (4 person team)</v>
      </c>
      <c r="C532" s="207">
        <v>22498.0</v>
      </c>
      <c r="D532" s="6" t="str">
        <f>VLOOKUP($C532, 'List of log slots'!$A:$E, 2, FALSE)</f>
        <v>Sinhaza shroud tier 3</v>
      </c>
      <c r="E532" s="207">
        <f>VLOOKUP($C532, 'List of log slots'!$A:$E, 5, FALSE)</f>
        <v>8</v>
      </c>
      <c r="F532" s="208" t="b">
        <f>VLOOKUP(C532, 'List of log slots'!$A:$C, 3, FALSE)</f>
        <v>0</v>
      </c>
      <c r="G532" s="210" t="b">
        <f t="shared" si="309"/>
        <v>1</v>
      </c>
      <c r="H532" s="209" t="b">
        <f t="shared" si="7"/>
        <v>0</v>
      </c>
      <c r="I532" s="213" t="b">
        <f t="shared" si="307"/>
        <v>1</v>
      </c>
      <c r="J532" s="208" t="b">
        <f t="shared" si="308"/>
        <v>0</v>
      </c>
      <c r="K532" s="214">
        <v>500.0</v>
      </c>
      <c r="L532" s="212" t="str">
        <f t="shared" si="3"/>
        <v>n/a</v>
      </c>
      <c r="M532" s="212">
        <f t="shared" si="4"/>
        <v>500</v>
      </c>
      <c r="N532" s="207" t="str">
        <f t="shared" si="5"/>
        <v>n/a</v>
      </c>
      <c r="O532" s="207" t="str">
        <f t="shared" si="6"/>
        <v>n/a</v>
      </c>
    </row>
    <row r="533" ht="15.75" customHeight="1">
      <c r="A533" s="207">
        <v>62.0</v>
      </c>
      <c r="B533" s="6" t="str">
        <f>VLOOKUP($A533, 'Completion rates'!$A:$E, 2, FALSE)</f>
        <v>Theater of blood (4 person team)</v>
      </c>
      <c r="C533" s="207">
        <v>22500.0</v>
      </c>
      <c r="D533" s="6" t="str">
        <f>VLOOKUP($C533, 'List of log slots'!$A:$E, 2, FALSE)</f>
        <v>Sinhaza shroud tier 4</v>
      </c>
      <c r="E533" s="207">
        <f>VLOOKUP($C533, 'List of log slots'!$A:$E, 5, FALSE)</f>
        <v>9</v>
      </c>
      <c r="F533" s="208" t="b">
        <f>VLOOKUP(C533, 'List of log slots'!$A:$C, 3, FALSE)</f>
        <v>0</v>
      </c>
      <c r="G533" s="210" t="b">
        <f t="shared" si="309"/>
        <v>1</v>
      </c>
      <c r="H533" s="209" t="b">
        <f t="shared" si="7"/>
        <v>0</v>
      </c>
      <c r="I533" s="213" t="b">
        <f t="shared" si="307"/>
        <v>1</v>
      </c>
      <c r="J533" s="208" t="b">
        <f t="shared" si="308"/>
        <v>0</v>
      </c>
      <c r="K533" s="214">
        <v>500.0</v>
      </c>
      <c r="L533" s="212" t="str">
        <f t="shared" si="3"/>
        <v>n/a</v>
      </c>
      <c r="M533" s="212">
        <f t="shared" si="4"/>
        <v>500</v>
      </c>
      <c r="N533" s="207" t="str">
        <f t="shared" si="5"/>
        <v>n/a</v>
      </c>
      <c r="O533" s="207" t="str">
        <f t="shared" si="6"/>
        <v>n/a</v>
      </c>
    </row>
    <row r="534" ht="15.75" customHeight="1">
      <c r="A534" s="207">
        <v>62.0</v>
      </c>
      <c r="B534" s="6" t="str">
        <f>VLOOKUP($A534, 'Completion rates'!$A:$E, 2, FALSE)</f>
        <v>Theater of blood (4 person team)</v>
      </c>
      <c r="C534" s="207">
        <v>22502.0</v>
      </c>
      <c r="D534" s="6" t="str">
        <f>VLOOKUP($C534, 'List of log slots'!$A:$E, 2, FALSE)</f>
        <v>Sinhaza shroud tier 5</v>
      </c>
      <c r="E534" s="207">
        <f>VLOOKUP($C534, 'List of log slots'!$A:$E, 5, FALSE)</f>
        <v>9</v>
      </c>
      <c r="F534" s="208" t="b">
        <f>VLOOKUP(C534, 'List of log slots'!$A:$C, 3, FALSE)</f>
        <v>0</v>
      </c>
      <c r="G534" s="210" t="b">
        <f t="shared" si="309"/>
        <v>1</v>
      </c>
      <c r="H534" s="209" t="b">
        <f t="shared" si="7"/>
        <v>0</v>
      </c>
      <c r="I534" s="213" t="b">
        <f t="shared" si="307"/>
        <v>1</v>
      </c>
      <c r="J534" s="208" t="b">
        <f t="shared" si="308"/>
        <v>0</v>
      </c>
      <c r="K534" s="214">
        <v>500.0</v>
      </c>
      <c r="L534" s="212" t="str">
        <f t="shared" si="3"/>
        <v>n/a</v>
      </c>
      <c r="M534" s="212">
        <f t="shared" si="4"/>
        <v>500</v>
      </c>
      <c r="N534" s="207" t="str">
        <f t="shared" si="5"/>
        <v>n/a</v>
      </c>
      <c r="O534" s="207" t="str">
        <f t="shared" si="6"/>
        <v>n/a</v>
      </c>
    </row>
    <row r="535" ht="15.75" customHeight="1">
      <c r="A535" s="207">
        <v>63.0</v>
      </c>
      <c r="B535" s="6" t="str">
        <f>VLOOKUP($A535, 'Completion rates'!$A:$E, 2, FALSE)</f>
        <v>Theater of blood hard mode (4 person team)</v>
      </c>
      <c r="C535" s="207">
        <v>22473.0</v>
      </c>
      <c r="D535" s="6" t="str">
        <f>VLOOKUP($C535, 'List of log slots'!$A:$E, 2, FALSE)</f>
        <v>Lil' zik</v>
      </c>
      <c r="E535" s="207">
        <f>VLOOKUP($C535, 'List of log slots'!$A:$E, 5, FALSE)</f>
        <v>8</v>
      </c>
      <c r="F535" s="209" t="b">
        <f>VLOOKUP(C535, 'List of log slots'!$A:$C, 3, FALSE)</f>
        <v>0</v>
      </c>
      <c r="G535" s="209" t="b">
        <f t="shared" ref="G535:G544" si="311">FALSE</f>
        <v>0</v>
      </c>
      <c r="H535" s="210" t="b">
        <f t="shared" si="7"/>
        <v>1</v>
      </c>
      <c r="I535" s="208" t="b">
        <f t="shared" ref="I535:J535" si="310">FALSE</f>
        <v>0</v>
      </c>
      <c r="J535" s="208" t="b">
        <f t="shared" si="310"/>
        <v>0</v>
      </c>
      <c r="K535" s="214">
        <v>500.0</v>
      </c>
      <c r="L535" s="212" t="str">
        <f t="shared" si="3"/>
        <v>n/a</v>
      </c>
      <c r="M535" s="212" t="str">
        <f t="shared" si="4"/>
        <v>n/a</v>
      </c>
      <c r="N535" s="207" t="str">
        <f t="shared" si="5"/>
        <v>n/a</v>
      </c>
      <c r="O535" s="207">
        <f t="shared" si="6"/>
        <v>0.002</v>
      </c>
    </row>
    <row r="536" ht="15.75" customHeight="1">
      <c r="A536" s="207">
        <v>63.0</v>
      </c>
      <c r="B536" s="6" t="str">
        <f>VLOOKUP($A536, 'Completion rates'!$A:$E, 2, FALSE)</f>
        <v>Theater of blood hard mode (4 person team)</v>
      </c>
      <c r="C536" s="207">
        <v>22486.0</v>
      </c>
      <c r="D536" s="6" t="str">
        <f>VLOOKUP($C536, 'List of log slots'!$A:$E, 2, FALSE)</f>
        <v>Scythe of vitur (uncharged)</v>
      </c>
      <c r="E536" s="207">
        <f>VLOOKUP($C536, 'List of log slots'!$A:$E, 5, FALSE)</f>
        <v>8</v>
      </c>
      <c r="F536" s="209" t="b">
        <f>VLOOKUP(C536, 'List of log slots'!$A:$C, 3, FALSE)</f>
        <v>0</v>
      </c>
      <c r="G536" s="209" t="b">
        <f t="shared" si="311"/>
        <v>0</v>
      </c>
      <c r="H536" s="210" t="b">
        <f t="shared" si="7"/>
        <v>1</v>
      </c>
      <c r="I536" s="208" t="b">
        <f t="shared" ref="I536:J536" si="312">FALSE</f>
        <v>0</v>
      </c>
      <c r="J536" s="208" t="b">
        <f t="shared" si="312"/>
        <v>0</v>
      </c>
      <c r="K536" s="214">
        <v>556.0</v>
      </c>
      <c r="L536" s="212" t="str">
        <f t="shared" si="3"/>
        <v>n/a</v>
      </c>
      <c r="M536" s="212" t="str">
        <f t="shared" si="4"/>
        <v>n/a</v>
      </c>
      <c r="N536" s="207" t="str">
        <f t="shared" si="5"/>
        <v>n/a</v>
      </c>
      <c r="O536" s="207">
        <f t="shared" si="6"/>
        <v>0.001798561151</v>
      </c>
    </row>
    <row r="537" ht="15.75" customHeight="1">
      <c r="A537" s="207">
        <v>63.0</v>
      </c>
      <c r="B537" s="6" t="str">
        <f>VLOOKUP($A537, 'Completion rates'!$A:$E, 2, FALSE)</f>
        <v>Theater of blood hard mode (4 person team)</v>
      </c>
      <c r="C537" s="207">
        <v>22324.0</v>
      </c>
      <c r="D537" s="6" t="str">
        <f>VLOOKUP($C537, 'List of log slots'!$A:$E, 2, FALSE)</f>
        <v>Ghrazi rapier</v>
      </c>
      <c r="E537" s="207">
        <f>VLOOKUP($C537, 'List of log slots'!$A:$E, 5, FALSE)</f>
        <v>7</v>
      </c>
      <c r="F537" s="209" t="b">
        <f>VLOOKUP(C537, 'List of log slots'!$A:$C, 3, FALSE)</f>
        <v>0</v>
      </c>
      <c r="G537" s="209" t="b">
        <f t="shared" si="311"/>
        <v>0</v>
      </c>
      <c r="H537" s="210" t="b">
        <f t="shared" si="7"/>
        <v>1</v>
      </c>
      <c r="I537" s="208" t="b">
        <f t="shared" ref="I537:J537" si="313">FALSE</f>
        <v>0</v>
      </c>
      <c r="J537" s="208" t="b">
        <f t="shared" si="313"/>
        <v>0</v>
      </c>
      <c r="K537" s="214">
        <v>277.0</v>
      </c>
      <c r="L537" s="212" t="str">
        <f t="shared" si="3"/>
        <v>n/a</v>
      </c>
      <c r="M537" s="212" t="str">
        <f t="shared" si="4"/>
        <v>n/a</v>
      </c>
      <c r="N537" s="207" t="str">
        <f t="shared" si="5"/>
        <v>n/a</v>
      </c>
      <c r="O537" s="207">
        <f t="shared" si="6"/>
        <v>0.003610108303</v>
      </c>
    </row>
    <row r="538" ht="15.75" customHeight="1">
      <c r="A538" s="207">
        <v>63.0</v>
      </c>
      <c r="B538" s="6" t="str">
        <f>VLOOKUP($A538, 'Completion rates'!$A:$E, 2, FALSE)</f>
        <v>Theater of blood hard mode (4 person team)</v>
      </c>
      <c r="C538" s="207">
        <v>22481.0</v>
      </c>
      <c r="D538" s="6" t="str">
        <f>VLOOKUP($C538, 'List of log slots'!$A:$E, 2, FALSE)</f>
        <v>Sanguinesti staff (uncharged)</v>
      </c>
      <c r="E538" s="207">
        <f>VLOOKUP($C538, 'List of log slots'!$A:$E, 5, FALSE)</f>
        <v>7</v>
      </c>
      <c r="F538" s="209" t="b">
        <f>VLOOKUP(C538, 'List of log slots'!$A:$C, 3, FALSE)</f>
        <v>0</v>
      </c>
      <c r="G538" s="209" t="b">
        <f t="shared" si="311"/>
        <v>0</v>
      </c>
      <c r="H538" s="210" t="b">
        <f t="shared" si="7"/>
        <v>1</v>
      </c>
      <c r="I538" s="208" t="b">
        <f t="shared" ref="I538:J538" si="314">FALSE</f>
        <v>0</v>
      </c>
      <c r="J538" s="208" t="b">
        <f t="shared" si="314"/>
        <v>0</v>
      </c>
      <c r="K538" s="214">
        <v>277.0</v>
      </c>
      <c r="L538" s="212" t="str">
        <f t="shared" si="3"/>
        <v>n/a</v>
      </c>
      <c r="M538" s="212" t="str">
        <f t="shared" si="4"/>
        <v>n/a</v>
      </c>
      <c r="N538" s="207" t="str">
        <f t="shared" si="5"/>
        <v>n/a</v>
      </c>
      <c r="O538" s="207">
        <f t="shared" si="6"/>
        <v>0.003610108303</v>
      </c>
    </row>
    <row r="539" ht="15.75" customHeight="1">
      <c r="A539" s="207">
        <v>63.0</v>
      </c>
      <c r="B539" s="6" t="str">
        <f>VLOOKUP($A539, 'Completion rates'!$A:$E, 2, FALSE)</f>
        <v>Theater of blood hard mode (4 person team)</v>
      </c>
      <c r="C539" s="207">
        <v>22326.0</v>
      </c>
      <c r="D539" s="6" t="str">
        <f>VLOOKUP($C539, 'List of log slots'!$A:$E, 2, FALSE)</f>
        <v>Justiciar faceguard</v>
      </c>
      <c r="E539" s="207">
        <f>VLOOKUP($C539, 'List of log slots'!$A:$E, 5, FALSE)</f>
        <v>7</v>
      </c>
      <c r="F539" s="209" t="b">
        <f>VLOOKUP(C539, 'List of log slots'!$A:$C, 3, FALSE)</f>
        <v>0</v>
      </c>
      <c r="G539" s="209" t="b">
        <f t="shared" si="311"/>
        <v>0</v>
      </c>
      <c r="H539" s="210" t="b">
        <f t="shared" si="7"/>
        <v>1</v>
      </c>
      <c r="I539" s="208" t="b">
        <f t="shared" ref="I539:J539" si="315">FALSE</f>
        <v>0</v>
      </c>
      <c r="J539" s="208" t="b">
        <f t="shared" si="315"/>
        <v>0</v>
      </c>
      <c r="K539" s="214">
        <v>277.0</v>
      </c>
      <c r="L539" s="212" t="str">
        <f t="shared" si="3"/>
        <v>n/a</v>
      </c>
      <c r="M539" s="212" t="str">
        <f t="shared" si="4"/>
        <v>n/a</v>
      </c>
      <c r="N539" s="207" t="str">
        <f t="shared" si="5"/>
        <v>n/a</v>
      </c>
      <c r="O539" s="207">
        <f t="shared" si="6"/>
        <v>0.003610108303</v>
      </c>
    </row>
    <row r="540" ht="15.75" customHeight="1">
      <c r="A540" s="207">
        <v>63.0</v>
      </c>
      <c r="B540" s="6" t="str">
        <f>VLOOKUP($A540, 'Completion rates'!$A:$E, 2, FALSE)</f>
        <v>Theater of blood hard mode (4 person team)</v>
      </c>
      <c r="C540" s="207">
        <v>22327.0</v>
      </c>
      <c r="D540" s="6" t="str">
        <f>VLOOKUP($C540, 'List of log slots'!$A:$E, 2, FALSE)</f>
        <v>Justiciar chestguard</v>
      </c>
      <c r="E540" s="207">
        <f>VLOOKUP($C540, 'List of log slots'!$A:$E, 5, FALSE)</f>
        <v>7</v>
      </c>
      <c r="F540" s="209" t="b">
        <f>VLOOKUP(C540, 'List of log slots'!$A:$C, 3, FALSE)</f>
        <v>0</v>
      </c>
      <c r="G540" s="209" t="b">
        <f t="shared" si="311"/>
        <v>0</v>
      </c>
      <c r="H540" s="210" t="b">
        <f t="shared" si="7"/>
        <v>1</v>
      </c>
      <c r="I540" s="208" t="b">
        <f t="shared" ref="I540:J540" si="316">FALSE</f>
        <v>0</v>
      </c>
      <c r="J540" s="208" t="b">
        <f t="shared" si="316"/>
        <v>0</v>
      </c>
      <c r="K540" s="214">
        <v>277.0</v>
      </c>
      <c r="L540" s="212" t="str">
        <f t="shared" si="3"/>
        <v>n/a</v>
      </c>
      <c r="M540" s="212" t="str">
        <f t="shared" si="4"/>
        <v>n/a</v>
      </c>
      <c r="N540" s="207" t="str">
        <f t="shared" si="5"/>
        <v>n/a</v>
      </c>
      <c r="O540" s="207">
        <f t="shared" si="6"/>
        <v>0.003610108303</v>
      </c>
    </row>
    <row r="541" ht="15.75" customHeight="1">
      <c r="A541" s="207">
        <v>63.0</v>
      </c>
      <c r="B541" s="6" t="str">
        <f>VLOOKUP($A541, 'Completion rates'!$A:$E, 2, FALSE)</f>
        <v>Theater of blood hard mode (4 person team)</v>
      </c>
      <c r="C541" s="207">
        <v>22328.0</v>
      </c>
      <c r="D541" s="6" t="str">
        <f>VLOOKUP($C541, 'List of log slots'!$A:$E, 2, FALSE)</f>
        <v>Justiciar legguards</v>
      </c>
      <c r="E541" s="207">
        <f>VLOOKUP($C541, 'List of log slots'!$A:$E, 5, FALSE)</f>
        <v>7</v>
      </c>
      <c r="F541" s="209" t="b">
        <f>VLOOKUP(C541, 'List of log slots'!$A:$C, 3, FALSE)</f>
        <v>0</v>
      </c>
      <c r="G541" s="209" t="b">
        <f t="shared" si="311"/>
        <v>0</v>
      </c>
      <c r="H541" s="210" t="b">
        <f t="shared" si="7"/>
        <v>1</v>
      </c>
      <c r="I541" s="208" t="b">
        <f t="shared" ref="I541:J541" si="317">FALSE</f>
        <v>0</v>
      </c>
      <c r="J541" s="208" t="b">
        <f t="shared" si="317"/>
        <v>0</v>
      </c>
      <c r="K541" s="214">
        <v>277.0</v>
      </c>
      <c r="L541" s="212" t="str">
        <f t="shared" si="3"/>
        <v>n/a</v>
      </c>
      <c r="M541" s="212" t="str">
        <f t="shared" si="4"/>
        <v>n/a</v>
      </c>
      <c r="N541" s="207" t="str">
        <f t="shared" si="5"/>
        <v>n/a</v>
      </c>
      <c r="O541" s="207">
        <f t="shared" si="6"/>
        <v>0.003610108303</v>
      </c>
    </row>
    <row r="542" ht="15.75" customHeight="1">
      <c r="A542" s="207">
        <v>63.0</v>
      </c>
      <c r="B542" s="6" t="str">
        <f>VLOOKUP($A542, 'Completion rates'!$A:$E, 2, FALSE)</f>
        <v>Theater of blood hard mode (4 person team)</v>
      </c>
      <c r="C542" s="207">
        <v>22477.0</v>
      </c>
      <c r="D542" s="6" t="str">
        <f>VLOOKUP($C542, 'List of log slots'!$A:$E, 2, FALSE)</f>
        <v>Avernic defender hilt</v>
      </c>
      <c r="E542" s="207">
        <f>VLOOKUP($C542, 'List of log slots'!$A:$E, 5, FALSE)</f>
        <v>7</v>
      </c>
      <c r="F542" s="209" t="b">
        <f>VLOOKUP(C542, 'List of log slots'!$A:$C, 3, FALSE)</f>
        <v>0</v>
      </c>
      <c r="G542" s="209" t="b">
        <f t="shared" si="311"/>
        <v>0</v>
      </c>
      <c r="H542" s="210" t="b">
        <f t="shared" si="7"/>
        <v>1</v>
      </c>
      <c r="I542" s="208" t="b">
        <f t="shared" ref="I542:J542" si="318">FALSE</f>
        <v>0</v>
      </c>
      <c r="J542" s="208" t="b">
        <f t="shared" si="318"/>
        <v>0</v>
      </c>
      <c r="K542" s="214">
        <v>79.0</v>
      </c>
      <c r="L542" s="212" t="str">
        <f t="shared" si="3"/>
        <v>n/a</v>
      </c>
      <c r="M542" s="212" t="str">
        <f t="shared" si="4"/>
        <v>n/a</v>
      </c>
      <c r="N542" s="207" t="str">
        <f t="shared" si="5"/>
        <v>n/a</v>
      </c>
      <c r="O542" s="207">
        <f t="shared" si="6"/>
        <v>0.01265822785</v>
      </c>
    </row>
    <row r="543" ht="15.75" customHeight="1">
      <c r="A543" s="207">
        <v>63.0</v>
      </c>
      <c r="B543" s="6" t="str">
        <f>VLOOKUP($A543, 'Completion rates'!$A:$E, 2, FALSE)</f>
        <v>Theater of blood hard mode (4 person team)</v>
      </c>
      <c r="C543" s="207">
        <v>22446.0</v>
      </c>
      <c r="D543" s="6" t="str">
        <f>VLOOKUP($C543, 'List of log slots'!$A:$E, 2, FALSE)</f>
        <v>Vial of blood</v>
      </c>
      <c r="E543" s="207">
        <f>VLOOKUP($C543, 'List of log slots'!$A:$E, 5, FALSE)</f>
        <v>6</v>
      </c>
      <c r="F543" s="209" t="b">
        <f>VLOOKUP(C543, 'List of log slots'!$A:$C, 3, FALSE)</f>
        <v>0</v>
      </c>
      <c r="G543" s="209" t="b">
        <f t="shared" si="311"/>
        <v>0</v>
      </c>
      <c r="H543" s="210" t="b">
        <f t="shared" si="7"/>
        <v>1</v>
      </c>
      <c r="I543" s="208" t="b">
        <f t="shared" ref="I543:J543" si="319">FALSE</f>
        <v>0</v>
      </c>
      <c r="J543" s="208" t="b">
        <f t="shared" si="319"/>
        <v>0</v>
      </c>
      <c r="K543" s="214">
        <v>5.0</v>
      </c>
      <c r="L543" s="212" t="str">
        <f t="shared" si="3"/>
        <v>n/a</v>
      </c>
      <c r="M543" s="212" t="str">
        <f t="shared" si="4"/>
        <v>n/a</v>
      </c>
      <c r="N543" s="207" t="str">
        <f t="shared" si="5"/>
        <v>n/a</v>
      </c>
      <c r="O543" s="207">
        <f t="shared" si="6"/>
        <v>0.2</v>
      </c>
    </row>
    <row r="544" ht="15.75" customHeight="1">
      <c r="A544" s="207">
        <v>63.0</v>
      </c>
      <c r="B544" s="6" t="str">
        <f>VLOOKUP($A544, 'Completion rates'!$A:$E, 2, FALSE)</f>
        <v>Theater of blood hard mode (4 person team)</v>
      </c>
      <c r="C544" s="207">
        <v>22494.0</v>
      </c>
      <c r="D544" s="6" t="str">
        <f>VLOOKUP($C544, 'List of log slots'!$A:$E, 2, FALSE)</f>
        <v>Sinhaza shroud tier 1</v>
      </c>
      <c r="E544" s="207">
        <f>VLOOKUP($C544, 'List of log slots'!$A:$E, 5, FALSE)</f>
        <v>7</v>
      </c>
      <c r="F544" s="209" t="b">
        <f>VLOOKUP(C544, 'List of log slots'!$A:$C, 3, FALSE)</f>
        <v>0</v>
      </c>
      <c r="G544" s="209" t="b">
        <f t="shared" si="311"/>
        <v>0</v>
      </c>
      <c r="H544" s="210" t="b">
        <f t="shared" si="7"/>
        <v>1</v>
      </c>
      <c r="I544" s="213" t="b">
        <f t="shared" ref="I544:I548" si="320">TRUE</f>
        <v>1</v>
      </c>
      <c r="J544" s="208" t="b">
        <f t="shared" ref="J544:J548" si="321">FALSE</f>
        <v>0</v>
      </c>
      <c r="K544" s="214">
        <v>100.0</v>
      </c>
      <c r="L544" s="212" t="str">
        <f t="shared" si="3"/>
        <v>n/a</v>
      </c>
      <c r="M544" s="212">
        <f t="shared" si="4"/>
        <v>100</v>
      </c>
      <c r="N544" s="207" t="str">
        <f t="shared" si="5"/>
        <v>n/a</v>
      </c>
      <c r="O544" s="207" t="str">
        <f t="shared" si="6"/>
        <v>n/a</v>
      </c>
    </row>
    <row r="545" ht="15.75" customHeight="1">
      <c r="A545" s="207">
        <v>63.0</v>
      </c>
      <c r="B545" s="6" t="str">
        <f>VLOOKUP($A545, 'Completion rates'!$A:$E, 2, FALSE)</f>
        <v>Theater of blood hard mode (4 person team)</v>
      </c>
      <c r="C545" s="207">
        <v>22496.0</v>
      </c>
      <c r="D545" s="6" t="str">
        <f>VLOOKUP($C545, 'List of log slots'!$A:$E, 2, FALSE)</f>
        <v>Sinhaza shroud tier 2</v>
      </c>
      <c r="E545" s="207">
        <f>VLOOKUP($C545, 'List of log slots'!$A:$E, 5, FALSE)</f>
        <v>8</v>
      </c>
      <c r="F545" s="209" t="b">
        <f>VLOOKUP(C545, 'List of log slots'!$A:$C, 3, FALSE)</f>
        <v>0</v>
      </c>
      <c r="G545" s="210" t="b">
        <f t="shared" ref="G545:G548" si="322">TRUE</f>
        <v>1</v>
      </c>
      <c r="H545" s="209" t="b">
        <f t="shared" si="7"/>
        <v>0</v>
      </c>
      <c r="I545" s="213" t="b">
        <f t="shared" si="320"/>
        <v>1</v>
      </c>
      <c r="J545" s="208" t="b">
        <f t="shared" si="321"/>
        <v>0</v>
      </c>
      <c r="K545" s="214">
        <v>400.0</v>
      </c>
      <c r="L545" s="212" t="str">
        <f t="shared" si="3"/>
        <v>n/a</v>
      </c>
      <c r="M545" s="212">
        <f t="shared" si="4"/>
        <v>400</v>
      </c>
      <c r="N545" s="207" t="str">
        <f t="shared" si="5"/>
        <v>n/a</v>
      </c>
      <c r="O545" s="207" t="str">
        <f t="shared" si="6"/>
        <v>n/a</v>
      </c>
    </row>
    <row r="546" ht="15.75" customHeight="1">
      <c r="A546" s="207">
        <v>63.0</v>
      </c>
      <c r="B546" s="6" t="str">
        <f>VLOOKUP($A546, 'Completion rates'!$A:$E, 2, FALSE)</f>
        <v>Theater of blood hard mode (4 person team)</v>
      </c>
      <c r="C546" s="207">
        <v>22498.0</v>
      </c>
      <c r="D546" s="6" t="str">
        <f>VLOOKUP($C546, 'List of log slots'!$A:$E, 2, FALSE)</f>
        <v>Sinhaza shroud tier 3</v>
      </c>
      <c r="E546" s="207">
        <f>VLOOKUP($C546, 'List of log slots'!$A:$E, 5, FALSE)</f>
        <v>8</v>
      </c>
      <c r="F546" s="209" t="b">
        <f>VLOOKUP(C546, 'List of log slots'!$A:$C, 3, FALSE)</f>
        <v>0</v>
      </c>
      <c r="G546" s="210" t="b">
        <f t="shared" si="322"/>
        <v>1</v>
      </c>
      <c r="H546" s="209" t="b">
        <f t="shared" si="7"/>
        <v>0</v>
      </c>
      <c r="I546" s="213" t="b">
        <f t="shared" si="320"/>
        <v>1</v>
      </c>
      <c r="J546" s="208" t="b">
        <f t="shared" si="321"/>
        <v>0</v>
      </c>
      <c r="K546" s="214">
        <v>500.0</v>
      </c>
      <c r="L546" s="212" t="str">
        <f t="shared" si="3"/>
        <v>n/a</v>
      </c>
      <c r="M546" s="212">
        <f t="shared" si="4"/>
        <v>500</v>
      </c>
      <c r="N546" s="207" t="str">
        <f t="shared" si="5"/>
        <v>n/a</v>
      </c>
      <c r="O546" s="207" t="str">
        <f t="shared" si="6"/>
        <v>n/a</v>
      </c>
    </row>
    <row r="547" ht="15.75" customHeight="1">
      <c r="A547" s="207">
        <v>63.0</v>
      </c>
      <c r="B547" s="6" t="str">
        <f>VLOOKUP($A547, 'Completion rates'!$A:$E, 2, FALSE)</f>
        <v>Theater of blood hard mode (4 person team)</v>
      </c>
      <c r="C547" s="207">
        <v>22500.0</v>
      </c>
      <c r="D547" s="6" t="str">
        <f>VLOOKUP($C547, 'List of log slots'!$A:$E, 2, FALSE)</f>
        <v>Sinhaza shroud tier 4</v>
      </c>
      <c r="E547" s="207">
        <f>VLOOKUP($C547, 'List of log slots'!$A:$E, 5, FALSE)</f>
        <v>9</v>
      </c>
      <c r="F547" s="209" t="b">
        <f>VLOOKUP(C547, 'List of log slots'!$A:$C, 3, FALSE)</f>
        <v>0</v>
      </c>
      <c r="G547" s="210" t="b">
        <f t="shared" si="322"/>
        <v>1</v>
      </c>
      <c r="H547" s="209" t="b">
        <f t="shared" si="7"/>
        <v>0</v>
      </c>
      <c r="I547" s="213" t="b">
        <f t="shared" si="320"/>
        <v>1</v>
      </c>
      <c r="J547" s="208" t="b">
        <f t="shared" si="321"/>
        <v>0</v>
      </c>
      <c r="K547" s="214">
        <v>500.0</v>
      </c>
      <c r="L547" s="212" t="str">
        <f t="shared" si="3"/>
        <v>n/a</v>
      </c>
      <c r="M547" s="212">
        <f t="shared" si="4"/>
        <v>500</v>
      </c>
      <c r="N547" s="207" t="str">
        <f t="shared" si="5"/>
        <v>n/a</v>
      </c>
      <c r="O547" s="207" t="str">
        <f t="shared" si="6"/>
        <v>n/a</v>
      </c>
    </row>
    <row r="548" ht="15.75" customHeight="1">
      <c r="A548" s="207">
        <v>63.0</v>
      </c>
      <c r="B548" s="6" t="str">
        <f>VLOOKUP($A548, 'Completion rates'!$A:$E, 2, FALSE)</f>
        <v>Theater of blood hard mode (4 person team)</v>
      </c>
      <c r="C548" s="212">
        <v>22502.0</v>
      </c>
      <c r="D548" s="6" t="str">
        <f>VLOOKUP($C548, 'List of log slots'!$A:$E, 2, FALSE)</f>
        <v>Sinhaza shroud tier 5</v>
      </c>
      <c r="E548" s="207">
        <f>VLOOKUP($C548, 'List of log slots'!$A:$E, 5, FALSE)</f>
        <v>9</v>
      </c>
      <c r="F548" s="209" t="b">
        <f>VLOOKUP(C548, 'List of log slots'!$A:$C, 3, FALSE)</f>
        <v>0</v>
      </c>
      <c r="G548" s="210" t="b">
        <f t="shared" si="322"/>
        <v>1</v>
      </c>
      <c r="H548" s="209" t="b">
        <f t="shared" si="7"/>
        <v>0</v>
      </c>
      <c r="I548" s="213" t="b">
        <f t="shared" si="320"/>
        <v>1</v>
      </c>
      <c r="J548" s="208" t="b">
        <f t="shared" si="321"/>
        <v>0</v>
      </c>
      <c r="K548" s="214">
        <v>500.0</v>
      </c>
      <c r="L548" s="212" t="str">
        <f t="shared" si="3"/>
        <v>n/a</v>
      </c>
      <c r="M548" s="212">
        <f t="shared" si="4"/>
        <v>500</v>
      </c>
      <c r="N548" s="207" t="str">
        <f t="shared" si="5"/>
        <v>n/a</v>
      </c>
      <c r="O548" s="207" t="str">
        <f t="shared" si="6"/>
        <v>n/a</v>
      </c>
    </row>
    <row r="549" ht="15.75" customHeight="1">
      <c r="A549" s="207">
        <v>63.0</v>
      </c>
      <c r="B549" s="6" t="str">
        <f>VLOOKUP($A549, 'Completion rates'!$A:$E, 2, FALSE)</f>
        <v>Theater of blood hard mode (4 person team)</v>
      </c>
      <c r="C549" s="207">
        <v>25746.0</v>
      </c>
      <c r="D549" s="6" t="str">
        <f>VLOOKUP($C549, 'List of log slots'!$A:$E, 2, FALSE)</f>
        <v>Sanguine dust</v>
      </c>
      <c r="E549" s="207">
        <f>VLOOKUP($C549, 'List of log slots'!$A:$E, 5, FALSE)</f>
        <v>7</v>
      </c>
      <c r="F549" s="209" t="b">
        <f>VLOOKUP(C549, 'List of log slots'!$A:$C, 3, FALSE)</f>
        <v>0</v>
      </c>
      <c r="G549" s="209" t="b">
        <f t="shared" ref="G549:G566" si="324">FALSE</f>
        <v>0</v>
      </c>
      <c r="H549" s="210" t="b">
        <f t="shared" si="7"/>
        <v>1</v>
      </c>
      <c r="I549" s="208" t="b">
        <f t="shared" ref="I549:J549" si="323">FALSE</f>
        <v>0</v>
      </c>
      <c r="J549" s="208" t="b">
        <f t="shared" si="323"/>
        <v>0</v>
      </c>
      <c r="K549" s="214">
        <v>275.0</v>
      </c>
      <c r="L549" s="212" t="str">
        <f t="shared" si="3"/>
        <v>n/a</v>
      </c>
      <c r="M549" s="212" t="str">
        <f t="shared" si="4"/>
        <v>n/a</v>
      </c>
      <c r="N549" s="207" t="str">
        <f t="shared" si="5"/>
        <v>n/a</v>
      </c>
      <c r="O549" s="207">
        <f t="shared" si="6"/>
        <v>0.003636363636</v>
      </c>
    </row>
    <row r="550" ht="15.75" customHeight="1">
      <c r="A550" s="207">
        <v>63.0</v>
      </c>
      <c r="B550" s="6" t="str">
        <f>VLOOKUP($A550, 'Completion rates'!$A:$E, 2, FALSE)</f>
        <v>Theater of blood hard mode (4 person team)</v>
      </c>
      <c r="C550" s="207">
        <v>25742.0</v>
      </c>
      <c r="D550" s="6" t="str">
        <f>VLOOKUP($C550, 'List of log slots'!$A:$E, 2, FALSE)</f>
        <v>Holy ornament kit</v>
      </c>
      <c r="E550" s="207">
        <f>VLOOKUP($C550, 'List of log slots'!$A:$E, 5, FALSE)</f>
        <v>7</v>
      </c>
      <c r="F550" s="209" t="b">
        <f>VLOOKUP(C550, 'List of log slots'!$A:$C, 3, FALSE)</f>
        <v>0</v>
      </c>
      <c r="G550" s="209" t="b">
        <f t="shared" si="324"/>
        <v>0</v>
      </c>
      <c r="H550" s="210" t="b">
        <f t="shared" si="7"/>
        <v>1</v>
      </c>
      <c r="I550" s="208" t="b">
        <f t="shared" ref="I550:J550" si="325">FALSE</f>
        <v>0</v>
      </c>
      <c r="J550" s="208" t="b">
        <f t="shared" si="325"/>
        <v>0</v>
      </c>
      <c r="K550" s="214">
        <v>100.0</v>
      </c>
      <c r="L550" s="212" t="str">
        <f t="shared" si="3"/>
        <v>n/a</v>
      </c>
      <c r="M550" s="212" t="str">
        <f t="shared" si="4"/>
        <v>n/a</v>
      </c>
      <c r="N550" s="207" t="str">
        <f t="shared" si="5"/>
        <v>n/a</v>
      </c>
      <c r="O550" s="207">
        <f t="shared" si="6"/>
        <v>0.01</v>
      </c>
    </row>
    <row r="551" ht="15.75" customHeight="1">
      <c r="A551" s="207">
        <v>63.0</v>
      </c>
      <c r="B551" s="6" t="str">
        <f>VLOOKUP($A551, 'Completion rates'!$A:$E, 2, FALSE)</f>
        <v>Theater of blood hard mode (4 person team)</v>
      </c>
      <c r="C551" s="207">
        <v>25744.0</v>
      </c>
      <c r="D551" s="6" t="str">
        <f>VLOOKUP($C551, 'List of log slots'!$A:$E, 2, FALSE)</f>
        <v>Sanguine ornament kit</v>
      </c>
      <c r="E551" s="207">
        <f>VLOOKUP($C551, 'List of log slots'!$A:$E, 5, FALSE)</f>
        <v>7</v>
      </c>
      <c r="F551" s="209" t="b">
        <f>VLOOKUP(C551, 'List of log slots'!$A:$C, 3, FALSE)</f>
        <v>0</v>
      </c>
      <c r="G551" s="209" t="b">
        <f t="shared" si="324"/>
        <v>0</v>
      </c>
      <c r="H551" s="210" t="b">
        <f t="shared" si="7"/>
        <v>1</v>
      </c>
      <c r="I551" s="208" t="b">
        <f t="shared" ref="I551:J551" si="326">FALSE</f>
        <v>0</v>
      </c>
      <c r="J551" s="208" t="b">
        <f t="shared" si="326"/>
        <v>0</v>
      </c>
      <c r="K551" s="214">
        <v>150.0</v>
      </c>
      <c r="L551" s="212" t="str">
        <f t="shared" si="3"/>
        <v>n/a</v>
      </c>
      <c r="M551" s="212" t="str">
        <f t="shared" si="4"/>
        <v>n/a</v>
      </c>
      <c r="N551" s="207" t="str">
        <f t="shared" si="5"/>
        <v>n/a</v>
      </c>
      <c r="O551" s="207">
        <f t="shared" si="6"/>
        <v>0.006666666667</v>
      </c>
    </row>
    <row r="552" ht="15.75" customHeight="1">
      <c r="A552" s="207">
        <v>64.0</v>
      </c>
      <c r="B552" s="6" t="str">
        <f>VLOOKUP($A552, 'Completion rates'!$A:$E, 2, FALSE)</f>
        <v>Tombs of amascut reward chests (150)</v>
      </c>
      <c r="C552" s="207">
        <v>27352.0</v>
      </c>
      <c r="D552" s="6" t="str">
        <f>VLOOKUP($C552, 'List of log slots'!$A:$E, 2, FALSE)</f>
        <v>Tumeken's guardian</v>
      </c>
      <c r="E552" s="207">
        <f>VLOOKUP($C552, 'List of log slots'!$A:$E, 5, FALSE)</f>
        <v>8</v>
      </c>
      <c r="F552" s="209" t="b">
        <f>VLOOKUP(C552, 'List of log slots'!$A:$C, 3, FALSE)</f>
        <v>0</v>
      </c>
      <c r="G552" s="209" t="b">
        <f t="shared" si="324"/>
        <v>0</v>
      </c>
      <c r="H552" s="210" t="b">
        <f t="shared" si="7"/>
        <v>1</v>
      </c>
      <c r="I552" s="208" t="b">
        <f t="shared" ref="I552:J552" si="327">FALSE</f>
        <v>0</v>
      </c>
      <c r="J552" s="208" t="b">
        <f t="shared" si="327"/>
        <v>0</v>
      </c>
      <c r="K552" s="214">
        <v>1600.0</v>
      </c>
      <c r="L552" s="212" t="str">
        <f t="shared" si="3"/>
        <v>n/a</v>
      </c>
      <c r="M552" s="212" t="str">
        <f t="shared" si="4"/>
        <v>n/a</v>
      </c>
      <c r="N552" s="207" t="str">
        <f t="shared" si="5"/>
        <v>n/a</v>
      </c>
      <c r="O552" s="207">
        <f t="shared" si="6"/>
        <v>0.000625</v>
      </c>
    </row>
    <row r="553" ht="15.75" customHeight="1">
      <c r="A553" s="207">
        <v>64.0</v>
      </c>
      <c r="B553" s="6" t="str">
        <f>VLOOKUP($A553, 'Completion rates'!$A:$E, 2, FALSE)</f>
        <v>Tombs of amascut reward chests (150)</v>
      </c>
      <c r="C553" s="207">
        <v>27277.0</v>
      </c>
      <c r="D553" s="6" t="str">
        <f>VLOOKUP($C553, 'List of log slots'!$A:$E, 2, FALSE)</f>
        <v>Tumeken's shadow (uncharged)</v>
      </c>
      <c r="E553" s="207">
        <f>VLOOKUP($C553, 'List of log slots'!$A:$E, 5, FALSE)</f>
        <v>8</v>
      </c>
      <c r="F553" s="209" t="b">
        <f>VLOOKUP(C553, 'List of log slots'!$A:$C, 3, FALSE)</f>
        <v>0</v>
      </c>
      <c r="G553" s="209" t="b">
        <f t="shared" si="324"/>
        <v>0</v>
      </c>
      <c r="H553" s="210" t="b">
        <f t="shared" si="7"/>
        <v>1</v>
      </c>
      <c r="I553" s="208" t="b">
        <f t="shared" ref="I553:J553" si="328">FALSE</f>
        <v>0</v>
      </c>
      <c r="J553" s="208" t="b">
        <f t="shared" si="328"/>
        <v>0</v>
      </c>
      <c r="K553" s="214">
        <v>1200.0</v>
      </c>
      <c r="L553" s="212" t="str">
        <f t="shared" si="3"/>
        <v>n/a</v>
      </c>
      <c r="M553" s="212" t="str">
        <f t="shared" si="4"/>
        <v>n/a</v>
      </c>
      <c r="N553" s="207" t="str">
        <f t="shared" si="5"/>
        <v>n/a</v>
      </c>
      <c r="O553" s="207">
        <f t="shared" si="6"/>
        <v>0.0008333333333</v>
      </c>
    </row>
    <row r="554" ht="15.75" customHeight="1">
      <c r="A554" s="207">
        <v>64.0</v>
      </c>
      <c r="B554" s="6" t="str">
        <f>VLOOKUP($A554, 'Completion rates'!$A:$E, 2, FALSE)</f>
        <v>Tombs of amascut reward chests (150)</v>
      </c>
      <c r="C554" s="207">
        <v>25985.0</v>
      </c>
      <c r="D554" s="6" t="str">
        <f>VLOOKUP($C554, 'List of log slots'!$A:$E, 2, FALSE)</f>
        <v>Elidinis' ward</v>
      </c>
      <c r="E554" s="207">
        <f>VLOOKUP($C554, 'List of log slots'!$A:$E, 5, FALSE)</f>
        <v>7</v>
      </c>
      <c r="F554" s="209" t="b">
        <f>VLOOKUP(C554, 'List of log slots'!$A:$C, 3, FALSE)</f>
        <v>0</v>
      </c>
      <c r="G554" s="209" t="b">
        <f t="shared" si="324"/>
        <v>0</v>
      </c>
      <c r="H554" s="210" t="b">
        <f t="shared" si="7"/>
        <v>1</v>
      </c>
      <c r="I554" s="208" t="b">
        <f t="shared" ref="I554:J554" si="329">FALSE</f>
        <v>0</v>
      </c>
      <c r="J554" s="208" t="b">
        <f t="shared" si="329"/>
        <v>0</v>
      </c>
      <c r="K554" s="214">
        <v>400.0</v>
      </c>
      <c r="L554" s="212" t="str">
        <f t="shared" si="3"/>
        <v>n/a</v>
      </c>
      <c r="M554" s="212" t="str">
        <f t="shared" si="4"/>
        <v>n/a</v>
      </c>
      <c r="N554" s="207" t="str">
        <f t="shared" si="5"/>
        <v>n/a</v>
      </c>
      <c r="O554" s="207">
        <f t="shared" si="6"/>
        <v>0.0025</v>
      </c>
    </row>
    <row r="555" ht="15.75" customHeight="1">
      <c r="A555" s="207">
        <v>64.0</v>
      </c>
      <c r="B555" s="6" t="str">
        <f>VLOOKUP($A555, 'Completion rates'!$A:$E, 2, FALSE)</f>
        <v>Tombs of amascut reward chests (150)</v>
      </c>
      <c r="C555" s="207">
        <v>27226.0</v>
      </c>
      <c r="D555" s="6" t="str">
        <f>VLOOKUP($C555, 'List of log slots'!$A:$E, 2, FALSE)</f>
        <v>Masori mask</v>
      </c>
      <c r="E555" s="207">
        <f>VLOOKUP($C555, 'List of log slots'!$A:$E, 5, FALSE)</f>
        <v>7</v>
      </c>
      <c r="F555" s="209" t="b">
        <f>VLOOKUP(C555, 'List of log slots'!$A:$C, 3, FALSE)</f>
        <v>0</v>
      </c>
      <c r="G555" s="209" t="b">
        <f t="shared" si="324"/>
        <v>0</v>
      </c>
      <c r="H555" s="210" t="b">
        <f t="shared" si="7"/>
        <v>1</v>
      </c>
      <c r="I555" s="208" t="b">
        <f t="shared" ref="I555:J555" si="330">FALSE</f>
        <v>0</v>
      </c>
      <c r="J555" s="208" t="b">
        <f t="shared" si="330"/>
        <v>0</v>
      </c>
      <c r="K555" s="214">
        <v>600.0</v>
      </c>
      <c r="L555" s="212" t="str">
        <f t="shared" si="3"/>
        <v>n/a</v>
      </c>
      <c r="M555" s="212" t="str">
        <f t="shared" si="4"/>
        <v>n/a</v>
      </c>
      <c r="N555" s="207" t="str">
        <f t="shared" si="5"/>
        <v>n/a</v>
      </c>
      <c r="O555" s="207">
        <f t="shared" si="6"/>
        <v>0.001666666667</v>
      </c>
    </row>
    <row r="556" ht="15.75" customHeight="1">
      <c r="A556" s="207">
        <v>64.0</v>
      </c>
      <c r="B556" s="6" t="str">
        <f>VLOOKUP($A556, 'Completion rates'!$A:$E, 2, FALSE)</f>
        <v>Tombs of amascut reward chests (150)</v>
      </c>
      <c r="C556" s="207">
        <v>27229.0</v>
      </c>
      <c r="D556" s="6" t="str">
        <f>VLOOKUP($C556, 'List of log slots'!$A:$E, 2, FALSE)</f>
        <v>Masori body</v>
      </c>
      <c r="E556" s="207">
        <f>VLOOKUP($C556, 'List of log slots'!$A:$E, 5, FALSE)</f>
        <v>7</v>
      </c>
      <c r="F556" s="209" t="b">
        <f>VLOOKUP(C556, 'List of log slots'!$A:$C, 3, FALSE)</f>
        <v>0</v>
      </c>
      <c r="G556" s="209" t="b">
        <f t="shared" si="324"/>
        <v>0</v>
      </c>
      <c r="H556" s="210" t="b">
        <f t="shared" si="7"/>
        <v>1</v>
      </c>
      <c r="I556" s="208" t="b">
        <f t="shared" ref="I556:J556" si="331">FALSE</f>
        <v>0</v>
      </c>
      <c r="J556" s="208" t="b">
        <f t="shared" si="331"/>
        <v>0</v>
      </c>
      <c r="K556" s="214">
        <v>600.0</v>
      </c>
      <c r="L556" s="212" t="str">
        <f t="shared" si="3"/>
        <v>n/a</v>
      </c>
      <c r="M556" s="212" t="str">
        <f t="shared" si="4"/>
        <v>n/a</v>
      </c>
      <c r="N556" s="207" t="str">
        <f t="shared" si="5"/>
        <v>n/a</v>
      </c>
      <c r="O556" s="207">
        <f t="shared" si="6"/>
        <v>0.001666666667</v>
      </c>
    </row>
    <row r="557" ht="15.75" customHeight="1">
      <c r="A557" s="207">
        <v>64.0</v>
      </c>
      <c r="B557" s="6" t="str">
        <f>VLOOKUP($A557, 'Completion rates'!$A:$E, 2, FALSE)</f>
        <v>Tombs of amascut reward chests (150)</v>
      </c>
      <c r="C557" s="207">
        <v>27232.0</v>
      </c>
      <c r="D557" s="6" t="str">
        <f>VLOOKUP($C557, 'List of log slots'!$A:$E, 2, FALSE)</f>
        <v>Masori chaps</v>
      </c>
      <c r="E557" s="207">
        <f>VLOOKUP($C557, 'List of log slots'!$A:$E, 5, FALSE)</f>
        <v>7</v>
      </c>
      <c r="F557" s="209" t="b">
        <f>VLOOKUP(C557, 'List of log slots'!$A:$C, 3, FALSE)</f>
        <v>0</v>
      </c>
      <c r="G557" s="209" t="b">
        <f t="shared" si="324"/>
        <v>0</v>
      </c>
      <c r="H557" s="210" t="b">
        <f t="shared" si="7"/>
        <v>1</v>
      </c>
      <c r="I557" s="208" t="b">
        <f t="shared" ref="I557:J557" si="332">FALSE</f>
        <v>0</v>
      </c>
      <c r="J557" s="208" t="b">
        <f t="shared" si="332"/>
        <v>0</v>
      </c>
      <c r="K557" s="214">
        <v>600.0</v>
      </c>
      <c r="L557" s="212" t="str">
        <f t="shared" si="3"/>
        <v>n/a</v>
      </c>
      <c r="M557" s="212" t="str">
        <f t="shared" si="4"/>
        <v>n/a</v>
      </c>
      <c r="N557" s="207" t="str">
        <f t="shared" si="5"/>
        <v>n/a</v>
      </c>
      <c r="O557" s="207">
        <f t="shared" si="6"/>
        <v>0.001666666667</v>
      </c>
    </row>
    <row r="558" ht="15.75" customHeight="1">
      <c r="A558" s="207">
        <v>64.0</v>
      </c>
      <c r="B558" s="6" t="str">
        <f>VLOOKUP($A558, 'Completion rates'!$A:$E, 2, FALSE)</f>
        <v>Tombs of amascut reward chests (150)</v>
      </c>
      <c r="C558" s="207">
        <v>25975.0</v>
      </c>
      <c r="D558" s="6" t="str">
        <f>VLOOKUP($C558, 'List of log slots'!$A:$E, 2, FALSE)</f>
        <v>Lightbearer</v>
      </c>
      <c r="E558" s="207">
        <f>VLOOKUP($C558, 'List of log slots'!$A:$E, 5, FALSE)</f>
        <v>6</v>
      </c>
      <c r="F558" s="209" t="b">
        <f>VLOOKUP(C558, 'List of log slots'!$A:$C, 3, FALSE)</f>
        <v>0</v>
      </c>
      <c r="G558" s="209" t="b">
        <f t="shared" si="324"/>
        <v>0</v>
      </c>
      <c r="H558" s="210" t="b">
        <f t="shared" si="7"/>
        <v>1</v>
      </c>
      <c r="I558" s="208" t="b">
        <f t="shared" ref="I558:J558" si="333">FALSE</f>
        <v>0</v>
      </c>
      <c r="J558" s="208" t="b">
        <f t="shared" si="333"/>
        <v>0</v>
      </c>
      <c r="K558" s="214">
        <v>171.0</v>
      </c>
      <c r="L558" s="212" t="str">
        <f t="shared" si="3"/>
        <v>n/a</v>
      </c>
      <c r="M558" s="212" t="str">
        <f t="shared" si="4"/>
        <v>n/a</v>
      </c>
      <c r="N558" s="207" t="str">
        <f t="shared" si="5"/>
        <v>n/a</v>
      </c>
      <c r="O558" s="207">
        <f t="shared" si="6"/>
        <v>0.005847953216</v>
      </c>
    </row>
    <row r="559" ht="15.75" customHeight="1">
      <c r="A559" s="207">
        <v>64.0</v>
      </c>
      <c r="B559" s="6" t="str">
        <f>VLOOKUP($A559, 'Completion rates'!$A:$E, 2, FALSE)</f>
        <v>Tombs of amascut reward chests (150)</v>
      </c>
      <c r="C559" s="207">
        <v>26219.0</v>
      </c>
      <c r="D559" s="6" t="str">
        <f>VLOOKUP($C559, 'List of log slots'!$A:$E, 2, FALSE)</f>
        <v>Osmumten's fang</v>
      </c>
      <c r="E559" s="207">
        <f>VLOOKUP($C559, 'List of log slots'!$A:$E, 5, FALSE)</f>
        <v>6</v>
      </c>
      <c r="F559" s="209" t="b">
        <f>VLOOKUP(C559, 'List of log slots'!$A:$C, 3, FALSE)</f>
        <v>0</v>
      </c>
      <c r="G559" s="209" t="b">
        <f t="shared" si="324"/>
        <v>0</v>
      </c>
      <c r="H559" s="210" t="b">
        <f t="shared" si="7"/>
        <v>1</v>
      </c>
      <c r="I559" s="208" t="b">
        <f t="shared" ref="I559:J559" si="334">FALSE</f>
        <v>0</v>
      </c>
      <c r="J559" s="208" t="b">
        <f t="shared" si="334"/>
        <v>0</v>
      </c>
      <c r="K559" s="214">
        <v>171.0</v>
      </c>
      <c r="L559" s="212" t="str">
        <f t="shared" si="3"/>
        <v>n/a</v>
      </c>
      <c r="M559" s="212" t="str">
        <f t="shared" si="4"/>
        <v>n/a</v>
      </c>
      <c r="N559" s="207" t="str">
        <f t="shared" si="5"/>
        <v>n/a</v>
      </c>
      <c r="O559" s="207">
        <f t="shared" si="6"/>
        <v>0.005847953216</v>
      </c>
    </row>
    <row r="560" ht="15.75" customHeight="1">
      <c r="A560" s="207">
        <v>64.0</v>
      </c>
      <c r="B560" s="6" t="str">
        <f>VLOOKUP($A560, 'Completion rates'!$A:$E, 2, FALSE)</f>
        <v>Tombs of amascut reward chests (150)</v>
      </c>
      <c r="C560" s="207">
        <v>27279.0</v>
      </c>
      <c r="D560" s="6" t="str">
        <f>VLOOKUP($C560, 'List of log slots'!$A:$E, 2, FALSE)</f>
        <v>Thread of elidinis</v>
      </c>
      <c r="E560" s="207">
        <f>VLOOKUP($C560, 'List of log slots'!$A:$E, 5, FALSE)</f>
        <v>5</v>
      </c>
      <c r="F560" s="209" t="b">
        <f>VLOOKUP(C560, 'List of log slots'!$A:$C, 3, FALSE)</f>
        <v>0</v>
      </c>
      <c r="G560" s="209" t="b">
        <f t="shared" si="324"/>
        <v>0</v>
      </c>
      <c r="H560" s="210" t="b">
        <f t="shared" si="7"/>
        <v>1</v>
      </c>
      <c r="I560" s="208" t="b">
        <f t="shared" ref="I560:J560" si="335">FALSE</f>
        <v>0</v>
      </c>
      <c r="J560" s="208" t="b">
        <f t="shared" si="335"/>
        <v>0</v>
      </c>
      <c r="K560" s="214">
        <v>10.0</v>
      </c>
      <c r="L560" s="212" t="str">
        <f t="shared" si="3"/>
        <v>n/a</v>
      </c>
      <c r="M560" s="212" t="str">
        <f t="shared" si="4"/>
        <v>n/a</v>
      </c>
      <c r="N560" s="207" t="str">
        <f t="shared" si="5"/>
        <v>n/a</v>
      </c>
      <c r="O560" s="207">
        <f t="shared" si="6"/>
        <v>0.1</v>
      </c>
    </row>
    <row r="561" ht="15.75" customHeight="1">
      <c r="A561" s="207">
        <v>64.0</v>
      </c>
      <c r="B561" s="6" t="str">
        <f>VLOOKUP($A561, 'Completion rates'!$A:$E, 2, FALSE)</f>
        <v>Tombs of amascut reward chests (150)</v>
      </c>
      <c r="C561" s="207">
        <v>27283.0</v>
      </c>
      <c r="D561" s="6" t="str">
        <f>VLOOKUP($C561, 'List of log slots'!$A:$E, 2, FALSE)</f>
        <v>Breach of the scarab</v>
      </c>
      <c r="E561" s="207">
        <f>VLOOKUP($C561, 'List of log slots'!$A:$E, 5, FALSE)</f>
        <v>6</v>
      </c>
      <c r="F561" s="209" t="b">
        <f>VLOOKUP(C561, 'List of log slots'!$A:$C, 3, FALSE)</f>
        <v>0</v>
      </c>
      <c r="G561" s="209" t="b">
        <f t="shared" si="324"/>
        <v>0</v>
      </c>
      <c r="H561" s="210" t="b">
        <f t="shared" si="7"/>
        <v>1</v>
      </c>
      <c r="I561" s="208" t="b">
        <f t="shared" ref="I561:I565" si="336">FALSE</f>
        <v>0</v>
      </c>
      <c r="J561" s="213" t="b">
        <f t="shared" ref="J561:J564" si="337">TRUE</f>
        <v>1</v>
      </c>
      <c r="K561" s="214">
        <v>13.0</v>
      </c>
      <c r="L561" s="212" t="str">
        <f t="shared" si="3"/>
        <v>n/a</v>
      </c>
      <c r="M561" s="212" t="str">
        <f t="shared" si="4"/>
        <v>n/a</v>
      </c>
      <c r="N561" s="207">
        <f t="shared" si="5"/>
        <v>13</v>
      </c>
      <c r="O561" s="207" t="str">
        <f t="shared" si="6"/>
        <v>n/a</v>
      </c>
    </row>
    <row r="562" ht="15.75" customHeight="1">
      <c r="A562" s="207">
        <v>64.0</v>
      </c>
      <c r="B562" s="6" t="str">
        <f>VLOOKUP($A562, 'Completion rates'!$A:$E, 2, FALSE)</f>
        <v>Tombs of amascut reward chests (150)</v>
      </c>
      <c r="C562" s="207">
        <v>27285.0</v>
      </c>
      <c r="D562" s="6" t="str">
        <f>VLOOKUP($C562, 'List of log slots'!$A:$E, 2, FALSE)</f>
        <v>Eye of the corruptor</v>
      </c>
      <c r="E562" s="207">
        <f>VLOOKUP($C562, 'List of log slots'!$A:$E, 5, FALSE)</f>
        <v>6</v>
      </c>
      <c r="F562" s="209" t="b">
        <f>VLOOKUP(C562, 'List of log slots'!$A:$C, 3, FALSE)</f>
        <v>0</v>
      </c>
      <c r="G562" s="209" t="b">
        <f t="shared" si="324"/>
        <v>0</v>
      </c>
      <c r="H562" s="210" t="b">
        <f t="shared" si="7"/>
        <v>1</v>
      </c>
      <c r="I562" s="208" t="b">
        <f t="shared" si="336"/>
        <v>0</v>
      </c>
      <c r="J562" s="213" t="b">
        <f t="shared" si="337"/>
        <v>1</v>
      </c>
      <c r="K562" s="214">
        <v>13.0</v>
      </c>
      <c r="L562" s="212" t="str">
        <f t="shared" si="3"/>
        <v>n/a</v>
      </c>
      <c r="M562" s="212" t="str">
        <f t="shared" si="4"/>
        <v>n/a</v>
      </c>
      <c r="N562" s="207">
        <f t="shared" si="5"/>
        <v>13</v>
      </c>
      <c r="O562" s="207" t="str">
        <f t="shared" si="6"/>
        <v>n/a</v>
      </c>
    </row>
    <row r="563" ht="15.75" customHeight="1">
      <c r="A563" s="207">
        <v>64.0</v>
      </c>
      <c r="B563" s="6" t="str">
        <f>VLOOKUP($A563, 'Completion rates'!$A:$E, 2, FALSE)</f>
        <v>Tombs of amascut reward chests (150)</v>
      </c>
      <c r="C563" s="207">
        <v>27289.0</v>
      </c>
      <c r="D563" s="6" t="str">
        <f>VLOOKUP($C563, 'List of log slots'!$A:$E, 2, FALSE)</f>
        <v>Jewel of the sun</v>
      </c>
      <c r="E563" s="207">
        <f>VLOOKUP($C563, 'List of log slots'!$A:$E, 5, FALSE)</f>
        <v>6</v>
      </c>
      <c r="F563" s="209" t="b">
        <f>VLOOKUP(C563, 'List of log slots'!$A:$C, 3, FALSE)</f>
        <v>0</v>
      </c>
      <c r="G563" s="209" t="b">
        <f t="shared" si="324"/>
        <v>0</v>
      </c>
      <c r="H563" s="210" t="b">
        <f t="shared" si="7"/>
        <v>1</v>
      </c>
      <c r="I563" s="208" t="b">
        <f t="shared" si="336"/>
        <v>0</v>
      </c>
      <c r="J563" s="213" t="b">
        <f t="shared" si="337"/>
        <v>1</v>
      </c>
      <c r="K563" s="214">
        <v>13.0</v>
      </c>
      <c r="L563" s="212" t="str">
        <f t="shared" si="3"/>
        <v>n/a</v>
      </c>
      <c r="M563" s="212" t="str">
        <f t="shared" si="4"/>
        <v>n/a</v>
      </c>
      <c r="N563" s="207">
        <f t="shared" si="5"/>
        <v>13</v>
      </c>
      <c r="O563" s="207" t="str">
        <f t="shared" si="6"/>
        <v>n/a</v>
      </c>
    </row>
    <row r="564" ht="15.75" customHeight="1">
      <c r="A564" s="207">
        <v>64.0</v>
      </c>
      <c r="B564" s="6" t="str">
        <f>VLOOKUP($A564, 'Completion rates'!$A:$E, 2, FALSE)</f>
        <v>Tombs of amascut reward chests (150)</v>
      </c>
      <c r="C564" s="207">
        <v>30893.0</v>
      </c>
      <c r="D564" s="6" t="str">
        <f>VLOOKUP($C564, 'List of log slots'!$A:$E, 2, FALSE)</f>
        <v>Jewel of amascut</v>
      </c>
      <c r="E564" s="207">
        <f>VLOOKUP($C564, 'List of log slots'!$A:$E, 5, FALSE)</f>
        <v>6</v>
      </c>
      <c r="F564" s="209" t="b">
        <f>VLOOKUP(C564, 'List of log slots'!$A:$C, 3, FALSE)</f>
        <v>0</v>
      </c>
      <c r="G564" s="209" t="b">
        <f t="shared" si="324"/>
        <v>0</v>
      </c>
      <c r="H564" s="210" t="b">
        <f t="shared" si="7"/>
        <v>1</v>
      </c>
      <c r="I564" s="208" t="b">
        <f t="shared" si="336"/>
        <v>0</v>
      </c>
      <c r="J564" s="213" t="b">
        <f t="shared" si="337"/>
        <v>1</v>
      </c>
      <c r="K564" s="214">
        <v>13.0</v>
      </c>
      <c r="L564" s="212" t="str">
        <f t="shared" si="3"/>
        <v>n/a</v>
      </c>
      <c r="M564" s="212" t="str">
        <f t="shared" si="4"/>
        <v>n/a</v>
      </c>
      <c r="N564" s="207">
        <f t="shared" si="5"/>
        <v>13</v>
      </c>
      <c r="O564" s="207" t="str">
        <f t="shared" si="6"/>
        <v>n/a</v>
      </c>
    </row>
    <row r="565" ht="15.75" customHeight="1">
      <c r="A565" s="207">
        <v>64.0</v>
      </c>
      <c r="B565" s="6" t="str">
        <f>VLOOKUP($A565, 'Completion rates'!$A:$E, 2, FALSE)</f>
        <v>Tombs of amascut reward chests (150)</v>
      </c>
      <c r="C565" s="207">
        <v>27293.0</v>
      </c>
      <c r="D565" s="6" t="str">
        <f>VLOOKUP($C565, 'List of log slots'!$A:$E, 2, FALSE)</f>
        <v>Cache of runes</v>
      </c>
      <c r="E565" s="207">
        <f>VLOOKUP($C565, 'List of log slots'!$A:$E, 5, FALSE)</f>
        <v>5</v>
      </c>
      <c r="F565" s="209" t="b">
        <f>VLOOKUP(C565, 'List of log slots'!$A:$C, 3, FALSE)</f>
        <v>0</v>
      </c>
      <c r="G565" s="209" t="b">
        <f t="shared" si="324"/>
        <v>0</v>
      </c>
      <c r="H565" s="210" t="b">
        <f t="shared" si="7"/>
        <v>1</v>
      </c>
      <c r="I565" s="208" t="b">
        <f t="shared" si="336"/>
        <v>0</v>
      </c>
      <c r="J565" s="208" t="b">
        <f t="shared" ref="J565:J570" si="338">FALSE</f>
        <v>0</v>
      </c>
      <c r="K565" s="214">
        <v>9.0</v>
      </c>
      <c r="L565" s="212" t="str">
        <f t="shared" si="3"/>
        <v>n/a</v>
      </c>
      <c r="M565" s="212" t="str">
        <f t="shared" si="4"/>
        <v>n/a</v>
      </c>
      <c r="N565" s="207" t="str">
        <f t="shared" si="5"/>
        <v>n/a</v>
      </c>
      <c r="O565" s="207">
        <f t="shared" si="6"/>
        <v>0.1111111111</v>
      </c>
    </row>
    <row r="566" ht="15.75" customHeight="1">
      <c r="A566" s="207">
        <v>64.0</v>
      </c>
      <c r="B566" s="6" t="str">
        <f>VLOOKUP($A566, 'Completion rates'!$A:$E, 2, FALSE)</f>
        <v>Tombs of amascut reward chests (150)</v>
      </c>
      <c r="C566" s="207">
        <v>27257.0</v>
      </c>
      <c r="D566" s="6" t="str">
        <f>VLOOKUP($C566, 'List of log slots'!$A:$E, 2, FALSE)</f>
        <v>Icthlarin's shround (tier 1)</v>
      </c>
      <c r="E566" s="207">
        <f>VLOOKUP($C566, 'List of log slots'!$A:$E, 5, FALSE)</f>
        <v>7</v>
      </c>
      <c r="F566" s="209" t="b">
        <f>VLOOKUP(C566, 'List of log slots'!$A:$C, 3, FALSE)</f>
        <v>0</v>
      </c>
      <c r="G566" s="209" t="b">
        <f t="shared" si="324"/>
        <v>0</v>
      </c>
      <c r="H566" s="210" t="b">
        <f t="shared" si="7"/>
        <v>1</v>
      </c>
      <c r="I566" s="213" t="b">
        <f t="shared" ref="I566:I570" si="339">TRUE</f>
        <v>1</v>
      </c>
      <c r="J566" s="208" t="b">
        <f t="shared" si="338"/>
        <v>0</v>
      </c>
      <c r="K566" s="214">
        <v>100.0</v>
      </c>
      <c r="L566" s="212" t="str">
        <f t="shared" si="3"/>
        <v>n/a</v>
      </c>
      <c r="M566" s="212">
        <f t="shared" si="4"/>
        <v>100</v>
      </c>
      <c r="N566" s="207" t="str">
        <f t="shared" si="5"/>
        <v>n/a</v>
      </c>
      <c r="O566" s="207" t="str">
        <f t="shared" si="6"/>
        <v>n/a</v>
      </c>
    </row>
    <row r="567" ht="15.75" customHeight="1">
      <c r="A567" s="207">
        <v>64.0</v>
      </c>
      <c r="B567" s="6" t="str">
        <f>VLOOKUP($A567, 'Completion rates'!$A:$E, 2, FALSE)</f>
        <v>Tombs of amascut reward chests (150)</v>
      </c>
      <c r="C567" s="212">
        <v>27259.0</v>
      </c>
      <c r="D567" s="6" t="str">
        <f>VLOOKUP($C567, 'List of log slots'!$A:$E, 2, FALSE)</f>
        <v>Icthlarin's shround (tier 2)</v>
      </c>
      <c r="E567" s="207">
        <f>VLOOKUP($C567, 'List of log slots'!$A:$E, 5, FALSE)</f>
        <v>8</v>
      </c>
      <c r="F567" s="209" t="b">
        <f>VLOOKUP(C567, 'List of log slots'!$A:$C, 3, FALSE)</f>
        <v>0</v>
      </c>
      <c r="G567" s="210" t="b">
        <f t="shared" ref="G567:G570" si="340">TRUE</f>
        <v>1</v>
      </c>
      <c r="H567" s="209" t="b">
        <f t="shared" si="7"/>
        <v>0</v>
      </c>
      <c r="I567" s="213" t="b">
        <f t="shared" si="339"/>
        <v>1</v>
      </c>
      <c r="J567" s="208" t="b">
        <f t="shared" si="338"/>
        <v>0</v>
      </c>
      <c r="K567" s="214">
        <v>400.0</v>
      </c>
      <c r="L567" s="212" t="str">
        <f t="shared" si="3"/>
        <v>n/a</v>
      </c>
      <c r="M567" s="212">
        <f t="shared" si="4"/>
        <v>400</v>
      </c>
      <c r="N567" s="207" t="str">
        <f t="shared" si="5"/>
        <v>n/a</v>
      </c>
      <c r="O567" s="207" t="str">
        <f t="shared" si="6"/>
        <v>n/a</v>
      </c>
    </row>
    <row r="568" ht="15.75" customHeight="1">
      <c r="A568" s="207">
        <v>64.0</v>
      </c>
      <c r="B568" s="6" t="str">
        <f>VLOOKUP($A568, 'Completion rates'!$A:$E, 2, FALSE)</f>
        <v>Tombs of amascut reward chests (150)</v>
      </c>
      <c r="C568" s="207">
        <v>27261.0</v>
      </c>
      <c r="D568" s="6" t="str">
        <f>VLOOKUP($C568, 'List of log slots'!$A:$E, 2, FALSE)</f>
        <v>Icthlarin's shround (tier 3)</v>
      </c>
      <c r="E568" s="207">
        <f>VLOOKUP($C568, 'List of log slots'!$A:$E, 5, FALSE)</f>
        <v>8</v>
      </c>
      <c r="F568" s="209" t="b">
        <f>VLOOKUP(C568, 'List of log slots'!$A:$C, 3, FALSE)</f>
        <v>0</v>
      </c>
      <c r="G568" s="210" t="b">
        <f t="shared" si="340"/>
        <v>1</v>
      </c>
      <c r="H568" s="209" t="b">
        <f t="shared" si="7"/>
        <v>0</v>
      </c>
      <c r="I568" s="213" t="b">
        <f t="shared" si="339"/>
        <v>1</v>
      </c>
      <c r="J568" s="208" t="b">
        <f t="shared" si="338"/>
        <v>0</v>
      </c>
      <c r="K568" s="214">
        <v>500.0</v>
      </c>
      <c r="L568" s="212" t="str">
        <f t="shared" si="3"/>
        <v>n/a</v>
      </c>
      <c r="M568" s="212">
        <f t="shared" si="4"/>
        <v>500</v>
      </c>
      <c r="N568" s="207" t="str">
        <f t="shared" si="5"/>
        <v>n/a</v>
      </c>
      <c r="O568" s="207" t="str">
        <f t="shared" si="6"/>
        <v>n/a</v>
      </c>
    </row>
    <row r="569" ht="15.75" customHeight="1">
      <c r="A569" s="207">
        <v>64.0</v>
      </c>
      <c r="B569" s="6" t="str">
        <f>VLOOKUP($A569, 'Completion rates'!$A:$E, 2, FALSE)</f>
        <v>Tombs of amascut reward chests (150)</v>
      </c>
      <c r="C569" s="207">
        <v>27263.0</v>
      </c>
      <c r="D569" s="6" t="str">
        <f>VLOOKUP($C569, 'List of log slots'!$A:$E, 2, FALSE)</f>
        <v>Icthlarin's shround (tier 4)</v>
      </c>
      <c r="E569" s="207">
        <f>VLOOKUP($C569, 'List of log slots'!$A:$E, 5, FALSE)</f>
        <v>9</v>
      </c>
      <c r="F569" s="209" t="b">
        <f>VLOOKUP(C569, 'List of log slots'!$A:$C, 3, FALSE)</f>
        <v>0</v>
      </c>
      <c r="G569" s="210" t="b">
        <f t="shared" si="340"/>
        <v>1</v>
      </c>
      <c r="H569" s="209" t="b">
        <f t="shared" si="7"/>
        <v>0</v>
      </c>
      <c r="I569" s="213" t="b">
        <f t="shared" si="339"/>
        <v>1</v>
      </c>
      <c r="J569" s="208" t="b">
        <f t="shared" si="338"/>
        <v>0</v>
      </c>
      <c r="K569" s="214">
        <v>500.0</v>
      </c>
      <c r="L569" s="212" t="str">
        <f t="shared" si="3"/>
        <v>n/a</v>
      </c>
      <c r="M569" s="212">
        <f t="shared" si="4"/>
        <v>500</v>
      </c>
      <c r="N569" s="207" t="str">
        <f t="shared" si="5"/>
        <v>n/a</v>
      </c>
      <c r="O569" s="207" t="str">
        <f t="shared" si="6"/>
        <v>n/a</v>
      </c>
    </row>
    <row r="570" ht="15.75" customHeight="1">
      <c r="A570" s="207">
        <v>64.0</v>
      </c>
      <c r="B570" s="6" t="str">
        <f>VLOOKUP($A570, 'Completion rates'!$A:$E, 2, FALSE)</f>
        <v>Tombs of amascut reward chests (150)</v>
      </c>
      <c r="C570" s="207">
        <v>27265.0</v>
      </c>
      <c r="D570" s="6" t="str">
        <f>VLOOKUP($C570, 'List of log slots'!$A:$E, 2, FALSE)</f>
        <v>Icthlarin's shround (tier 5)</v>
      </c>
      <c r="E570" s="207">
        <f>VLOOKUP($C570, 'List of log slots'!$A:$E, 5, FALSE)</f>
        <v>9</v>
      </c>
      <c r="F570" s="209" t="b">
        <f>VLOOKUP(C570, 'List of log slots'!$A:$C, 3, FALSE)</f>
        <v>0</v>
      </c>
      <c r="G570" s="210" t="b">
        <f t="shared" si="340"/>
        <v>1</v>
      </c>
      <c r="H570" s="209" t="b">
        <f t="shared" si="7"/>
        <v>0</v>
      </c>
      <c r="I570" s="213" t="b">
        <f t="shared" si="339"/>
        <v>1</v>
      </c>
      <c r="J570" s="208" t="b">
        <f t="shared" si="338"/>
        <v>0</v>
      </c>
      <c r="K570" s="214">
        <v>500.0</v>
      </c>
      <c r="L570" s="212" t="str">
        <f t="shared" si="3"/>
        <v>n/a</v>
      </c>
      <c r="M570" s="212">
        <f t="shared" si="4"/>
        <v>500</v>
      </c>
      <c r="N570" s="207" t="str">
        <f t="shared" si="5"/>
        <v>n/a</v>
      </c>
      <c r="O570" s="207" t="str">
        <f t="shared" si="6"/>
        <v>n/a</v>
      </c>
    </row>
    <row r="571" ht="15.75" customHeight="1">
      <c r="A571" s="207">
        <v>65.0</v>
      </c>
      <c r="B571" s="6" t="str">
        <f>VLOOKUP($A571, 'Completion rates'!$A:$E, 2, FALSE)</f>
        <v>Tombs of amascut reward chests (300)</v>
      </c>
      <c r="C571" s="207">
        <v>27352.0</v>
      </c>
      <c r="D571" s="6" t="str">
        <f>VLOOKUP($C571, 'List of log slots'!$A:$E, 2, FALSE)</f>
        <v>Tumeken's guardian</v>
      </c>
      <c r="E571" s="207">
        <f>VLOOKUP($C571, 'List of log slots'!$A:$E, 5, FALSE)</f>
        <v>8</v>
      </c>
      <c r="F571" s="209" t="b">
        <f>VLOOKUP(C571, 'List of log slots'!$A:$C, 3, FALSE)</f>
        <v>0</v>
      </c>
      <c r="G571" s="209" t="b">
        <f t="shared" ref="G571:G585" si="342">FALSE</f>
        <v>0</v>
      </c>
      <c r="H571" s="210" t="b">
        <f t="shared" si="7"/>
        <v>1</v>
      </c>
      <c r="I571" s="208" t="b">
        <f t="shared" ref="I571:J571" si="341">FALSE</f>
        <v>0</v>
      </c>
      <c r="J571" s="208" t="b">
        <f t="shared" si="341"/>
        <v>0</v>
      </c>
      <c r="K571" s="214">
        <v>800.0</v>
      </c>
      <c r="L571" s="212" t="str">
        <f t="shared" si="3"/>
        <v>n/a</v>
      </c>
      <c r="M571" s="212" t="str">
        <f t="shared" si="4"/>
        <v>n/a</v>
      </c>
      <c r="N571" s="207" t="str">
        <f t="shared" si="5"/>
        <v>n/a</v>
      </c>
      <c r="O571" s="207">
        <f t="shared" si="6"/>
        <v>0.00125</v>
      </c>
    </row>
    <row r="572" ht="15.75" customHeight="1">
      <c r="A572" s="207">
        <v>65.0</v>
      </c>
      <c r="B572" s="6" t="str">
        <f>VLOOKUP($A572, 'Completion rates'!$A:$E, 2, FALSE)</f>
        <v>Tombs of amascut reward chests (300)</v>
      </c>
      <c r="C572" s="207">
        <v>27277.0</v>
      </c>
      <c r="D572" s="6" t="str">
        <f>VLOOKUP($C572, 'List of log slots'!$A:$E, 2, FALSE)</f>
        <v>Tumeken's shadow (uncharged)</v>
      </c>
      <c r="E572" s="207">
        <f>VLOOKUP($C572, 'List of log slots'!$A:$E, 5, FALSE)</f>
        <v>8</v>
      </c>
      <c r="F572" s="209" t="b">
        <f>VLOOKUP(C572, 'List of log slots'!$A:$C, 3, FALSE)</f>
        <v>0</v>
      </c>
      <c r="G572" s="209" t="b">
        <f t="shared" si="342"/>
        <v>0</v>
      </c>
      <c r="H572" s="210" t="b">
        <f t="shared" si="7"/>
        <v>1</v>
      </c>
      <c r="I572" s="208" t="b">
        <f t="shared" ref="I572:J572" si="343">FALSE</f>
        <v>0</v>
      </c>
      <c r="J572" s="208" t="b">
        <f t="shared" si="343"/>
        <v>0</v>
      </c>
      <c r="K572" s="214">
        <v>600.0</v>
      </c>
      <c r="L572" s="212" t="str">
        <f t="shared" si="3"/>
        <v>n/a</v>
      </c>
      <c r="M572" s="212" t="str">
        <f t="shared" si="4"/>
        <v>n/a</v>
      </c>
      <c r="N572" s="207" t="str">
        <f t="shared" si="5"/>
        <v>n/a</v>
      </c>
      <c r="O572" s="207">
        <f t="shared" si="6"/>
        <v>0.001666666667</v>
      </c>
    </row>
    <row r="573" ht="15.75" customHeight="1">
      <c r="A573" s="207">
        <v>65.0</v>
      </c>
      <c r="B573" s="6" t="str">
        <f>VLOOKUP($A573, 'Completion rates'!$A:$E, 2, FALSE)</f>
        <v>Tombs of amascut reward chests (300)</v>
      </c>
      <c r="C573" s="207">
        <v>25985.0</v>
      </c>
      <c r="D573" s="6" t="str">
        <f>VLOOKUP($C573, 'List of log slots'!$A:$E, 2, FALSE)</f>
        <v>Elidinis' ward</v>
      </c>
      <c r="E573" s="207">
        <f>VLOOKUP($C573, 'List of log slots'!$A:$E, 5, FALSE)</f>
        <v>7</v>
      </c>
      <c r="F573" s="209" t="b">
        <f>VLOOKUP(C573, 'List of log slots'!$A:$C, 3, FALSE)</f>
        <v>0</v>
      </c>
      <c r="G573" s="209" t="b">
        <f t="shared" si="342"/>
        <v>0</v>
      </c>
      <c r="H573" s="210" t="b">
        <f t="shared" si="7"/>
        <v>1</v>
      </c>
      <c r="I573" s="208" t="b">
        <f t="shared" ref="I573:J573" si="344">FALSE</f>
        <v>0</v>
      </c>
      <c r="J573" s="208" t="b">
        <f t="shared" si="344"/>
        <v>0</v>
      </c>
      <c r="K573" s="214">
        <v>200.0</v>
      </c>
      <c r="L573" s="212" t="str">
        <f t="shared" si="3"/>
        <v>n/a</v>
      </c>
      <c r="M573" s="212" t="str">
        <f t="shared" si="4"/>
        <v>n/a</v>
      </c>
      <c r="N573" s="207" t="str">
        <f t="shared" si="5"/>
        <v>n/a</v>
      </c>
      <c r="O573" s="207">
        <f t="shared" si="6"/>
        <v>0.005</v>
      </c>
    </row>
    <row r="574" ht="15.75" customHeight="1">
      <c r="A574" s="207">
        <v>65.0</v>
      </c>
      <c r="B574" s="6" t="str">
        <f>VLOOKUP($A574, 'Completion rates'!$A:$E, 2, FALSE)</f>
        <v>Tombs of amascut reward chests (300)</v>
      </c>
      <c r="C574" s="207">
        <v>27226.0</v>
      </c>
      <c r="D574" s="6" t="str">
        <f>VLOOKUP($C574, 'List of log slots'!$A:$E, 2, FALSE)</f>
        <v>Masori mask</v>
      </c>
      <c r="E574" s="207">
        <f>VLOOKUP($C574, 'List of log slots'!$A:$E, 5, FALSE)</f>
        <v>7</v>
      </c>
      <c r="F574" s="209" t="b">
        <f>VLOOKUP(C574, 'List of log slots'!$A:$C, 3, FALSE)</f>
        <v>0</v>
      </c>
      <c r="G574" s="209" t="b">
        <f t="shared" si="342"/>
        <v>0</v>
      </c>
      <c r="H574" s="210" t="b">
        <f t="shared" si="7"/>
        <v>1</v>
      </c>
      <c r="I574" s="208" t="b">
        <f t="shared" ref="I574:J574" si="345">FALSE</f>
        <v>0</v>
      </c>
      <c r="J574" s="208" t="b">
        <f t="shared" si="345"/>
        <v>0</v>
      </c>
      <c r="K574" s="214">
        <v>300.0</v>
      </c>
      <c r="L574" s="212" t="str">
        <f t="shared" si="3"/>
        <v>n/a</v>
      </c>
      <c r="M574" s="212" t="str">
        <f t="shared" si="4"/>
        <v>n/a</v>
      </c>
      <c r="N574" s="207" t="str">
        <f t="shared" si="5"/>
        <v>n/a</v>
      </c>
      <c r="O574" s="207">
        <f t="shared" si="6"/>
        <v>0.003333333333</v>
      </c>
    </row>
    <row r="575" ht="15.75" customHeight="1">
      <c r="A575" s="207">
        <v>65.0</v>
      </c>
      <c r="B575" s="6" t="str">
        <f>VLOOKUP($A575, 'Completion rates'!$A:$E, 2, FALSE)</f>
        <v>Tombs of amascut reward chests (300)</v>
      </c>
      <c r="C575" s="207">
        <v>27229.0</v>
      </c>
      <c r="D575" s="6" t="str">
        <f>VLOOKUP($C575, 'List of log slots'!$A:$E, 2, FALSE)</f>
        <v>Masori body</v>
      </c>
      <c r="E575" s="207">
        <f>VLOOKUP($C575, 'List of log slots'!$A:$E, 5, FALSE)</f>
        <v>7</v>
      </c>
      <c r="F575" s="209" t="b">
        <f>VLOOKUP(C575, 'List of log slots'!$A:$C, 3, FALSE)</f>
        <v>0</v>
      </c>
      <c r="G575" s="209" t="b">
        <f t="shared" si="342"/>
        <v>0</v>
      </c>
      <c r="H575" s="210" t="b">
        <f t="shared" si="7"/>
        <v>1</v>
      </c>
      <c r="I575" s="208" t="b">
        <f t="shared" ref="I575:J575" si="346">FALSE</f>
        <v>0</v>
      </c>
      <c r="J575" s="208" t="b">
        <f t="shared" si="346"/>
        <v>0</v>
      </c>
      <c r="K575" s="214">
        <v>300.0</v>
      </c>
      <c r="L575" s="212" t="str">
        <f t="shared" si="3"/>
        <v>n/a</v>
      </c>
      <c r="M575" s="212" t="str">
        <f t="shared" si="4"/>
        <v>n/a</v>
      </c>
      <c r="N575" s="207" t="str">
        <f t="shared" si="5"/>
        <v>n/a</v>
      </c>
      <c r="O575" s="207">
        <f t="shared" si="6"/>
        <v>0.003333333333</v>
      </c>
    </row>
    <row r="576" ht="15.75" customHeight="1">
      <c r="A576" s="207">
        <v>65.0</v>
      </c>
      <c r="B576" s="6" t="str">
        <f>VLOOKUP($A576, 'Completion rates'!$A:$E, 2, FALSE)</f>
        <v>Tombs of amascut reward chests (300)</v>
      </c>
      <c r="C576" s="207">
        <v>27232.0</v>
      </c>
      <c r="D576" s="6" t="str">
        <f>VLOOKUP($C576, 'List of log slots'!$A:$E, 2, FALSE)</f>
        <v>Masori chaps</v>
      </c>
      <c r="E576" s="207">
        <f>VLOOKUP($C576, 'List of log slots'!$A:$E, 5, FALSE)</f>
        <v>7</v>
      </c>
      <c r="F576" s="209" t="b">
        <f>VLOOKUP(C576, 'List of log slots'!$A:$C, 3, FALSE)</f>
        <v>0</v>
      </c>
      <c r="G576" s="209" t="b">
        <f t="shared" si="342"/>
        <v>0</v>
      </c>
      <c r="H576" s="210" t="b">
        <f t="shared" si="7"/>
        <v>1</v>
      </c>
      <c r="I576" s="208" t="b">
        <f t="shared" ref="I576:J576" si="347">FALSE</f>
        <v>0</v>
      </c>
      <c r="J576" s="208" t="b">
        <f t="shared" si="347"/>
        <v>0</v>
      </c>
      <c r="K576" s="214">
        <v>300.0</v>
      </c>
      <c r="L576" s="212" t="str">
        <f t="shared" si="3"/>
        <v>n/a</v>
      </c>
      <c r="M576" s="212" t="str">
        <f t="shared" si="4"/>
        <v>n/a</v>
      </c>
      <c r="N576" s="207" t="str">
        <f t="shared" si="5"/>
        <v>n/a</v>
      </c>
      <c r="O576" s="207">
        <f t="shared" si="6"/>
        <v>0.003333333333</v>
      </c>
    </row>
    <row r="577" ht="15.75" customHeight="1">
      <c r="A577" s="207">
        <v>65.0</v>
      </c>
      <c r="B577" s="6" t="str">
        <f>VLOOKUP($A577, 'Completion rates'!$A:$E, 2, FALSE)</f>
        <v>Tombs of amascut reward chests (300)</v>
      </c>
      <c r="C577" s="207">
        <v>25975.0</v>
      </c>
      <c r="D577" s="6" t="str">
        <f>VLOOKUP($C577, 'List of log slots'!$A:$E, 2, FALSE)</f>
        <v>Lightbearer</v>
      </c>
      <c r="E577" s="207">
        <f>VLOOKUP($C577, 'List of log slots'!$A:$E, 5, FALSE)</f>
        <v>6</v>
      </c>
      <c r="F577" s="209" t="b">
        <f>VLOOKUP(C577, 'List of log slots'!$A:$C, 3, FALSE)</f>
        <v>0</v>
      </c>
      <c r="G577" s="209" t="b">
        <f t="shared" si="342"/>
        <v>0</v>
      </c>
      <c r="H577" s="210" t="b">
        <f t="shared" si="7"/>
        <v>1</v>
      </c>
      <c r="I577" s="208" t="b">
        <f t="shared" ref="I577:J577" si="348">FALSE</f>
        <v>0</v>
      </c>
      <c r="J577" s="208" t="b">
        <f t="shared" si="348"/>
        <v>0</v>
      </c>
      <c r="K577" s="214">
        <v>86.0</v>
      </c>
      <c r="L577" s="212" t="str">
        <f t="shared" si="3"/>
        <v>n/a</v>
      </c>
      <c r="M577" s="212" t="str">
        <f t="shared" si="4"/>
        <v>n/a</v>
      </c>
      <c r="N577" s="207" t="str">
        <f t="shared" si="5"/>
        <v>n/a</v>
      </c>
      <c r="O577" s="207">
        <f t="shared" si="6"/>
        <v>0.01162790698</v>
      </c>
    </row>
    <row r="578" ht="15.75" customHeight="1">
      <c r="A578" s="207">
        <v>65.0</v>
      </c>
      <c r="B578" s="6" t="str">
        <f>VLOOKUP($A578, 'Completion rates'!$A:$E, 2, FALSE)</f>
        <v>Tombs of amascut reward chests (300)</v>
      </c>
      <c r="C578" s="207">
        <v>26219.0</v>
      </c>
      <c r="D578" s="6" t="str">
        <f>VLOOKUP($C578, 'List of log slots'!$A:$E, 2, FALSE)</f>
        <v>Osmumten's fang</v>
      </c>
      <c r="E578" s="207">
        <f>VLOOKUP($C578, 'List of log slots'!$A:$E, 5, FALSE)</f>
        <v>6</v>
      </c>
      <c r="F578" s="209" t="b">
        <f>VLOOKUP(C578, 'List of log slots'!$A:$C, 3, FALSE)</f>
        <v>0</v>
      </c>
      <c r="G578" s="209" t="b">
        <f t="shared" si="342"/>
        <v>0</v>
      </c>
      <c r="H578" s="210" t="b">
        <f t="shared" si="7"/>
        <v>1</v>
      </c>
      <c r="I578" s="208" t="b">
        <f t="shared" ref="I578:J578" si="349">FALSE</f>
        <v>0</v>
      </c>
      <c r="J578" s="208" t="b">
        <f t="shared" si="349"/>
        <v>0</v>
      </c>
      <c r="K578" s="214">
        <v>86.0</v>
      </c>
      <c r="L578" s="212" t="str">
        <f t="shared" si="3"/>
        <v>n/a</v>
      </c>
      <c r="M578" s="212" t="str">
        <f t="shared" si="4"/>
        <v>n/a</v>
      </c>
      <c r="N578" s="207" t="str">
        <f t="shared" si="5"/>
        <v>n/a</v>
      </c>
      <c r="O578" s="207">
        <f t="shared" si="6"/>
        <v>0.01162790698</v>
      </c>
    </row>
    <row r="579" ht="15.75" customHeight="1">
      <c r="A579" s="207">
        <v>65.0</v>
      </c>
      <c r="B579" s="6" t="str">
        <f>VLOOKUP($A579, 'Completion rates'!$A:$E, 2, FALSE)</f>
        <v>Tombs of amascut reward chests (300)</v>
      </c>
      <c r="C579" s="207">
        <v>27279.0</v>
      </c>
      <c r="D579" s="6" t="str">
        <f>VLOOKUP($C579, 'List of log slots'!$A:$E, 2, FALSE)</f>
        <v>Thread of elidinis</v>
      </c>
      <c r="E579" s="207">
        <f>VLOOKUP($C579, 'List of log slots'!$A:$E, 5, FALSE)</f>
        <v>5</v>
      </c>
      <c r="F579" s="209" t="b">
        <f>VLOOKUP(C579, 'List of log slots'!$A:$C, 3, FALSE)</f>
        <v>0</v>
      </c>
      <c r="G579" s="209" t="b">
        <f t="shared" si="342"/>
        <v>0</v>
      </c>
      <c r="H579" s="210" t="b">
        <f t="shared" si="7"/>
        <v>1</v>
      </c>
      <c r="I579" s="208" t="b">
        <f t="shared" ref="I579:J579" si="350">FALSE</f>
        <v>0</v>
      </c>
      <c r="J579" s="208" t="b">
        <f t="shared" si="350"/>
        <v>0</v>
      </c>
      <c r="K579" s="214">
        <v>10.0</v>
      </c>
      <c r="L579" s="212" t="str">
        <f t="shared" si="3"/>
        <v>n/a</v>
      </c>
      <c r="M579" s="212" t="str">
        <f t="shared" si="4"/>
        <v>n/a</v>
      </c>
      <c r="N579" s="207" t="str">
        <f t="shared" si="5"/>
        <v>n/a</v>
      </c>
      <c r="O579" s="207">
        <f t="shared" si="6"/>
        <v>0.1</v>
      </c>
    </row>
    <row r="580" ht="15.75" customHeight="1">
      <c r="A580" s="207">
        <v>65.0</v>
      </c>
      <c r="B580" s="6" t="str">
        <f>VLOOKUP($A580, 'Completion rates'!$A:$E, 2, FALSE)</f>
        <v>Tombs of amascut reward chests (300)</v>
      </c>
      <c r="C580" s="207">
        <v>27283.0</v>
      </c>
      <c r="D580" s="6" t="str">
        <f>VLOOKUP($C580, 'List of log slots'!$A:$E, 2, FALSE)</f>
        <v>Breach of the scarab</v>
      </c>
      <c r="E580" s="207">
        <f>VLOOKUP($C580, 'List of log slots'!$A:$E, 5, FALSE)</f>
        <v>6</v>
      </c>
      <c r="F580" s="209" t="b">
        <f>VLOOKUP(C580, 'List of log slots'!$A:$C, 3, FALSE)</f>
        <v>0</v>
      </c>
      <c r="G580" s="209" t="b">
        <f t="shared" si="342"/>
        <v>0</v>
      </c>
      <c r="H580" s="210" t="b">
        <f t="shared" si="7"/>
        <v>1</v>
      </c>
      <c r="I580" s="208" t="b">
        <f t="shared" ref="I580:I584" si="351">FALSE</f>
        <v>0</v>
      </c>
      <c r="J580" s="213" t="b">
        <f t="shared" ref="J580:J583" si="352">TRUE</f>
        <v>1</v>
      </c>
      <c r="K580" s="214">
        <v>13.0</v>
      </c>
      <c r="L580" s="212" t="str">
        <f t="shared" si="3"/>
        <v>n/a</v>
      </c>
      <c r="M580" s="212" t="str">
        <f t="shared" si="4"/>
        <v>n/a</v>
      </c>
      <c r="N580" s="207">
        <f t="shared" si="5"/>
        <v>13</v>
      </c>
      <c r="O580" s="207" t="str">
        <f t="shared" si="6"/>
        <v>n/a</v>
      </c>
    </row>
    <row r="581" ht="15.75" customHeight="1">
      <c r="A581" s="207">
        <v>65.0</v>
      </c>
      <c r="B581" s="6" t="str">
        <f>VLOOKUP($A581, 'Completion rates'!$A:$E, 2, FALSE)</f>
        <v>Tombs of amascut reward chests (300)</v>
      </c>
      <c r="C581" s="207">
        <v>27285.0</v>
      </c>
      <c r="D581" s="6" t="str">
        <f>VLOOKUP($C581, 'List of log slots'!$A:$E, 2, FALSE)</f>
        <v>Eye of the corruptor</v>
      </c>
      <c r="E581" s="207">
        <f>VLOOKUP($C581, 'List of log slots'!$A:$E, 5, FALSE)</f>
        <v>6</v>
      </c>
      <c r="F581" s="209" t="b">
        <f>VLOOKUP(C581, 'List of log slots'!$A:$C, 3, FALSE)</f>
        <v>0</v>
      </c>
      <c r="G581" s="209" t="b">
        <f t="shared" si="342"/>
        <v>0</v>
      </c>
      <c r="H581" s="210" t="b">
        <f t="shared" si="7"/>
        <v>1</v>
      </c>
      <c r="I581" s="208" t="b">
        <f t="shared" si="351"/>
        <v>0</v>
      </c>
      <c r="J581" s="213" t="b">
        <f t="shared" si="352"/>
        <v>1</v>
      </c>
      <c r="K581" s="214">
        <v>13.0</v>
      </c>
      <c r="L581" s="212" t="str">
        <f t="shared" si="3"/>
        <v>n/a</v>
      </c>
      <c r="M581" s="212" t="str">
        <f t="shared" si="4"/>
        <v>n/a</v>
      </c>
      <c r="N581" s="207">
        <f t="shared" si="5"/>
        <v>13</v>
      </c>
      <c r="O581" s="207" t="str">
        <f t="shared" si="6"/>
        <v>n/a</v>
      </c>
    </row>
    <row r="582" ht="15.75" customHeight="1">
      <c r="A582" s="207">
        <v>65.0</v>
      </c>
      <c r="B582" s="6" t="str">
        <f>VLOOKUP($A582, 'Completion rates'!$A:$E, 2, FALSE)</f>
        <v>Tombs of amascut reward chests (300)</v>
      </c>
      <c r="C582" s="207">
        <v>27289.0</v>
      </c>
      <c r="D582" s="6" t="str">
        <f>VLOOKUP($C582, 'List of log slots'!$A:$E, 2, FALSE)</f>
        <v>Jewel of the sun</v>
      </c>
      <c r="E582" s="207">
        <f>VLOOKUP($C582, 'List of log slots'!$A:$E, 5, FALSE)</f>
        <v>6</v>
      </c>
      <c r="F582" s="209" t="b">
        <f>VLOOKUP(C582, 'List of log slots'!$A:$C, 3, FALSE)</f>
        <v>0</v>
      </c>
      <c r="G582" s="209" t="b">
        <f t="shared" si="342"/>
        <v>0</v>
      </c>
      <c r="H582" s="210" t="b">
        <f t="shared" si="7"/>
        <v>1</v>
      </c>
      <c r="I582" s="208" t="b">
        <f t="shared" si="351"/>
        <v>0</v>
      </c>
      <c r="J582" s="213" t="b">
        <f t="shared" si="352"/>
        <v>1</v>
      </c>
      <c r="K582" s="214">
        <v>13.0</v>
      </c>
      <c r="L582" s="212" t="str">
        <f t="shared" si="3"/>
        <v>n/a</v>
      </c>
      <c r="M582" s="212" t="str">
        <f t="shared" si="4"/>
        <v>n/a</v>
      </c>
      <c r="N582" s="207">
        <f t="shared" si="5"/>
        <v>13</v>
      </c>
      <c r="O582" s="207" t="str">
        <f t="shared" si="6"/>
        <v>n/a</v>
      </c>
    </row>
    <row r="583" ht="15.75" customHeight="1">
      <c r="A583" s="207">
        <v>65.0</v>
      </c>
      <c r="B583" s="6" t="str">
        <f>VLOOKUP($A583, 'Completion rates'!$A:$E, 2, FALSE)</f>
        <v>Tombs of amascut reward chests (300)</v>
      </c>
      <c r="C583" s="207">
        <v>30893.0</v>
      </c>
      <c r="D583" s="6" t="str">
        <f>VLOOKUP($C583, 'List of log slots'!$A:$E, 2, FALSE)</f>
        <v>Jewel of amascut</v>
      </c>
      <c r="E583" s="207">
        <f>VLOOKUP($C583, 'List of log slots'!$A:$E, 5, FALSE)</f>
        <v>6</v>
      </c>
      <c r="F583" s="209" t="b">
        <f>VLOOKUP(C583, 'List of log slots'!$A:$C, 3, FALSE)</f>
        <v>0</v>
      </c>
      <c r="G583" s="209" t="b">
        <f t="shared" si="342"/>
        <v>0</v>
      </c>
      <c r="H583" s="210" t="b">
        <f t="shared" si="7"/>
        <v>1</v>
      </c>
      <c r="I583" s="208" t="b">
        <f t="shared" si="351"/>
        <v>0</v>
      </c>
      <c r="J583" s="213" t="b">
        <f t="shared" si="352"/>
        <v>1</v>
      </c>
      <c r="K583" s="214">
        <v>13.0</v>
      </c>
      <c r="L583" s="212" t="str">
        <f t="shared" si="3"/>
        <v>n/a</v>
      </c>
      <c r="M583" s="212" t="str">
        <f t="shared" si="4"/>
        <v>n/a</v>
      </c>
      <c r="N583" s="207">
        <f t="shared" si="5"/>
        <v>13</v>
      </c>
      <c r="O583" s="207" t="str">
        <f t="shared" si="6"/>
        <v>n/a</v>
      </c>
    </row>
    <row r="584" ht="15.75" customHeight="1">
      <c r="A584" s="207">
        <v>65.0</v>
      </c>
      <c r="B584" s="6" t="str">
        <f>VLOOKUP($A584, 'Completion rates'!$A:$E, 2, FALSE)</f>
        <v>Tombs of amascut reward chests (300)</v>
      </c>
      <c r="C584" s="207">
        <v>27293.0</v>
      </c>
      <c r="D584" s="6" t="str">
        <f>VLOOKUP($C584, 'List of log slots'!$A:$E, 2, FALSE)</f>
        <v>Cache of runes</v>
      </c>
      <c r="E584" s="207">
        <f>VLOOKUP($C584, 'List of log slots'!$A:$E, 5, FALSE)</f>
        <v>5</v>
      </c>
      <c r="F584" s="209" t="b">
        <f>VLOOKUP(C584, 'List of log slots'!$A:$C, 3, FALSE)</f>
        <v>0</v>
      </c>
      <c r="G584" s="209" t="b">
        <f t="shared" si="342"/>
        <v>0</v>
      </c>
      <c r="H584" s="210" t="b">
        <f t="shared" si="7"/>
        <v>1</v>
      </c>
      <c r="I584" s="208" t="b">
        <f t="shared" si="351"/>
        <v>0</v>
      </c>
      <c r="J584" s="208" t="b">
        <f t="shared" ref="J584:J589" si="353">FALSE</f>
        <v>0</v>
      </c>
      <c r="K584" s="214">
        <v>9.0</v>
      </c>
      <c r="L584" s="212" t="str">
        <f t="shared" si="3"/>
        <v>n/a</v>
      </c>
      <c r="M584" s="212" t="str">
        <f t="shared" si="4"/>
        <v>n/a</v>
      </c>
      <c r="N584" s="207" t="str">
        <f t="shared" si="5"/>
        <v>n/a</v>
      </c>
      <c r="O584" s="207">
        <f t="shared" si="6"/>
        <v>0.1111111111</v>
      </c>
    </row>
    <row r="585" ht="15.75" customHeight="1">
      <c r="A585" s="207">
        <v>65.0</v>
      </c>
      <c r="B585" s="6" t="str">
        <f>VLOOKUP($A585, 'Completion rates'!$A:$E, 2, FALSE)</f>
        <v>Tombs of amascut reward chests (300)</v>
      </c>
      <c r="C585" s="207">
        <v>27257.0</v>
      </c>
      <c r="D585" s="6" t="str">
        <f>VLOOKUP($C585, 'List of log slots'!$A:$E, 2, FALSE)</f>
        <v>Icthlarin's shround (tier 1)</v>
      </c>
      <c r="E585" s="207">
        <f>VLOOKUP($C585, 'List of log slots'!$A:$E, 5, FALSE)</f>
        <v>7</v>
      </c>
      <c r="F585" s="209" t="b">
        <f>VLOOKUP(C585, 'List of log slots'!$A:$C, 3, FALSE)</f>
        <v>0</v>
      </c>
      <c r="G585" s="209" t="b">
        <f t="shared" si="342"/>
        <v>0</v>
      </c>
      <c r="H585" s="210" t="b">
        <f t="shared" si="7"/>
        <v>1</v>
      </c>
      <c r="I585" s="213" t="b">
        <f t="shared" ref="I585:I589" si="354">TRUE</f>
        <v>1</v>
      </c>
      <c r="J585" s="208" t="b">
        <f t="shared" si="353"/>
        <v>0</v>
      </c>
      <c r="K585" s="214">
        <v>100.0</v>
      </c>
      <c r="L585" s="212" t="str">
        <f t="shared" si="3"/>
        <v>n/a</v>
      </c>
      <c r="M585" s="212">
        <f t="shared" si="4"/>
        <v>100</v>
      </c>
      <c r="N585" s="207" t="str">
        <f t="shared" si="5"/>
        <v>n/a</v>
      </c>
      <c r="O585" s="207" t="str">
        <f t="shared" si="6"/>
        <v>n/a</v>
      </c>
    </row>
    <row r="586" ht="15.75" customHeight="1">
      <c r="A586" s="207">
        <v>65.0</v>
      </c>
      <c r="B586" s="6" t="str">
        <f>VLOOKUP($A586, 'Completion rates'!$A:$E, 2, FALSE)</f>
        <v>Tombs of amascut reward chests (300)</v>
      </c>
      <c r="C586" s="212">
        <v>27259.0</v>
      </c>
      <c r="D586" s="6" t="str">
        <f>VLOOKUP($C586, 'List of log slots'!$A:$E, 2, FALSE)</f>
        <v>Icthlarin's shround (tier 2)</v>
      </c>
      <c r="E586" s="207">
        <f>VLOOKUP($C586, 'List of log slots'!$A:$E, 5, FALSE)</f>
        <v>8</v>
      </c>
      <c r="F586" s="209" t="b">
        <f>VLOOKUP(C586, 'List of log slots'!$A:$C, 3, FALSE)</f>
        <v>0</v>
      </c>
      <c r="G586" s="210" t="b">
        <f t="shared" ref="G586:G589" si="355">TRUE</f>
        <v>1</v>
      </c>
      <c r="H586" s="209" t="b">
        <f t="shared" si="7"/>
        <v>0</v>
      </c>
      <c r="I586" s="213" t="b">
        <f t="shared" si="354"/>
        <v>1</v>
      </c>
      <c r="J586" s="208" t="b">
        <f t="shared" si="353"/>
        <v>0</v>
      </c>
      <c r="K586" s="214">
        <v>400.0</v>
      </c>
      <c r="L586" s="212" t="str">
        <f t="shared" si="3"/>
        <v>n/a</v>
      </c>
      <c r="M586" s="212">
        <f t="shared" si="4"/>
        <v>400</v>
      </c>
      <c r="N586" s="207" t="str">
        <f t="shared" si="5"/>
        <v>n/a</v>
      </c>
      <c r="O586" s="207" t="str">
        <f t="shared" si="6"/>
        <v>n/a</v>
      </c>
    </row>
    <row r="587" ht="15.75" customHeight="1">
      <c r="A587" s="207">
        <v>65.0</v>
      </c>
      <c r="B587" s="6" t="str">
        <f>VLOOKUP($A587, 'Completion rates'!$A:$E, 2, FALSE)</f>
        <v>Tombs of amascut reward chests (300)</v>
      </c>
      <c r="C587" s="207">
        <v>27261.0</v>
      </c>
      <c r="D587" s="6" t="str">
        <f>VLOOKUP($C587, 'List of log slots'!$A:$E, 2, FALSE)</f>
        <v>Icthlarin's shround (tier 3)</v>
      </c>
      <c r="E587" s="207">
        <f>VLOOKUP($C587, 'List of log slots'!$A:$E, 5, FALSE)</f>
        <v>8</v>
      </c>
      <c r="F587" s="209" t="b">
        <f>VLOOKUP(C587, 'List of log slots'!$A:$C, 3, FALSE)</f>
        <v>0</v>
      </c>
      <c r="G587" s="210" t="b">
        <f t="shared" si="355"/>
        <v>1</v>
      </c>
      <c r="H587" s="209" t="b">
        <f t="shared" si="7"/>
        <v>0</v>
      </c>
      <c r="I587" s="213" t="b">
        <f t="shared" si="354"/>
        <v>1</v>
      </c>
      <c r="J587" s="208" t="b">
        <f t="shared" si="353"/>
        <v>0</v>
      </c>
      <c r="K587" s="214">
        <v>500.0</v>
      </c>
      <c r="L587" s="212" t="str">
        <f t="shared" si="3"/>
        <v>n/a</v>
      </c>
      <c r="M587" s="212">
        <f t="shared" si="4"/>
        <v>500</v>
      </c>
      <c r="N587" s="207" t="str">
        <f t="shared" si="5"/>
        <v>n/a</v>
      </c>
      <c r="O587" s="207" t="str">
        <f t="shared" si="6"/>
        <v>n/a</v>
      </c>
    </row>
    <row r="588" ht="15.75" customHeight="1">
      <c r="A588" s="207">
        <v>65.0</v>
      </c>
      <c r="B588" s="6" t="str">
        <f>VLOOKUP($A588, 'Completion rates'!$A:$E, 2, FALSE)</f>
        <v>Tombs of amascut reward chests (300)</v>
      </c>
      <c r="C588" s="207">
        <v>27263.0</v>
      </c>
      <c r="D588" s="6" t="str">
        <f>VLOOKUP($C588, 'List of log slots'!$A:$E, 2, FALSE)</f>
        <v>Icthlarin's shround (tier 4)</v>
      </c>
      <c r="E588" s="207">
        <f>VLOOKUP($C588, 'List of log slots'!$A:$E, 5, FALSE)</f>
        <v>9</v>
      </c>
      <c r="F588" s="209" t="b">
        <f>VLOOKUP(C588, 'List of log slots'!$A:$C, 3, FALSE)</f>
        <v>0</v>
      </c>
      <c r="G588" s="210" t="b">
        <f t="shared" si="355"/>
        <v>1</v>
      </c>
      <c r="H588" s="209" t="b">
        <f t="shared" si="7"/>
        <v>0</v>
      </c>
      <c r="I588" s="213" t="b">
        <f t="shared" si="354"/>
        <v>1</v>
      </c>
      <c r="J588" s="208" t="b">
        <f t="shared" si="353"/>
        <v>0</v>
      </c>
      <c r="K588" s="214">
        <v>500.0</v>
      </c>
      <c r="L588" s="212" t="str">
        <f t="shared" si="3"/>
        <v>n/a</v>
      </c>
      <c r="M588" s="212">
        <f t="shared" si="4"/>
        <v>500</v>
      </c>
      <c r="N588" s="207" t="str">
        <f t="shared" si="5"/>
        <v>n/a</v>
      </c>
      <c r="O588" s="207" t="str">
        <f t="shared" si="6"/>
        <v>n/a</v>
      </c>
    </row>
    <row r="589" ht="15.75" customHeight="1">
      <c r="A589" s="207">
        <v>65.0</v>
      </c>
      <c r="B589" s="6" t="str">
        <f>VLOOKUP($A589, 'Completion rates'!$A:$E, 2, FALSE)</f>
        <v>Tombs of amascut reward chests (300)</v>
      </c>
      <c r="C589" s="207">
        <v>27265.0</v>
      </c>
      <c r="D589" s="6" t="str">
        <f>VLOOKUP($C589, 'List of log slots'!$A:$E, 2, FALSE)</f>
        <v>Icthlarin's shround (tier 5)</v>
      </c>
      <c r="E589" s="207">
        <f>VLOOKUP($C589, 'List of log slots'!$A:$E, 5, FALSE)</f>
        <v>9</v>
      </c>
      <c r="F589" s="209" t="b">
        <f>VLOOKUP(C589, 'List of log slots'!$A:$C, 3, FALSE)</f>
        <v>0</v>
      </c>
      <c r="G589" s="210" t="b">
        <f t="shared" si="355"/>
        <v>1</v>
      </c>
      <c r="H589" s="209" t="b">
        <f t="shared" si="7"/>
        <v>0</v>
      </c>
      <c r="I589" s="213" t="b">
        <f t="shared" si="354"/>
        <v>1</v>
      </c>
      <c r="J589" s="208" t="b">
        <f t="shared" si="353"/>
        <v>0</v>
      </c>
      <c r="K589" s="214">
        <v>500.0</v>
      </c>
      <c r="L589" s="212" t="str">
        <f t="shared" si="3"/>
        <v>n/a</v>
      </c>
      <c r="M589" s="212">
        <f t="shared" si="4"/>
        <v>500</v>
      </c>
      <c r="N589" s="207" t="str">
        <f t="shared" si="5"/>
        <v>n/a</v>
      </c>
      <c r="O589" s="207" t="str">
        <f t="shared" si="6"/>
        <v>n/a</v>
      </c>
    </row>
    <row r="590" ht="15.75" customHeight="1">
      <c r="A590" s="207">
        <v>66.0</v>
      </c>
      <c r="B590" s="6" t="str">
        <f>VLOOKUP($A590, 'Completion rates'!$A:$E, 2, FALSE)</f>
        <v>Tombs of amascut reward chests (500)</v>
      </c>
      <c r="C590" s="207">
        <v>27352.0</v>
      </c>
      <c r="D590" s="6" t="str">
        <f>VLOOKUP($C590, 'List of log slots'!$A:$E, 2, FALSE)</f>
        <v>Tumeken's guardian</v>
      </c>
      <c r="E590" s="207">
        <f>VLOOKUP($C590, 'List of log slots'!$A:$E, 5, FALSE)</f>
        <v>8</v>
      </c>
      <c r="F590" s="209" t="b">
        <f>VLOOKUP(C590, 'List of log slots'!$A:$C, 3, FALSE)</f>
        <v>0</v>
      </c>
      <c r="G590" s="209" t="b">
        <f t="shared" ref="G590:G604" si="357">FALSE</f>
        <v>0</v>
      </c>
      <c r="H590" s="210" t="b">
        <f t="shared" si="7"/>
        <v>1</v>
      </c>
      <c r="I590" s="208" t="b">
        <f t="shared" ref="I590:J590" si="356">FALSE</f>
        <v>0</v>
      </c>
      <c r="J590" s="208" t="b">
        <f t="shared" si="356"/>
        <v>0</v>
      </c>
      <c r="K590" s="214">
        <v>185.0</v>
      </c>
      <c r="L590" s="212" t="str">
        <f t="shared" si="3"/>
        <v>n/a</v>
      </c>
      <c r="M590" s="212" t="str">
        <f t="shared" si="4"/>
        <v>n/a</v>
      </c>
      <c r="N590" s="207" t="str">
        <f t="shared" si="5"/>
        <v>n/a</v>
      </c>
      <c r="O590" s="207">
        <f t="shared" si="6"/>
        <v>0.005405405405</v>
      </c>
    </row>
    <row r="591" ht="15.75" customHeight="1">
      <c r="A591" s="207">
        <v>66.0</v>
      </c>
      <c r="B591" s="6" t="str">
        <f>VLOOKUP($A591, 'Completion rates'!$A:$E, 2, FALSE)</f>
        <v>Tombs of amascut reward chests (500)</v>
      </c>
      <c r="C591" s="207">
        <v>27277.0</v>
      </c>
      <c r="D591" s="6" t="str">
        <f>VLOOKUP($C591, 'List of log slots'!$A:$E, 2, FALSE)</f>
        <v>Tumeken's shadow (uncharged)</v>
      </c>
      <c r="E591" s="207">
        <f>VLOOKUP($C591, 'List of log slots'!$A:$E, 5, FALSE)</f>
        <v>8</v>
      </c>
      <c r="F591" s="209" t="b">
        <f>VLOOKUP(C591, 'List of log slots'!$A:$C, 3, FALSE)</f>
        <v>0</v>
      </c>
      <c r="G591" s="209" t="b">
        <f t="shared" si="357"/>
        <v>0</v>
      </c>
      <c r="H591" s="210" t="b">
        <f t="shared" si="7"/>
        <v>1</v>
      </c>
      <c r="I591" s="208" t="b">
        <f t="shared" ref="I591:J591" si="358">FALSE</f>
        <v>0</v>
      </c>
      <c r="J591" s="208" t="b">
        <f t="shared" si="358"/>
        <v>0</v>
      </c>
      <c r="K591" s="214">
        <v>193.0</v>
      </c>
      <c r="L591" s="212" t="str">
        <f t="shared" si="3"/>
        <v>n/a</v>
      </c>
      <c r="M591" s="212" t="str">
        <f t="shared" si="4"/>
        <v>n/a</v>
      </c>
      <c r="N591" s="207" t="str">
        <f t="shared" si="5"/>
        <v>n/a</v>
      </c>
      <c r="O591" s="207">
        <f t="shared" si="6"/>
        <v>0.00518134715</v>
      </c>
    </row>
    <row r="592" ht="15.75" customHeight="1">
      <c r="A592" s="207">
        <v>66.0</v>
      </c>
      <c r="B592" s="6" t="str">
        <f>VLOOKUP($A592, 'Completion rates'!$A:$E, 2, FALSE)</f>
        <v>Tombs of amascut reward chests (500)</v>
      </c>
      <c r="C592" s="207">
        <v>25985.0</v>
      </c>
      <c r="D592" s="6" t="str">
        <f>VLOOKUP($C592, 'List of log slots'!$A:$E, 2, FALSE)</f>
        <v>Elidinis' ward</v>
      </c>
      <c r="E592" s="207">
        <f>VLOOKUP($C592, 'List of log slots'!$A:$E, 5, FALSE)</f>
        <v>7</v>
      </c>
      <c r="F592" s="209" t="b">
        <f>VLOOKUP(C592, 'List of log slots'!$A:$C, 3, FALSE)</f>
        <v>0</v>
      </c>
      <c r="G592" s="209" t="b">
        <f t="shared" si="357"/>
        <v>0</v>
      </c>
      <c r="H592" s="210" t="b">
        <f t="shared" si="7"/>
        <v>1</v>
      </c>
      <c r="I592" s="208" t="b">
        <f t="shared" ref="I592:J592" si="359">FALSE</f>
        <v>0</v>
      </c>
      <c r="J592" s="208" t="b">
        <f t="shared" si="359"/>
        <v>0</v>
      </c>
      <c r="K592" s="214">
        <v>64.0</v>
      </c>
      <c r="L592" s="212" t="str">
        <f t="shared" si="3"/>
        <v>n/a</v>
      </c>
      <c r="M592" s="212" t="str">
        <f t="shared" si="4"/>
        <v>n/a</v>
      </c>
      <c r="N592" s="207" t="str">
        <f t="shared" si="5"/>
        <v>n/a</v>
      </c>
      <c r="O592" s="207">
        <f t="shared" si="6"/>
        <v>0.015625</v>
      </c>
    </row>
    <row r="593" ht="15.75" customHeight="1">
      <c r="A593" s="207">
        <v>66.0</v>
      </c>
      <c r="B593" s="6" t="str">
        <f>VLOOKUP($A593, 'Completion rates'!$A:$E, 2, FALSE)</f>
        <v>Tombs of amascut reward chests (500)</v>
      </c>
      <c r="C593" s="207">
        <v>27226.0</v>
      </c>
      <c r="D593" s="6" t="str">
        <f>VLOOKUP($C593, 'List of log slots'!$A:$E, 2, FALSE)</f>
        <v>Masori mask</v>
      </c>
      <c r="E593" s="207">
        <f>VLOOKUP($C593, 'List of log slots'!$A:$E, 5, FALSE)</f>
        <v>7</v>
      </c>
      <c r="F593" s="209" t="b">
        <f>VLOOKUP(C593, 'List of log slots'!$A:$C, 3, FALSE)</f>
        <v>0</v>
      </c>
      <c r="G593" s="209" t="b">
        <f t="shared" si="357"/>
        <v>0</v>
      </c>
      <c r="H593" s="210" t="b">
        <f t="shared" si="7"/>
        <v>1</v>
      </c>
      <c r="I593" s="208" t="b">
        <f t="shared" ref="I593:J593" si="360">FALSE</f>
        <v>0</v>
      </c>
      <c r="J593" s="208" t="b">
        <f t="shared" si="360"/>
        <v>0</v>
      </c>
      <c r="K593" s="214">
        <v>96.0</v>
      </c>
      <c r="L593" s="212" t="str">
        <f t="shared" si="3"/>
        <v>n/a</v>
      </c>
      <c r="M593" s="212" t="str">
        <f t="shared" si="4"/>
        <v>n/a</v>
      </c>
      <c r="N593" s="207" t="str">
        <f t="shared" si="5"/>
        <v>n/a</v>
      </c>
      <c r="O593" s="207">
        <f t="shared" si="6"/>
        <v>0.01041666667</v>
      </c>
    </row>
    <row r="594" ht="15.75" customHeight="1">
      <c r="A594" s="207">
        <v>66.0</v>
      </c>
      <c r="B594" s="6" t="str">
        <f>VLOOKUP($A594, 'Completion rates'!$A:$E, 2, FALSE)</f>
        <v>Tombs of amascut reward chests (500)</v>
      </c>
      <c r="C594" s="207">
        <v>27229.0</v>
      </c>
      <c r="D594" s="6" t="str">
        <f>VLOOKUP($C594, 'List of log slots'!$A:$E, 2, FALSE)</f>
        <v>Masori body</v>
      </c>
      <c r="E594" s="207">
        <f>VLOOKUP($C594, 'List of log slots'!$A:$E, 5, FALSE)</f>
        <v>7</v>
      </c>
      <c r="F594" s="209" t="b">
        <f>VLOOKUP(C594, 'List of log slots'!$A:$C, 3, FALSE)</f>
        <v>0</v>
      </c>
      <c r="G594" s="209" t="b">
        <f t="shared" si="357"/>
        <v>0</v>
      </c>
      <c r="H594" s="210" t="b">
        <f t="shared" si="7"/>
        <v>1</v>
      </c>
      <c r="I594" s="208" t="b">
        <f t="shared" ref="I594:J594" si="361">FALSE</f>
        <v>0</v>
      </c>
      <c r="J594" s="208" t="b">
        <f t="shared" si="361"/>
        <v>0</v>
      </c>
      <c r="K594" s="214">
        <v>96.0</v>
      </c>
      <c r="L594" s="212" t="str">
        <f t="shared" si="3"/>
        <v>n/a</v>
      </c>
      <c r="M594" s="212" t="str">
        <f t="shared" si="4"/>
        <v>n/a</v>
      </c>
      <c r="N594" s="207" t="str">
        <f t="shared" si="5"/>
        <v>n/a</v>
      </c>
      <c r="O594" s="207">
        <f t="shared" si="6"/>
        <v>0.01041666667</v>
      </c>
    </row>
    <row r="595" ht="15.75" customHeight="1">
      <c r="A595" s="207">
        <v>66.0</v>
      </c>
      <c r="B595" s="6" t="str">
        <f>VLOOKUP($A595, 'Completion rates'!$A:$E, 2, FALSE)</f>
        <v>Tombs of amascut reward chests (500)</v>
      </c>
      <c r="C595" s="207">
        <v>27232.0</v>
      </c>
      <c r="D595" s="6" t="str">
        <f>VLOOKUP($C595, 'List of log slots'!$A:$E, 2, FALSE)</f>
        <v>Masori chaps</v>
      </c>
      <c r="E595" s="207">
        <f>VLOOKUP($C595, 'List of log slots'!$A:$E, 5, FALSE)</f>
        <v>7</v>
      </c>
      <c r="F595" s="209" t="b">
        <f>VLOOKUP(C595, 'List of log slots'!$A:$C, 3, FALSE)</f>
        <v>0</v>
      </c>
      <c r="G595" s="209" t="b">
        <f t="shared" si="357"/>
        <v>0</v>
      </c>
      <c r="H595" s="210" t="b">
        <f t="shared" si="7"/>
        <v>1</v>
      </c>
      <c r="I595" s="208" t="b">
        <f t="shared" ref="I595:J595" si="362">FALSE</f>
        <v>0</v>
      </c>
      <c r="J595" s="208" t="b">
        <f t="shared" si="362"/>
        <v>0</v>
      </c>
      <c r="K595" s="214">
        <v>96.0</v>
      </c>
      <c r="L595" s="212" t="str">
        <f t="shared" si="3"/>
        <v>n/a</v>
      </c>
      <c r="M595" s="212" t="str">
        <f t="shared" si="4"/>
        <v>n/a</v>
      </c>
      <c r="N595" s="207" t="str">
        <f t="shared" si="5"/>
        <v>n/a</v>
      </c>
      <c r="O595" s="207">
        <f t="shared" si="6"/>
        <v>0.01041666667</v>
      </c>
    </row>
    <row r="596" ht="15.75" customHeight="1">
      <c r="A596" s="207">
        <v>66.0</v>
      </c>
      <c r="B596" s="6" t="str">
        <f>VLOOKUP($A596, 'Completion rates'!$A:$E, 2, FALSE)</f>
        <v>Tombs of amascut reward chests (500)</v>
      </c>
      <c r="C596" s="207">
        <v>25975.0</v>
      </c>
      <c r="D596" s="6" t="str">
        <f>VLOOKUP($C596, 'List of log slots'!$A:$E, 2, FALSE)</f>
        <v>Lightbearer</v>
      </c>
      <c r="E596" s="207">
        <f>VLOOKUP($C596, 'List of log slots'!$A:$E, 5, FALSE)</f>
        <v>6</v>
      </c>
      <c r="F596" s="209" t="b">
        <f>VLOOKUP(C596, 'List of log slots'!$A:$C, 3, FALSE)</f>
        <v>0</v>
      </c>
      <c r="G596" s="209" t="b">
        <f t="shared" si="357"/>
        <v>0</v>
      </c>
      <c r="H596" s="210" t="b">
        <f t="shared" si="7"/>
        <v>1</v>
      </c>
      <c r="I596" s="208" t="b">
        <f t="shared" ref="I596:J596" si="363">FALSE</f>
        <v>0</v>
      </c>
      <c r="J596" s="208" t="b">
        <f t="shared" si="363"/>
        <v>0</v>
      </c>
      <c r="K596" s="214">
        <v>62.0</v>
      </c>
      <c r="L596" s="212" t="str">
        <f t="shared" si="3"/>
        <v>n/a</v>
      </c>
      <c r="M596" s="212" t="str">
        <f t="shared" si="4"/>
        <v>n/a</v>
      </c>
      <c r="N596" s="207" t="str">
        <f t="shared" si="5"/>
        <v>n/a</v>
      </c>
      <c r="O596" s="207">
        <f t="shared" si="6"/>
        <v>0.01612903226</v>
      </c>
    </row>
    <row r="597" ht="15.75" customHeight="1">
      <c r="A597" s="207">
        <v>66.0</v>
      </c>
      <c r="B597" s="6" t="str">
        <f>VLOOKUP($A597, 'Completion rates'!$A:$E, 2, FALSE)</f>
        <v>Tombs of amascut reward chests (500)</v>
      </c>
      <c r="C597" s="207">
        <v>26219.0</v>
      </c>
      <c r="D597" s="6" t="str">
        <f>VLOOKUP($C597, 'List of log slots'!$A:$E, 2, FALSE)</f>
        <v>Osmumten's fang</v>
      </c>
      <c r="E597" s="207">
        <f>VLOOKUP($C597, 'List of log slots'!$A:$E, 5, FALSE)</f>
        <v>6</v>
      </c>
      <c r="F597" s="209" t="b">
        <f>VLOOKUP(C597, 'List of log slots'!$A:$C, 3, FALSE)</f>
        <v>0</v>
      </c>
      <c r="G597" s="209" t="b">
        <f t="shared" si="357"/>
        <v>0</v>
      </c>
      <c r="H597" s="210" t="b">
        <f t="shared" si="7"/>
        <v>1</v>
      </c>
      <c r="I597" s="208" t="b">
        <f t="shared" ref="I597:J597" si="364">FALSE</f>
        <v>0</v>
      </c>
      <c r="J597" s="208" t="b">
        <f t="shared" si="364"/>
        <v>0</v>
      </c>
      <c r="K597" s="214">
        <v>62.0</v>
      </c>
      <c r="L597" s="212" t="str">
        <f t="shared" si="3"/>
        <v>n/a</v>
      </c>
      <c r="M597" s="212" t="str">
        <f t="shared" si="4"/>
        <v>n/a</v>
      </c>
      <c r="N597" s="207" t="str">
        <f t="shared" si="5"/>
        <v>n/a</v>
      </c>
      <c r="O597" s="207">
        <f t="shared" si="6"/>
        <v>0.01612903226</v>
      </c>
    </row>
    <row r="598" ht="15.75" customHeight="1">
      <c r="A598" s="207">
        <v>66.0</v>
      </c>
      <c r="B598" s="6" t="str">
        <f>VLOOKUP($A598, 'Completion rates'!$A:$E, 2, FALSE)</f>
        <v>Tombs of amascut reward chests (500)</v>
      </c>
      <c r="C598" s="207">
        <v>27279.0</v>
      </c>
      <c r="D598" s="6" t="str">
        <f>VLOOKUP($C598, 'List of log slots'!$A:$E, 2, FALSE)</f>
        <v>Thread of elidinis</v>
      </c>
      <c r="E598" s="207">
        <f>VLOOKUP($C598, 'List of log slots'!$A:$E, 5, FALSE)</f>
        <v>5</v>
      </c>
      <c r="F598" s="209" t="b">
        <f>VLOOKUP(C598, 'List of log slots'!$A:$C, 3, FALSE)</f>
        <v>0</v>
      </c>
      <c r="G598" s="209" t="b">
        <f t="shared" si="357"/>
        <v>0</v>
      </c>
      <c r="H598" s="210" t="b">
        <f t="shared" si="7"/>
        <v>1</v>
      </c>
      <c r="I598" s="208" t="b">
        <f t="shared" ref="I598:J598" si="365">FALSE</f>
        <v>0</v>
      </c>
      <c r="J598" s="208" t="b">
        <f t="shared" si="365"/>
        <v>0</v>
      </c>
      <c r="K598" s="214">
        <v>10.0</v>
      </c>
      <c r="L598" s="212" t="str">
        <f t="shared" si="3"/>
        <v>n/a</v>
      </c>
      <c r="M598" s="212" t="str">
        <f t="shared" si="4"/>
        <v>n/a</v>
      </c>
      <c r="N598" s="207" t="str">
        <f t="shared" si="5"/>
        <v>n/a</v>
      </c>
      <c r="O598" s="207">
        <f t="shared" si="6"/>
        <v>0.1</v>
      </c>
    </row>
    <row r="599" ht="15.75" customHeight="1">
      <c r="A599" s="207">
        <v>66.0</v>
      </c>
      <c r="B599" s="6" t="str">
        <f>VLOOKUP($A599, 'Completion rates'!$A:$E, 2, FALSE)</f>
        <v>Tombs of amascut reward chests (500)</v>
      </c>
      <c r="C599" s="207">
        <v>27283.0</v>
      </c>
      <c r="D599" s="6" t="str">
        <f>VLOOKUP($C599, 'List of log slots'!$A:$E, 2, FALSE)</f>
        <v>Breach of the scarab</v>
      </c>
      <c r="E599" s="207">
        <f>VLOOKUP($C599, 'List of log slots'!$A:$E, 5, FALSE)</f>
        <v>6</v>
      </c>
      <c r="F599" s="209" t="b">
        <f>VLOOKUP(C599, 'List of log slots'!$A:$C, 3, FALSE)</f>
        <v>0</v>
      </c>
      <c r="G599" s="209" t="b">
        <f t="shared" si="357"/>
        <v>0</v>
      </c>
      <c r="H599" s="210" t="b">
        <f t="shared" si="7"/>
        <v>1</v>
      </c>
      <c r="I599" s="208" t="b">
        <f t="shared" ref="I599:I603" si="366">FALSE</f>
        <v>0</v>
      </c>
      <c r="J599" s="213" t="b">
        <f t="shared" ref="J599:J602" si="367">TRUE</f>
        <v>1</v>
      </c>
      <c r="K599" s="214">
        <v>13.0</v>
      </c>
      <c r="L599" s="212" t="str">
        <f t="shared" si="3"/>
        <v>n/a</v>
      </c>
      <c r="M599" s="212" t="str">
        <f t="shared" si="4"/>
        <v>n/a</v>
      </c>
      <c r="N599" s="207">
        <f t="shared" si="5"/>
        <v>13</v>
      </c>
      <c r="O599" s="207" t="str">
        <f t="shared" si="6"/>
        <v>n/a</v>
      </c>
    </row>
    <row r="600" ht="15.75" customHeight="1">
      <c r="A600" s="207">
        <v>66.0</v>
      </c>
      <c r="B600" s="6" t="str">
        <f>VLOOKUP($A600, 'Completion rates'!$A:$E, 2, FALSE)</f>
        <v>Tombs of amascut reward chests (500)</v>
      </c>
      <c r="C600" s="207">
        <v>27285.0</v>
      </c>
      <c r="D600" s="6" t="str">
        <f>VLOOKUP($C600, 'List of log slots'!$A:$E, 2, FALSE)</f>
        <v>Eye of the corruptor</v>
      </c>
      <c r="E600" s="207">
        <f>VLOOKUP($C600, 'List of log slots'!$A:$E, 5, FALSE)</f>
        <v>6</v>
      </c>
      <c r="F600" s="209" t="b">
        <f>VLOOKUP(C600, 'List of log slots'!$A:$C, 3, FALSE)</f>
        <v>0</v>
      </c>
      <c r="G600" s="209" t="b">
        <f t="shared" si="357"/>
        <v>0</v>
      </c>
      <c r="H600" s="210" t="b">
        <f t="shared" si="7"/>
        <v>1</v>
      </c>
      <c r="I600" s="208" t="b">
        <f t="shared" si="366"/>
        <v>0</v>
      </c>
      <c r="J600" s="213" t="b">
        <f t="shared" si="367"/>
        <v>1</v>
      </c>
      <c r="K600" s="214">
        <v>13.0</v>
      </c>
      <c r="L600" s="212" t="str">
        <f t="shared" si="3"/>
        <v>n/a</v>
      </c>
      <c r="M600" s="212" t="str">
        <f t="shared" si="4"/>
        <v>n/a</v>
      </c>
      <c r="N600" s="207">
        <f t="shared" si="5"/>
        <v>13</v>
      </c>
      <c r="O600" s="207" t="str">
        <f t="shared" si="6"/>
        <v>n/a</v>
      </c>
    </row>
    <row r="601" ht="15.75" customHeight="1">
      <c r="A601" s="207">
        <v>66.0</v>
      </c>
      <c r="B601" s="6" t="str">
        <f>VLOOKUP($A601, 'Completion rates'!$A:$E, 2, FALSE)</f>
        <v>Tombs of amascut reward chests (500)</v>
      </c>
      <c r="C601" s="207">
        <v>27289.0</v>
      </c>
      <c r="D601" s="6" t="str">
        <f>VLOOKUP($C601, 'List of log slots'!$A:$E, 2, FALSE)</f>
        <v>Jewel of the sun</v>
      </c>
      <c r="E601" s="207">
        <f>VLOOKUP($C601, 'List of log slots'!$A:$E, 5, FALSE)</f>
        <v>6</v>
      </c>
      <c r="F601" s="209" t="b">
        <f>VLOOKUP(C601, 'List of log slots'!$A:$C, 3, FALSE)</f>
        <v>0</v>
      </c>
      <c r="G601" s="209" t="b">
        <f t="shared" si="357"/>
        <v>0</v>
      </c>
      <c r="H601" s="210" t="b">
        <f t="shared" si="7"/>
        <v>1</v>
      </c>
      <c r="I601" s="208" t="b">
        <f t="shared" si="366"/>
        <v>0</v>
      </c>
      <c r="J601" s="213" t="b">
        <f t="shared" si="367"/>
        <v>1</v>
      </c>
      <c r="K601" s="214">
        <v>13.0</v>
      </c>
      <c r="L601" s="212" t="str">
        <f t="shared" si="3"/>
        <v>n/a</v>
      </c>
      <c r="M601" s="212" t="str">
        <f t="shared" si="4"/>
        <v>n/a</v>
      </c>
      <c r="N601" s="207">
        <f t="shared" si="5"/>
        <v>13</v>
      </c>
      <c r="O601" s="207" t="str">
        <f t="shared" si="6"/>
        <v>n/a</v>
      </c>
    </row>
    <row r="602" ht="15.75" customHeight="1">
      <c r="A602" s="207">
        <v>66.0</v>
      </c>
      <c r="B602" s="6" t="str">
        <f>VLOOKUP($A602, 'Completion rates'!$A:$E, 2, FALSE)</f>
        <v>Tombs of amascut reward chests (500)</v>
      </c>
      <c r="C602" s="207">
        <v>30893.0</v>
      </c>
      <c r="D602" s="6" t="str">
        <f>VLOOKUP($C602, 'List of log slots'!$A:$E, 2, FALSE)</f>
        <v>Jewel of amascut</v>
      </c>
      <c r="E602" s="207">
        <f>VLOOKUP($C602, 'List of log slots'!$A:$E, 5, FALSE)</f>
        <v>6</v>
      </c>
      <c r="F602" s="209" t="b">
        <f>VLOOKUP(C602, 'List of log slots'!$A:$C, 3, FALSE)</f>
        <v>0</v>
      </c>
      <c r="G602" s="209" t="b">
        <f t="shared" si="357"/>
        <v>0</v>
      </c>
      <c r="H602" s="210" t="b">
        <f t="shared" si="7"/>
        <v>1</v>
      </c>
      <c r="I602" s="208" t="b">
        <f t="shared" si="366"/>
        <v>0</v>
      </c>
      <c r="J602" s="213" t="b">
        <f t="shared" si="367"/>
        <v>1</v>
      </c>
      <c r="K602" s="214">
        <v>13.0</v>
      </c>
      <c r="L602" s="212" t="str">
        <f t="shared" si="3"/>
        <v>n/a</v>
      </c>
      <c r="M602" s="212" t="str">
        <f t="shared" si="4"/>
        <v>n/a</v>
      </c>
      <c r="N602" s="207">
        <f t="shared" si="5"/>
        <v>13</v>
      </c>
      <c r="O602" s="207" t="str">
        <f t="shared" si="6"/>
        <v>n/a</v>
      </c>
    </row>
    <row r="603" ht="15.75" customHeight="1">
      <c r="A603" s="207">
        <v>66.0</v>
      </c>
      <c r="B603" s="6" t="str">
        <f>VLOOKUP($A603, 'Completion rates'!$A:$E, 2, FALSE)</f>
        <v>Tombs of amascut reward chests (500)</v>
      </c>
      <c r="C603" s="207">
        <v>27293.0</v>
      </c>
      <c r="D603" s="6" t="str">
        <f>VLOOKUP($C603, 'List of log slots'!$A:$E, 2, FALSE)</f>
        <v>Cache of runes</v>
      </c>
      <c r="E603" s="207">
        <f>VLOOKUP($C603, 'List of log slots'!$A:$E, 5, FALSE)</f>
        <v>5</v>
      </c>
      <c r="F603" s="209" t="b">
        <f>VLOOKUP(C603, 'List of log slots'!$A:$C, 3, FALSE)</f>
        <v>0</v>
      </c>
      <c r="G603" s="209" t="b">
        <f t="shared" si="357"/>
        <v>0</v>
      </c>
      <c r="H603" s="210" t="b">
        <f t="shared" si="7"/>
        <v>1</v>
      </c>
      <c r="I603" s="208" t="b">
        <f t="shared" si="366"/>
        <v>0</v>
      </c>
      <c r="J603" s="208" t="b">
        <f t="shared" ref="J603:J608" si="368">FALSE</f>
        <v>0</v>
      </c>
      <c r="K603" s="214">
        <v>9.0</v>
      </c>
      <c r="L603" s="212" t="str">
        <f t="shared" si="3"/>
        <v>n/a</v>
      </c>
      <c r="M603" s="212" t="str">
        <f t="shared" si="4"/>
        <v>n/a</v>
      </c>
      <c r="N603" s="207" t="str">
        <f t="shared" si="5"/>
        <v>n/a</v>
      </c>
      <c r="O603" s="207">
        <f t="shared" si="6"/>
        <v>0.1111111111</v>
      </c>
    </row>
    <row r="604" ht="15.75" customHeight="1">
      <c r="A604" s="207">
        <v>66.0</v>
      </c>
      <c r="B604" s="6" t="str">
        <f>VLOOKUP($A604, 'Completion rates'!$A:$E, 2, FALSE)</f>
        <v>Tombs of amascut reward chests (500)</v>
      </c>
      <c r="C604" s="207">
        <v>27257.0</v>
      </c>
      <c r="D604" s="6" t="str">
        <f>VLOOKUP($C604, 'List of log slots'!$A:$E, 2, FALSE)</f>
        <v>Icthlarin's shround (tier 1)</v>
      </c>
      <c r="E604" s="207">
        <f>VLOOKUP($C604, 'List of log slots'!$A:$E, 5, FALSE)</f>
        <v>7</v>
      </c>
      <c r="F604" s="209" t="b">
        <f>VLOOKUP(C604, 'List of log slots'!$A:$C, 3, FALSE)</f>
        <v>0</v>
      </c>
      <c r="G604" s="209" t="b">
        <f t="shared" si="357"/>
        <v>0</v>
      </c>
      <c r="H604" s="210" t="b">
        <f t="shared" si="7"/>
        <v>1</v>
      </c>
      <c r="I604" s="213" t="b">
        <f t="shared" ref="I604:I608" si="369">TRUE</f>
        <v>1</v>
      </c>
      <c r="J604" s="208" t="b">
        <f t="shared" si="368"/>
        <v>0</v>
      </c>
      <c r="K604" s="214">
        <v>100.0</v>
      </c>
      <c r="L604" s="212" t="str">
        <f t="shared" si="3"/>
        <v>n/a</v>
      </c>
      <c r="M604" s="212">
        <f t="shared" si="4"/>
        <v>100</v>
      </c>
      <c r="N604" s="207" t="str">
        <f t="shared" si="5"/>
        <v>n/a</v>
      </c>
      <c r="O604" s="207" t="str">
        <f t="shared" si="6"/>
        <v>n/a</v>
      </c>
    </row>
    <row r="605" ht="15.75" customHeight="1">
      <c r="A605" s="207">
        <v>66.0</v>
      </c>
      <c r="B605" s="6" t="str">
        <f>VLOOKUP($A605, 'Completion rates'!$A:$E, 2, FALSE)</f>
        <v>Tombs of amascut reward chests (500)</v>
      </c>
      <c r="C605" s="207">
        <v>27259.0</v>
      </c>
      <c r="D605" s="6" t="str">
        <f>VLOOKUP($C605, 'List of log slots'!$A:$E, 2, FALSE)</f>
        <v>Icthlarin's shround (tier 2)</v>
      </c>
      <c r="E605" s="207">
        <f>VLOOKUP($C605, 'List of log slots'!$A:$E, 5, FALSE)</f>
        <v>8</v>
      </c>
      <c r="F605" s="209" t="b">
        <f>VLOOKUP(C605, 'List of log slots'!$A:$C, 3, FALSE)</f>
        <v>0</v>
      </c>
      <c r="G605" s="210" t="b">
        <f t="shared" ref="G605:G608" si="370">TRUE</f>
        <v>1</v>
      </c>
      <c r="H605" s="209" t="b">
        <f t="shared" si="7"/>
        <v>0</v>
      </c>
      <c r="I605" s="213" t="b">
        <f t="shared" si="369"/>
        <v>1</v>
      </c>
      <c r="J605" s="208" t="b">
        <f t="shared" si="368"/>
        <v>0</v>
      </c>
      <c r="K605" s="214">
        <v>400.0</v>
      </c>
      <c r="L605" s="212" t="str">
        <f t="shared" si="3"/>
        <v>n/a</v>
      </c>
      <c r="M605" s="212">
        <f t="shared" si="4"/>
        <v>400</v>
      </c>
      <c r="N605" s="207" t="str">
        <f t="shared" si="5"/>
        <v>n/a</v>
      </c>
      <c r="O605" s="207" t="str">
        <f t="shared" si="6"/>
        <v>n/a</v>
      </c>
    </row>
    <row r="606" ht="15.75" customHeight="1">
      <c r="A606" s="207">
        <v>66.0</v>
      </c>
      <c r="B606" s="6" t="str">
        <f>VLOOKUP($A606, 'Completion rates'!$A:$E, 2, FALSE)</f>
        <v>Tombs of amascut reward chests (500)</v>
      </c>
      <c r="C606" s="207">
        <v>27261.0</v>
      </c>
      <c r="D606" s="6" t="str">
        <f>VLOOKUP($C606, 'List of log slots'!$A:$E, 2, FALSE)</f>
        <v>Icthlarin's shround (tier 3)</v>
      </c>
      <c r="E606" s="207">
        <f>VLOOKUP($C606, 'List of log slots'!$A:$E, 5, FALSE)</f>
        <v>8</v>
      </c>
      <c r="F606" s="209" t="b">
        <f>VLOOKUP(C606, 'List of log slots'!$A:$C, 3, FALSE)</f>
        <v>0</v>
      </c>
      <c r="G606" s="210" t="b">
        <f t="shared" si="370"/>
        <v>1</v>
      </c>
      <c r="H606" s="209" t="b">
        <f t="shared" si="7"/>
        <v>0</v>
      </c>
      <c r="I606" s="213" t="b">
        <f t="shared" si="369"/>
        <v>1</v>
      </c>
      <c r="J606" s="208" t="b">
        <f t="shared" si="368"/>
        <v>0</v>
      </c>
      <c r="K606" s="214">
        <v>500.0</v>
      </c>
      <c r="L606" s="212" t="str">
        <f t="shared" si="3"/>
        <v>n/a</v>
      </c>
      <c r="M606" s="212">
        <f t="shared" si="4"/>
        <v>500</v>
      </c>
      <c r="N606" s="207" t="str">
        <f t="shared" si="5"/>
        <v>n/a</v>
      </c>
      <c r="O606" s="207" t="str">
        <f t="shared" si="6"/>
        <v>n/a</v>
      </c>
    </row>
    <row r="607" ht="15.75" customHeight="1">
      <c r="A607" s="207">
        <v>66.0</v>
      </c>
      <c r="B607" s="6" t="str">
        <f>VLOOKUP($A607, 'Completion rates'!$A:$E, 2, FALSE)</f>
        <v>Tombs of amascut reward chests (500)</v>
      </c>
      <c r="C607" s="207">
        <v>27263.0</v>
      </c>
      <c r="D607" s="6" t="str">
        <f>VLOOKUP($C607, 'List of log slots'!$A:$E, 2, FALSE)</f>
        <v>Icthlarin's shround (tier 4)</v>
      </c>
      <c r="E607" s="207">
        <f>VLOOKUP($C607, 'List of log slots'!$A:$E, 5, FALSE)</f>
        <v>9</v>
      </c>
      <c r="F607" s="209" t="b">
        <f>VLOOKUP(C607, 'List of log slots'!$A:$C, 3, FALSE)</f>
        <v>0</v>
      </c>
      <c r="G607" s="210" t="b">
        <f t="shared" si="370"/>
        <v>1</v>
      </c>
      <c r="H607" s="209" t="b">
        <f t="shared" si="7"/>
        <v>0</v>
      </c>
      <c r="I607" s="213" t="b">
        <f t="shared" si="369"/>
        <v>1</v>
      </c>
      <c r="J607" s="208" t="b">
        <f t="shared" si="368"/>
        <v>0</v>
      </c>
      <c r="K607" s="214">
        <v>500.0</v>
      </c>
      <c r="L607" s="212" t="str">
        <f t="shared" si="3"/>
        <v>n/a</v>
      </c>
      <c r="M607" s="212">
        <f t="shared" si="4"/>
        <v>500</v>
      </c>
      <c r="N607" s="207" t="str">
        <f t="shared" si="5"/>
        <v>n/a</v>
      </c>
      <c r="O607" s="207" t="str">
        <f t="shared" si="6"/>
        <v>n/a</v>
      </c>
    </row>
    <row r="608" ht="15.75" customHeight="1">
      <c r="A608" s="207">
        <v>66.0</v>
      </c>
      <c r="B608" s="6" t="str">
        <f>VLOOKUP($A608, 'Completion rates'!$A:$E, 2, FALSE)</f>
        <v>Tombs of amascut reward chests (500)</v>
      </c>
      <c r="C608" s="207">
        <v>27265.0</v>
      </c>
      <c r="D608" s="6" t="str">
        <f>VLOOKUP($C608, 'List of log slots'!$A:$E, 2, FALSE)</f>
        <v>Icthlarin's shround (tier 5)</v>
      </c>
      <c r="E608" s="207">
        <f>VLOOKUP($C608, 'List of log slots'!$A:$E, 5, FALSE)</f>
        <v>9</v>
      </c>
      <c r="F608" s="209" t="b">
        <f>VLOOKUP(C608, 'List of log slots'!$A:$C, 3, FALSE)</f>
        <v>0</v>
      </c>
      <c r="G608" s="210" t="b">
        <f t="shared" si="370"/>
        <v>1</v>
      </c>
      <c r="H608" s="209" t="b">
        <f t="shared" si="7"/>
        <v>0</v>
      </c>
      <c r="I608" s="213" t="b">
        <f t="shared" si="369"/>
        <v>1</v>
      </c>
      <c r="J608" s="208" t="b">
        <f t="shared" si="368"/>
        <v>0</v>
      </c>
      <c r="K608" s="214">
        <v>500.0</v>
      </c>
      <c r="L608" s="212" t="str">
        <f t="shared" si="3"/>
        <v>n/a</v>
      </c>
      <c r="M608" s="212">
        <f t="shared" si="4"/>
        <v>500</v>
      </c>
      <c r="N608" s="207" t="str">
        <f t="shared" si="5"/>
        <v>n/a</v>
      </c>
      <c r="O608" s="207" t="str">
        <f t="shared" si="6"/>
        <v>n/a</v>
      </c>
    </row>
    <row r="609" ht="15.75" customHeight="1">
      <c r="A609" s="207">
        <v>67.0</v>
      </c>
      <c r="B609" s="6" t="str">
        <f>VLOOKUP($A609, 'Completion rates'!$A:$E, 2, FALSE)</f>
        <v>Completing tombs of amascut challenges</v>
      </c>
      <c r="C609" s="207">
        <v>27255.0</v>
      </c>
      <c r="D609" s="6" t="str">
        <f>VLOOKUP($C609, 'List of log slots'!$A:$E, 2, FALSE)</f>
        <v>Menaphite ornament kit</v>
      </c>
      <c r="E609" s="207">
        <f>VLOOKUP($C609, 'List of log slots'!$A:$E, 5, FALSE)</f>
        <v>7</v>
      </c>
      <c r="F609" s="209" t="b">
        <f>VLOOKUP(C609, 'List of log slots'!$A:$C, 3, FALSE)</f>
        <v>0</v>
      </c>
      <c r="G609" s="209" t="b">
        <f t="shared" ref="G609:G633" si="371">FALSE</f>
        <v>0</v>
      </c>
      <c r="H609" s="210" t="b">
        <f t="shared" si="7"/>
        <v>1</v>
      </c>
      <c r="I609" s="208" t="b">
        <f t="shared" ref="I609:I632" si="372">FALSE</f>
        <v>0</v>
      </c>
      <c r="J609" s="213" t="b">
        <f t="shared" ref="J609:J616" si="373">TRUE</f>
        <v>1</v>
      </c>
      <c r="K609" s="214">
        <v>1.0</v>
      </c>
      <c r="L609" s="212" t="str">
        <f t="shared" si="3"/>
        <v>n/a</v>
      </c>
      <c r="M609" s="212" t="str">
        <f t="shared" si="4"/>
        <v>n/a</v>
      </c>
      <c r="N609" s="207">
        <f t="shared" si="5"/>
        <v>1</v>
      </c>
      <c r="O609" s="207" t="str">
        <f t="shared" si="6"/>
        <v>n/a</v>
      </c>
    </row>
    <row r="610" ht="15.75" customHeight="1">
      <c r="A610" s="207">
        <v>67.0</v>
      </c>
      <c r="B610" s="6" t="str">
        <f>VLOOKUP($A610, 'Completion rates'!$A:$E, 2, FALSE)</f>
        <v>Completing tombs of amascut challenges</v>
      </c>
      <c r="C610" s="207">
        <v>27248.0</v>
      </c>
      <c r="D610" s="6" t="str">
        <f>VLOOKUP($C610, 'List of log slots'!$A:$E, 2, FALSE)</f>
        <v>Cursed phalanx</v>
      </c>
      <c r="E610" s="207">
        <f>VLOOKUP($C610, 'List of log slots'!$A:$E, 5, FALSE)</f>
        <v>7</v>
      </c>
      <c r="F610" s="209" t="b">
        <f>VLOOKUP(C610, 'List of log slots'!$A:$C, 3, FALSE)</f>
        <v>0</v>
      </c>
      <c r="G610" s="209" t="b">
        <f t="shared" si="371"/>
        <v>0</v>
      </c>
      <c r="H610" s="210" t="b">
        <f t="shared" si="7"/>
        <v>1</v>
      </c>
      <c r="I610" s="208" t="b">
        <f t="shared" si="372"/>
        <v>0</v>
      </c>
      <c r="J610" s="213" t="b">
        <f t="shared" si="373"/>
        <v>1</v>
      </c>
      <c r="K610" s="214">
        <v>1.0</v>
      </c>
      <c r="L610" s="212" t="str">
        <f t="shared" si="3"/>
        <v>n/a</v>
      </c>
      <c r="M610" s="212" t="str">
        <f t="shared" si="4"/>
        <v>n/a</v>
      </c>
      <c r="N610" s="207">
        <f t="shared" si="5"/>
        <v>1</v>
      </c>
      <c r="O610" s="207" t="str">
        <f t="shared" si="6"/>
        <v>n/a</v>
      </c>
    </row>
    <row r="611" ht="15.75" customHeight="1">
      <c r="A611" s="207">
        <v>67.0</v>
      </c>
      <c r="B611" s="6" t="str">
        <f>VLOOKUP($A611, 'Completion rates'!$A:$E, 2, FALSE)</f>
        <v>Completing tombs of amascut challenges</v>
      </c>
      <c r="C611" s="207">
        <v>27372.0</v>
      </c>
      <c r="D611" s="6" t="str">
        <f>VLOOKUP($C611, 'List of log slots'!$A:$E, 2, FALSE)</f>
        <v>Masori crafting kit</v>
      </c>
      <c r="E611" s="207">
        <f>VLOOKUP($C611, 'List of log slots'!$A:$E, 5, FALSE)</f>
        <v>6</v>
      </c>
      <c r="F611" s="209" t="b">
        <f>VLOOKUP(C611, 'List of log slots'!$A:$C, 3, FALSE)</f>
        <v>0</v>
      </c>
      <c r="G611" s="209" t="b">
        <f t="shared" si="371"/>
        <v>0</v>
      </c>
      <c r="H611" s="210" t="b">
        <f t="shared" si="7"/>
        <v>1</v>
      </c>
      <c r="I611" s="208" t="b">
        <f t="shared" si="372"/>
        <v>0</v>
      </c>
      <c r="J611" s="213" t="b">
        <f t="shared" si="373"/>
        <v>1</v>
      </c>
      <c r="K611" s="214">
        <v>1.0</v>
      </c>
      <c r="L611" s="212" t="str">
        <f t="shared" si="3"/>
        <v>n/a</v>
      </c>
      <c r="M611" s="212" t="str">
        <f t="shared" si="4"/>
        <v>n/a</v>
      </c>
      <c r="N611" s="207">
        <f t="shared" si="5"/>
        <v>1</v>
      </c>
      <c r="O611" s="207" t="str">
        <f t="shared" si="6"/>
        <v>n/a</v>
      </c>
    </row>
    <row r="612" ht="15.75" customHeight="1">
      <c r="A612" s="207">
        <v>67.0</v>
      </c>
      <c r="B612" s="6" t="str">
        <f>VLOOKUP($A612, 'Completion rates'!$A:$E, 2, FALSE)</f>
        <v>Completing tombs of amascut challenges</v>
      </c>
      <c r="C612" s="207">
        <v>27377.0</v>
      </c>
      <c r="D612" s="6" t="str">
        <f>VLOOKUP($C612, 'List of log slots'!$A:$E, 2, FALSE)</f>
        <v>Remnant of akkha</v>
      </c>
      <c r="E612" s="207">
        <f>VLOOKUP($C612, 'List of log slots'!$A:$E, 5, FALSE)</f>
        <v>8</v>
      </c>
      <c r="F612" s="209" t="b">
        <f>VLOOKUP(C612, 'List of log slots'!$A:$C, 3, FALSE)</f>
        <v>0</v>
      </c>
      <c r="G612" s="209" t="b">
        <f t="shared" si="371"/>
        <v>0</v>
      </c>
      <c r="H612" s="210" t="b">
        <f t="shared" si="7"/>
        <v>1</v>
      </c>
      <c r="I612" s="208" t="b">
        <f t="shared" si="372"/>
        <v>0</v>
      </c>
      <c r="J612" s="213" t="b">
        <f t="shared" si="373"/>
        <v>1</v>
      </c>
      <c r="K612" s="214">
        <v>1.0</v>
      </c>
      <c r="L612" s="212" t="str">
        <f t="shared" si="3"/>
        <v>n/a</v>
      </c>
      <c r="M612" s="212" t="str">
        <f t="shared" si="4"/>
        <v>n/a</v>
      </c>
      <c r="N612" s="207">
        <f t="shared" si="5"/>
        <v>1</v>
      </c>
      <c r="O612" s="207" t="str">
        <f t="shared" si="6"/>
        <v>n/a</v>
      </c>
    </row>
    <row r="613" ht="15.75" customHeight="1">
      <c r="A613" s="207">
        <v>67.0</v>
      </c>
      <c r="B613" s="6" t="str">
        <f>VLOOKUP($A613, 'Completion rates'!$A:$E, 2, FALSE)</f>
        <v>Completing tombs of amascut challenges</v>
      </c>
      <c r="C613" s="207">
        <v>27378.0</v>
      </c>
      <c r="D613" s="6" t="str">
        <f>VLOOKUP($C613, 'List of log slots'!$A:$E, 2, FALSE)</f>
        <v>Remnant of ba-ba</v>
      </c>
      <c r="E613" s="207">
        <f>VLOOKUP($C613, 'List of log slots'!$A:$E, 5, FALSE)</f>
        <v>8</v>
      </c>
      <c r="F613" s="209" t="b">
        <f>VLOOKUP(C613, 'List of log slots'!$A:$C, 3, FALSE)</f>
        <v>0</v>
      </c>
      <c r="G613" s="209" t="b">
        <f t="shared" si="371"/>
        <v>0</v>
      </c>
      <c r="H613" s="210" t="b">
        <f t="shared" si="7"/>
        <v>1</v>
      </c>
      <c r="I613" s="208" t="b">
        <f t="shared" si="372"/>
        <v>0</v>
      </c>
      <c r="J613" s="213" t="b">
        <f t="shared" si="373"/>
        <v>1</v>
      </c>
      <c r="K613" s="214">
        <v>1.0</v>
      </c>
      <c r="L613" s="212" t="str">
        <f t="shared" si="3"/>
        <v>n/a</v>
      </c>
      <c r="M613" s="212" t="str">
        <f t="shared" si="4"/>
        <v>n/a</v>
      </c>
      <c r="N613" s="207">
        <f t="shared" si="5"/>
        <v>1</v>
      </c>
      <c r="O613" s="207" t="str">
        <f t="shared" si="6"/>
        <v>n/a</v>
      </c>
    </row>
    <row r="614" ht="15.75" customHeight="1">
      <c r="A614" s="207">
        <v>67.0</v>
      </c>
      <c r="B614" s="6" t="str">
        <f>VLOOKUP($A614, 'Completion rates'!$A:$E, 2, FALSE)</f>
        <v>Completing tombs of amascut challenges</v>
      </c>
      <c r="C614" s="207">
        <v>27379.0</v>
      </c>
      <c r="D614" s="6" t="str">
        <f>VLOOKUP($C614, 'List of log slots'!$A:$E, 2, FALSE)</f>
        <v>Remnant of kephri</v>
      </c>
      <c r="E614" s="207">
        <f>VLOOKUP($C614, 'List of log slots'!$A:$E, 5, FALSE)</f>
        <v>8</v>
      </c>
      <c r="F614" s="209" t="b">
        <f>VLOOKUP(C614, 'List of log slots'!$A:$C, 3, FALSE)</f>
        <v>0</v>
      </c>
      <c r="G614" s="209" t="b">
        <f t="shared" si="371"/>
        <v>0</v>
      </c>
      <c r="H614" s="210" t="b">
        <f t="shared" si="7"/>
        <v>1</v>
      </c>
      <c r="I614" s="208" t="b">
        <f t="shared" si="372"/>
        <v>0</v>
      </c>
      <c r="J614" s="213" t="b">
        <f t="shared" si="373"/>
        <v>1</v>
      </c>
      <c r="K614" s="214">
        <v>1.0</v>
      </c>
      <c r="L614" s="212" t="str">
        <f t="shared" si="3"/>
        <v>n/a</v>
      </c>
      <c r="M614" s="212" t="str">
        <f t="shared" si="4"/>
        <v>n/a</v>
      </c>
      <c r="N614" s="207">
        <f t="shared" si="5"/>
        <v>1</v>
      </c>
      <c r="O614" s="207" t="str">
        <f t="shared" si="6"/>
        <v>n/a</v>
      </c>
    </row>
    <row r="615" ht="15.75" customHeight="1">
      <c r="A615" s="207">
        <v>67.0</v>
      </c>
      <c r="B615" s="6" t="str">
        <f>VLOOKUP($A615, 'Completion rates'!$A:$E, 2, FALSE)</f>
        <v>Completing tombs of amascut challenges</v>
      </c>
      <c r="C615" s="207">
        <v>27380.0</v>
      </c>
      <c r="D615" s="6" t="str">
        <f>VLOOKUP($C615, 'List of log slots'!$A:$E, 2, FALSE)</f>
        <v>Remnant of zebak</v>
      </c>
      <c r="E615" s="207">
        <f>VLOOKUP($C615, 'List of log slots'!$A:$E, 5, FALSE)</f>
        <v>8</v>
      </c>
      <c r="F615" s="209" t="b">
        <f>VLOOKUP(C615, 'List of log slots'!$A:$C, 3, FALSE)</f>
        <v>0</v>
      </c>
      <c r="G615" s="209" t="b">
        <f t="shared" si="371"/>
        <v>0</v>
      </c>
      <c r="H615" s="210" t="b">
        <f t="shared" si="7"/>
        <v>1</v>
      </c>
      <c r="I615" s="208" t="b">
        <f t="shared" si="372"/>
        <v>0</v>
      </c>
      <c r="J615" s="213" t="b">
        <f t="shared" si="373"/>
        <v>1</v>
      </c>
      <c r="K615" s="214">
        <v>1.0</v>
      </c>
      <c r="L615" s="212" t="str">
        <f t="shared" si="3"/>
        <v>n/a</v>
      </c>
      <c r="M615" s="212" t="str">
        <f t="shared" si="4"/>
        <v>n/a</v>
      </c>
      <c r="N615" s="207">
        <f t="shared" si="5"/>
        <v>1</v>
      </c>
      <c r="O615" s="207" t="str">
        <f t="shared" si="6"/>
        <v>n/a</v>
      </c>
    </row>
    <row r="616" ht="15.75" customHeight="1">
      <c r="A616" s="207">
        <v>67.0</v>
      </c>
      <c r="B616" s="6" t="str">
        <f>VLOOKUP($A616, 'Completion rates'!$A:$E, 2, FALSE)</f>
        <v>Completing tombs of amascut challenges</v>
      </c>
      <c r="C616" s="207">
        <v>27381.0</v>
      </c>
      <c r="D616" s="6" t="str">
        <f>VLOOKUP($C616, 'List of log slots'!$A:$E, 2, FALSE)</f>
        <v>Ancient remnant</v>
      </c>
      <c r="E616" s="207">
        <f>VLOOKUP($C616, 'List of log slots'!$A:$E, 5, FALSE)</f>
        <v>8</v>
      </c>
      <c r="F616" s="209" t="b">
        <f>VLOOKUP(C616, 'List of log slots'!$A:$C, 3, FALSE)</f>
        <v>0</v>
      </c>
      <c r="G616" s="209" t="b">
        <f t="shared" si="371"/>
        <v>0</v>
      </c>
      <c r="H616" s="210" t="b">
        <f t="shared" si="7"/>
        <v>1</v>
      </c>
      <c r="I616" s="208" t="b">
        <f t="shared" si="372"/>
        <v>0</v>
      </c>
      <c r="J616" s="213" t="b">
        <f t="shared" si="373"/>
        <v>1</v>
      </c>
      <c r="K616" s="214">
        <v>1.0</v>
      </c>
      <c r="L616" s="212" t="str">
        <f t="shared" si="3"/>
        <v>n/a</v>
      </c>
      <c r="M616" s="212" t="str">
        <f t="shared" si="4"/>
        <v>n/a</v>
      </c>
      <c r="N616" s="207">
        <f t="shared" si="5"/>
        <v>1</v>
      </c>
      <c r="O616" s="207" t="str">
        <f t="shared" si="6"/>
        <v>n/a</v>
      </c>
    </row>
    <row r="617" ht="15.75" customHeight="1">
      <c r="A617" s="207">
        <v>68.0</v>
      </c>
      <c r="B617" s="6" t="str">
        <f>VLOOKUP($A617, 'Completion rates'!$A:$E, 2, FALSE)</f>
        <v>Opening beginner caskets</v>
      </c>
      <c r="C617" s="212">
        <v>23285.0</v>
      </c>
      <c r="D617" s="6" t="str">
        <f>VLOOKUP($C617, 'List of log slots'!$A:$E, 2, FALSE)</f>
        <v>Mole slippers</v>
      </c>
      <c r="E617" s="207">
        <f>VLOOKUP($C617, 'List of log slots'!$A:$E, 5, FALSE)</f>
        <v>2</v>
      </c>
      <c r="F617" s="210" t="b">
        <f>VLOOKUP(C617, 'List of log slots'!$A:$C, 3, FALSE)</f>
        <v>0</v>
      </c>
      <c r="G617" s="209" t="b">
        <f t="shared" si="371"/>
        <v>0</v>
      </c>
      <c r="H617" s="209" t="b">
        <f t="shared" si="7"/>
        <v>1</v>
      </c>
      <c r="I617" s="208" t="b">
        <f t="shared" si="372"/>
        <v>0</v>
      </c>
      <c r="J617" s="208" t="b">
        <f t="shared" ref="J617:J634" si="374">FALSE</f>
        <v>0</v>
      </c>
      <c r="K617" s="214">
        <v>180.0</v>
      </c>
      <c r="L617" s="212" t="str">
        <f t="shared" si="3"/>
        <v>n/a</v>
      </c>
      <c r="M617" s="212" t="str">
        <f t="shared" si="4"/>
        <v>n/a</v>
      </c>
      <c r="N617" s="207" t="str">
        <f t="shared" si="5"/>
        <v>n/a</v>
      </c>
      <c r="O617" s="207">
        <f t="shared" si="6"/>
        <v>0.005555555556</v>
      </c>
    </row>
    <row r="618" ht="15.75" customHeight="1">
      <c r="A618" s="207">
        <v>68.0</v>
      </c>
      <c r="B618" s="6" t="str">
        <f>VLOOKUP($A618, 'Completion rates'!$A:$E, 2, FALSE)</f>
        <v>Opening beginner caskets</v>
      </c>
      <c r="C618" s="212">
        <v>23288.0</v>
      </c>
      <c r="D618" s="6" t="str">
        <f>VLOOKUP($C618, 'List of log slots'!$A:$E, 2, FALSE)</f>
        <v>Frog slippers</v>
      </c>
      <c r="E618" s="207">
        <f>VLOOKUP($C618, 'List of log slots'!$A:$E, 5, FALSE)</f>
        <v>2</v>
      </c>
      <c r="F618" s="209" t="b">
        <f>VLOOKUP(C618, 'List of log slots'!$A:$C, 3, FALSE)</f>
        <v>0</v>
      </c>
      <c r="G618" s="209" t="b">
        <f t="shared" si="371"/>
        <v>0</v>
      </c>
      <c r="H618" s="210" t="b">
        <f t="shared" si="7"/>
        <v>1</v>
      </c>
      <c r="I618" s="208" t="b">
        <f t="shared" si="372"/>
        <v>0</v>
      </c>
      <c r="J618" s="208" t="b">
        <f t="shared" si="374"/>
        <v>0</v>
      </c>
      <c r="K618" s="214">
        <v>180.0</v>
      </c>
      <c r="L618" s="212" t="str">
        <f t="shared" si="3"/>
        <v>n/a</v>
      </c>
      <c r="M618" s="212" t="str">
        <f t="shared" si="4"/>
        <v>n/a</v>
      </c>
      <c r="N618" s="207" t="str">
        <f t="shared" si="5"/>
        <v>n/a</v>
      </c>
      <c r="O618" s="207">
        <f t="shared" si="6"/>
        <v>0.005555555556</v>
      </c>
    </row>
    <row r="619" ht="15.75" customHeight="1">
      <c r="A619" s="207">
        <v>68.0</v>
      </c>
      <c r="B619" s="6" t="str">
        <f>VLOOKUP($A619, 'Completion rates'!$A:$E, 2, FALSE)</f>
        <v>Opening beginner caskets</v>
      </c>
      <c r="C619" s="207">
        <v>23291.0</v>
      </c>
      <c r="D619" s="6" t="str">
        <f>VLOOKUP($C619, 'List of log slots'!$A:$E, 2, FALSE)</f>
        <v>Bear feet</v>
      </c>
      <c r="E619" s="207">
        <f>VLOOKUP($C619, 'List of log slots'!$A:$E, 5, FALSE)</f>
        <v>2</v>
      </c>
      <c r="F619" s="209" t="b">
        <f>VLOOKUP(C619, 'List of log slots'!$A:$C, 3, FALSE)</f>
        <v>0</v>
      </c>
      <c r="G619" s="209" t="b">
        <f t="shared" si="371"/>
        <v>0</v>
      </c>
      <c r="H619" s="210" t="b">
        <f t="shared" si="7"/>
        <v>1</v>
      </c>
      <c r="I619" s="208" t="b">
        <f t="shared" si="372"/>
        <v>0</v>
      </c>
      <c r="J619" s="208" t="b">
        <f t="shared" si="374"/>
        <v>0</v>
      </c>
      <c r="K619" s="214">
        <v>180.0</v>
      </c>
      <c r="L619" s="212" t="str">
        <f t="shared" si="3"/>
        <v>n/a</v>
      </c>
      <c r="M619" s="212" t="str">
        <f t="shared" si="4"/>
        <v>n/a</v>
      </c>
      <c r="N619" s="207" t="str">
        <f t="shared" si="5"/>
        <v>n/a</v>
      </c>
      <c r="O619" s="207">
        <f t="shared" si="6"/>
        <v>0.005555555556</v>
      </c>
    </row>
    <row r="620" ht="15.75" customHeight="1">
      <c r="A620" s="207">
        <v>68.0</v>
      </c>
      <c r="B620" s="6" t="str">
        <f>VLOOKUP($A620, 'Completion rates'!$A:$E, 2, FALSE)</f>
        <v>Opening beginner caskets</v>
      </c>
      <c r="C620" s="207">
        <v>23294.0</v>
      </c>
      <c r="D620" s="6" t="str">
        <f>VLOOKUP($C620, 'List of log slots'!$A:$E, 2, FALSE)</f>
        <v>Demon feet</v>
      </c>
      <c r="E620" s="207">
        <f>VLOOKUP($C620, 'List of log slots'!$A:$E, 5, FALSE)</f>
        <v>2</v>
      </c>
      <c r="F620" s="209" t="b">
        <f>VLOOKUP(C620, 'List of log slots'!$A:$C, 3, FALSE)</f>
        <v>0</v>
      </c>
      <c r="G620" s="209" t="b">
        <f t="shared" si="371"/>
        <v>0</v>
      </c>
      <c r="H620" s="210" t="b">
        <f t="shared" si="7"/>
        <v>1</v>
      </c>
      <c r="I620" s="208" t="b">
        <f t="shared" si="372"/>
        <v>0</v>
      </c>
      <c r="J620" s="208" t="b">
        <f t="shared" si="374"/>
        <v>0</v>
      </c>
      <c r="K620" s="214">
        <v>180.0</v>
      </c>
      <c r="L620" s="212" t="str">
        <f t="shared" si="3"/>
        <v>n/a</v>
      </c>
      <c r="M620" s="212" t="str">
        <f t="shared" si="4"/>
        <v>n/a</v>
      </c>
      <c r="N620" s="207" t="str">
        <f t="shared" si="5"/>
        <v>n/a</v>
      </c>
      <c r="O620" s="207">
        <f t="shared" si="6"/>
        <v>0.005555555556</v>
      </c>
    </row>
    <row r="621" ht="15.75" customHeight="1">
      <c r="A621" s="207">
        <v>68.0</v>
      </c>
      <c r="B621" s="6" t="str">
        <f>VLOOKUP($A621, 'Completion rates'!$A:$E, 2, FALSE)</f>
        <v>Opening beginner caskets</v>
      </c>
      <c r="C621" s="207">
        <v>23297.0</v>
      </c>
      <c r="D621" s="6" t="str">
        <f>VLOOKUP($C621, 'List of log slots'!$A:$E, 2, FALSE)</f>
        <v>Jester cape</v>
      </c>
      <c r="E621" s="207">
        <f>VLOOKUP($C621, 'List of log slots'!$A:$E, 5, FALSE)</f>
        <v>2</v>
      </c>
      <c r="F621" s="210" t="b">
        <f>VLOOKUP(C621, 'List of log slots'!$A:$C, 3, FALSE)</f>
        <v>0</v>
      </c>
      <c r="G621" s="209" t="b">
        <f t="shared" si="371"/>
        <v>0</v>
      </c>
      <c r="H621" s="209" t="b">
        <f t="shared" si="7"/>
        <v>1</v>
      </c>
      <c r="I621" s="208" t="b">
        <f t="shared" si="372"/>
        <v>0</v>
      </c>
      <c r="J621" s="208" t="b">
        <f t="shared" si="374"/>
        <v>0</v>
      </c>
      <c r="K621" s="214">
        <v>180.0</v>
      </c>
      <c r="L621" s="212" t="str">
        <f t="shared" si="3"/>
        <v>n/a</v>
      </c>
      <c r="M621" s="212" t="str">
        <f t="shared" si="4"/>
        <v>n/a</v>
      </c>
      <c r="N621" s="207" t="str">
        <f t="shared" si="5"/>
        <v>n/a</v>
      </c>
      <c r="O621" s="207">
        <f t="shared" si="6"/>
        <v>0.005555555556</v>
      </c>
    </row>
    <row r="622" ht="15.75" customHeight="1">
      <c r="A622" s="207">
        <v>68.0</v>
      </c>
      <c r="B622" s="6" t="str">
        <f>VLOOKUP($A622, 'Completion rates'!$A:$E, 2, FALSE)</f>
        <v>Opening beginner caskets</v>
      </c>
      <c r="C622" s="207">
        <v>23300.0</v>
      </c>
      <c r="D622" s="6" t="str">
        <f>VLOOKUP($C622, 'List of log slots'!$A:$E, 2, FALSE)</f>
        <v>Shoulder parrot</v>
      </c>
      <c r="E622" s="207">
        <f>VLOOKUP($C622, 'List of log slots'!$A:$E, 5, FALSE)</f>
        <v>2</v>
      </c>
      <c r="F622" s="209" t="b">
        <f>VLOOKUP(C622, 'List of log slots'!$A:$C, 3, FALSE)</f>
        <v>0</v>
      </c>
      <c r="G622" s="209" t="b">
        <f t="shared" si="371"/>
        <v>0</v>
      </c>
      <c r="H622" s="210" t="b">
        <f t="shared" si="7"/>
        <v>1</v>
      </c>
      <c r="I622" s="208" t="b">
        <f t="shared" si="372"/>
        <v>0</v>
      </c>
      <c r="J622" s="208" t="b">
        <f t="shared" si="374"/>
        <v>0</v>
      </c>
      <c r="K622" s="214">
        <v>180.0</v>
      </c>
      <c r="L622" s="212" t="str">
        <f t="shared" si="3"/>
        <v>n/a</v>
      </c>
      <c r="M622" s="212" t="str">
        <f t="shared" si="4"/>
        <v>n/a</v>
      </c>
      <c r="N622" s="207" t="str">
        <f t="shared" si="5"/>
        <v>n/a</v>
      </c>
      <c r="O622" s="207">
        <f t="shared" si="6"/>
        <v>0.005555555556</v>
      </c>
    </row>
    <row r="623" ht="15.75" customHeight="1">
      <c r="A623" s="207">
        <v>68.0</v>
      </c>
      <c r="B623" s="6" t="str">
        <f>VLOOKUP($A623, 'Completion rates'!$A:$E, 2, FALSE)</f>
        <v>Opening beginner caskets</v>
      </c>
      <c r="C623" s="207">
        <v>23303.0</v>
      </c>
      <c r="D623" s="6" t="str">
        <f>VLOOKUP($C623, 'List of log slots'!$A:$E, 2, FALSE)</f>
        <v>Monk's robe top (t)</v>
      </c>
      <c r="E623" s="207">
        <f>VLOOKUP($C623, 'List of log slots'!$A:$E, 5, FALSE)</f>
        <v>2</v>
      </c>
      <c r="F623" s="210" t="b">
        <f>VLOOKUP(C623, 'List of log slots'!$A:$C, 3, FALSE)</f>
        <v>0</v>
      </c>
      <c r="G623" s="209" t="b">
        <f t="shared" si="371"/>
        <v>0</v>
      </c>
      <c r="H623" s="209" t="b">
        <f t="shared" si="7"/>
        <v>1</v>
      </c>
      <c r="I623" s="208" t="b">
        <f t="shared" si="372"/>
        <v>0</v>
      </c>
      <c r="J623" s="208" t="b">
        <f t="shared" si="374"/>
        <v>0</v>
      </c>
      <c r="K623" s="214">
        <v>180.0</v>
      </c>
      <c r="L623" s="212" t="str">
        <f t="shared" si="3"/>
        <v>n/a</v>
      </c>
      <c r="M623" s="212" t="str">
        <f t="shared" si="4"/>
        <v>n/a</v>
      </c>
      <c r="N623" s="207" t="str">
        <f t="shared" si="5"/>
        <v>n/a</v>
      </c>
      <c r="O623" s="207">
        <f t="shared" si="6"/>
        <v>0.005555555556</v>
      </c>
    </row>
    <row r="624" ht="15.75" customHeight="1">
      <c r="A624" s="207">
        <v>68.0</v>
      </c>
      <c r="B624" s="6" t="str">
        <f>VLOOKUP($A624, 'Completion rates'!$A:$E, 2, FALSE)</f>
        <v>Opening beginner caskets</v>
      </c>
      <c r="C624" s="207">
        <v>23306.0</v>
      </c>
      <c r="D624" s="6" t="str">
        <f>VLOOKUP($C624, 'List of log slots'!$A:$E, 2, FALSE)</f>
        <v>Monk's robe (t)</v>
      </c>
      <c r="E624" s="207">
        <f>VLOOKUP($C624, 'List of log slots'!$A:$E, 5, FALSE)</f>
        <v>2</v>
      </c>
      <c r="F624" s="210" t="b">
        <f>VLOOKUP(C624, 'List of log slots'!$A:$C, 3, FALSE)</f>
        <v>0</v>
      </c>
      <c r="G624" s="209" t="b">
        <f t="shared" si="371"/>
        <v>0</v>
      </c>
      <c r="H624" s="209" t="b">
        <f t="shared" si="7"/>
        <v>1</v>
      </c>
      <c r="I624" s="208" t="b">
        <f t="shared" si="372"/>
        <v>0</v>
      </c>
      <c r="J624" s="208" t="b">
        <f t="shared" si="374"/>
        <v>0</v>
      </c>
      <c r="K624" s="214">
        <v>180.0</v>
      </c>
      <c r="L624" s="212" t="str">
        <f t="shared" si="3"/>
        <v>n/a</v>
      </c>
      <c r="M624" s="212" t="str">
        <f t="shared" si="4"/>
        <v>n/a</v>
      </c>
      <c r="N624" s="207" t="str">
        <f t="shared" si="5"/>
        <v>n/a</v>
      </c>
      <c r="O624" s="207">
        <f t="shared" si="6"/>
        <v>0.005555555556</v>
      </c>
    </row>
    <row r="625" ht="15.75" customHeight="1">
      <c r="A625" s="207">
        <v>68.0</v>
      </c>
      <c r="B625" s="6" t="str">
        <f>VLOOKUP($A625, 'Completion rates'!$A:$E, 2, FALSE)</f>
        <v>Opening beginner caskets</v>
      </c>
      <c r="C625" s="207">
        <v>23309.0</v>
      </c>
      <c r="D625" s="6" t="str">
        <f>VLOOKUP($C625, 'List of log slots'!$A:$E, 2, FALSE)</f>
        <v>Amulet of defence (t)</v>
      </c>
      <c r="E625" s="207">
        <f>VLOOKUP($C625, 'List of log slots'!$A:$E, 5, FALSE)</f>
        <v>2</v>
      </c>
      <c r="F625" s="210" t="b">
        <f>VLOOKUP(C625, 'List of log slots'!$A:$C, 3, FALSE)</f>
        <v>0</v>
      </c>
      <c r="G625" s="209" t="b">
        <f t="shared" si="371"/>
        <v>0</v>
      </c>
      <c r="H625" s="209" t="b">
        <f t="shared" si="7"/>
        <v>1</v>
      </c>
      <c r="I625" s="208" t="b">
        <f t="shared" si="372"/>
        <v>0</v>
      </c>
      <c r="J625" s="208" t="b">
        <f t="shared" si="374"/>
        <v>0</v>
      </c>
      <c r="K625" s="214">
        <v>180.0</v>
      </c>
      <c r="L625" s="212" t="str">
        <f t="shared" si="3"/>
        <v>n/a</v>
      </c>
      <c r="M625" s="212" t="str">
        <f t="shared" si="4"/>
        <v>n/a</v>
      </c>
      <c r="N625" s="207" t="str">
        <f t="shared" si="5"/>
        <v>n/a</v>
      </c>
      <c r="O625" s="207">
        <f t="shared" si="6"/>
        <v>0.005555555556</v>
      </c>
    </row>
    <row r="626" ht="15.75" customHeight="1">
      <c r="A626" s="207">
        <v>68.0</v>
      </c>
      <c r="B626" s="6" t="str">
        <f>VLOOKUP($A626, 'Completion rates'!$A:$E, 2, FALSE)</f>
        <v>Opening beginner caskets</v>
      </c>
      <c r="C626" s="207">
        <v>23312.0</v>
      </c>
      <c r="D626" s="6" t="str">
        <f>VLOOKUP($C626, 'List of log slots'!$A:$E, 2, FALSE)</f>
        <v>Sandwich lady hat</v>
      </c>
      <c r="E626" s="207">
        <f>VLOOKUP($C626, 'List of log slots'!$A:$E, 5, FALSE)</f>
        <v>2</v>
      </c>
      <c r="F626" s="210" t="b">
        <f>VLOOKUP(C626, 'List of log slots'!$A:$C, 3, FALSE)</f>
        <v>0</v>
      </c>
      <c r="G626" s="209" t="b">
        <f t="shared" si="371"/>
        <v>0</v>
      </c>
      <c r="H626" s="209" t="b">
        <f t="shared" si="7"/>
        <v>1</v>
      </c>
      <c r="I626" s="208" t="b">
        <f t="shared" si="372"/>
        <v>0</v>
      </c>
      <c r="J626" s="208" t="b">
        <f t="shared" si="374"/>
        <v>0</v>
      </c>
      <c r="K626" s="214">
        <v>180.0</v>
      </c>
      <c r="L626" s="212" t="str">
        <f t="shared" si="3"/>
        <v>n/a</v>
      </c>
      <c r="M626" s="212" t="str">
        <f t="shared" si="4"/>
        <v>n/a</v>
      </c>
      <c r="N626" s="207" t="str">
        <f t="shared" si="5"/>
        <v>n/a</v>
      </c>
      <c r="O626" s="207">
        <f t="shared" si="6"/>
        <v>0.005555555556</v>
      </c>
    </row>
    <row r="627" ht="15.75" customHeight="1">
      <c r="A627" s="207">
        <v>68.0</v>
      </c>
      <c r="B627" s="6" t="str">
        <f>VLOOKUP($A627, 'Completion rates'!$A:$E, 2, FALSE)</f>
        <v>Opening beginner caskets</v>
      </c>
      <c r="C627" s="207">
        <v>23315.0</v>
      </c>
      <c r="D627" s="6" t="str">
        <f>VLOOKUP($C627, 'List of log slots'!$A:$E, 2, FALSE)</f>
        <v>Sandwich lady top</v>
      </c>
      <c r="E627" s="207">
        <f>VLOOKUP($C627, 'List of log slots'!$A:$E, 5, FALSE)</f>
        <v>2</v>
      </c>
      <c r="F627" s="209" t="b">
        <f>VLOOKUP(C627, 'List of log slots'!$A:$C, 3, FALSE)</f>
        <v>0</v>
      </c>
      <c r="G627" s="209" t="b">
        <f t="shared" si="371"/>
        <v>0</v>
      </c>
      <c r="H627" s="210" t="b">
        <f t="shared" si="7"/>
        <v>1</v>
      </c>
      <c r="I627" s="208" t="b">
        <f t="shared" si="372"/>
        <v>0</v>
      </c>
      <c r="J627" s="208" t="b">
        <f t="shared" si="374"/>
        <v>0</v>
      </c>
      <c r="K627" s="214">
        <v>180.0</v>
      </c>
      <c r="L627" s="212" t="str">
        <f t="shared" si="3"/>
        <v>n/a</v>
      </c>
      <c r="M627" s="212" t="str">
        <f t="shared" si="4"/>
        <v>n/a</v>
      </c>
      <c r="N627" s="207" t="str">
        <f t="shared" si="5"/>
        <v>n/a</v>
      </c>
      <c r="O627" s="207">
        <f t="shared" si="6"/>
        <v>0.005555555556</v>
      </c>
    </row>
    <row r="628" ht="15.75" customHeight="1">
      <c r="A628" s="207">
        <v>68.0</v>
      </c>
      <c r="B628" s="6" t="str">
        <f>VLOOKUP($A628, 'Completion rates'!$A:$E, 2, FALSE)</f>
        <v>Opening beginner caskets</v>
      </c>
      <c r="C628" s="207">
        <v>23318.0</v>
      </c>
      <c r="D628" s="6" t="str">
        <f>VLOOKUP($C628, 'List of log slots'!$A:$E, 2, FALSE)</f>
        <v>Sandwich lady bottom</v>
      </c>
      <c r="E628" s="207">
        <f>VLOOKUP($C628, 'List of log slots'!$A:$E, 5, FALSE)</f>
        <v>2</v>
      </c>
      <c r="F628" s="210" t="b">
        <f>VLOOKUP(C628, 'List of log slots'!$A:$C, 3, FALSE)</f>
        <v>0</v>
      </c>
      <c r="G628" s="209" t="b">
        <f t="shared" si="371"/>
        <v>0</v>
      </c>
      <c r="H628" s="209" t="b">
        <f t="shared" si="7"/>
        <v>1</v>
      </c>
      <c r="I628" s="208" t="b">
        <f t="shared" si="372"/>
        <v>0</v>
      </c>
      <c r="J628" s="208" t="b">
        <f t="shared" si="374"/>
        <v>0</v>
      </c>
      <c r="K628" s="214">
        <v>180.0</v>
      </c>
      <c r="L628" s="212" t="str">
        <f t="shared" si="3"/>
        <v>n/a</v>
      </c>
      <c r="M628" s="212" t="str">
        <f t="shared" si="4"/>
        <v>n/a</v>
      </c>
      <c r="N628" s="207" t="str">
        <f t="shared" si="5"/>
        <v>n/a</v>
      </c>
      <c r="O628" s="207">
        <f t="shared" si="6"/>
        <v>0.005555555556</v>
      </c>
    </row>
    <row r="629" ht="15.75" customHeight="1">
      <c r="A629" s="207">
        <v>68.0</v>
      </c>
      <c r="B629" s="6" t="str">
        <f>VLOOKUP($A629, 'Completion rates'!$A:$E, 2, FALSE)</f>
        <v>Opening beginner caskets</v>
      </c>
      <c r="C629" s="207">
        <v>23321.0</v>
      </c>
      <c r="D629" s="6" t="str">
        <f>VLOOKUP($C629, 'List of log slots'!$A:$E, 2, FALSE)</f>
        <v>Rune scimitar ornament kit (guthix)</v>
      </c>
      <c r="E629" s="207">
        <f>VLOOKUP($C629, 'List of log slots'!$A:$E, 5, FALSE)</f>
        <v>2</v>
      </c>
      <c r="F629" s="210" t="b">
        <f>VLOOKUP(C629, 'List of log slots'!$A:$C, 3, FALSE)</f>
        <v>0</v>
      </c>
      <c r="G629" s="209" t="b">
        <f t="shared" si="371"/>
        <v>0</v>
      </c>
      <c r="H629" s="209" t="b">
        <f t="shared" si="7"/>
        <v>1</v>
      </c>
      <c r="I629" s="208" t="b">
        <f t="shared" si="372"/>
        <v>0</v>
      </c>
      <c r="J629" s="208" t="b">
        <f t="shared" si="374"/>
        <v>0</v>
      </c>
      <c r="K629" s="214">
        <v>180.0</v>
      </c>
      <c r="L629" s="212" t="str">
        <f t="shared" si="3"/>
        <v>n/a</v>
      </c>
      <c r="M629" s="212" t="str">
        <f t="shared" si="4"/>
        <v>n/a</v>
      </c>
      <c r="N629" s="207" t="str">
        <f t="shared" si="5"/>
        <v>n/a</v>
      </c>
      <c r="O629" s="207">
        <f t="shared" si="6"/>
        <v>0.005555555556</v>
      </c>
    </row>
    <row r="630" ht="15.75" customHeight="1">
      <c r="A630" s="207">
        <v>68.0</v>
      </c>
      <c r="B630" s="6" t="str">
        <f>VLOOKUP($A630, 'Completion rates'!$A:$E, 2, FALSE)</f>
        <v>Opening beginner caskets</v>
      </c>
      <c r="C630" s="207">
        <v>23324.0</v>
      </c>
      <c r="D630" s="6" t="str">
        <f>VLOOKUP($C630, 'List of log slots'!$A:$E, 2, FALSE)</f>
        <v>Rune scimitar ornament kit (saradomin)</v>
      </c>
      <c r="E630" s="207">
        <f>VLOOKUP($C630, 'List of log slots'!$A:$E, 5, FALSE)</f>
        <v>2</v>
      </c>
      <c r="F630" s="209" t="b">
        <f>VLOOKUP(C630, 'List of log slots'!$A:$C, 3, FALSE)</f>
        <v>0</v>
      </c>
      <c r="G630" s="209" t="b">
        <f t="shared" si="371"/>
        <v>0</v>
      </c>
      <c r="H630" s="210" t="b">
        <f t="shared" si="7"/>
        <v>1</v>
      </c>
      <c r="I630" s="208" t="b">
        <f t="shared" si="372"/>
        <v>0</v>
      </c>
      <c r="J630" s="208" t="b">
        <f t="shared" si="374"/>
        <v>0</v>
      </c>
      <c r="K630" s="214">
        <v>180.0</v>
      </c>
      <c r="L630" s="212" t="str">
        <f t="shared" si="3"/>
        <v>n/a</v>
      </c>
      <c r="M630" s="212" t="str">
        <f t="shared" si="4"/>
        <v>n/a</v>
      </c>
      <c r="N630" s="207" t="str">
        <f t="shared" si="5"/>
        <v>n/a</v>
      </c>
      <c r="O630" s="207">
        <f t="shared" si="6"/>
        <v>0.005555555556</v>
      </c>
    </row>
    <row r="631" ht="15.75" customHeight="1">
      <c r="A631" s="207">
        <v>68.0</v>
      </c>
      <c r="B631" s="6" t="str">
        <f>VLOOKUP($A631, 'Completion rates'!$A:$E, 2, FALSE)</f>
        <v>Opening beginner caskets</v>
      </c>
      <c r="C631" s="207">
        <v>23327.0</v>
      </c>
      <c r="D631" s="6" t="str">
        <f>VLOOKUP($C631, 'List of log slots'!$A:$E, 2, FALSE)</f>
        <v>Rune scimitar ornament kit (zamorak)</v>
      </c>
      <c r="E631" s="207">
        <f>VLOOKUP($C631, 'List of log slots'!$A:$E, 5, FALSE)</f>
        <v>2</v>
      </c>
      <c r="F631" s="210" t="b">
        <f>VLOOKUP(C631, 'List of log slots'!$A:$C, 3, FALSE)</f>
        <v>0</v>
      </c>
      <c r="G631" s="209" t="b">
        <f t="shared" si="371"/>
        <v>0</v>
      </c>
      <c r="H631" s="209" t="b">
        <f t="shared" si="7"/>
        <v>1</v>
      </c>
      <c r="I631" s="208" t="b">
        <f t="shared" si="372"/>
        <v>0</v>
      </c>
      <c r="J631" s="208" t="b">
        <f t="shared" si="374"/>
        <v>0</v>
      </c>
      <c r="K631" s="214">
        <v>180.0</v>
      </c>
      <c r="L631" s="212" t="str">
        <f t="shared" si="3"/>
        <v>n/a</v>
      </c>
      <c r="M631" s="212" t="str">
        <f t="shared" si="4"/>
        <v>n/a</v>
      </c>
      <c r="N631" s="207" t="str">
        <f t="shared" si="5"/>
        <v>n/a</v>
      </c>
      <c r="O631" s="207">
        <f t="shared" si="6"/>
        <v>0.005555555556</v>
      </c>
    </row>
    <row r="632" ht="15.75" customHeight="1">
      <c r="A632" s="207">
        <v>68.0</v>
      </c>
      <c r="B632" s="6" t="str">
        <f>VLOOKUP($A632, 'Completion rates'!$A:$E, 2, FALSE)</f>
        <v>Opening beginner caskets</v>
      </c>
      <c r="C632" s="207">
        <v>12297.0</v>
      </c>
      <c r="D632" s="6" t="str">
        <f>VLOOKUP($C632, 'List of log slots'!$A:$E, 2, FALSE)</f>
        <v>Black pickaxe</v>
      </c>
      <c r="E632" s="207">
        <f>VLOOKUP($C632, 'List of log slots'!$A:$E, 5, FALSE)</f>
        <v>2</v>
      </c>
      <c r="F632" s="210" t="b">
        <f>VLOOKUP(C632, 'List of log slots'!$A:$C, 3, FALSE)</f>
        <v>0</v>
      </c>
      <c r="G632" s="209" t="b">
        <f t="shared" si="371"/>
        <v>0</v>
      </c>
      <c r="H632" s="209" t="b">
        <f t="shared" si="7"/>
        <v>1</v>
      </c>
      <c r="I632" s="208" t="b">
        <f t="shared" si="372"/>
        <v>0</v>
      </c>
      <c r="J632" s="208" t="b">
        <f t="shared" si="374"/>
        <v>0</v>
      </c>
      <c r="K632" s="214">
        <v>403.0</v>
      </c>
      <c r="L632" s="212" t="str">
        <f t="shared" si="3"/>
        <v>n/a</v>
      </c>
      <c r="M632" s="212" t="str">
        <f t="shared" si="4"/>
        <v>n/a</v>
      </c>
      <c r="N632" s="207" t="str">
        <f t="shared" si="5"/>
        <v>n/a</v>
      </c>
      <c r="O632" s="207">
        <f t="shared" si="6"/>
        <v>0.002481389578</v>
      </c>
    </row>
    <row r="633" ht="15.75" customHeight="1">
      <c r="A633" s="207">
        <v>68.0</v>
      </c>
      <c r="B633" s="6" t="str">
        <f>VLOOKUP($A633, 'Completion rates'!$A:$E, 2, FALSE)</f>
        <v>Opening beginner caskets</v>
      </c>
      <c r="C633" s="207">
        <v>30902.0</v>
      </c>
      <c r="D633" s="6" t="str">
        <f>VLOOKUP($C633, 'List of log slots'!$A:$E, 2, FALSE)</f>
        <v>Minor beginner scroll case</v>
      </c>
      <c r="E633" s="207">
        <f>VLOOKUP($C633, 'List of log slots'!$A:$E, 5, FALSE)</f>
        <v>3</v>
      </c>
      <c r="F633" s="210" t="b">
        <f>VLOOKUP(C633, 'List of log slots'!$A:$C, 3, FALSE)</f>
        <v>0</v>
      </c>
      <c r="G633" s="209" t="b">
        <f t="shared" si="371"/>
        <v>0</v>
      </c>
      <c r="H633" s="209" t="b">
        <f t="shared" si="7"/>
        <v>1</v>
      </c>
      <c r="I633" s="213" t="b">
        <f t="shared" ref="I633:I634" si="375">TRUE</f>
        <v>1</v>
      </c>
      <c r="J633" s="208" t="b">
        <f t="shared" si="374"/>
        <v>0</v>
      </c>
      <c r="K633" s="214">
        <v>50.0</v>
      </c>
      <c r="L633" s="212" t="str">
        <f t="shared" si="3"/>
        <v>n/a</v>
      </c>
      <c r="M633" s="212">
        <f t="shared" si="4"/>
        <v>50</v>
      </c>
      <c r="N633" s="207" t="str">
        <f t="shared" si="5"/>
        <v>n/a</v>
      </c>
      <c r="O633" s="207" t="str">
        <f t="shared" si="6"/>
        <v>n/a</v>
      </c>
    </row>
    <row r="634" ht="15.75" customHeight="1">
      <c r="A634" s="207">
        <v>68.0</v>
      </c>
      <c r="B634" s="6" t="str">
        <f>VLOOKUP($A634, 'Completion rates'!$A:$E, 2, FALSE)</f>
        <v>Opening beginner caskets</v>
      </c>
      <c r="C634" s="207">
        <v>30904.0</v>
      </c>
      <c r="D634" s="6" t="str">
        <f>VLOOKUP($C634, 'List of log slots'!$A:$E, 2, FALSE)</f>
        <v>Major beginner scroll case</v>
      </c>
      <c r="E634" s="207">
        <f>VLOOKUP($C634, 'List of log slots'!$A:$E, 5, FALSE)</f>
        <v>4</v>
      </c>
      <c r="F634" s="210" t="b">
        <f>VLOOKUP(C634, 'List of log slots'!$A:$C, 3, FALSE)</f>
        <v>0</v>
      </c>
      <c r="G634" s="210" t="b">
        <f>TRUE</f>
        <v>1</v>
      </c>
      <c r="H634" s="209" t="b">
        <f t="shared" si="7"/>
        <v>0</v>
      </c>
      <c r="I634" s="213" t="b">
        <f t="shared" si="375"/>
        <v>1</v>
      </c>
      <c r="J634" s="208" t="b">
        <f t="shared" si="374"/>
        <v>0</v>
      </c>
      <c r="K634" s="214">
        <v>50.0</v>
      </c>
      <c r="L634" s="212" t="str">
        <f t="shared" si="3"/>
        <v>n/a</v>
      </c>
      <c r="M634" s="212">
        <f t="shared" si="4"/>
        <v>50</v>
      </c>
      <c r="N634" s="207" t="str">
        <f t="shared" si="5"/>
        <v>n/a</v>
      </c>
      <c r="O634" s="207" t="str">
        <f t="shared" si="6"/>
        <v>n/a</v>
      </c>
    </row>
    <row r="635" ht="15.75" customHeight="1">
      <c r="A635" s="207">
        <v>69.0</v>
      </c>
      <c r="B635" s="6" t="str">
        <f>VLOOKUP($A635, 'Completion rates'!$A:$E, 2, FALSE)</f>
        <v>Opening easy caskets</v>
      </c>
      <c r="C635" s="207">
        <v>12297.0</v>
      </c>
      <c r="D635" s="6" t="str">
        <f>VLOOKUP($C635, 'List of log slots'!$A:$E, 2, FALSE)</f>
        <v>Black pickaxe</v>
      </c>
      <c r="E635" s="207">
        <f>VLOOKUP($C635, 'List of log slots'!$A:$E, 5, FALSE)</f>
        <v>2</v>
      </c>
      <c r="F635" s="210" t="b">
        <f>VLOOKUP(C635, 'List of log slots'!$A:$C, 3, FALSE)</f>
        <v>0</v>
      </c>
      <c r="G635" s="209" t="b">
        <f t="shared" ref="G635:G815" si="377">FALSE</f>
        <v>0</v>
      </c>
      <c r="H635" s="209" t="b">
        <f t="shared" si="7"/>
        <v>1</v>
      </c>
      <c r="I635" s="208" t="b">
        <f t="shared" ref="I635:J635" si="376">FALSE</f>
        <v>0</v>
      </c>
      <c r="J635" s="208" t="b">
        <f t="shared" si="376"/>
        <v>0</v>
      </c>
      <c r="K635" s="214">
        <v>12.0</v>
      </c>
      <c r="L635" s="212" t="str">
        <f t="shared" si="3"/>
        <v>n/a</v>
      </c>
      <c r="M635" s="212" t="str">
        <f t="shared" si="4"/>
        <v>n/a</v>
      </c>
      <c r="N635" s="207" t="str">
        <f t="shared" si="5"/>
        <v>n/a</v>
      </c>
      <c r="O635" s="207">
        <f t="shared" si="6"/>
        <v>0.08333333333</v>
      </c>
    </row>
    <row r="636" ht="15.75" customHeight="1">
      <c r="A636" s="207">
        <v>69.0</v>
      </c>
      <c r="B636" s="6" t="str">
        <f>VLOOKUP($A636, 'Completion rates'!$A:$E, 2, FALSE)</f>
        <v>Opening easy caskets</v>
      </c>
      <c r="C636" s="207">
        <v>20211.0</v>
      </c>
      <c r="D636" s="6" t="str">
        <f>VLOOKUP($C636, 'List of log slots'!$A:$E, 2, FALSE)</f>
        <v>Team cape zero</v>
      </c>
      <c r="E636" s="207">
        <f>VLOOKUP($C636, 'List of log slots'!$A:$E, 5, FALSE)</f>
        <v>5</v>
      </c>
      <c r="F636" s="209" t="b">
        <f>VLOOKUP(C636, 'List of log slots'!$A:$C, 3, FALSE)</f>
        <v>0</v>
      </c>
      <c r="G636" s="209" t="b">
        <f t="shared" si="377"/>
        <v>0</v>
      </c>
      <c r="H636" s="210" t="b">
        <f t="shared" si="7"/>
        <v>1</v>
      </c>
      <c r="I636" s="208" t="b">
        <f t="shared" ref="I636:J636" si="378">FALSE</f>
        <v>0</v>
      </c>
      <c r="J636" s="208" t="b">
        <f t="shared" si="378"/>
        <v>0</v>
      </c>
      <c r="K636" s="214">
        <v>1872.0</v>
      </c>
      <c r="L636" s="212" t="str">
        <f t="shared" si="3"/>
        <v>n/a</v>
      </c>
      <c r="M636" s="212" t="str">
        <f t="shared" si="4"/>
        <v>n/a</v>
      </c>
      <c r="N636" s="207" t="str">
        <f t="shared" si="5"/>
        <v>n/a</v>
      </c>
      <c r="O636" s="207">
        <f t="shared" si="6"/>
        <v>0.0005341880342</v>
      </c>
    </row>
    <row r="637" ht="15.75" customHeight="1">
      <c r="A637" s="207">
        <v>69.0</v>
      </c>
      <c r="B637" s="6" t="str">
        <f>VLOOKUP($A637, 'Completion rates'!$A:$E, 2, FALSE)</f>
        <v>Opening easy caskets</v>
      </c>
      <c r="C637" s="207">
        <v>20217.0</v>
      </c>
      <c r="D637" s="6" t="str">
        <f>VLOOKUP($C637, 'List of log slots'!$A:$E, 2, FALSE)</f>
        <v>Team cape i</v>
      </c>
      <c r="E637" s="207">
        <f>VLOOKUP($C637, 'List of log slots'!$A:$E, 5, FALSE)</f>
        <v>5</v>
      </c>
      <c r="F637" s="209" t="b">
        <f>VLOOKUP(C637, 'List of log slots'!$A:$C, 3, FALSE)</f>
        <v>0</v>
      </c>
      <c r="G637" s="209" t="b">
        <f t="shared" si="377"/>
        <v>0</v>
      </c>
      <c r="H637" s="210" t="b">
        <f t="shared" si="7"/>
        <v>1</v>
      </c>
      <c r="I637" s="208" t="b">
        <f t="shared" ref="I637:J637" si="379">FALSE</f>
        <v>0</v>
      </c>
      <c r="J637" s="208" t="b">
        <f t="shared" si="379"/>
        <v>0</v>
      </c>
      <c r="K637" s="214">
        <v>1872.0</v>
      </c>
      <c r="L637" s="212" t="str">
        <f t="shared" si="3"/>
        <v>n/a</v>
      </c>
      <c r="M637" s="212" t="str">
        <f t="shared" si="4"/>
        <v>n/a</v>
      </c>
      <c r="N637" s="207" t="str">
        <f t="shared" si="5"/>
        <v>n/a</v>
      </c>
      <c r="O637" s="207">
        <f t="shared" si="6"/>
        <v>0.0005341880342</v>
      </c>
    </row>
    <row r="638" ht="15.75" customHeight="1">
      <c r="A638" s="207">
        <v>69.0</v>
      </c>
      <c r="B638" s="6" t="str">
        <f>VLOOKUP($A638, 'Completion rates'!$A:$E, 2, FALSE)</f>
        <v>Opening easy caskets</v>
      </c>
      <c r="C638" s="207">
        <v>20214.0</v>
      </c>
      <c r="D638" s="6" t="str">
        <f>VLOOKUP($C638, 'List of log slots'!$A:$E, 2, FALSE)</f>
        <v>Team cape x</v>
      </c>
      <c r="E638" s="207">
        <f>VLOOKUP($C638, 'List of log slots'!$A:$E, 5, FALSE)</f>
        <v>5</v>
      </c>
      <c r="F638" s="209" t="b">
        <f>VLOOKUP(C638, 'List of log slots'!$A:$C, 3, FALSE)</f>
        <v>0</v>
      </c>
      <c r="G638" s="209" t="b">
        <f t="shared" si="377"/>
        <v>0</v>
      </c>
      <c r="H638" s="210" t="b">
        <f t="shared" si="7"/>
        <v>1</v>
      </c>
      <c r="I638" s="208" t="b">
        <f t="shared" ref="I638:J638" si="380">FALSE</f>
        <v>0</v>
      </c>
      <c r="J638" s="208" t="b">
        <f t="shared" si="380"/>
        <v>0</v>
      </c>
      <c r="K638" s="214">
        <v>1872.0</v>
      </c>
      <c r="L638" s="212" t="str">
        <f t="shared" si="3"/>
        <v>n/a</v>
      </c>
      <c r="M638" s="212" t="str">
        <f t="shared" si="4"/>
        <v>n/a</v>
      </c>
      <c r="N638" s="207" t="str">
        <f t="shared" si="5"/>
        <v>n/a</v>
      </c>
      <c r="O638" s="207">
        <f t="shared" si="6"/>
        <v>0.0005341880342</v>
      </c>
    </row>
    <row r="639" ht="15.75" customHeight="1">
      <c r="A639" s="207">
        <v>69.0</v>
      </c>
      <c r="B639" s="6" t="str">
        <f>VLOOKUP($A639, 'Completion rates'!$A:$E, 2, FALSE)</f>
        <v>Opening easy caskets</v>
      </c>
      <c r="C639" s="207">
        <v>23351.0</v>
      </c>
      <c r="D639" s="6" t="str">
        <f>VLOOKUP($C639, 'List of log slots'!$A:$E, 2, FALSE)</f>
        <v>Cape of skulls</v>
      </c>
      <c r="E639" s="207">
        <f>VLOOKUP($C639, 'List of log slots'!$A:$E, 5, FALSE)</f>
        <v>5</v>
      </c>
      <c r="F639" s="209" t="b">
        <f>VLOOKUP(C639, 'List of log slots'!$A:$C, 3, FALSE)</f>
        <v>0</v>
      </c>
      <c r="G639" s="209" t="b">
        <f t="shared" si="377"/>
        <v>0</v>
      </c>
      <c r="H639" s="210" t="b">
        <f t="shared" si="7"/>
        <v>1</v>
      </c>
      <c r="I639" s="208" t="b">
        <f t="shared" ref="I639:J639" si="381">FALSE</f>
        <v>0</v>
      </c>
      <c r="J639" s="208" t="b">
        <f t="shared" si="381"/>
        <v>0</v>
      </c>
      <c r="K639" s="214">
        <v>1872.0</v>
      </c>
      <c r="L639" s="212" t="str">
        <f t="shared" si="3"/>
        <v>n/a</v>
      </c>
      <c r="M639" s="212" t="str">
        <f t="shared" si="4"/>
        <v>n/a</v>
      </c>
      <c r="N639" s="207" t="str">
        <f t="shared" si="5"/>
        <v>n/a</v>
      </c>
      <c r="O639" s="207">
        <f t="shared" si="6"/>
        <v>0.0005341880342</v>
      </c>
    </row>
    <row r="640" ht="15.75" customHeight="1">
      <c r="A640" s="207">
        <v>69.0</v>
      </c>
      <c r="B640" s="6" t="str">
        <f>VLOOKUP($A640, 'Completion rates'!$A:$E, 2, FALSE)</f>
        <v>Opening easy caskets</v>
      </c>
      <c r="C640" s="207">
        <v>20205.0</v>
      </c>
      <c r="D640" s="6" t="str">
        <f>VLOOKUP($C640, 'List of log slots'!$A:$E, 2, FALSE)</f>
        <v>Golden chef's hat</v>
      </c>
      <c r="E640" s="207">
        <f>VLOOKUP($C640, 'List of log slots'!$A:$E, 5, FALSE)</f>
        <v>4</v>
      </c>
      <c r="F640" s="209" t="b">
        <f>VLOOKUP(C640, 'List of log slots'!$A:$C, 3, FALSE)</f>
        <v>0</v>
      </c>
      <c r="G640" s="209" t="b">
        <f t="shared" si="377"/>
        <v>0</v>
      </c>
      <c r="H640" s="210" t="b">
        <f t="shared" si="7"/>
        <v>1</v>
      </c>
      <c r="I640" s="208" t="b">
        <f t="shared" ref="I640:J640" si="382">FALSE</f>
        <v>0</v>
      </c>
      <c r="J640" s="208" t="b">
        <f t="shared" si="382"/>
        <v>0</v>
      </c>
      <c r="K640" s="214">
        <v>936.0</v>
      </c>
      <c r="L640" s="212" t="str">
        <f t="shared" si="3"/>
        <v>n/a</v>
      </c>
      <c r="M640" s="212" t="str">
        <f t="shared" si="4"/>
        <v>n/a</v>
      </c>
      <c r="N640" s="207" t="str">
        <f t="shared" si="5"/>
        <v>n/a</v>
      </c>
      <c r="O640" s="207">
        <f t="shared" si="6"/>
        <v>0.001068376068</v>
      </c>
    </row>
    <row r="641" ht="15.75" customHeight="1">
      <c r="A641" s="207">
        <v>69.0</v>
      </c>
      <c r="B641" s="6" t="str">
        <f>VLOOKUP($A641, 'Completion rates'!$A:$E, 2, FALSE)</f>
        <v>Opening easy caskets</v>
      </c>
      <c r="C641" s="207">
        <v>20208.0</v>
      </c>
      <c r="D641" s="6" t="str">
        <f>VLOOKUP($C641, 'List of log slots'!$A:$E, 2, FALSE)</f>
        <v>Golden apron</v>
      </c>
      <c r="E641" s="207">
        <f>VLOOKUP($C641, 'List of log slots'!$A:$E, 5, FALSE)</f>
        <v>4</v>
      </c>
      <c r="F641" s="209" t="b">
        <f>VLOOKUP(C641, 'List of log slots'!$A:$C, 3, FALSE)</f>
        <v>0</v>
      </c>
      <c r="G641" s="209" t="b">
        <f t="shared" si="377"/>
        <v>0</v>
      </c>
      <c r="H641" s="210" t="b">
        <f t="shared" si="7"/>
        <v>1</v>
      </c>
      <c r="I641" s="208" t="b">
        <f t="shared" ref="I641:J641" si="383">FALSE</f>
        <v>0</v>
      </c>
      <c r="J641" s="208" t="b">
        <f t="shared" si="383"/>
        <v>0</v>
      </c>
      <c r="K641" s="214">
        <v>936.0</v>
      </c>
      <c r="L641" s="212" t="str">
        <f t="shared" si="3"/>
        <v>n/a</v>
      </c>
      <c r="M641" s="212" t="str">
        <f t="shared" si="4"/>
        <v>n/a</v>
      </c>
      <c r="N641" s="207" t="str">
        <f t="shared" si="5"/>
        <v>n/a</v>
      </c>
      <c r="O641" s="207">
        <f t="shared" si="6"/>
        <v>0.001068376068</v>
      </c>
    </row>
    <row r="642" ht="15.75" customHeight="1">
      <c r="A642" s="207">
        <v>69.0</v>
      </c>
      <c r="B642" s="6" t="str">
        <f>VLOOKUP($A642, 'Completion rates'!$A:$E, 2, FALSE)</f>
        <v>Opening easy caskets</v>
      </c>
      <c r="C642" s="207">
        <v>20166.0</v>
      </c>
      <c r="D642" s="6" t="str">
        <f>VLOOKUP($C642, 'List of log slots'!$A:$E, 2, FALSE)</f>
        <v>Wooden shield (g)</v>
      </c>
      <c r="E642" s="207">
        <f>VLOOKUP($C642, 'List of log slots'!$A:$E, 5, FALSE)</f>
        <v>3</v>
      </c>
      <c r="F642" s="209" t="b">
        <f>VLOOKUP(C642, 'List of log slots'!$A:$C, 3, FALSE)</f>
        <v>0</v>
      </c>
      <c r="G642" s="209" t="b">
        <f t="shared" si="377"/>
        <v>0</v>
      </c>
      <c r="H642" s="210" t="b">
        <f t="shared" si="7"/>
        <v>1</v>
      </c>
      <c r="I642" s="208" t="b">
        <f t="shared" ref="I642:J642" si="384">FALSE</f>
        <v>0</v>
      </c>
      <c r="J642" s="208" t="b">
        <f t="shared" si="384"/>
        <v>0</v>
      </c>
      <c r="K642" s="214">
        <v>468.0</v>
      </c>
      <c r="L642" s="212" t="str">
        <f t="shared" si="3"/>
        <v>n/a</v>
      </c>
      <c r="M642" s="212" t="str">
        <f t="shared" si="4"/>
        <v>n/a</v>
      </c>
      <c r="N642" s="207" t="str">
        <f t="shared" si="5"/>
        <v>n/a</v>
      </c>
      <c r="O642" s="207">
        <f t="shared" si="6"/>
        <v>0.002136752137</v>
      </c>
    </row>
    <row r="643" ht="15.75" customHeight="1">
      <c r="A643" s="207">
        <v>69.0</v>
      </c>
      <c r="B643" s="6" t="str">
        <f>VLOOKUP($A643, 'Completion rates'!$A:$E, 2, FALSE)</f>
        <v>Opening easy caskets</v>
      </c>
      <c r="C643" s="207">
        <v>2587.0</v>
      </c>
      <c r="D643" s="6" t="str">
        <f>VLOOKUP($C643, 'List of log slots'!$A:$E, 2, FALSE)</f>
        <v>Black full helm (t)</v>
      </c>
      <c r="E643" s="207">
        <f>VLOOKUP($C643, 'List of log slots'!$A:$E, 5, FALSE)</f>
        <v>3</v>
      </c>
      <c r="F643" s="209" t="b">
        <f>VLOOKUP(C643, 'List of log slots'!$A:$C, 3, FALSE)</f>
        <v>0</v>
      </c>
      <c r="G643" s="209" t="b">
        <f t="shared" si="377"/>
        <v>0</v>
      </c>
      <c r="H643" s="210" t="b">
        <f t="shared" si="7"/>
        <v>1</v>
      </c>
      <c r="I643" s="208" t="b">
        <f t="shared" ref="I643:J643" si="385">FALSE</f>
        <v>0</v>
      </c>
      <c r="J643" s="208" t="b">
        <f t="shared" si="385"/>
        <v>0</v>
      </c>
      <c r="K643" s="214">
        <v>468.0</v>
      </c>
      <c r="L643" s="212" t="str">
        <f t="shared" si="3"/>
        <v>n/a</v>
      </c>
      <c r="M643" s="212" t="str">
        <f t="shared" si="4"/>
        <v>n/a</v>
      </c>
      <c r="N643" s="207" t="str">
        <f t="shared" si="5"/>
        <v>n/a</v>
      </c>
      <c r="O643" s="207">
        <f t="shared" si="6"/>
        <v>0.002136752137</v>
      </c>
    </row>
    <row r="644" ht="15.75" customHeight="1">
      <c r="A644" s="207">
        <v>69.0</v>
      </c>
      <c r="B644" s="6" t="str">
        <f>VLOOKUP($A644, 'Completion rates'!$A:$E, 2, FALSE)</f>
        <v>Opening easy caskets</v>
      </c>
      <c r="C644" s="207">
        <v>2583.0</v>
      </c>
      <c r="D644" s="6" t="str">
        <f>VLOOKUP($C644, 'List of log slots'!$A:$E, 2, FALSE)</f>
        <v>Black platebody (t)</v>
      </c>
      <c r="E644" s="207">
        <f>VLOOKUP($C644, 'List of log slots'!$A:$E, 5, FALSE)</f>
        <v>3</v>
      </c>
      <c r="F644" s="209" t="b">
        <f>VLOOKUP(C644, 'List of log slots'!$A:$C, 3, FALSE)</f>
        <v>0</v>
      </c>
      <c r="G644" s="209" t="b">
        <f t="shared" si="377"/>
        <v>0</v>
      </c>
      <c r="H644" s="210" t="b">
        <f t="shared" si="7"/>
        <v>1</v>
      </c>
      <c r="I644" s="208" t="b">
        <f t="shared" ref="I644:J644" si="386">FALSE</f>
        <v>0</v>
      </c>
      <c r="J644" s="208" t="b">
        <f t="shared" si="386"/>
        <v>0</v>
      </c>
      <c r="K644" s="214">
        <v>468.0</v>
      </c>
      <c r="L644" s="212" t="str">
        <f t="shared" si="3"/>
        <v>n/a</v>
      </c>
      <c r="M644" s="212" t="str">
        <f t="shared" si="4"/>
        <v>n/a</v>
      </c>
      <c r="N644" s="207" t="str">
        <f t="shared" si="5"/>
        <v>n/a</v>
      </c>
      <c r="O644" s="207">
        <f t="shared" si="6"/>
        <v>0.002136752137</v>
      </c>
    </row>
    <row r="645" ht="15.75" customHeight="1">
      <c r="A645" s="207">
        <v>69.0</v>
      </c>
      <c r="B645" s="6" t="str">
        <f>VLOOKUP($A645, 'Completion rates'!$A:$E, 2, FALSE)</f>
        <v>Opening easy caskets</v>
      </c>
      <c r="C645" s="207">
        <v>2585.0</v>
      </c>
      <c r="D645" s="6" t="str">
        <f>VLOOKUP($C645, 'List of log slots'!$A:$E, 2, FALSE)</f>
        <v>Black platelegs (t)</v>
      </c>
      <c r="E645" s="207">
        <f>VLOOKUP($C645, 'List of log slots'!$A:$E, 5, FALSE)</f>
        <v>3</v>
      </c>
      <c r="F645" s="209" t="b">
        <f>VLOOKUP(C645, 'List of log slots'!$A:$C, 3, FALSE)</f>
        <v>0</v>
      </c>
      <c r="G645" s="209" t="b">
        <f t="shared" si="377"/>
        <v>0</v>
      </c>
      <c r="H645" s="210" t="b">
        <f t="shared" si="7"/>
        <v>1</v>
      </c>
      <c r="I645" s="208" t="b">
        <f t="shared" ref="I645:J645" si="387">FALSE</f>
        <v>0</v>
      </c>
      <c r="J645" s="208" t="b">
        <f t="shared" si="387"/>
        <v>0</v>
      </c>
      <c r="K645" s="214">
        <v>468.0</v>
      </c>
      <c r="L645" s="212" t="str">
        <f t="shared" si="3"/>
        <v>n/a</v>
      </c>
      <c r="M645" s="212" t="str">
        <f t="shared" si="4"/>
        <v>n/a</v>
      </c>
      <c r="N645" s="207" t="str">
        <f t="shared" si="5"/>
        <v>n/a</v>
      </c>
      <c r="O645" s="207">
        <f t="shared" si="6"/>
        <v>0.002136752137</v>
      </c>
    </row>
    <row r="646" ht="15.75" customHeight="1">
      <c r="A646" s="207">
        <v>69.0</v>
      </c>
      <c r="B646" s="6" t="str">
        <f>VLOOKUP($A646, 'Completion rates'!$A:$E, 2, FALSE)</f>
        <v>Opening easy caskets</v>
      </c>
      <c r="C646" s="207">
        <v>3472.0</v>
      </c>
      <c r="D646" s="6" t="str">
        <f>VLOOKUP($C646, 'List of log slots'!$A:$E, 2, FALSE)</f>
        <v>Black plateskirt (t)</v>
      </c>
      <c r="E646" s="207">
        <f>VLOOKUP($C646, 'List of log slots'!$A:$E, 5, FALSE)</f>
        <v>3</v>
      </c>
      <c r="F646" s="209" t="b">
        <f>VLOOKUP(C646, 'List of log slots'!$A:$C, 3, FALSE)</f>
        <v>0</v>
      </c>
      <c r="G646" s="209" t="b">
        <f t="shared" si="377"/>
        <v>0</v>
      </c>
      <c r="H646" s="210" t="b">
        <f t="shared" si="7"/>
        <v>1</v>
      </c>
      <c r="I646" s="208" t="b">
        <f t="shared" ref="I646:J646" si="388">FALSE</f>
        <v>0</v>
      </c>
      <c r="J646" s="208" t="b">
        <f t="shared" si="388"/>
        <v>0</v>
      </c>
      <c r="K646" s="214">
        <v>468.0</v>
      </c>
      <c r="L646" s="212" t="str">
        <f t="shared" si="3"/>
        <v>n/a</v>
      </c>
      <c r="M646" s="212" t="str">
        <f t="shared" si="4"/>
        <v>n/a</v>
      </c>
      <c r="N646" s="207" t="str">
        <f t="shared" si="5"/>
        <v>n/a</v>
      </c>
      <c r="O646" s="207">
        <f t="shared" si="6"/>
        <v>0.002136752137</v>
      </c>
    </row>
    <row r="647" ht="15.75" customHeight="1">
      <c r="A647" s="207">
        <v>69.0</v>
      </c>
      <c r="B647" s="6" t="str">
        <f>VLOOKUP($A647, 'Completion rates'!$A:$E, 2, FALSE)</f>
        <v>Opening easy caskets</v>
      </c>
      <c r="C647" s="207">
        <v>2589.0</v>
      </c>
      <c r="D647" s="6" t="str">
        <f>VLOOKUP($C647, 'List of log slots'!$A:$E, 2, FALSE)</f>
        <v>Black kiteshield (t)</v>
      </c>
      <c r="E647" s="207">
        <f>VLOOKUP($C647, 'List of log slots'!$A:$E, 5, FALSE)</f>
        <v>3</v>
      </c>
      <c r="F647" s="209" t="b">
        <f>VLOOKUP(C647, 'List of log slots'!$A:$C, 3, FALSE)</f>
        <v>0</v>
      </c>
      <c r="G647" s="209" t="b">
        <f t="shared" si="377"/>
        <v>0</v>
      </c>
      <c r="H647" s="210" t="b">
        <f t="shared" si="7"/>
        <v>1</v>
      </c>
      <c r="I647" s="208" t="b">
        <f t="shared" ref="I647:J647" si="389">FALSE</f>
        <v>0</v>
      </c>
      <c r="J647" s="208" t="b">
        <f t="shared" si="389"/>
        <v>0</v>
      </c>
      <c r="K647" s="214">
        <v>468.0</v>
      </c>
      <c r="L647" s="212" t="str">
        <f t="shared" si="3"/>
        <v>n/a</v>
      </c>
      <c r="M647" s="212" t="str">
        <f t="shared" si="4"/>
        <v>n/a</v>
      </c>
      <c r="N647" s="207" t="str">
        <f t="shared" si="5"/>
        <v>n/a</v>
      </c>
      <c r="O647" s="207">
        <f t="shared" si="6"/>
        <v>0.002136752137</v>
      </c>
    </row>
    <row r="648" ht="15.75" customHeight="1">
      <c r="A648" s="207">
        <v>69.0</v>
      </c>
      <c r="B648" s="6" t="str">
        <f>VLOOKUP($A648, 'Completion rates'!$A:$E, 2, FALSE)</f>
        <v>Opening easy caskets</v>
      </c>
      <c r="C648" s="207">
        <v>2595.0</v>
      </c>
      <c r="D648" s="6" t="str">
        <f>VLOOKUP($C648, 'List of log slots'!$A:$E, 2, FALSE)</f>
        <v>Black full helm (g)</v>
      </c>
      <c r="E648" s="207">
        <f>VLOOKUP($C648, 'List of log slots'!$A:$E, 5, FALSE)</f>
        <v>3</v>
      </c>
      <c r="F648" s="209" t="b">
        <f>VLOOKUP(C648, 'List of log slots'!$A:$C, 3, FALSE)</f>
        <v>0</v>
      </c>
      <c r="G648" s="209" t="b">
        <f t="shared" si="377"/>
        <v>0</v>
      </c>
      <c r="H648" s="210" t="b">
        <f t="shared" si="7"/>
        <v>1</v>
      </c>
      <c r="I648" s="208" t="b">
        <f t="shared" ref="I648:J648" si="390">FALSE</f>
        <v>0</v>
      </c>
      <c r="J648" s="208" t="b">
        <f t="shared" si="390"/>
        <v>0</v>
      </c>
      <c r="K648" s="214">
        <v>468.0</v>
      </c>
      <c r="L648" s="212" t="str">
        <f t="shared" si="3"/>
        <v>n/a</v>
      </c>
      <c r="M648" s="212" t="str">
        <f t="shared" si="4"/>
        <v>n/a</v>
      </c>
      <c r="N648" s="207" t="str">
        <f t="shared" si="5"/>
        <v>n/a</v>
      </c>
      <c r="O648" s="207">
        <f t="shared" si="6"/>
        <v>0.002136752137</v>
      </c>
    </row>
    <row r="649" ht="15.75" customHeight="1">
      <c r="A649" s="207">
        <v>69.0</v>
      </c>
      <c r="B649" s="6" t="str">
        <f>VLOOKUP($A649, 'Completion rates'!$A:$E, 2, FALSE)</f>
        <v>Opening easy caskets</v>
      </c>
      <c r="C649" s="207">
        <v>2591.0</v>
      </c>
      <c r="D649" s="6" t="str">
        <f>VLOOKUP($C649, 'List of log slots'!$A:$E, 2, FALSE)</f>
        <v>Black platebody (g)</v>
      </c>
      <c r="E649" s="207">
        <f>VLOOKUP($C649, 'List of log slots'!$A:$E, 5, FALSE)</f>
        <v>3</v>
      </c>
      <c r="F649" s="209" t="b">
        <f>VLOOKUP(C649, 'List of log slots'!$A:$C, 3, FALSE)</f>
        <v>0</v>
      </c>
      <c r="G649" s="209" t="b">
        <f t="shared" si="377"/>
        <v>0</v>
      </c>
      <c r="H649" s="210" t="b">
        <f t="shared" si="7"/>
        <v>1</v>
      </c>
      <c r="I649" s="208" t="b">
        <f t="shared" ref="I649:J649" si="391">FALSE</f>
        <v>0</v>
      </c>
      <c r="J649" s="208" t="b">
        <f t="shared" si="391"/>
        <v>0</v>
      </c>
      <c r="K649" s="214">
        <v>468.0</v>
      </c>
      <c r="L649" s="212" t="str">
        <f t="shared" si="3"/>
        <v>n/a</v>
      </c>
      <c r="M649" s="212" t="str">
        <f t="shared" si="4"/>
        <v>n/a</v>
      </c>
      <c r="N649" s="207" t="str">
        <f t="shared" si="5"/>
        <v>n/a</v>
      </c>
      <c r="O649" s="207">
        <f t="shared" si="6"/>
        <v>0.002136752137</v>
      </c>
    </row>
    <row r="650" ht="15.75" customHeight="1">
      <c r="A650" s="207">
        <v>69.0</v>
      </c>
      <c r="B650" s="6" t="str">
        <f>VLOOKUP($A650, 'Completion rates'!$A:$E, 2, FALSE)</f>
        <v>Opening easy caskets</v>
      </c>
      <c r="C650" s="207">
        <v>2593.0</v>
      </c>
      <c r="D650" s="6" t="str">
        <f>VLOOKUP($C650, 'List of log slots'!$A:$E, 2, FALSE)</f>
        <v>Black platelegs (g)</v>
      </c>
      <c r="E650" s="207">
        <f>VLOOKUP($C650, 'List of log slots'!$A:$E, 5, FALSE)</f>
        <v>3</v>
      </c>
      <c r="F650" s="209" t="b">
        <f>VLOOKUP(C650, 'List of log slots'!$A:$C, 3, FALSE)</f>
        <v>0</v>
      </c>
      <c r="G650" s="209" t="b">
        <f t="shared" si="377"/>
        <v>0</v>
      </c>
      <c r="H650" s="210" t="b">
        <f t="shared" si="7"/>
        <v>1</v>
      </c>
      <c r="I650" s="208" t="b">
        <f t="shared" ref="I650:J650" si="392">FALSE</f>
        <v>0</v>
      </c>
      <c r="J650" s="208" t="b">
        <f t="shared" si="392"/>
        <v>0</v>
      </c>
      <c r="K650" s="214">
        <v>468.0</v>
      </c>
      <c r="L650" s="212" t="str">
        <f t="shared" si="3"/>
        <v>n/a</v>
      </c>
      <c r="M650" s="212" t="str">
        <f t="shared" si="4"/>
        <v>n/a</v>
      </c>
      <c r="N650" s="207" t="str">
        <f t="shared" si="5"/>
        <v>n/a</v>
      </c>
      <c r="O650" s="207">
        <f t="shared" si="6"/>
        <v>0.002136752137</v>
      </c>
    </row>
    <row r="651" ht="15.75" customHeight="1">
      <c r="A651" s="207">
        <v>69.0</v>
      </c>
      <c r="B651" s="6" t="str">
        <f>VLOOKUP($A651, 'Completion rates'!$A:$E, 2, FALSE)</f>
        <v>Opening easy caskets</v>
      </c>
      <c r="C651" s="207">
        <v>3473.0</v>
      </c>
      <c r="D651" s="6" t="str">
        <f>VLOOKUP($C651, 'List of log slots'!$A:$E, 2, FALSE)</f>
        <v>Black plateskirt (g)</v>
      </c>
      <c r="E651" s="207">
        <f>VLOOKUP($C651, 'List of log slots'!$A:$E, 5, FALSE)</f>
        <v>3</v>
      </c>
      <c r="F651" s="209" t="b">
        <f>VLOOKUP(C651, 'List of log slots'!$A:$C, 3, FALSE)</f>
        <v>0</v>
      </c>
      <c r="G651" s="209" t="b">
        <f t="shared" si="377"/>
        <v>0</v>
      </c>
      <c r="H651" s="210" t="b">
        <f t="shared" si="7"/>
        <v>1</v>
      </c>
      <c r="I651" s="208" t="b">
        <f t="shared" ref="I651:J651" si="393">FALSE</f>
        <v>0</v>
      </c>
      <c r="J651" s="208" t="b">
        <f t="shared" si="393"/>
        <v>0</v>
      </c>
      <c r="K651" s="214">
        <v>468.0</v>
      </c>
      <c r="L651" s="212" t="str">
        <f t="shared" si="3"/>
        <v>n/a</v>
      </c>
      <c r="M651" s="212" t="str">
        <f t="shared" si="4"/>
        <v>n/a</v>
      </c>
      <c r="N651" s="207" t="str">
        <f t="shared" si="5"/>
        <v>n/a</v>
      </c>
      <c r="O651" s="207">
        <f t="shared" si="6"/>
        <v>0.002136752137</v>
      </c>
    </row>
    <row r="652" ht="15.75" customHeight="1">
      <c r="A652" s="207">
        <v>69.0</v>
      </c>
      <c r="B652" s="6" t="str">
        <f>VLOOKUP($A652, 'Completion rates'!$A:$E, 2, FALSE)</f>
        <v>Opening easy caskets</v>
      </c>
      <c r="C652" s="207">
        <v>2597.0</v>
      </c>
      <c r="D652" s="6" t="str">
        <f>VLOOKUP($C652, 'List of log slots'!$A:$E, 2, FALSE)</f>
        <v>Black kiteshield (g)</v>
      </c>
      <c r="E652" s="207">
        <f>VLOOKUP($C652, 'List of log slots'!$A:$E, 5, FALSE)</f>
        <v>3</v>
      </c>
      <c r="F652" s="209" t="b">
        <f>VLOOKUP(C652, 'List of log slots'!$A:$C, 3, FALSE)</f>
        <v>0</v>
      </c>
      <c r="G652" s="209" t="b">
        <f t="shared" si="377"/>
        <v>0</v>
      </c>
      <c r="H652" s="210" t="b">
        <f t="shared" si="7"/>
        <v>1</v>
      </c>
      <c r="I652" s="208" t="b">
        <f t="shared" ref="I652:J652" si="394">FALSE</f>
        <v>0</v>
      </c>
      <c r="J652" s="208" t="b">
        <f t="shared" si="394"/>
        <v>0</v>
      </c>
      <c r="K652" s="214">
        <v>468.0</v>
      </c>
      <c r="L652" s="212" t="str">
        <f t="shared" si="3"/>
        <v>n/a</v>
      </c>
      <c r="M652" s="212" t="str">
        <f t="shared" si="4"/>
        <v>n/a</v>
      </c>
      <c r="N652" s="207" t="str">
        <f t="shared" si="5"/>
        <v>n/a</v>
      </c>
      <c r="O652" s="207">
        <f t="shared" si="6"/>
        <v>0.002136752137</v>
      </c>
    </row>
    <row r="653" ht="15.75" customHeight="1">
      <c r="A653" s="207">
        <v>69.0</v>
      </c>
      <c r="B653" s="6" t="str">
        <f>VLOOKUP($A653, 'Completion rates'!$A:$E, 2, FALSE)</f>
        <v>Opening easy caskets</v>
      </c>
      <c r="C653" s="207">
        <v>7332.0</v>
      </c>
      <c r="D653" s="6" t="str">
        <f>VLOOKUP($C653, 'List of log slots'!$A:$E, 2, FALSE)</f>
        <v>Black shield (h1)</v>
      </c>
      <c r="E653" s="207">
        <f>VLOOKUP($C653, 'List of log slots'!$A:$E, 5, FALSE)</f>
        <v>3</v>
      </c>
      <c r="F653" s="209" t="b">
        <f>VLOOKUP(C653, 'List of log slots'!$A:$C, 3, FALSE)</f>
        <v>0</v>
      </c>
      <c r="G653" s="209" t="b">
        <f t="shared" si="377"/>
        <v>0</v>
      </c>
      <c r="H653" s="210" t="b">
        <f t="shared" si="7"/>
        <v>1</v>
      </c>
      <c r="I653" s="208" t="b">
        <f t="shared" ref="I653:J653" si="395">FALSE</f>
        <v>0</v>
      </c>
      <c r="J653" s="208" t="b">
        <f t="shared" si="395"/>
        <v>0</v>
      </c>
      <c r="K653" s="214">
        <v>468.0</v>
      </c>
      <c r="L653" s="212" t="str">
        <f t="shared" si="3"/>
        <v>n/a</v>
      </c>
      <c r="M653" s="212" t="str">
        <f t="shared" si="4"/>
        <v>n/a</v>
      </c>
      <c r="N653" s="207" t="str">
        <f t="shared" si="5"/>
        <v>n/a</v>
      </c>
      <c r="O653" s="207">
        <f t="shared" si="6"/>
        <v>0.002136752137</v>
      </c>
    </row>
    <row r="654" ht="15.75" customHeight="1">
      <c r="A654" s="207">
        <v>69.0</v>
      </c>
      <c r="B654" s="6" t="str">
        <f>VLOOKUP($A654, 'Completion rates'!$A:$E, 2, FALSE)</f>
        <v>Opening easy caskets</v>
      </c>
      <c r="C654" s="207">
        <v>7338.0</v>
      </c>
      <c r="D654" s="6" t="str">
        <f>VLOOKUP($C654, 'List of log slots'!$A:$E, 2, FALSE)</f>
        <v>Black shield (h2)</v>
      </c>
      <c r="E654" s="207">
        <f>VLOOKUP($C654, 'List of log slots'!$A:$E, 5, FALSE)</f>
        <v>3</v>
      </c>
      <c r="F654" s="209" t="b">
        <f>VLOOKUP(C654, 'List of log slots'!$A:$C, 3, FALSE)</f>
        <v>0</v>
      </c>
      <c r="G654" s="209" t="b">
        <f t="shared" si="377"/>
        <v>0</v>
      </c>
      <c r="H654" s="210" t="b">
        <f t="shared" si="7"/>
        <v>1</v>
      </c>
      <c r="I654" s="208" t="b">
        <f t="shared" ref="I654:J654" si="396">FALSE</f>
        <v>0</v>
      </c>
      <c r="J654" s="208" t="b">
        <f t="shared" si="396"/>
        <v>0</v>
      </c>
      <c r="K654" s="214">
        <v>468.0</v>
      </c>
      <c r="L654" s="212" t="str">
        <f t="shared" si="3"/>
        <v>n/a</v>
      </c>
      <c r="M654" s="212" t="str">
        <f t="shared" si="4"/>
        <v>n/a</v>
      </c>
      <c r="N654" s="207" t="str">
        <f t="shared" si="5"/>
        <v>n/a</v>
      </c>
      <c r="O654" s="207">
        <f t="shared" si="6"/>
        <v>0.002136752137</v>
      </c>
    </row>
    <row r="655" ht="15.75" customHeight="1">
      <c r="A655" s="207">
        <v>69.0</v>
      </c>
      <c r="B655" s="6" t="str">
        <f>VLOOKUP($A655, 'Completion rates'!$A:$E, 2, FALSE)</f>
        <v>Opening easy caskets</v>
      </c>
      <c r="C655" s="207">
        <v>7344.0</v>
      </c>
      <c r="D655" s="6" t="str">
        <f>VLOOKUP($C655, 'List of log slots'!$A:$E, 2, FALSE)</f>
        <v>Black shield (h3)</v>
      </c>
      <c r="E655" s="207">
        <f>VLOOKUP($C655, 'List of log slots'!$A:$E, 5, FALSE)</f>
        <v>3</v>
      </c>
      <c r="F655" s="209" t="b">
        <f>VLOOKUP(C655, 'List of log slots'!$A:$C, 3, FALSE)</f>
        <v>0</v>
      </c>
      <c r="G655" s="209" t="b">
        <f t="shared" si="377"/>
        <v>0</v>
      </c>
      <c r="H655" s="210" t="b">
        <f t="shared" si="7"/>
        <v>1</v>
      </c>
      <c r="I655" s="208" t="b">
        <f t="shared" ref="I655:J655" si="397">FALSE</f>
        <v>0</v>
      </c>
      <c r="J655" s="208" t="b">
        <f t="shared" si="397"/>
        <v>0</v>
      </c>
      <c r="K655" s="214">
        <v>468.0</v>
      </c>
      <c r="L655" s="212" t="str">
        <f t="shared" si="3"/>
        <v>n/a</v>
      </c>
      <c r="M655" s="212" t="str">
        <f t="shared" si="4"/>
        <v>n/a</v>
      </c>
      <c r="N655" s="207" t="str">
        <f t="shared" si="5"/>
        <v>n/a</v>
      </c>
      <c r="O655" s="207">
        <f t="shared" si="6"/>
        <v>0.002136752137</v>
      </c>
    </row>
    <row r="656" ht="15.75" customHeight="1">
      <c r="A656" s="207">
        <v>69.0</v>
      </c>
      <c r="B656" s="6" t="str">
        <f>VLOOKUP($A656, 'Completion rates'!$A:$E, 2, FALSE)</f>
        <v>Opening easy caskets</v>
      </c>
      <c r="C656" s="207">
        <v>7350.0</v>
      </c>
      <c r="D656" s="6" t="str">
        <f>VLOOKUP($C656, 'List of log slots'!$A:$E, 2, FALSE)</f>
        <v>Black shield (h4)</v>
      </c>
      <c r="E656" s="207">
        <f>VLOOKUP($C656, 'List of log slots'!$A:$E, 5, FALSE)</f>
        <v>3</v>
      </c>
      <c r="F656" s="209" t="b">
        <f>VLOOKUP(C656, 'List of log slots'!$A:$C, 3, FALSE)</f>
        <v>0</v>
      </c>
      <c r="G656" s="209" t="b">
        <f t="shared" si="377"/>
        <v>0</v>
      </c>
      <c r="H656" s="210" t="b">
        <f t="shared" si="7"/>
        <v>1</v>
      </c>
      <c r="I656" s="208" t="b">
        <f t="shared" ref="I656:J656" si="398">FALSE</f>
        <v>0</v>
      </c>
      <c r="J656" s="208" t="b">
        <f t="shared" si="398"/>
        <v>0</v>
      </c>
      <c r="K656" s="214">
        <v>468.0</v>
      </c>
      <c r="L656" s="212" t="str">
        <f t="shared" si="3"/>
        <v>n/a</v>
      </c>
      <c r="M656" s="212" t="str">
        <f t="shared" si="4"/>
        <v>n/a</v>
      </c>
      <c r="N656" s="207" t="str">
        <f t="shared" si="5"/>
        <v>n/a</v>
      </c>
      <c r="O656" s="207">
        <f t="shared" si="6"/>
        <v>0.002136752137</v>
      </c>
    </row>
    <row r="657" ht="15.75" customHeight="1">
      <c r="A657" s="207">
        <v>69.0</v>
      </c>
      <c r="B657" s="6" t="str">
        <f>VLOOKUP($A657, 'Completion rates'!$A:$E, 2, FALSE)</f>
        <v>Opening easy caskets</v>
      </c>
      <c r="C657" s="207">
        <v>7356.0</v>
      </c>
      <c r="D657" s="6" t="str">
        <f>VLOOKUP($C657, 'List of log slots'!$A:$E, 2, FALSE)</f>
        <v>Black shield (h5)</v>
      </c>
      <c r="E657" s="207">
        <f>VLOOKUP($C657, 'List of log slots'!$A:$E, 5, FALSE)</f>
        <v>3</v>
      </c>
      <c r="F657" s="209" t="b">
        <f>VLOOKUP(C657, 'List of log slots'!$A:$C, 3, FALSE)</f>
        <v>0</v>
      </c>
      <c r="G657" s="209" t="b">
        <f t="shared" si="377"/>
        <v>0</v>
      </c>
      <c r="H657" s="210" t="b">
        <f t="shared" si="7"/>
        <v>1</v>
      </c>
      <c r="I657" s="208" t="b">
        <f t="shared" ref="I657:J657" si="399">FALSE</f>
        <v>0</v>
      </c>
      <c r="J657" s="208" t="b">
        <f t="shared" si="399"/>
        <v>0</v>
      </c>
      <c r="K657" s="214">
        <v>468.0</v>
      </c>
      <c r="L657" s="212" t="str">
        <f t="shared" si="3"/>
        <v>n/a</v>
      </c>
      <c r="M657" s="212" t="str">
        <f t="shared" si="4"/>
        <v>n/a</v>
      </c>
      <c r="N657" s="207" t="str">
        <f t="shared" si="5"/>
        <v>n/a</v>
      </c>
      <c r="O657" s="207">
        <f t="shared" si="6"/>
        <v>0.002136752137</v>
      </c>
    </row>
    <row r="658" ht="15.75" customHeight="1">
      <c r="A658" s="207">
        <v>69.0</v>
      </c>
      <c r="B658" s="6" t="str">
        <f>VLOOKUP($A658, 'Completion rates'!$A:$E, 2, FALSE)</f>
        <v>Opening easy caskets</v>
      </c>
      <c r="C658" s="207">
        <v>10306.0</v>
      </c>
      <c r="D658" s="6" t="str">
        <f>VLOOKUP($C658, 'List of log slots'!$A:$E, 2, FALSE)</f>
        <v>Black helm (h1)</v>
      </c>
      <c r="E658" s="207">
        <f>VLOOKUP($C658, 'List of log slots'!$A:$E, 5, FALSE)</f>
        <v>3</v>
      </c>
      <c r="F658" s="209" t="b">
        <f>VLOOKUP(C658, 'List of log slots'!$A:$C, 3, FALSE)</f>
        <v>0</v>
      </c>
      <c r="G658" s="209" t="b">
        <f t="shared" si="377"/>
        <v>0</v>
      </c>
      <c r="H658" s="210" t="b">
        <f t="shared" si="7"/>
        <v>1</v>
      </c>
      <c r="I658" s="208" t="b">
        <f t="shared" ref="I658:J658" si="400">FALSE</f>
        <v>0</v>
      </c>
      <c r="J658" s="208" t="b">
        <f t="shared" si="400"/>
        <v>0</v>
      </c>
      <c r="K658" s="214">
        <v>468.0</v>
      </c>
      <c r="L658" s="212" t="str">
        <f t="shared" si="3"/>
        <v>n/a</v>
      </c>
      <c r="M658" s="212" t="str">
        <f t="shared" si="4"/>
        <v>n/a</v>
      </c>
      <c r="N658" s="207" t="str">
        <f t="shared" si="5"/>
        <v>n/a</v>
      </c>
      <c r="O658" s="207">
        <f t="shared" si="6"/>
        <v>0.002136752137</v>
      </c>
    </row>
    <row r="659" ht="15.75" customHeight="1">
      <c r="A659" s="207">
        <v>69.0</v>
      </c>
      <c r="B659" s="6" t="str">
        <f>VLOOKUP($A659, 'Completion rates'!$A:$E, 2, FALSE)</f>
        <v>Opening easy caskets</v>
      </c>
      <c r="C659" s="207">
        <v>10308.0</v>
      </c>
      <c r="D659" s="6" t="str">
        <f>VLOOKUP($C659, 'List of log slots'!$A:$E, 2, FALSE)</f>
        <v>Black helm (h2)</v>
      </c>
      <c r="E659" s="207">
        <f>VLOOKUP($C659, 'List of log slots'!$A:$E, 5, FALSE)</f>
        <v>3</v>
      </c>
      <c r="F659" s="209" t="b">
        <f>VLOOKUP(C659, 'List of log slots'!$A:$C, 3, FALSE)</f>
        <v>0</v>
      </c>
      <c r="G659" s="209" t="b">
        <f t="shared" si="377"/>
        <v>0</v>
      </c>
      <c r="H659" s="210" t="b">
        <f t="shared" si="7"/>
        <v>1</v>
      </c>
      <c r="I659" s="208" t="b">
        <f t="shared" ref="I659:J659" si="401">FALSE</f>
        <v>0</v>
      </c>
      <c r="J659" s="208" t="b">
        <f t="shared" si="401"/>
        <v>0</v>
      </c>
      <c r="K659" s="214">
        <v>468.0</v>
      </c>
      <c r="L659" s="212" t="str">
        <f t="shared" si="3"/>
        <v>n/a</v>
      </c>
      <c r="M659" s="212" t="str">
        <f t="shared" si="4"/>
        <v>n/a</v>
      </c>
      <c r="N659" s="207" t="str">
        <f t="shared" si="5"/>
        <v>n/a</v>
      </c>
      <c r="O659" s="207">
        <f t="shared" si="6"/>
        <v>0.002136752137</v>
      </c>
    </row>
    <row r="660" ht="15.75" customHeight="1">
      <c r="A660" s="207">
        <v>69.0</v>
      </c>
      <c r="B660" s="6" t="str">
        <f>VLOOKUP($A660, 'Completion rates'!$A:$E, 2, FALSE)</f>
        <v>Opening easy caskets</v>
      </c>
      <c r="C660" s="207">
        <v>10310.0</v>
      </c>
      <c r="D660" s="6" t="str">
        <f>VLOOKUP($C660, 'List of log slots'!$A:$E, 2, FALSE)</f>
        <v>Black helm (h3)</v>
      </c>
      <c r="E660" s="207">
        <f>VLOOKUP($C660, 'List of log slots'!$A:$E, 5, FALSE)</f>
        <v>3</v>
      </c>
      <c r="F660" s="209" t="b">
        <f>VLOOKUP(C660, 'List of log slots'!$A:$C, 3, FALSE)</f>
        <v>0</v>
      </c>
      <c r="G660" s="209" t="b">
        <f t="shared" si="377"/>
        <v>0</v>
      </c>
      <c r="H660" s="210" t="b">
        <f t="shared" si="7"/>
        <v>1</v>
      </c>
      <c r="I660" s="208" t="b">
        <f t="shared" ref="I660:J660" si="402">FALSE</f>
        <v>0</v>
      </c>
      <c r="J660" s="208" t="b">
        <f t="shared" si="402"/>
        <v>0</v>
      </c>
      <c r="K660" s="214">
        <v>468.0</v>
      </c>
      <c r="L660" s="212" t="str">
        <f t="shared" si="3"/>
        <v>n/a</v>
      </c>
      <c r="M660" s="212" t="str">
        <f t="shared" si="4"/>
        <v>n/a</v>
      </c>
      <c r="N660" s="207" t="str">
        <f t="shared" si="5"/>
        <v>n/a</v>
      </c>
      <c r="O660" s="207">
        <f t="shared" si="6"/>
        <v>0.002136752137</v>
      </c>
    </row>
    <row r="661" ht="15.75" customHeight="1">
      <c r="A661" s="207">
        <v>69.0</v>
      </c>
      <c r="B661" s="6" t="str">
        <f>VLOOKUP($A661, 'Completion rates'!$A:$E, 2, FALSE)</f>
        <v>Opening easy caskets</v>
      </c>
      <c r="C661" s="207">
        <v>10312.0</v>
      </c>
      <c r="D661" s="6" t="str">
        <f>VLOOKUP($C661, 'List of log slots'!$A:$E, 2, FALSE)</f>
        <v>Black helm (h4)</v>
      </c>
      <c r="E661" s="207">
        <f>VLOOKUP($C661, 'List of log slots'!$A:$E, 5, FALSE)</f>
        <v>3</v>
      </c>
      <c r="F661" s="210" t="b">
        <f>VLOOKUP(C661, 'List of log slots'!$A:$C, 3, FALSE)</f>
        <v>0</v>
      </c>
      <c r="G661" s="209" t="b">
        <f t="shared" si="377"/>
        <v>0</v>
      </c>
      <c r="H661" s="209" t="b">
        <f t="shared" si="7"/>
        <v>1</v>
      </c>
      <c r="I661" s="208" t="b">
        <f t="shared" ref="I661:J661" si="403">FALSE</f>
        <v>0</v>
      </c>
      <c r="J661" s="208" t="b">
        <f t="shared" si="403"/>
        <v>0</v>
      </c>
      <c r="K661" s="214">
        <v>468.0</v>
      </c>
      <c r="L661" s="212" t="str">
        <f t="shared" si="3"/>
        <v>n/a</v>
      </c>
      <c r="M661" s="212" t="str">
        <f t="shared" si="4"/>
        <v>n/a</v>
      </c>
      <c r="N661" s="207" t="str">
        <f t="shared" si="5"/>
        <v>n/a</v>
      </c>
      <c r="O661" s="207">
        <f t="shared" si="6"/>
        <v>0.002136752137</v>
      </c>
    </row>
    <row r="662" ht="15.75" customHeight="1">
      <c r="A662" s="207">
        <v>69.0</v>
      </c>
      <c r="B662" s="6" t="str">
        <f>VLOOKUP($A662, 'Completion rates'!$A:$E, 2, FALSE)</f>
        <v>Opening easy caskets</v>
      </c>
      <c r="C662" s="207">
        <v>10314.0</v>
      </c>
      <c r="D662" s="6" t="str">
        <f>VLOOKUP($C662, 'List of log slots'!$A:$E, 2, FALSE)</f>
        <v>Black helm (h5)</v>
      </c>
      <c r="E662" s="207">
        <f>VLOOKUP($C662, 'List of log slots'!$A:$E, 5, FALSE)</f>
        <v>3</v>
      </c>
      <c r="F662" s="209" t="b">
        <f>VLOOKUP(C662, 'List of log slots'!$A:$C, 3, FALSE)</f>
        <v>0</v>
      </c>
      <c r="G662" s="209" t="b">
        <f t="shared" si="377"/>
        <v>0</v>
      </c>
      <c r="H662" s="210" t="b">
        <f t="shared" si="7"/>
        <v>1</v>
      </c>
      <c r="I662" s="208" t="b">
        <f t="shared" ref="I662:J662" si="404">FALSE</f>
        <v>0</v>
      </c>
      <c r="J662" s="208" t="b">
        <f t="shared" si="404"/>
        <v>0</v>
      </c>
      <c r="K662" s="214">
        <v>468.0</v>
      </c>
      <c r="L662" s="212" t="str">
        <f t="shared" si="3"/>
        <v>n/a</v>
      </c>
      <c r="M662" s="212" t="str">
        <f t="shared" si="4"/>
        <v>n/a</v>
      </c>
      <c r="N662" s="207" t="str">
        <f t="shared" si="5"/>
        <v>n/a</v>
      </c>
      <c r="O662" s="207">
        <f t="shared" si="6"/>
        <v>0.002136752137</v>
      </c>
    </row>
    <row r="663" ht="15.75" customHeight="1">
      <c r="A663" s="207">
        <v>69.0</v>
      </c>
      <c r="B663" s="6" t="str">
        <f>VLOOKUP($A663, 'Completion rates'!$A:$E, 2, FALSE)</f>
        <v>Opening easy caskets</v>
      </c>
      <c r="C663" s="207">
        <v>23366.0</v>
      </c>
      <c r="D663" s="6" t="str">
        <f>VLOOKUP($C663, 'List of log slots'!$A:$E, 2, FALSE)</f>
        <v>Black platebody (h1)</v>
      </c>
      <c r="E663" s="207">
        <f>VLOOKUP($C663, 'List of log slots'!$A:$E, 5, FALSE)</f>
        <v>3</v>
      </c>
      <c r="F663" s="209" t="b">
        <f>VLOOKUP(C663, 'List of log slots'!$A:$C, 3, FALSE)</f>
        <v>0</v>
      </c>
      <c r="G663" s="209" t="b">
        <f t="shared" si="377"/>
        <v>0</v>
      </c>
      <c r="H663" s="210" t="b">
        <f t="shared" si="7"/>
        <v>1</v>
      </c>
      <c r="I663" s="208" t="b">
        <f t="shared" ref="I663:J663" si="405">FALSE</f>
        <v>0</v>
      </c>
      <c r="J663" s="208" t="b">
        <f t="shared" si="405"/>
        <v>0</v>
      </c>
      <c r="K663" s="214">
        <v>468.0</v>
      </c>
      <c r="L663" s="212" t="str">
        <f t="shared" si="3"/>
        <v>n/a</v>
      </c>
      <c r="M663" s="212" t="str">
        <f t="shared" si="4"/>
        <v>n/a</v>
      </c>
      <c r="N663" s="207" t="str">
        <f t="shared" si="5"/>
        <v>n/a</v>
      </c>
      <c r="O663" s="207">
        <f t="shared" si="6"/>
        <v>0.002136752137</v>
      </c>
    </row>
    <row r="664" ht="15.75" customHeight="1">
      <c r="A664" s="207">
        <v>69.0</v>
      </c>
      <c r="B664" s="6" t="str">
        <f>VLOOKUP($A664, 'Completion rates'!$A:$E, 2, FALSE)</f>
        <v>Opening easy caskets</v>
      </c>
      <c r="C664" s="207">
        <v>23369.0</v>
      </c>
      <c r="D664" s="6" t="str">
        <f>VLOOKUP($C664, 'List of log slots'!$A:$E, 2, FALSE)</f>
        <v>Black platebody (h2)</v>
      </c>
      <c r="E664" s="207">
        <f>VLOOKUP($C664, 'List of log slots'!$A:$E, 5, FALSE)</f>
        <v>3</v>
      </c>
      <c r="F664" s="209" t="b">
        <f>VLOOKUP(C664, 'List of log slots'!$A:$C, 3, FALSE)</f>
        <v>0</v>
      </c>
      <c r="G664" s="209" t="b">
        <f t="shared" si="377"/>
        <v>0</v>
      </c>
      <c r="H664" s="210" t="b">
        <f t="shared" si="7"/>
        <v>1</v>
      </c>
      <c r="I664" s="208" t="b">
        <f t="shared" ref="I664:J664" si="406">FALSE</f>
        <v>0</v>
      </c>
      <c r="J664" s="208" t="b">
        <f t="shared" si="406"/>
        <v>0</v>
      </c>
      <c r="K664" s="214">
        <v>468.0</v>
      </c>
      <c r="L664" s="212" t="str">
        <f t="shared" si="3"/>
        <v>n/a</v>
      </c>
      <c r="M664" s="212" t="str">
        <f t="shared" si="4"/>
        <v>n/a</v>
      </c>
      <c r="N664" s="207" t="str">
        <f t="shared" si="5"/>
        <v>n/a</v>
      </c>
      <c r="O664" s="207">
        <f t="shared" si="6"/>
        <v>0.002136752137</v>
      </c>
    </row>
    <row r="665" ht="15.75" customHeight="1">
      <c r="A665" s="207">
        <v>69.0</v>
      </c>
      <c r="B665" s="6" t="str">
        <f>VLOOKUP($A665, 'Completion rates'!$A:$E, 2, FALSE)</f>
        <v>Opening easy caskets</v>
      </c>
      <c r="C665" s="207">
        <v>23372.0</v>
      </c>
      <c r="D665" s="6" t="str">
        <f>VLOOKUP($C665, 'List of log slots'!$A:$E, 2, FALSE)</f>
        <v>Black platebody (h3)</v>
      </c>
      <c r="E665" s="207">
        <f>VLOOKUP($C665, 'List of log slots'!$A:$E, 5, FALSE)</f>
        <v>3</v>
      </c>
      <c r="F665" s="209" t="b">
        <f>VLOOKUP(C665, 'List of log slots'!$A:$C, 3, FALSE)</f>
        <v>0</v>
      </c>
      <c r="G665" s="209" t="b">
        <f t="shared" si="377"/>
        <v>0</v>
      </c>
      <c r="H665" s="210" t="b">
        <f t="shared" si="7"/>
        <v>1</v>
      </c>
      <c r="I665" s="208" t="b">
        <f t="shared" ref="I665:J665" si="407">FALSE</f>
        <v>0</v>
      </c>
      <c r="J665" s="208" t="b">
        <f t="shared" si="407"/>
        <v>0</v>
      </c>
      <c r="K665" s="214">
        <v>468.0</v>
      </c>
      <c r="L665" s="212" t="str">
        <f t="shared" si="3"/>
        <v>n/a</v>
      </c>
      <c r="M665" s="212" t="str">
        <f t="shared" si="4"/>
        <v>n/a</v>
      </c>
      <c r="N665" s="207" t="str">
        <f t="shared" si="5"/>
        <v>n/a</v>
      </c>
      <c r="O665" s="207">
        <f t="shared" si="6"/>
        <v>0.002136752137</v>
      </c>
    </row>
    <row r="666" ht="15.75" customHeight="1">
      <c r="A666" s="207">
        <v>69.0</v>
      </c>
      <c r="B666" s="6" t="str">
        <f>VLOOKUP($A666, 'Completion rates'!$A:$E, 2, FALSE)</f>
        <v>Opening easy caskets</v>
      </c>
      <c r="C666" s="207">
        <v>23375.0</v>
      </c>
      <c r="D666" s="6" t="str">
        <f>VLOOKUP($C666, 'List of log slots'!$A:$E, 2, FALSE)</f>
        <v>Black platebody (h4)</v>
      </c>
      <c r="E666" s="207">
        <f>VLOOKUP($C666, 'List of log slots'!$A:$E, 5, FALSE)</f>
        <v>3</v>
      </c>
      <c r="F666" s="210" t="b">
        <f>VLOOKUP(C666, 'List of log slots'!$A:$C, 3, FALSE)</f>
        <v>0</v>
      </c>
      <c r="G666" s="209" t="b">
        <f t="shared" si="377"/>
        <v>0</v>
      </c>
      <c r="H666" s="209" t="b">
        <f t="shared" si="7"/>
        <v>1</v>
      </c>
      <c r="I666" s="208" t="b">
        <f t="shared" ref="I666:J666" si="408">FALSE</f>
        <v>0</v>
      </c>
      <c r="J666" s="208" t="b">
        <f t="shared" si="408"/>
        <v>0</v>
      </c>
      <c r="K666" s="214">
        <v>468.0</v>
      </c>
      <c r="L666" s="212" t="str">
        <f t="shared" si="3"/>
        <v>n/a</v>
      </c>
      <c r="M666" s="212" t="str">
        <f t="shared" si="4"/>
        <v>n/a</v>
      </c>
      <c r="N666" s="207" t="str">
        <f t="shared" si="5"/>
        <v>n/a</v>
      </c>
      <c r="O666" s="207">
        <f t="shared" si="6"/>
        <v>0.002136752137</v>
      </c>
    </row>
    <row r="667" ht="15.75" customHeight="1">
      <c r="A667" s="207">
        <v>69.0</v>
      </c>
      <c r="B667" s="6" t="str">
        <f>VLOOKUP($A667, 'Completion rates'!$A:$E, 2, FALSE)</f>
        <v>Opening easy caskets</v>
      </c>
      <c r="C667" s="207">
        <v>23378.0</v>
      </c>
      <c r="D667" s="6" t="str">
        <f>VLOOKUP($C667, 'List of log slots'!$A:$E, 2, FALSE)</f>
        <v>Black platebody (h5)</v>
      </c>
      <c r="E667" s="207">
        <f>VLOOKUP($C667, 'List of log slots'!$A:$E, 5, FALSE)</f>
        <v>3</v>
      </c>
      <c r="F667" s="209" t="b">
        <f>VLOOKUP(C667, 'List of log slots'!$A:$C, 3, FALSE)</f>
        <v>0</v>
      </c>
      <c r="G667" s="209" t="b">
        <f t="shared" si="377"/>
        <v>0</v>
      </c>
      <c r="H667" s="210" t="b">
        <f t="shared" si="7"/>
        <v>1</v>
      </c>
      <c r="I667" s="208" t="b">
        <f t="shared" ref="I667:J667" si="409">FALSE</f>
        <v>0</v>
      </c>
      <c r="J667" s="208" t="b">
        <f t="shared" si="409"/>
        <v>0</v>
      </c>
      <c r="K667" s="214">
        <v>468.0</v>
      </c>
      <c r="L667" s="212" t="str">
        <f t="shared" si="3"/>
        <v>n/a</v>
      </c>
      <c r="M667" s="212" t="str">
        <f t="shared" si="4"/>
        <v>n/a</v>
      </c>
      <c r="N667" s="207" t="str">
        <f t="shared" si="5"/>
        <v>n/a</v>
      </c>
      <c r="O667" s="207">
        <f t="shared" si="6"/>
        <v>0.002136752137</v>
      </c>
    </row>
    <row r="668" ht="15.75" customHeight="1">
      <c r="A668" s="207">
        <v>69.0</v>
      </c>
      <c r="B668" s="6" t="str">
        <f>VLOOKUP($A668, 'Completion rates'!$A:$E, 2, FALSE)</f>
        <v>Opening easy caskets</v>
      </c>
      <c r="C668" s="207">
        <v>20193.0</v>
      </c>
      <c r="D668" s="6" t="str">
        <f>VLOOKUP($C668, 'List of log slots'!$A:$E, 2, FALSE)</f>
        <v>Steel full helm (t)</v>
      </c>
      <c r="E668" s="207">
        <f>VLOOKUP($C668, 'List of log slots'!$A:$E, 5, FALSE)</f>
        <v>3</v>
      </c>
      <c r="F668" s="209" t="b">
        <f>VLOOKUP(C668, 'List of log slots'!$A:$C, 3, FALSE)</f>
        <v>0</v>
      </c>
      <c r="G668" s="209" t="b">
        <f t="shared" si="377"/>
        <v>0</v>
      </c>
      <c r="H668" s="210" t="b">
        <f t="shared" si="7"/>
        <v>1</v>
      </c>
      <c r="I668" s="208" t="b">
        <f t="shared" ref="I668:J668" si="410">FALSE</f>
        <v>0</v>
      </c>
      <c r="J668" s="208" t="b">
        <f t="shared" si="410"/>
        <v>0</v>
      </c>
      <c r="K668" s="214">
        <v>468.0</v>
      </c>
      <c r="L668" s="212" t="str">
        <f t="shared" si="3"/>
        <v>n/a</v>
      </c>
      <c r="M668" s="212" t="str">
        <f t="shared" si="4"/>
        <v>n/a</v>
      </c>
      <c r="N668" s="207" t="str">
        <f t="shared" si="5"/>
        <v>n/a</v>
      </c>
      <c r="O668" s="207">
        <f t="shared" si="6"/>
        <v>0.002136752137</v>
      </c>
    </row>
    <row r="669" ht="15.75" customHeight="1">
      <c r="A669" s="207">
        <v>69.0</v>
      </c>
      <c r="B669" s="6" t="str">
        <f>VLOOKUP($A669, 'Completion rates'!$A:$E, 2, FALSE)</f>
        <v>Opening easy caskets</v>
      </c>
      <c r="C669" s="207">
        <v>20184.0</v>
      </c>
      <c r="D669" s="6" t="str">
        <f>VLOOKUP($C669, 'List of log slots'!$A:$E, 2, FALSE)</f>
        <v>Steel platebody (t)</v>
      </c>
      <c r="E669" s="207">
        <f>VLOOKUP($C669, 'List of log slots'!$A:$E, 5, FALSE)</f>
        <v>3</v>
      </c>
      <c r="F669" s="209" t="b">
        <f>VLOOKUP(C669, 'List of log slots'!$A:$C, 3, FALSE)</f>
        <v>0</v>
      </c>
      <c r="G669" s="209" t="b">
        <f t="shared" si="377"/>
        <v>0</v>
      </c>
      <c r="H669" s="210" t="b">
        <f t="shared" si="7"/>
        <v>1</v>
      </c>
      <c r="I669" s="208" t="b">
        <f t="shared" ref="I669:J669" si="411">FALSE</f>
        <v>0</v>
      </c>
      <c r="J669" s="208" t="b">
        <f t="shared" si="411"/>
        <v>0</v>
      </c>
      <c r="K669" s="214">
        <v>468.0</v>
      </c>
      <c r="L669" s="212" t="str">
        <f t="shared" si="3"/>
        <v>n/a</v>
      </c>
      <c r="M669" s="212" t="str">
        <f t="shared" si="4"/>
        <v>n/a</v>
      </c>
      <c r="N669" s="207" t="str">
        <f t="shared" si="5"/>
        <v>n/a</v>
      </c>
      <c r="O669" s="207">
        <f t="shared" si="6"/>
        <v>0.002136752137</v>
      </c>
    </row>
    <row r="670" ht="15.75" customHeight="1">
      <c r="A670" s="207">
        <v>69.0</v>
      </c>
      <c r="B670" s="6" t="str">
        <f>VLOOKUP($A670, 'Completion rates'!$A:$E, 2, FALSE)</f>
        <v>Opening easy caskets</v>
      </c>
      <c r="C670" s="207">
        <v>20187.0</v>
      </c>
      <c r="D670" s="6" t="str">
        <f>VLOOKUP($C670, 'List of log slots'!$A:$E, 2, FALSE)</f>
        <v>Steel platelegs (t)</v>
      </c>
      <c r="E670" s="207">
        <f>VLOOKUP($C670, 'List of log slots'!$A:$E, 5, FALSE)</f>
        <v>3</v>
      </c>
      <c r="F670" s="208" t="b">
        <f>VLOOKUP(C670, 'List of log slots'!$A:$C, 3, FALSE)</f>
        <v>0</v>
      </c>
      <c r="G670" s="209" t="b">
        <f t="shared" si="377"/>
        <v>0</v>
      </c>
      <c r="H670" s="210" t="b">
        <f t="shared" si="7"/>
        <v>1</v>
      </c>
      <c r="I670" s="208" t="b">
        <f t="shared" ref="I670:J670" si="412">FALSE</f>
        <v>0</v>
      </c>
      <c r="J670" s="208" t="b">
        <f t="shared" si="412"/>
        <v>0</v>
      </c>
      <c r="K670" s="214">
        <v>468.0</v>
      </c>
      <c r="L670" s="212" t="str">
        <f t="shared" si="3"/>
        <v>n/a</v>
      </c>
      <c r="M670" s="212" t="str">
        <f t="shared" si="4"/>
        <v>n/a</v>
      </c>
      <c r="N670" s="207" t="str">
        <f t="shared" si="5"/>
        <v>n/a</v>
      </c>
      <c r="O670" s="207">
        <f t="shared" si="6"/>
        <v>0.002136752137</v>
      </c>
    </row>
    <row r="671" ht="15.75" customHeight="1">
      <c r="A671" s="207">
        <v>69.0</v>
      </c>
      <c r="B671" s="6" t="str">
        <f>VLOOKUP($A671, 'Completion rates'!$A:$E, 2, FALSE)</f>
        <v>Opening easy caskets</v>
      </c>
      <c r="C671" s="207">
        <v>20190.0</v>
      </c>
      <c r="D671" s="6" t="str">
        <f>VLOOKUP($C671, 'List of log slots'!$A:$E, 2, FALSE)</f>
        <v>Steel plateskirt (t)</v>
      </c>
      <c r="E671" s="207">
        <f>VLOOKUP($C671, 'List of log slots'!$A:$E, 5, FALSE)</f>
        <v>3</v>
      </c>
      <c r="F671" s="208" t="b">
        <f>VLOOKUP(C671, 'List of log slots'!$A:$C, 3, FALSE)</f>
        <v>0</v>
      </c>
      <c r="G671" s="209" t="b">
        <f t="shared" si="377"/>
        <v>0</v>
      </c>
      <c r="H671" s="210" t="b">
        <f t="shared" si="7"/>
        <v>1</v>
      </c>
      <c r="I671" s="208" t="b">
        <f t="shared" ref="I671:J671" si="413">FALSE</f>
        <v>0</v>
      </c>
      <c r="J671" s="208" t="b">
        <f t="shared" si="413"/>
        <v>0</v>
      </c>
      <c r="K671" s="214">
        <v>468.0</v>
      </c>
      <c r="L671" s="212" t="str">
        <f t="shared" si="3"/>
        <v>n/a</v>
      </c>
      <c r="M671" s="212" t="str">
        <f t="shared" si="4"/>
        <v>n/a</v>
      </c>
      <c r="N671" s="207" t="str">
        <f t="shared" si="5"/>
        <v>n/a</v>
      </c>
      <c r="O671" s="207">
        <f t="shared" si="6"/>
        <v>0.002136752137</v>
      </c>
    </row>
    <row r="672" ht="15.75" customHeight="1">
      <c r="A672" s="207">
        <v>69.0</v>
      </c>
      <c r="B672" s="6" t="str">
        <f>VLOOKUP($A672, 'Completion rates'!$A:$E, 2, FALSE)</f>
        <v>Opening easy caskets</v>
      </c>
      <c r="C672" s="207">
        <v>20196.0</v>
      </c>
      <c r="D672" s="6" t="str">
        <f>VLOOKUP($C672, 'List of log slots'!$A:$E, 2, FALSE)</f>
        <v>Steel kiteshield (t)</v>
      </c>
      <c r="E672" s="207">
        <f>VLOOKUP($C672, 'List of log slots'!$A:$E, 5, FALSE)</f>
        <v>3</v>
      </c>
      <c r="F672" s="209" t="b">
        <f>VLOOKUP(C672, 'List of log slots'!$A:$C, 3, FALSE)</f>
        <v>0</v>
      </c>
      <c r="G672" s="209" t="b">
        <f t="shared" si="377"/>
        <v>0</v>
      </c>
      <c r="H672" s="210" t="b">
        <f t="shared" si="7"/>
        <v>1</v>
      </c>
      <c r="I672" s="208" t="b">
        <f t="shared" ref="I672:J672" si="414">FALSE</f>
        <v>0</v>
      </c>
      <c r="J672" s="208" t="b">
        <f t="shared" si="414"/>
        <v>0</v>
      </c>
      <c r="K672" s="214">
        <v>468.0</v>
      </c>
      <c r="L672" s="212" t="str">
        <f t="shared" si="3"/>
        <v>n/a</v>
      </c>
      <c r="M672" s="212" t="str">
        <f t="shared" si="4"/>
        <v>n/a</v>
      </c>
      <c r="N672" s="207" t="str">
        <f t="shared" si="5"/>
        <v>n/a</v>
      </c>
      <c r="O672" s="207">
        <f t="shared" si="6"/>
        <v>0.002136752137</v>
      </c>
    </row>
    <row r="673" ht="15.75" customHeight="1">
      <c r="A673" s="207">
        <v>69.0</v>
      </c>
      <c r="B673" s="6" t="str">
        <f>VLOOKUP($A673, 'Completion rates'!$A:$E, 2, FALSE)</f>
        <v>Opening easy caskets</v>
      </c>
      <c r="C673" s="207">
        <v>20178.0</v>
      </c>
      <c r="D673" s="6" t="str">
        <f>VLOOKUP($C673, 'List of log slots'!$A:$E, 2, FALSE)</f>
        <v>Steel full helm (g)</v>
      </c>
      <c r="E673" s="207">
        <f>VLOOKUP($C673, 'List of log slots'!$A:$E, 5, FALSE)</f>
        <v>3</v>
      </c>
      <c r="F673" s="209" t="b">
        <f>VLOOKUP(C673, 'List of log slots'!$A:$C, 3, FALSE)</f>
        <v>0</v>
      </c>
      <c r="G673" s="209" t="b">
        <f t="shared" si="377"/>
        <v>0</v>
      </c>
      <c r="H673" s="210" t="b">
        <f t="shared" si="7"/>
        <v>1</v>
      </c>
      <c r="I673" s="208" t="b">
        <f t="shared" ref="I673:J673" si="415">FALSE</f>
        <v>0</v>
      </c>
      <c r="J673" s="208" t="b">
        <f t="shared" si="415"/>
        <v>0</v>
      </c>
      <c r="K673" s="214">
        <v>468.0</v>
      </c>
      <c r="L673" s="212" t="str">
        <f t="shared" si="3"/>
        <v>n/a</v>
      </c>
      <c r="M673" s="212" t="str">
        <f t="shared" si="4"/>
        <v>n/a</v>
      </c>
      <c r="N673" s="207" t="str">
        <f t="shared" si="5"/>
        <v>n/a</v>
      </c>
      <c r="O673" s="207">
        <f t="shared" si="6"/>
        <v>0.002136752137</v>
      </c>
    </row>
    <row r="674" ht="15.75" customHeight="1">
      <c r="A674" s="207">
        <v>69.0</v>
      </c>
      <c r="B674" s="6" t="str">
        <f>VLOOKUP($A674, 'Completion rates'!$A:$E, 2, FALSE)</f>
        <v>Opening easy caskets</v>
      </c>
      <c r="C674" s="207">
        <v>20169.0</v>
      </c>
      <c r="D674" s="6" t="str">
        <f>VLOOKUP($C674, 'List of log slots'!$A:$E, 2, FALSE)</f>
        <v>Steel platebody (g)</v>
      </c>
      <c r="E674" s="207">
        <f>VLOOKUP($C674, 'List of log slots'!$A:$E, 5, FALSE)</f>
        <v>3</v>
      </c>
      <c r="F674" s="210" t="b">
        <f>VLOOKUP(C674, 'List of log slots'!$A:$C, 3, FALSE)</f>
        <v>0</v>
      </c>
      <c r="G674" s="209" t="b">
        <f t="shared" si="377"/>
        <v>0</v>
      </c>
      <c r="H674" s="209" t="b">
        <f t="shared" si="7"/>
        <v>1</v>
      </c>
      <c r="I674" s="208" t="b">
        <f t="shared" ref="I674:J674" si="416">FALSE</f>
        <v>0</v>
      </c>
      <c r="J674" s="208" t="b">
        <f t="shared" si="416"/>
        <v>0</v>
      </c>
      <c r="K674" s="214">
        <v>468.0</v>
      </c>
      <c r="L674" s="212" t="str">
        <f t="shared" si="3"/>
        <v>n/a</v>
      </c>
      <c r="M674" s="212" t="str">
        <f t="shared" si="4"/>
        <v>n/a</v>
      </c>
      <c r="N674" s="207" t="str">
        <f t="shared" si="5"/>
        <v>n/a</v>
      </c>
      <c r="O674" s="207">
        <f t="shared" si="6"/>
        <v>0.002136752137</v>
      </c>
    </row>
    <row r="675" ht="15.75" customHeight="1">
      <c r="A675" s="207">
        <v>69.0</v>
      </c>
      <c r="B675" s="6" t="str">
        <f>VLOOKUP($A675, 'Completion rates'!$A:$E, 2, FALSE)</f>
        <v>Opening easy caskets</v>
      </c>
      <c r="C675" s="207">
        <v>20172.0</v>
      </c>
      <c r="D675" s="6" t="str">
        <f>VLOOKUP($C675, 'List of log slots'!$A:$E, 2, FALSE)</f>
        <v>Steel platelegs (g)</v>
      </c>
      <c r="E675" s="207">
        <f>VLOOKUP($C675, 'List of log slots'!$A:$E, 5, FALSE)</f>
        <v>3</v>
      </c>
      <c r="F675" s="209" t="b">
        <f>VLOOKUP(C675, 'List of log slots'!$A:$C, 3, FALSE)</f>
        <v>0</v>
      </c>
      <c r="G675" s="209" t="b">
        <f t="shared" si="377"/>
        <v>0</v>
      </c>
      <c r="H675" s="210" t="b">
        <f t="shared" si="7"/>
        <v>1</v>
      </c>
      <c r="I675" s="208" t="b">
        <f t="shared" ref="I675:J675" si="417">FALSE</f>
        <v>0</v>
      </c>
      <c r="J675" s="208" t="b">
        <f t="shared" si="417"/>
        <v>0</v>
      </c>
      <c r="K675" s="214">
        <v>468.0</v>
      </c>
      <c r="L675" s="212" t="str">
        <f t="shared" si="3"/>
        <v>n/a</v>
      </c>
      <c r="M675" s="212" t="str">
        <f t="shared" si="4"/>
        <v>n/a</v>
      </c>
      <c r="N675" s="207" t="str">
        <f t="shared" si="5"/>
        <v>n/a</v>
      </c>
      <c r="O675" s="207">
        <f t="shared" si="6"/>
        <v>0.002136752137</v>
      </c>
    </row>
    <row r="676" ht="15.75" customHeight="1">
      <c r="A676" s="207">
        <v>69.0</v>
      </c>
      <c r="B676" s="6" t="str">
        <f>VLOOKUP($A676, 'Completion rates'!$A:$E, 2, FALSE)</f>
        <v>Opening easy caskets</v>
      </c>
      <c r="C676" s="207">
        <v>20175.0</v>
      </c>
      <c r="D676" s="6" t="str">
        <f>VLOOKUP($C676, 'List of log slots'!$A:$E, 2, FALSE)</f>
        <v>Steel plateskirt (g)</v>
      </c>
      <c r="E676" s="207">
        <f>VLOOKUP($C676, 'List of log slots'!$A:$E, 5, FALSE)</f>
        <v>3</v>
      </c>
      <c r="F676" s="209" t="b">
        <f>VLOOKUP(C676, 'List of log slots'!$A:$C, 3, FALSE)</f>
        <v>0</v>
      </c>
      <c r="G676" s="209" t="b">
        <f t="shared" si="377"/>
        <v>0</v>
      </c>
      <c r="H676" s="210" t="b">
        <f t="shared" si="7"/>
        <v>1</v>
      </c>
      <c r="I676" s="208" t="b">
        <f t="shared" ref="I676:J676" si="418">FALSE</f>
        <v>0</v>
      </c>
      <c r="J676" s="208" t="b">
        <f t="shared" si="418"/>
        <v>0</v>
      </c>
      <c r="K676" s="214">
        <v>468.0</v>
      </c>
      <c r="L676" s="212" t="str">
        <f t="shared" si="3"/>
        <v>n/a</v>
      </c>
      <c r="M676" s="212" t="str">
        <f t="shared" si="4"/>
        <v>n/a</v>
      </c>
      <c r="N676" s="207" t="str">
        <f t="shared" si="5"/>
        <v>n/a</v>
      </c>
      <c r="O676" s="207">
        <f t="shared" si="6"/>
        <v>0.002136752137</v>
      </c>
    </row>
    <row r="677" ht="15.75" customHeight="1">
      <c r="A677" s="207">
        <v>69.0</v>
      </c>
      <c r="B677" s="6" t="str">
        <f>VLOOKUP($A677, 'Completion rates'!$A:$E, 2, FALSE)</f>
        <v>Opening easy caskets</v>
      </c>
      <c r="C677" s="207">
        <v>20181.0</v>
      </c>
      <c r="D677" s="6" t="str">
        <f>VLOOKUP($C677, 'List of log slots'!$A:$E, 2, FALSE)</f>
        <v>Steel kiteshield (g)</v>
      </c>
      <c r="E677" s="207">
        <f>VLOOKUP($C677, 'List of log slots'!$A:$E, 5, FALSE)</f>
        <v>3</v>
      </c>
      <c r="F677" s="209" t="b">
        <f>VLOOKUP(C677, 'List of log slots'!$A:$C, 3, FALSE)</f>
        <v>0</v>
      </c>
      <c r="G677" s="209" t="b">
        <f t="shared" si="377"/>
        <v>0</v>
      </c>
      <c r="H677" s="210" t="b">
        <f t="shared" si="7"/>
        <v>1</v>
      </c>
      <c r="I677" s="208" t="b">
        <f t="shared" ref="I677:J677" si="419">FALSE</f>
        <v>0</v>
      </c>
      <c r="J677" s="208" t="b">
        <f t="shared" si="419"/>
        <v>0</v>
      </c>
      <c r="K677" s="214">
        <v>468.0</v>
      </c>
      <c r="L677" s="212" t="str">
        <f t="shared" si="3"/>
        <v>n/a</v>
      </c>
      <c r="M677" s="212" t="str">
        <f t="shared" si="4"/>
        <v>n/a</v>
      </c>
      <c r="N677" s="207" t="str">
        <f t="shared" si="5"/>
        <v>n/a</v>
      </c>
      <c r="O677" s="207">
        <f t="shared" si="6"/>
        <v>0.002136752137</v>
      </c>
    </row>
    <row r="678" ht="15.75" customHeight="1">
      <c r="A678" s="207">
        <v>69.0</v>
      </c>
      <c r="B678" s="6" t="str">
        <f>VLOOKUP($A678, 'Completion rates'!$A:$E, 2, FALSE)</f>
        <v>Opening easy caskets</v>
      </c>
      <c r="C678" s="207">
        <v>12225.0</v>
      </c>
      <c r="D678" s="6" t="str">
        <f>VLOOKUP($C678, 'List of log slots'!$A:$E, 2, FALSE)</f>
        <v>Iron full helm (t)</v>
      </c>
      <c r="E678" s="207">
        <f>VLOOKUP($C678, 'List of log slots'!$A:$E, 5, FALSE)</f>
        <v>3</v>
      </c>
      <c r="F678" s="209" t="b">
        <f>VLOOKUP(C678, 'List of log slots'!$A:$C, 3, FALSE)</f>
        <v>0</v>
      </c>
      <c r="G678" s="209" t="b">
        <f t="shared" si="377"/>
        <v>0</v>
      </c>
      <c r="H678" s="210" t="b">
        <f t="shared" si="7"/>
        <v>1</v>
      </c>
      <c r="I678" s="208" t="b">
        <f t="shared" ref="I678:J678" si="420">FALSE</f>
        <v>0</v>
      </c>
      <c r="J678" s="208" t="b">
        <f t="shared" si="420"/>
        <v>0</v>
      </c>
      <c r="K678" s="214">
        <v>468.0</v>
      </c>
      <c r="L678" s="212" t="str">
        <f t="shared" si="3"/>
        <v>n/a</v>
      </c>
      <c r="M678" s="212" t="str">
        <f t="shared" si="4"/>
        <v>n/a</v>
      </c>
      <c r="N678" s="207" t="str">
        <f t="shared" si="5"/>
        <v>n/a</v>
      </c>
      <c r="O678" s="207">
        <f t="shared" si="6"/>
        <v>0.002136752137</v>
      </c>
    </row>
    <row r="679" ht="15.75" customHeight="1">
      <c r="A679" s="207">
        <v>69.0</v>
      </c>
      <c r="B679" s="6" t="str">
        <f>VLOOKUP($A679, 'Completion rates'!$A:$E, 2, FALSE)</f>
        <v>Opening easy caskets</v>
      </c>
      <c r="C679" s="207">
        <v>12227.0</v>
      </c>
      <c r="D679" s="6" t="str">
        <f>VLOOKUP($C679, 'List of log slots'!$A:$E, 2, FALSE)</f>
        <v>Iron platebody (t)</v>
      </c>
      <c r="E679" s="207">
        <f>VLOOKUP($C679, 'List of log slots'!$A:$E, 5, FALSE)</f>
        <v>3</v>
      </c>
      <c r="F679" s="210" t="b">
        <f>VLOOKUP(C679, 'List of log slots'!$A:$C, 3, FALSE)</f>
        <v>0</v>
      </c>
      <c r="G679" s="209" t="b">
        <f t="shared" si="377"/>
        <v>0</v>
      </c>
      <c r="H679" s="209" t="b">
        <f t="shared" si="7"/>
        <v>1</v>
      </c>
      <c r="I679" s="208" t="b">
        <f t="shared" ref="I679:J679" si="421">FALSE</f>
        <v>0</v>
      </c>
      <c r="J679" s="208" t="b">
        <f t="shared" si="421"/>
        <v>0</v>
      </c>
      <c r="K679" s="214">
        <v>468.0</v>
      </c>
      <c r="L679" s="212" t="str">
        <f t="shared" si="3"/>
        <v>n/a</v>
      </c>
      <c r="M679" s="212" t="str">
        <f t="shared" si="4"/>
        <v>n/a</v>
      </c>
      <c r="N679" s="207" t="str">
        <f t="shared" si="5"/>
        <v>n/a</v>
      </c>
      <c r="O679" s="207">
        <f t="shared" si="6"/>
        <v>0.002136752137</v>
      </c>
    </row>
    <row r="680" ht="15.75" customHeight="1">
      <c r="A680" s="207">
        <v>69.0</v>
      </c>
      <c r="B680" s="6" t="str">
        <f>VLOOKUP($A680, 'Completion rates'!$A:$E, 2, FALSE)</f>
        <v>Opening easy caskets</v>
      </c>
      <c r="C680" s="207">
        <v>12229.0</v>
      </c>
      <c r="D680" s="6" t="str">
        <f>VLOOKUP($C680, 'List of log slots'!$A:$E, 2, FALSE)</f>
        <v>Iron platelegs (t)</v>
      </c>
      <c r="E680" s="207">
        <f>VLOOKUP($C680, 'List of log slots'!$A:$E, 5, FALSE)</f>
        <v>3</v>
      </c>
      <c r="F680" s="210" t="b">
        <f>VLOOKUP(C680, 'List of log slots'!$A:$C, 3, FALSE)</f>
        <v>0</v>
      </c>
      <c r="G680" s="209" t="b">
        <f t="shared" si="377"/>
        <v>0</v>
      </c>
      <c r="H680" s="209" t="b">
        <f t="shared" si="7"/>
        <v>1</v>
      </c>
      <c r="I680" s="208" t="b">
        <f t="shared" ref="I680:J680" si="422">FALSE</f>
        <v>0</v>
      </c>
      <c r="J680" s="208" t="b">
        <f t="shared" si="422"/>
        <v>0</v>
      </c>
      <c r="K680" s="214">
        <v>468.0</v>
      </c>
      <c r="L680" s="212" t="str">
        <f t="shared" si="3"/>
        <v>n/a</v>
      </c>
      <c r="M680" s="212" t="str">
        <f t="shared" si="4"/>
        <v>n/a</v>
      </c>
      <c r="N680" s="207" t="str">
        <f t="shared" si="5"/>
        <v>n/a</v>
      </c>
      <c r="O680" s="207">
        <f t="shared" si="6"/>
        <v>0.002136752137</v>
      </c>
    </row>
    <row r="681" ht="15.75" customHeight="1">
      <c r="A681" s="207">
        <v>69.0</v>
      </c>
      <c r="B681" s="6" t="str">
        <f>VLOOKUP($A681, 'Completion rates'!$A:$E, 2, FALSE)</f>
        <v>Opening easy caskets</v>
      </c>
      <c r="C681" s="207">
        <v>12233.0</v>
      </c>
      <c r="D681" s="6" t="str">
        <f>VLOOKUP($C681, 'List of log slots'!$A:$E, 2, FALSE)</f>
        <v>Iron plateskirt (t)</v>
      </c>
      <c r="E681" s="207">
        <f>VLOOKUP($C681, 'List of log slots'!$A:$E, 5, FALSE)</f>
        <v>3</v>
      </c>
      <c r="F681" s="209" t="b">
        <f>VLOOKUP(C681, 'List of log slots'!$A:$C, 3, FALSE)</f>
        <v>0</v>
      </c>
      <c r="G681" s="209" t="b">
        <f t="shared" si="377"/>
        <v>0</v>
      </c>
      <c r="H681" s="210" t="b">
        <f t="shared" si="7"/>
        <v>1</v>
      </c>
      <c r="I681" s="208" t="b">
        <f t="shared" ref="I681:J681" si="423">FALSE</f>
        <v>0</v>
      </c>
      <c r="J681" s="208" t="b">
        <f t="shared" si="423"/>
        <v>0</v>
      </c>
      <c r="K681" s="214">
        <v>468.0</v>
      </c>
      <c r="L681" s="212" t="str">
        <f t="shared" si="3"/>
        <v>n/a</v>
      </c>
      <c r="M681" s="212" t="str">
        <f t="shared" si="4"/>
        <v>n/a</v>
      </c>
      <c r="N681" s="207" t="str">
        <f t="shared" si="5"/>
        <v>n/a</v>
      </c>
      <c r="O681" s="207">
        <f t="shared" si="6"/>
        <v>0.002136752137</v>
      </c>
    </row>
    <row r="682" ht="15.75" customHeight="1">
      <c r="A682" s="207">
        <v>69.0</v>
      </c>
      <c r="B682" s="6" t="str">
        <f>VLOOKUP($A682, 'Completion rates'!$A:$E, 2, FALSE)</f>
        <v>Opening easy caskets</v>
      </c>
      <c r="C682" s="207">
        <v>12231.0</v>
      </c>
      <c r="D682" s="6" t="str">
        <f>VLOOKUP($C682, 'List of log slots'!$A:$E, 2, FALSE)</f>
        <v>Iron kiteshield (t)</v>
      </c>
      <c r="E682" s="207">
        <f>VLOOKUP($C682, 'List of log slots'!$A:$E, 5, FALSE)</f>
        <v>3</v>
      </c>
      <c r="F682" s="209" t="b">
        <f>VLOOKUP(C682, 'List of log slots'!$A:$C, 3, FALSE)</f>
        <v>0</v>
      </c>
      <c r="G682" s="209" t="b">
        <f t="shared" si="377"/>
        <v>0</v>
      </c>
      <c r="H682" s="210" t="b">
        <f t="shared" si="7"/>
        <v>1</v>
      </c>
      <c r="I682" s="208" t="b">
        <f t="shared" ref="I682:J682" si="424">FALSE</f>
        <v>0</v>
      </c>
      <c r="J682" s="208" t="b">
        <f t="shared" si="424"/>
        <v>0</v>
      </c>
      <c r="K682" s="214">
        <v>468.0</v>
      </c>
      <c r="L682" s="212" t="str">
        <f t="shared" si="3"/>
        <v>n/a</v>
      </c>
      <c r="M682" s="212" t="str">
        <f t="shared" si="4"/>
        <v>n/a</v>
      </c>
      <c r="N682" s="207" t="str">
        <f t="shared" si="5"/>
        <v>n/a</v>
      </c>
      <c r="O682" s="207">
        <f t="shared" si="6"/>
        <v>0.002136752137</v>
      </c>
    </row>
    <row r="683" ht="15.75" customHeight="1">
      <c r="A683" s="207">
        <v>69.0</v>
      </c>
      <c r="B683" s="6" t="str">
        <f>VLOOKUP($A683, 'Completion rates'!$A:$E, 2, FALSE)</f>
        <v>Opening easy caskets</v>
      </c>
      <c r="C683" s="207">
        <v>12235.0</v>
      </c>
      <c r="D683" s="6" t="str">
        <f>VLOOKUP($C683, 'List of log slots'!$A:$E, 2, FALSE)</f>
        <v>Iron full helm (g)</v>
      </c>
      <c r="E683" s="207">
        <f>VLOOKUP($C683, 'List of log slots'!$A:$E, 5, FALSE)</f>
        <v>3</v>
      </c>
      <c r="F683" s="209" t="b">
        <f>VLOOKUP(C683, 'List of log slots'!$A:$C, 3, FALSE)</f>
        <v>0</v>
      </c>
      <c r="G683" s="209" t="b">
        <f t="shared" si="377"/>
        <v>0</v>
      </c>
      <c r="H683" s="210" t="b">
        <f t="shared" si="7"/>
        <v>1</v>
      </c>
      <c r="I683" s="208" t="b">
        <f t="shared" ref="I683:J683" si="425">FALSE</f>
        <v>0</v>
      </c>
      <c r="J683" s="208" t="b">
        <f t="shared" si="425"/>
        <v>0</v>
      </c>
      <c r="K683" s="214">
        <v>468.0</v>
      </c>
      <c r="L683" s="212" t="str">
        <f t="shared" si="3"/>
        <v>n/a</v>
      </c>
      <c r="M683" s="212" t="str">
        <f t="shared" si="4"/>
        <v>n/a</v>
      </c>
      <c r="N683" s="207" t="str">
        <f t="shared" si="5"/>
        <v>n/a</v>
      </c>
      <c r="O683" s="207">
        <f t="shared" si="6"/>
        <v>0.002136752137</v>
      </c>
    </row>
    <row r="684" ht="15.75" customHeight="1">
      <c r="A684" s="207">
        <v>69.0</v>
      </c>
      <c r="B684" s="6" t="str">
        <f>VLOOKUP($A684, 'Completion rates'!$A:$E, 2, FALSE)</f>
        <v>Opening easy caskets</v>
      </c>
      <c r="C684" s="207">
        <v>12237.0</v>
      </c>
      <c r="D684" s="6" t="str">
        <f>VLOOKUP($C684, 'List of log slots'!$A:$E, 2, FALSE)</f>
        <v>Iron platebody (g)</v>
      </c>
      <c r="E684" s="207">
        <f>VLOOKUP($C684, 'List of log slots'!$A:$E, 5, FALSE)</f>
        <v>3</v>
      </c>
      <c r="F684" s="210" t="b">
        <f>VLOOKUP(C684, 'List of log slots'!$A:$C, 3, FALSE)</f>
        <v>0</v>
      </c>
      <c r="G684" s="209" t="b">
        <f t="shared" si="377"/>
        <v>0</v>
      </c>
      <c r="H684" s="209" t="b">
        <f t="shared" si="7"/>
        <v>1</v>
      </c>
      <c r="I684" s="208" t="b">
        <f t="shared" ref="I684:J684" si="426">FALSE</f>
        <v>0</v>
      </c>
      <c r="J684" s="208" t="b">
        <f t="shared" si="426"/>
        <v>0</v>
      </c>
      <c r="K684" s="214">
        <v>468.0</v>
      </c>
      <c r="L684" s="212" t="str">
        <f t="shared" si="3"/>
        <v>n/a</v>
      </c>
      <c r="M684" s="212" t="str">
        <f t="shared" si="4"/>
        <v>n/a</v>
      </c>
      <c r="N684" s="207" t="str">
        <f t="shared" si="5"/>
        <v>n/a</v>
      </c>
      <c r="O684" s="207">
        <f t="shared" si="6"/>
        <v>0.002136752137</v>
      </c>
    </row>
    <row r="685" ht="15.75" customHeight="1">
      <c r="A685" s="207">
        <v>69.0</v>
      </c>
      <c r="B685" s="6" t="str">
        <f>VLOOKUP($A685, 'Completion rates'!$A:$E, 2, FALSE)</f>
        <v>Opening easy caskets</v>
      </c>
      <c r="C685" s="207">
        <v>12239.0</v>
      </c>
      <c r="D685" s="6" t="str">
        <f>VLOOKUP($C685, 'List of log slots'!$A:$E, 2, FALSE)</f>
        <v>Iron platelegs (g)</v>
      </c>
      <c r="E685" s="207">
        <f>VLOOKUP($C685, 'List of log slots'!$A:$E, 5, FALSE)</f>
        <v>3</v>
      </c>
      <c r="F685" s="209" t="b">
        <f>VLOOKUP(C685, 'List of log slots'!$A:$C, 3, FALSE)</f>
        <v>0</v>
      </c>
      <c r="G685" s="209" t="b">
        <f t="shared" si="377"/>
        <v>0</v>
      </c>
      <c r="H685" s="210" t="b">
        <f t="shared" si="7"/>
        <v>1</v>
      </c>
      <c r="I685" s="208" t="b">
        <f t="shared" ref="I685:J685" si="427">FALSE</f>
        <v>0</v>
      </c>
      <c r="J685" s="208" t="b">
        <f t="shared" si="427"/>
        <v>0</v>
      </c>
      <c r="K685" s="214">
        <v>468.0</v>
      </c>
      <c r="L685" s="212" t="str">
        <f t="shared" si="3"/>
        <v>n/a</v>
      </c>
      <c r="M685" s="212" t="str">
        <f t="shared" si="4"/>
        <v>n/a</v>
      </c>
      <c r="N685" s="207" t="str">
        <f t="shared" si="5"/>
        <v>n/a</v>
      </c>
      <c r="O685" s="207">
        <f t="shared" si="6"/>
        <v>0.002136752137</v>
      </c>
    </row>
    <row r="686" ht="15.75" customHeight="1">
      <c r="A686" s="207">
        <v>69.0</v>
      </c>
      <c r="B686" s="6" t="str">
        <f>VLOOKUP($A686, 'Completion rates'!$A:$E, 2, FALSE)</f>
        <v>Opening easy caskets</v>
      </c>
      <c r="C686" s="207">
        <v>12243.0</v>
      </c>
      <c r="D686" s="6" t="str">
        <f>VLOOKUP($C686, 'List of log slots'!$A:$E, 2, FALSE)</f>
        <v>Iron plateskirt (g)</v>
      </c>
      <c r="E686" s="207">
        <f>VLOOKUP($C686, 'List of log slots'!$A:$E, 5, FALSE)</f>
        <v>3</v>
      </c>
      <c r="F686" s="210" t="b">
        <f>VLOOKUP(C686, 'List of log slots'!$A:$C, 3, FALSE)</f>
        <v>0</v>
      </c>
      <c r="G686" s="209" t="b">
        <f t="shared" si="377"/>
        <v>0</v>
      </c>
      <c r="H686" s="209" t="b">
        <f t="shared" si="7"/>
        <v>1</v>
      </c>
      <c r="I686" s="208" t="b">
        <f t="shared" ref="I686:J686" si="428">FALSE</f>
        <v>0</v>
      </c>
      <c r="J686" s="208" t="b">
        <f t="shared" si="428"/>
        <v>0</v>
      </c>
      <c r="K686" s="214">
        <v>468.0</v>
      </c>
      <c r="L686" s="212" t="str">
        <f t="shared" si="3"/>
        <v>n/a</v>
      </c>
      <c r="M686" s="212" t="str">
        <f t="shared" si="4"/>
        <v>n/a</v>
      </c>
      <c r="N686" s="207" t="str">
        <f t="shared" si="5"/>
        <v>n/a</v>
      </c>
      <c r="O686" s="207">
        <f t="shared" si="6"/>
        <v>0.002136752137</v>
      </c>
    </row>
    <row r="687" ht="15.75" customHeight="1">
      <c r="A687" s="207">
        <v>69.0</v>
      </c>
      <c r="B687" s="6" t="str">
        <f>VLOOKUP($A687, 'Completion rates'!$A:$E, 2, FALSE)</f>
        <v>Opening easy caskets</v>
      </c>
      <c r="C687" s="207">
        <v>12241.0</v>
      </c>
      <c r="D687" s="6" t="str">
        <f>VLOOKUP($C687, 'List of log slots'!$A:$E, 2, FALSE)</f>
        <v>Iron kiteshield (g)</v>
      </c>
      <c r="E687" s="207">
        <f>VLOOKUP($C687, 'List of log slots'!$A:$E, 5, FALSE)</f>
        <v>3</v>
      </c>
      <c r="F687" s="209" t="b">
        <f>VLOOKUP(C687, 'List of log slots'!$A:$C, 3, FALSE)</f>
        <v>0</v>
      </c>
      <c r="G687" s="209" t="b">
        <f t="shared" si="377"/>
        <v>0</v>
      </c>
      <c r="H687" s="210" t="b">
        <f t="shared" si="7"/>
        <v>1</v>
      </c>
      <c r="I687" s="208" t="b">
        <f t="shared" ref="I687:J687" si="429">FALSE</f>
        <v>0</v>
      </c>
      <c r="J687" s="208" t="b">
        <f t="shared" si="429"/>
        <v>0</v>
      </c>
      <c r="K687" s="214">
        <v>468.0</v>
      </c>
      <c r="L687" s="212" t="str">
        <f t="shared" si="3"/>
        <v>n/a</v>
      </c>
      <c r="M687" s="212" t="str">
        <f t="shared" si="4"/>
        <v>n/a</v>
      </c>
      <c r="N687" s="207" t="str">
        <f t="shared" si="5"/>
        <v>n/a</v>
      </c>
      <c r="O687" s="207">
        <f t="shared" si="6"/>
        <v>0.002136752137</v>
      </c>
    </row>
    <row r="688" ht="15.75" customHeight="1">
      <c r="A688" s="207">
        <v>69.0</v>
      </c>
      <c r="B688" s="6" t="str">
        <f>VLOOKUP($A688, 'Completion rates'!$A:$E, 2, FALSE)</f>
        <v>Opening easy caskets</v>
      </c>
      <c r="C688" s="207">
        <v>12215.0</v>
      </c>
      <c r="D688" s="6" t="str">
        <f>VLOOKUP($C688, 'List of log slots'!$A:$E, 2, FALSE)</f>
        <v>Bronze full helm (t)</v>
      </c>
      <c r="E688" s="207">
        <f>VLOOKUP($C688, 'List of log slots'!$A:$E, 5, FALSE)</f>
        <v>3</v>
      </c>
      <c r="F688" s="209" t="b">
        <f>VLOOKUP(C688, 'List of log slots'!$A:$C, 3, FALSE)</f>
        <v>0</v>
      </c>
      <c r="G688" s="209" t="b">
        <f t="shared" si="377"/>
        <v>0</v>
      </c>
      <c r="H688" s="210" t="b">
        <f t="shared" si="7"/>
        <v>1</v>
      </c>
      <c r="I688" s="208" t="b">
        <f t="shared" ref="I688:J688" si="430">FALSE</f>
        <v>0</v>
      </c>
      <c r="J688" s="208" t="b">
        <f t="shared" si="430"/>
        <v>0</v>
      </c>
      <c r="K688" s="214">
        <v>468.0</v>
      </c>
      <c r="L688" s="212" t="str">
        <f t="shared" si="3"/>
        <v>n/a</v>
      </c>
      <c r="M688" s="212" t="str">
        <f t="shared" si="4"/>
        <v>n/a</v>
      </c>
      <c r="N688" s="207" t="str">
        <f t="shared" si="5"/>
        <v>n/a</v>
      </c>
      <c r="O688" s="207">
        <f t="shared" si="6"/>
        <v>0.002136752137</v>
      </c>
    </row>
    <row r="689" ht="15.75" customHeight="1">
      <c r="A689" s="207">
        <v>69.0</v>
      </c>
      <c r="B689" s="6" t="str">
        <f>VLOOKUP($A689, 'Completion rates'!$A:$E, 2, FALSE)</f>
        <v>Opening easy caskets</v>
      </c>
      <c r="C689" s="207">
        <v>12217.0</v>
      </c>
      <c r="D689" s="6" t="str">
        <f>VLOOKUP($C689, 'List of log slots'!$A:$E, 2, FALSE)</f>
        <v>Bronze platebody (t)</v>
      </c>
      <c r="E689" s="207">
        <f>VLOOKUP($C689, 'List of log slots'!$A:$E, 5, FALSE)</f>
        <v>3</v>
      </c>
      <c r="F689" s="209" t="b">
        <f>VLOOKUP(C689, 'List of log slots'!$A:$C, 3, FALSE)</f>
        <v>0</v>
      </c>
      <c r="G689" s="209" t="b">
        <f t="shared" si="377"/>
        <v>0</v>
      </c>
      <c r="H689" s="210" t="b">
        <f t="shared" si="7"/>
        <v>1</v>
      </c>
      <c r="I689" s="208" t="b">
        <f t="shared" ref="I689:J689" si="431">FALSE</f>
        <v>0</v>
      </c>
      <c r="J689" s="208" t="b">
        <f t="shared" si="431"/>
        <v>0</v>
      </c>
      <c r="K689" s="214">
        <v>468.0</v>
      </c>
      <c r="L689" s="212" t="str">
        <f t="shared" si="3"/>
        <v>n/a</v>
      </c>
      <c r="M689" s="212" t="str">
        <f t="shared" si="4"/>
        <v>n/a</v>
      </c>
      <c r="N689" s="207" t="str">
        <f t="shared" si="5"/>
        <v>n/a</v>
      </c>
      <c r="O689" s="207">
        <f t="shared" si="6"/>
        <v>0.002136752137</v>
      </c>
    </row>
    <row r="690" ht="15.75" customHeight="1">
      <c r="A690" s="207">
        <v>69.0</v>
      </c>
      <c r="B690" s="6" t="str">
        <f>VLOOKUP($A690, 'Completion rates'!$A:$E, 2, FALSE)</f>
        <v>Opening easy caskets</v>
      </c>
      <c r="C690" s="207">
        <v>12219.0</v>
      </c>
      <c r="D690" s="6" t="str">
        <f>VLOOKUP($C690, 'List of log slots'!$A:$E, 2, FALSE)</f>
        <v>Bronze platelegs (t)</v>
      </c>
      <c r="E690" s="207">
        <f>VLOOKUP($C690, 'List of log slots'!$A:$E, 5, FALSE)</f>
        <v>3</v>
      </c>
      <c r="F690" s="209" t="b">
        <f>VLOOKUP(C690, 'List of log slots'!$A:$C, 3, FALSE)</f>
        <v>0</v>
      </c>
      <c r="G690" s="209" t="b">
        <f t="shared" si="377"/>
        <v>0</v>
      </c>
      <c r="H690" s="210" t="b">
        <f t="shared" si="7"/>
        <v>1</v>
      </c>
      <c r="I690" s="208" t="b">
        <f t="shared" ref="I690:J690" si="432">FALSE</f>
        <v>0</v>
      </c>
      <c r="J690" s="208" t="b">
        <f t="shared" si="432"/>
        <v>0</v>
      </c>
      <c r="K690" s="214">
        <v>468.0</v>
      </c>
      <c r="L690" s="212" t="str">
        <f t="shared" si="3"/>
        <v>n/a</v>
      </c>
      <c r="M690" s="212" t="str">
        <f t="shared" si="4"/>
        <v>n/a</v>
      </c>
      <c r="N690" s="207" t="str">
        <f t="shared" si="5"/>
        <v>n/a</v>
      </c>
      <c r="O690" s="207">
        <f t="shared" si="6"/>
        <v>0.002136752137</v>
      </c>
    </row>
    <row r="691" ht="15.75" customHeight="1">
      <c r="A691" s="207">
        <v>69.0</v>
      </c>
      <c r="B691" s="6" t="str">
        <f>VLOOKUP($A691, 'Completion rates'!$A:$E, 2, FALSE)</f>
        <v>Opening easy caskets</v>
      </c>
      <c r="C691" s="207">
        <v>12223.0</v>
      </c>
      <c r="D691" s="6" t="str">
        <f>VLOOKUP($C691, 'List of log slots'!$A:$E, 2, FALSE)</f>
        <v>Bronze plateskirt (t)</v>
      </c>
      <c r="E691" s="207">
        <f>VLOOKUP($C691, 'List of log slots'!$A:$E, 5, FALSE)</f>
        <v>3</v>
      </c>
      <c r="F691" s="209" t="b">
        <f>VLOOKUP(C691, 'List of log slots'!$A:$C, 3, FALSE)</f>
        <v>0</v>
      </c>
      <c r="G691" s="209" t="b">
        <f t="shared" si="377"/>
        <v>0</v>
      </c>
      <c r="H691" s="210" t="b">
        <f t="shared" si="7"/>
        <v>1</v>
      </c>
      <c r="I691" s="208" t="b">
        <f t="shared" ref="I691:J691" si="433">FALSE</f>
        <v>0</v>
      </c>
      <c r="J691" s="208" t="b">
        <f t="shared" si="433"/>
        <v>0</v>
      </c>
      <c r="K691" s="214">
        <v>468.0</v>
      </c>
      <c r="L691" s="212" t="str">
        <f t="shared" si="3"/>
        <v>n/a</v>
      </c>
      <c r="M691" s="212" t="str">
        <f t="shared" si="4"/>
        <v>n/a</v>
      </c>
      <c r="N691" s="207" t="str">
        <f t="shared" si="5"/>
        <v>n/a</v>
      </c>
      <c r="O691" s="207">
        <f t="shared" si="6"/>
        <v>0.002136752137</v>
      </c>
    </row>
    <row r="692" ht="15.75" customHeight="1">
      <c r="A692" s="207">
        <v>69.0</v>
      </c>
      <c r="B692" s="6" t="str">
        <f>VLOOKUP($A692, 'Completion rates'!$A:$E, 2, FALSE)</f>
        <v>Opening easy caskets</v>
      </c>
      <c r="C692" s="207">
        <v>12221.0</v>
      </c>
      <c r="D692" s="6" t="str">
        <f>VLOOKUP($C692, 'List of log slots'!$A:$E, 2, FALSE)</f>
        <v>Bronze kiteshield (t)</v>
      </c>
      <c r="E692" s="207">
        <f>VLOOKUP($C692, 'List of log slots'!$A:$E, 5, FALSE)</f>
        <v>3</v>
      </c>
      <c r="F692" s="209" t="b">
        <f>VLOOKUP(C692, 'List of log slots'!$A:$C, 3, FALSE)</f>
        <v>0</v>
      </c>
      <c r="G692" s="209" t="b">
        <f t="shared" si="377"/>
        <v>0</v>
      </c>
      <c r="H692" s="210" t="b">
        <f t="shared" si="7"/>
        <v>1</v>
      </c>
      <c r="I692" s="208" t="b">
        <f t="shared" ref="I692:J692" si="434">FALSE</f>
        <v>0</v>
      </c>
      <c r="J692" s="208" t="b">
        <f t="shared" si="434"/>
        <v>0</v>
      </c>
      <c r="K692" s="214">
        <v>468.0</v>
      </c>
      <c r="L692" s="212" t="str">
        <f t="shared" si="3"/>
        <v>n/a</v>
      </c>
      <c r="M692" s="212" t="str">
        <f t="shared" si="4"/>
        <v>n/a</v>
      </c>
      <c r="N692" s="207" t="str">
        <f t="shared" si="5"/>
        <v>n/a</v>
      </c>
      <c r="O692" s="207">
        <f t="shared" si="6"/>
        <v>0.002136752137</v>
      </c>
    </row>
    <row r="693" ht="15.75" customHeight="1">
      <c r="A693" s="207">
        <v>69.0</v>
      </c>
      <c r="B693" s="6" t="str">
        <f>VLOOKUP($A693, 'Completion rates'!$A:$E, 2, FALSE)</f>
        <v>Opening easy caskets</v>
      </c>
      <c r="C693" s="207">
        <v>12205.0</v>
      </c>
      <c r="D693" s="6" t="str">
        <f>VLOOKUP($C693, 'List of log slots'!$A:$E, 2, FALSE)</f>
        <v>Bronze full helm (g)</v>
      </c>
      <c r="E693" s="207">
        <f>VLOOKUP($C693, 'List of log slots'!$A:$E, 5, FALSE)</f>
        <v>3</v>
      </c>
      <c r="F693" s="209" t="b">
        <f>VLOOKUP(C693, 'List of log slots'!$A:$C, 3, FALSE)</f>
        <v>0</v>
      </c>
      <c r="G693" s="209" t="b">
        <f t="shared" si="377"/>
        <v>0</v>
      </c>
      <c r="H693" s="210" t="b">
        <f t="shared" si="7"/>
        <v>1</v>
      </c>
      <c r="I693" s="208" t="b">
        <f t="shared" ref="I693:J693" si="435">FALSE</f>
        <v>0</v>
      </c>
      <c r="J693" s="208" t="b">
        <f t="shared" si="435"/>
        <v>0</v>
      </c>
      <c r="K693" s="214">
        <v>468.0</v>
      </c>
      <c r="L693" s="212" t="str">
        <f t="shared" si="3"/>
        <v>n/a</v>
      </c>
      <c r="M693" s="212" t="str">
        <f t="shared" si="4"/>
        <v>n/a</v>
      </c>
      <c r="N693" s="207" t="str">
        <f t="shared" si="5"/>
        <v>n/a</v>
      </c>
      <c r="O693" s="207">
        <f t="shared" si="6"/>
        <v>0.002136752137</v>
      </c>
    </row>
    <row r="694" ht="15.75" customHeight="1">
      <c r="A694" s="207">
        <v>69.0</v>
      </c>
      <c r="B694" s="6" t="str">
        <f>VLOOKUP($A694, 'Completion rates'!$A:$E, 2, FALSE)</f>
        <v>Opening easy caskets</v>
      </c>
      <c r="C694" s="207">
        <v>12207.0</v>
      </c>
      <c r="D694" s="6" t="str">
        <f>VLOOKUP($C694, 'List of log slots'!$A:$E, 2, FALSE)</f>
        <v>Bronze platebody (g)</v>
      </c>
      <c r="E694" s="207">
        <f>VLOOKUP($C694, 'List of log slots'!$A:$E, 5, FALSE)</f>
        <v>3</v>
      </c>
      <c r="F694" s="209" t="b">
        <f>VLOOKUP(C694, 'List of log slots'!$A:$C, 3, FALSE)</f>
        <v>0</v>
      </c>
      <c r="G694" s="209" t="b">
        <f t="shared" si="377"/>
        <v>0</v>
      </c>
      <c r="H694" s="210" t="b">
        <f t="shared" si="7"/>
        <v>1</v>
      </c>
      <c r="I694" s="208" t="b">
        <f t="shared" ref="I694:J694" si="436">FALSE</f>
        <v>0</v>
      </c>
      <c r="J694" s="208" t="b">
        <f t="shared" si="436"/>
        <v>0</v>
      </c>
      <c r="K694" s="214">
        <v>468.0</v>
      </c>
      <c r="L694" s="212" t="str">
        <f t="shared" si="3"/>
        <v>n/a</v>
      </c>
      <c r="M694" s="212" t="str">
        <f t="shared" si="4"/>
        <v>n/a</v>
      </c>
      <c r="N694" s="207" t="str">
        <f t="shared" si="5"/>
        <v>n/a</v>
      </c>
      <c r="O694" s="207">
        <f t="shared" si="6"/>
        <v>0.002136752137</v>
      </c>
    </row>
    <row r="695" ht="15.75" customHeight="1">
      <c r="A695" s="207">
        <v>69.0</v>
      </c>
      <c r="B695" s="6" t="str">
        <f>VLOOKUP($A695, 'Completion rates'!$A:$E, 2, FALSE)</f>
        <v>Opening easy caskets</v>
      </c>
      <c r="C695" s="207">
        <v>12209.0</v>
      </c>
      <c r="D695" s="6" t="str">
        <f>VLOOKUP($C695, 'List of log slots'!$A:$E, 2, FALSE)</f>
        <v>Bronze platelegs (g)</v>
      </c>
      <c r="E695" s="207">
        <f>VLOOKUP($C695, 'List of log slots'!$A:$E, 5, FALSE)</f>
        <v>3</v>
      </c>
      <c r="F695" s="209" t="b">
        <f>VLOOKUP(C695, 'List of log slots'!$A:$C, 3, FALSE)</f>
        <v>0</v>
      </c>
      <c r="G695" s="209" t="b">
        <f t="shared" si="377"/>
        <v>0</v>
      </c>
      <c r="H695" s="210" t="b">
        <f t="shared" si="7"/>
        <v>1</v>
      </c>
      <c r="I695" s="208" t="b">
        <f t="shared" ref="I695:J695" si="437">FALSE</f>
        <v>0</v>
      </c>
      <c r="J695" s="208" t="b">
        <f t="shared" si="437"/>
        <v>0</v>
      </c>
      <c r="K695" s="214">
        <v>468.0</v>
      </c>
      <c r="L695" s="212" t="str">
        <f t="shared" si="3"/>
        <v>n/a</v>
      </c>
      <c r="M695" s="212" t="str">
        <f t="shared" si="4"/>
        <v>n/a</v>
      </c>
      <c r="N695" s="207" t="str">
        <f t="shared" si="5"/>
        <v>n/a</v>
      </c>
      <c r="O695" s="207">
        <f t="shared" si="6"/>
        <v>0.002136752137</v>
      </c>
    </row>
    <row r="696" ht="15.75" customHeight="1">
      <c r="A696" s="207">
        <v>69.0</v>
      </c>
      <c r="B696" s="6" t="str">
        <f>VLOOKUP($A696, 'Completion rates'!$A:$E, 2, FALSE)</f>
        <v>Opening easy caskets</v>
      </c>
      <c r="C696" s="207">
        <v>12213.0</v>
      </c>
      <c r="D696" s="6" t="str">
        <f>VLOOKUP($C696, 'List of log slots'!$A:$E, 2, FALSE)</f>
        <v>Bronze plateskirt (g)</v>
      </c>
      <c r="E696" s="207">
        <f>VLOOKUP($C696, 'List of log slots'!$A:$E, 5, FALSE)</f>
        <v>3</v>
      </c>
      <c r="F696" s="209" t="b">
        <f>VLOOKUP(C696, 'List of log slots'!$A:$C, 3, FALSE)</f>
        <v>0</v>
      </c>
      <c r="G696" s="209" t="b">
        <f t="shared" si="377"/>
        <v>0</v>
      </c>
      <c r="H696" s="210" t="b">
        <f t="shared" si="7"/>
        <v>1</v>
      </c>
      <c r="I696" s="208" t="b">
        <f t="shared" ref="I696:J696" si="438">FALSE</f>
        <v>0</v>
      </c>
      <c r="J696" s="208" t="b">
        <f t="shared" si="438"/>
        <v>0</v>
      </c>
      <c r="K696" s="214">
        <v>468.0</v>
      </c>
      <c r="L696" s="212" t="str">
        <f t="shared" si="3"/>
        <v>n/a</v>
      </c>
      <c r="M696" s="212" t="str">
        <f t="shared" si="4"/>
        <v>n/a</v>
      </c>
      <c r="N696" s="207" t="str">
        <f t="shared" si="5"/>
        <v>n/a</v>
      </c>
      <c r="O696" s="207">
        <f t="shared" si="6"/>
        <v>0.002136752137</v>
      </c>
    </row>
    <row r="697" ht="15.75" customHeight="1">
      <c r="A697" s="207">
        <v>69.0</v>
      </c>
      <c r="B697" s="6" t="str">
        <f>VLOOKUP($A697, 'Completion rates'!$A:$E, 2, FALSE)</f>
        <v>Opening easy caskets</v>
      </c>
      <c r="C697" s="207">
        <v>12211.0</v>
      </c>
      <c r="D697" s="6" t="str">
        <f>VLOOKUP($C697, 'List of log slots'!$A:$E, 2, FALSE)</f>
        <v>Bronze kiteshield (g)</v>
      </c>
      <c r="E697" s="207">
        <f>VLOOKUP($C697, 'List of log slots'!$A:$E, 5, FALSE)</f>
        <v>3</v>
      </c>
      <c r="F697" s="210" t="b">
        <f>VLOOKUP(C697, 'List of log slots'!$A:$C, 3, FALSE)</f>
        <v>0</v>
      </c>
      <c r="G697" s="209" t="b">
        <f t="shared" si="377"/>
        <v>0</v>
      </c>
      <c r="H697" s="209" t="b">
        <f t="shared" si="7"/>
        <v>1</v>
      </c>
      <c r="I697" s="208" t="b">
        <f t="shared" ref="I697:J697" si="439">FALSE</f>
        <v>0</v>
      </c>
      <c r="J697" s="208" t="b">
        <f t="shared" si="439"/>
        <v>0</v>
      </c>
      <c r="K697" s="214">
        <v>468.0</v>
      </c>
      <c r="L697" s="212" t="str">
        <f t="shared" si="3"/>
        <v>n/a</v>
      </c>
      <c r="M697" s="212" t="str">
        <f t="shared" si="4"/>
        <v>n/a</v>
      </c>
      <c r="N697" s="207" t="str">
        <f t="shared" si="5"/>
        <v>n/a</v>
      </c>
      <c r="O697" s="207">
        <f t="shared" si="6"/>
        <v>0.002136752137</v>
      </c>
    </row>
    <row r="698" ht="15.75" customHeight="1">
      <c r="A698" s="207">
        <v>69.0</v>
      </c>
      <c r="B698" s="6" t="str">
        <f>VLOOKUP($A698, 'Completion rates'!$A:$E, 2, FALSE)</f>
        <v>Opening easy caskets</v>
      </c>
      <c r="C698" s="207">
        <v>7362.0</v>
      </c>
      <c r="D698" s="6" t="str">
        <f>VLOOKUP($C698, 'List of log slots'!$A:$E, 2, FALSE)</f>
        <v>Studded body (g)</v>
      </c>
      <c r="E698" s="207">
        <f>VLOOKUP($C698, 'List of log slots'!$A:$E, 5, FALSE)</f>
        <v>3</v>
      </c>
      <c r="F698" s="209" t="b">
        <f>VLOOKUP(C698, 'List of log slots'!$A:$C, 3, FALSE)</f>
        <v>0</v>
      </c>
      <c r="G698" s="209" t="b">
        <f t="shared" si="377"/>
        <v>0</v>
      </c>
      <c r="H698" s="210" t="b">
        <f t="shared" si="7"/>
        <v>1</v>
      </c>
      <c r="I698" s="208" t="b">
        <f t="shared" ref="I698:J698" si="440">FALSE</f>
        <v>0</v>
      </c>
      <c r="J698" s="208" t="b">
        <f t="shared" si="440"/>
        <v>0</v>
      </c>
      <c r="K698" s="214">
        <v>468.0</v>
      </c>
      <c r="L698" s="212" t="str">
        <f t="shared" si="3"/>
        <v>n/a</v>
      </c>
      <c r="M698" s="212" t="str">
        <f t="shared" si="4"/>
        <v>n/a</v>
      </c>
      <c r="N698" s="207" t="str">
        <f t="shared" si="5"/>
        <v>n/a</v>
      </c>
      <c r="O698" s="207">
        <f t="shared" si="6"/>
        <v>0.002136752137</v>
      </c>
    </row>
    <row r="699" ht="15.75" customHeight="1">
      <c r="A699" s="207">
        <v>69.0</v>
      </c>
      <c r="B699" s="6" t="str">
        <f>VLOOKUP($A699, 'Completion rates'!$A:$E, 2, FALSE)</f>
        <v>Opening easy caskets</v>
      </c>
      <c r="C699" s="207">
        <v>7366.0</v>
      </c>
      <c r="D699" s="6" t="str">
        <f>VLOOKUP($C699, 'List of log slots'!$A:$E, 2, FALSE)</f>
        <v>Studded chaps (g)</v>
      </c>
      <c r="E699" s="207">
        <f>VLOOKUP($C699, 'List of log slots'!$A:$E, 5, FALSE)</f>
        <v>3</v>
      </c>
      <c r="F699" s="209" t="b">
        <f>VLOOKUP(C699, 'List of log slots'!$A:$C, 3, FALSE)</f>
        <v>0</v>
      </c>
      <c r="G699" s="209" t="b">
        <f t="shared" si="377"/>
        <v>0</v>
      </c>
      <c r="H699" s="210" t="b">
        <f t="shared" si="7"/>
        <v>1</v>
      </c>
      <c r="I699" s="208" t="b">
        <f t="shared" ref="I699:J699" si="441">FALSE</f>
        <v>0</v>
      </c>
      <c r="J699" s="208" t="b">
        <f t="shared" si="441"/>
        <v>0</v>
      </c>
      <c r="K699" s="214">
        <v>468.0</v>
      </c>
      <c r="L699" s="212" t="str">
        <f t="shared" si="3"/>
        <v>n/a</v>
      </c>
      <c r="M699" s="212" t="str">
        <f t="shared" si="4"/>
        <v>n/a</v>
      </c>
      <c r="N699" s="207" t="str">
        <f t="shared" si="5"/>
        <v>n/a</v>
      </c>
      <c r="O699" s="207">
        <f t="shared" si="6"/>
        <v>0.002136752137</v>
      </c>
    </row>
    <row r="700" ht="15.75" customHeight="1">
      <c r="A700" s="207">
        <v>69.0</v>
      </c>
      <c r="B700" s="6" t="str">
        <f>VLOOKUP($A700, 'Completion rates'!$A:$E, 2, FALSE)</f>
        <v>Opening easy caskets</v>
      </c>
      <c r="C700" s="207">
        <v>7364.0</v>
      </c>
      <c r="D700" s="6" t="str">
        <f>VLOOKUP($C700, 'List of log slots'!$A:$E, 2, FALSE)</f>
        <v>Studded body (t)</v>
      </c>
      <c r="E700" s="207">
        <f>VLOOKUP($C700, 'List of log slots'!$A:$E, 5, FALSE)</f>
        <v>3</v>
      </c>
      <c r="F700" s="210" t="b">
        <f>VLOOKUP(C700, 'List of log slots'!$A:$C, 3, FALSE)</f>
        <v>0</v>
      </c>
      <c r="G700" s="209" t="b">
        <f t="shared" si="377"/>
        <v>0</v>
      </c>
      <c r="H700" s="209" t="b">
        <f t="shared" si="7"/>
        <v>1</v>
      </c>
      <c r="I700" s="208" t="b">
        <f t="shared" ref="I700:J700" si="442">FALSE</f>
        <v>0</v>
      </c>
      <c r="J700" s="208" t="b">
        <f t="shared" si="442"/>
        <v>0</v>
      </c>
      <c r="K700" s="214">
        <v>468.0</v>
      </c>
      <c r="L700" s="212" t="str">
        <f t="shared" si="3"/>
        <v>n/a</v>
      </c>
      <c r="M700" s="212" t="str">
        <f t="shared" si="4"/>
        <v>n/a</v>
      </c>
      <c r="N700" s="207" t="str">
        <f t="shared" si="5"/>
        <v>n/a</v>
      </c>
      <c r="O700" s="207">
        <f t="shared" si="6"/>
        <v>0.002136752137</v>
      </c>
    </row>
    <row r="701" ht="15.75" customHeight="1">
      <c r="A701" s="207">
        <v>69.0</v>
      </c>
      <c r="B701" s="6" t="str">
        <f>VLOOKUP($A701, 'Completion rates'!$A:$E, 2, FALSE)</f>
        <v>Opening easy caskets</v>
      </c>
      <c r="C701" s="207">
        <v>7368.0</v>
      </c>
      <c r="D701" s="6" t="str">
        <f>VLOOKUP($C701, 'List of log slots'!$A:$E, 2, FALSE)</f>
        <v>Studded chaps (t)</v>
      </c>
      <c r="E701" s="207">
        <f>VLOOKUP($C701, 'List of log slots'!$A:$E, 5, FALSE)</f>
        <v>3</v>
      </c>
      <c r="F701" s="209" t="b">
        <f>VLOOKUP(C701, 'List of log slots'!$A:$C, 3, FALSE)</f>
        <v>0</v>
      </c>
      <c r="G701" s="209" t="b">
        <f t="shared" si="377"/>
        <v>0</v>
      </c>
      <c r="H701" s="210" t="b">
        <f t="shared" si="7"/>
        <v>1</v>
      </c>
      <c r="I701" s="208" t="b">
        <f t="shared" ref="I701:J701" si="443">FALSE</f>
        <v>0</v>
      </c>
      <c r="J701" s="208" t="b">
        <f t="shared" si="443"/>
        <v>0</v>
      </c>
      <c r="K701" s="214">
        <v>468.0</v>
      </c>
      <c r="L701" s="212" t="str">
        <f t="shared" si="3"/>
        <v>n/a</v>
      </c>
      <c r="M701" s="212" t="str">
        <f t="shared" si="4"/>
        <v>n/a</v>
      </c>
      <c r="N701" s="207" t="str">
        <f t="shared" si="5"/>
        <v>n/a</v>
      </c>
      <c r="O701" s="207">
        <f t="shared" si="6"/>
        <v>0.002136752137</v>
      </c>
    </row>
    <row r="702" ht="15.75" customHeight="1">
      <c r="A702" s="207">
        <v>69.0</v>
      </c>
      <c r="B702" s="6" t="str">
        <f>VLOOKUP($A702, 'Completion rates'!$A:$E, 2, FALSE)</f>
        <v>Opening easy caskets</v>
      </c>
      <c r="C702" s="207">
        <v>23381.0</v>
      </c>
      <c r="D702" s="6" t="str">
        <f>VLOOKUP($C702, 'List of log slots'!$A:$E, 2, FALSE)</f>
        <v>Leather body (g)</v>
      </c>
      <c r="E702" s="207">
        <f>VLOOKUP($C702, 'List of log slots'!$A:$E, 5, FALSE)</f>
        <v>3</v>
      </c>
      <c r="F702" s="209" t="b">
        <f>VLOOKUP(C702, 'List of log slots'!$A:$C, 3, FALSE)</f>
        <v>0</v>
      </c>
      <c r="G702" s="209" t="b">
        <f t="shared" si="377"/>
        <v>0</v>
      </c>
      <c r="H702" s="210" t="b">
        <f t="shared" si="7"/>
        <v>1</v>
      </c>
      <c r="I702" s="208" t="b">
        <f t="shared" ref="I702:J702" si="444">FALSE</f>
        <v>0</v>
      </c>
      <c r="J702" s="208" t="b">
        <f t="shared" si="444"/>
        <v>0</v>
      </c>
      <c r="K702" s="214">
        <v>468.0</v>
      </c>
      <c r="L702" s="212" t="str">
        <f t="shared" si="3"/>
        <v>n/a</v>
      </c>
      <c r="M702" s="212" t="str">
        <f t="shared" si="4"/>
        <v>n/a</v>
      </c>
      <c r="N702" s="207" t="str">
        <f t="shared" si="5"/>
        <v>n/a</v>
      </c>
      <c r="O702" s="207">
        <f t="shared" si="6"/>
        <v>0.002136752137</v>
      </c>
    </row>
    <row r="703" ht="15.75" customHeight="1">
      <c r="A703" s="207">
        <v>69.0</v>
      </c>
      <c r="B703" s="6" t="str">
        <f>VLOOKUP($A703, 'Completion rates'!$A:$E, 2, FALSE)</f>
        <v>Opening easy caskets</v>
      </c>
      <c r="C703" s="207">
        <v>23384.0</v>
      </c>
      <c r="D703" s="6" t="str">
        <f>VLOOKUP($C703, 'List of log slots'!$A:$E, 2, FALSE)</f>
        <v>Leather chaps (g)</v>
      </c>
      <c r="E703" s="207">
        <f>VLOOKUP($C703, 'List of log slots'!$A:$E, 5, FALSE)</f>
        <v>3</v>
      </c>
      <c r="F703" s="209" t="b">
        <f>VLOOKUP(C703, 'List of log slots'!$A:$C, 3, FALSE)</f>
        <v>0</v>
      </c>
      <c r="G703" s="209" t="b">
        <f t="shared" si="377"/>
        <v>0</v>
      </c>
      <c r="H703" s="210" t="b">
        <f t="shared" si="7"/>
        <v>1</v>
      </c>
      <c r="I703" s="208" t="b">
        <f t="shared" ref="I703:J703" si="445">FALSE</f>
        <v>0</v>
      </c>
      <c r="J703" s="208" t="b">
        <f t="shared" si="445"/>
        <v>0</v>
      </c>
      <c r="K703" s="214">
        <v>468.0</v>
      </c>
      <c r="L703" s="212" t="str">
        <f t="shared" si="3"/>
        <v>n/a</v>
      </c>
      <c r="M703" s="212" t="str">
        <f t="shared" si="4"/>
        <v>n/a</v>
      </c>
      <c r="N703" s="207" t="str">
        <f t="shared" si="5"/>
        <v>n/a</v>
      </c>
      <c r="O703" s="207">
        <f t="shared" si="6"/>
        <v>0.002136752137</v>
      </c>
    </row>
    <row r="704" ht="15.75" customHeight="1">
      <c r="A704" s="207">
        <v>69.0</v>
      </c>
      <c r="B704" s="6" t="str">
        <f>VLOOKUP($A704, 'Completion rates'!$A:$E, 2, FALSE)</f>
        <v>Opening easy caskets</v>
      </c>
      <c r="C704" s="207">
        <v>7394.0</v>
      </c>
      <c r="D704" s="6" t="str">
        <f>VLOOKUP($C704, 'List of log slots'!$A:$E, 2, FALSE)</f>
        <v>Blue wizard hat (g)</v>
      </c>
      <c r="E704" s="207">
        <f>VLOOKUP($C704, 'List of log slots'!$A:$E, 5, FALSE)</f>
        <v>3</v>
      </c>
      <c r="F704" s="209" t="b">
        <f>VLOOKUP(C704, 'List of log slots'!$A:$C, 3, FALSE)</f>
        <v>0</v>
      </c>
      <c r="G704" s="209" t="b">
        <f t="shared" si="377"/>
        <v>0</v>
      </c>
      <c r="H704" s="210" t="b">
        <f t="shared" si="7"/>
        <v>1</v>
      </c>
      <c r="I704" s="208" t="b">
        <f t="shared" ref="I704:J704" si="446">FALSE</f>
        <v>0</v>
      </c>
      <c r="J704" s="208" t="b">
        <f t="shared" si="446"/>
        <v>0</v>
      </c>
      <c r="K704" s="214">
        <v>468.0</v>
      </c>
      <c r="L704" s="212" t="str">
        <f t="shared" si="3"/>
        <v>n/a</v>
      </c>
      <c r="M704" s="212" t="str">
        <f t="shared" si="4"/>
        <v>n/a</v>
      </c>
      <c r="N704" s="207" t="str">
        <f t="shared" si="5"/>
        <v>n/a</v>
      </c>
      <c r="O704" s="207">
        <f t="shared" si="6"/>
        <v>0.002136752137</v>
      </c>
    </row>
    <row r="705" ht="15.75" customHeight="1">
      <c r="A705" s="207">
        <v>69.0</v>
      </c>
      <c r="B705" s="6" t="str">
        <f>VLOOKUP($A705, 'Completion rates'!$A:$E, 2, FALSE)</f>
        <v>Opening easy caskets</v>
      </c>
      <c r="C705" s="207">
        <v>7390.0</v>
      </c>
      <c r="D705" s="6" t="str">
        <f>VLOOKUP($C705, 'List of log slots'!$A:$E, 2, FALSE)</f>
        <v>Blue wizard robe (g)</v>
      </c>
      <c r="E705" s="207">
        <f>VLOOKUP($C705, 'List of log slots'!$A:$E, 5, FALSE)</f>
        <v>3</v>
      </c>
      <c r="F705" s="209" t="b">
        <f>VLOOKUP(C705, 'List of log slots'!$A:$C, 3, FALSE)</f>
        <v>0</v>
      </c>
      <c r="G705" s="209" t="b">
        <f t="shared" si="377"/>
        <v>0</v>
      </c>
      <c r="H705" s="210" t="b">
        <f t="shared" si="7"/>
        <v>1</v>
      </c>
      <c r="I705" s="208" t="b">
        <f t="shared" ref="I705:J705" si="447">FALSE</f>
        <v>0</v>
      </c>
      <c r="J705" s="208" t="b">
        <f t="shared" si="447"/>
        <v>0</v>
      </c>
      <c r="K705" s="214">
        <v>468.0</v>
      </c>
      <c r="L705" s="212" t="str">
        <f t="shared" si="3"/>
        <v>n/a</v>
      </c>
      <c r="M705" s="212" t="str">
        <f t="shared" si="4"/>
        <v>n/a</v>
      </c>
      <c r="N705" s="207" t="str">
        <f t="shared" si="5"/>
        <v>n/a</v>
      </c>
      <c r="O705" s="207">
        <f t="shared" si="6"/>
        <v>0.002136752137</v>
      </c>
    </row>
    <row r="706" ht="15.75" customHeight="1">
      <c r="A706" s="207">
        <v>69.0</v>
      </c>
      <c r="B706" s="6" t="str">
        <f>VLOOKUP($A706, 'Completion rates'!$A:$E, 2, FALSE)</f>
        <v>Opening easy caskets</v>
      </c>
      <c r="C706" s="207">
        <v>7386.0</v>
      </c>
      <c r="D706" s="6" t="str">
        <f>VLOOKUP($C706, 'List of log slots'!$A:$E, 2, FALSE)</f>
        <v>Blue skirt (g)</v>
      </c>
      <c r="E706" s="207">
        <f>VLOOKUP($C706, 'List of log slots'!$A:$E, 5, FALSE)</f>
        <v>3</v>
      </c>
      <c r="F706" s="209" t="b">
        <f>VLOOKUP(C706, 'List of log slots'!$A:$C, 3, FALSE)</f>
        <v>0</v>
      </c>
      <c r="G706" s="209" t="b">
        <f t="shared" si="377"/>
        <v>0</v>
      </c>
      <c r="H706" s="210" t="b">
        <f t="shared" si="7"/>
        <v>1</v>
      </c>
      <c r="I706" s="208" t="b">
        <f t="shared" ref="I706:J706" si="448">FALSE</f>
        <v>0</v>
      </c>
      <c r="J706" s="208" t="b">
        <f t="shared" si="448"/>
        <v>0</v>
      </c>
      <c r="K706" s="214">
        <v>468.0</v>
      </c>
      <c r="L706" s="212" t="str">
        <f t="shared" si="3"/>
        <v>n/a</v>
      </c>
      <c r="M706" s="212" t="str">
        <f t="shared" si="4"/>
        <v>n/a</v>
      </c>
      <c r="N706" s="207" t="str">
        <f t="shared" si="5"/>
        <v>n/a</v>
      </c>
      <c r="O706" s="207">
        <f t="shared" si="6"/>
        <v>0.002136752137</v>
      </c>
    </row>
    <row r="707" ht="15.75" customHeight="1">
      <c r="A707" s="207">
        <v>69.0</v>
      </c>
      <c r="B707" s="6" t="str">
        <f>VLOOKUP($A707, 'Completion rates'!$A:$E, 2, FALSE)</f>
        <v>Opening easy caskets</v>
      </c>
      <c r="C707" s="207">
        <v>7396.0</v>
      </c>
      <c r="D707" s="6" t="str">
        <f>VLOOKUP($C707, 'List of log slots'!$A:$E, 2, FALSE)</f>
        <v>Blue wizard hat (t)</v>
      </c>
      <c r="E707" s="207">
        <f>VLOOKUP($C707, 'List of log slots'!$A:$E, 5, FALSE)</f>
        <v>3</v>
      </c>
      <c r="F707" s="210" t="b">
        <f>VLOOKUP(C707, 'List of log slots'!$A:$C, 3, FALSE)</f>
        <v>0</v>
      </c>
      <c r="G707" s="209" t="b">
        <f t="shared" si="377"/>
        <v>0</v>
      </c>
      <c r="H707" s="209" t="b">
        <f t="shared" si="7"/>
        <v>1</v>
      </c>
      <c r="I707" s="208" t="b">
        <f t="shared" ref="I707:J707" si="449">FALSE</f>
        <v>0</v>
      </c>
      <c r="J707" s="208" t="b">
        <f t="shared" si="449"/>
        <v>0</v>
      </c>
      <c r="K707" s="214">
        <v>468.0</v>
      </c>
      <c r="L707" s="212" t="str">
        <f t="shared" si="3"/>
        <v>n/a</v>
      </c>
      <c r="M707" s="212" t="str">
        <f t="shared" si="4"/>
        <v>n/a</v>
      </c>
      <c r="N707" s="207" t="str">
        <f t="shared" si="5"/>
        <v>n/a</v>
      </c>
      <c r="O707" s="207">
        <f t="shared" si="6"/>
        <v>0.002136752137</v>
      </c>
    </row>
    <row r="708" ht="15.75" customHeight="1">
      <c r="A708" s="207">
        <v>69.0</v>
      </c>
      <c r="B708" s="6" t="str">
        <f>VLOOKUP($A708, 'Completion rates'!$A:$E, 2, FALSE)</f>
        <v>Opening easy caskets</v>
      </c>
      <c r="C708" s="207">
        <v>7392.0</v>
      </c>
      <c r="D708" s="6" t="str">
        <f>VLOOKUP($C708, 'List of log slots'!$A:$E, 2, FALSE)</f>
        <v>Blue wizard robe (t)</v>
      </c>
      <c r="E708" s="207">
        <f>VLOOKUP($C708, 'List of log slots'!$A:$E, 5, FALSE)</f>
        <v>3</v>
      </c>
      <c r="F708" s="209" t="b">
        <f>VLOOKUP(C708, 'List of log slots'!$A:$C, 3, FALSE)</f>
        <v>0</v>
      </c>
      <c r="G708" s="209" t="b">
        <f t="shared" si="377"/>
        <v>0</v>
      </c>
      <c r="H708" s="210" t="b">
        <f t="shared" si="7"/>
        <v>1</v>
      </c>
      <c r="I708" s="208" t="b">
        <f t="shared" ref="I708:J708" si="450">FALSE</f>
        <v>0</v>
      </c>
      <c r="J708" s="208" t="b">
        <f t="shared" si="450"/>
        <v>0</v>
      </c>
      <c r="K708" s="214">
        <v>468.0</v>
      </c>
      <c r="L708" s="212" t="str">
        <f t="shared" si="3"/>
        <v>n/a</v>
      </c>
      <c r="M708" s="212" t="str">
        <f t="shared" si="4"/>
        <v>n/a</v>
      </c>
      <c r="N708" s="207" t="str">
        <f t="shared" si="5"/>
        <v>n/a</v>
      </c>
      <c r="O708" s="207">
        <f t="shared" si="6"/>
        <v>0.002136752137</v>
      </c>
    </row>
    <row r="709" ht="15.75" customHeight="1">
      <c r="A709" s="207">
        <v>69.0</v>
      </c>
      <c r="B709" s="6" t="str">
        <f>VLOOKUP($A709, 'Completion rates'!$A:$E, 2, FALSE)</f>
        <v>Opening easy caskets</v>
      </c>
      <c r="C709" s="207">
        <v>7388.0</v>
      </c>
      <c r="D709" s="6" t="str">
        <f>VLOOKUP($C709, 'List of log slots'!$A:$E, 2, FALSE)</f>
        <v>Blue skirt (t)</v>
      </c>
      <c r="E709" s="207">
        <f>VLOOKUP($C709, 'List of log slots'!$A:$E, 5, FALSE)</f>
        <v>3</v>
      </c>
      <c r="F709" s="210" t="b">
        <f>VLOOKUP(C709, 'List of log slots'!$A:$C, 3, FALSE)</f>
        <v>0</v>
      </c>
      <c r="G709" s="209" t="b">
        <f t="shared" si="377"/>
        <v>0</v>
      </c>
      <c r="H709" s="209" t="b">
        <f t="shared" si="7"/>
        <v>1</v>
      </c>
      <c r="I709" s="208" t="b">
        <f t="shared" ref="I709:J709" si="451">FALSE</f>
        <v>0</v>
      </c>
      <c r="J709" s="208" t="b">
        <f t="shared" si="451"/>
        <v>0</v>
      </c>
      <c r="K709" s="214">
        <v>468.0</v>
      </c>
      <c r="L709" s="212" t="str">
        <f t="shared" si="3"/>
        <v>n/a</v>
      </c>
      <c r="M709" s="212" t="str">
        <f t="shared" si="4"/>
        <v>n/a</v>
      </c>
      <c r="N709" s="207" t="str">
        <f t="shared" si="5"/>
        <v>n/a</v>
      </c>
      <c r="O709" s="207">
        <f t="shared" si="6"/>
        <v>0.002136752137</v>
      </c>
    </row>
    <row r="710" ht="15.75" customHeight="1">
      <c r="A710" s="207">
        <v>69.0</v>
      </c>
      <c r="B710" s="6" t="str">
        <f>VLOOKUP($A710, 'Completion rates'!$A:$E, 2, FALSE)</f>
        <v>Opening easy caskets</v>
      </c>
      <c r="C710" s="207">
        <v>12453.0</v>
      </c>
      <c r="D710" s="6" t="str">
        <f>VLOOKUP($C710, 'List of log slots'!$A:$E, 2, FALSE)</f>
        <v>Black wizard hat (g)</v>
      </c>
      <c r="E710" s="207">
        <f>VLOOKUP($C710, 'List of log slots'!$A:$E, 5, FALSE)</f>
        <v>3</v>
      </c>
      <c r="F710" s="209" t="b">
        <f>VLOOKUP(C710, 'List of log slots'!$A:$C, 3, FALSE)</f>
        <v>0</v>
      </c>
      <c r="G710" s="209" t="b">
        <f t="shared" si="377"/>
        <v>0</v>
      </c>
      <c r="H710" s="210" t="b">
        <f t="shared" si="7"/>
        <v>1</v>
      </c>
      <c r="I710" s="208" t="b">
        <f t="shared" ref="I710:J710" si="452">FALSE</f>
        <v>0</v>
      </c>
      <c r="J710" s="208" t="b">
        <f t="shared" si="452"/>
        <v>0</v>
      </c>
      <c r="K710" s="214">
        <v>468.0</v>
      </c>
      <c r="L710" s="212" t="str">
        <f t="shared" si="3"/>
        <v>n/a</v>
      </c>
      <c r="M710" s="212" t="str">
        <f t="shared" si="4"/>
        <v>n/a</v>
      </c>
      <c r="N710" s="207" t="str">
        <f t="shared" si="5"/>
        <v>n/a</v>
      </c>
      <c r="O710" s="207">
        <f t="shared" si="6"/>
        <v>0.002136752137</v>
      </c>
    </row>
    <row r="711" ht="15.75" customHeight="1">
      <c r="A711" s="207">
        <v>69.0</v>
      </c>
      <c r="B711" s="6" t="str">
        <f>VLOOKUP($A711, 'Completion rates'!$A:$E, 2, FALSE)</f>
        <v>Opening easy caskets</v>
      </c>
      <c r="C711" s="207">
        <v>12449.0</v>
      </c>
      <c r="D711" s="6" t="str">
        <f>VLOOKUP($C711, 'List of log slots'!$A:$E, 2, FALSE)</f>
        <v>Black wizard robe (g)</v>
      </c>
      <c r="E711" s="207">
        <f>VLOOKUP($C711, 'List of log slots'!$A:$E, 5, FALSE)</f>
        <v>3</v>
      </c>
      <c r="F711" s="209" t="b">
        <f>VLOOKUP(C711, 'List of log slots'!$A:$C, 3, FALSE)</f>
        <v>0</v>
      </c>
      <c r="G711" s="209" t="b">
        <f t="shared" si="377"/>
        <v>0</v>
      </c>
      <c r="H711" s="210" t="b">
        <f t="shared" si="7"/>
        <v>1</v>
      </c>
      <c r="I711" s="208" t="b">
        <f t="shared" ref="I711:J711" si="453">FALSE</f>
        <v>0</v>
      </c>
      <c r="J711" s="208" t="b">
        <f t="shared" si="453"/>
        <v>0</v>
      </c>
      <c r="K711" s="214">
        <v>468.0</v>
      </c>
      <c r="L711" s="212" t="str">
        <f t="shared" si="3"/>
        <v>n/a</v>
      </c>
      <c r="M711" s="212" t="str">
        <f t="shared" si="4"/>
        <v>n/a</v>
      </c>
      <c r="N711" s="207" t="str">
        <f t="shared" si="5"/>
        <v>n/a</v>
      </c>
      <c r="O711" s="207">
        <f t="shared" si="6"/>
        <v>0.002136752137</v>
      </c>
    </row>
    <row r="712" ht="15.75" customHeight="1">
      <c r="A712" s="207">
        <v>69.0</v>
      </c>
      <c r="B712" s="6" t="str">
        <f>VLOOKUP($A712, 'Completion rates'!$A:$E, 2, FALSE)</f>
        <v>Opening easy caskets</v>
      </c>
      <c r="C712" s="207">
        <v>12445.0</v>
      </c>
      <c r="D712" s="6" t="str">
        <f>VLOOKUP($C712, 'List of log slots'!$A:$E, 2, FALSE)</f>
        <v>Black skirt (g)</v>
      </c>
      <c r="E712" s="207">
        <f>VLOOKUP($C712, 'List of log slots'!$A:$E, 5, FALSE)</f>
        <v>3</v>
      </c>
      <c r="F712" s="209" t="b">
        <f>VLOOKUP(C712, 'List of log slots'!$A:$C, 3, FALSE)</f>
        <v>0</v>
      </c>
      <c r="G712" s="209" t="b">
        <f t="shared" si="377"/>
        <v>0</v>
      </c>
      <c r="H712" s="210" t="b">
        <f t="shared" si="7"/>
        <v>1</v>
      </c>
      <c r="I712" s="208" t="b">
        <f t="shared" ref="I712:J712" si="454">FALSE</f>
        <v>0</v>
      </c>
      <c r="J712" s="208" t="b">
        <f t="shared" si="454"/>
        <v>0</v>
      </c>
      <c r="K712" s="214">
        <v>468.0</v>
      </c>
      <c r="L712" s="212" t="str">
        <f t="shared" si="3"/>
        <v>n/a</v>
      </c>
      <c r="M712" s="212" t="str">
        <f t="shared" si="4"/>
        <v>n/a</v>
      </c>
      <c r="N712" s="207" t="str">
        <f t="shared" si="5"/>
        <v>n/a</v>
      </c>
      <c r="O712" s="207">
        <f t="shared" si="6"/>
        <v>0.002136752137</v>
      </c>
    </row>
    <row r="713" ht="15.75" customHeight="1">
      <c r="A713" s="207">
        <v>69.0</v>
      </c>
      <c r="B713" s="6" t="str">
        <f>VLOOKUP($A713, 'Completion rates'!$A:$E, 2, FALSE)</f>
        <v>Opening easy caskets</v>
      </c>
      <c r="C713" s="207">
        <v>12455.0</v>
      </c>
      <c r="D713" s="6" t="str">
        <f>VLOOKUP($C713, 'List of log slots'!$A:$E, 2, FALSE)</f>
        <v>Black wizard hat (t)</v>
      </c>
      <c r="E713" s="207">
        <f>VLOOKUP($C713, 'List of log slots'!$A:$E, 5, FALSE)</f>
        <v>3</v>
      </c>
      <c r="F713" s="209" t="b">
        <f>VLOOKUP(C713, 'List of log slots'!$A:$C, 3, FALSE)</f>
        <v>0</v>
      </c>
      <c r="G713" s="209" t="b">
        <f t="shared" si="377"/>
        <v>0</v>
      </c>
      <c r="H713" s="210" t="b">
        <f t="shared" si="7"/>
        <v>1</v>
      </c>
      <c r="I713" s="208" t="b">
        <f t="shared" ref="I713:J713" si="455">FALSE</f>
        <v>0</v>
      </c>
      <c r="J713" s="208" t="b">
        <f t="shared" si="455"/>
        <v>0</v>
      </c>
      <c r="K713" s="214">
        <v>468.0</v>
      </c>
      <c r="L713" s="212" t="str">
        <f t="shared" si="3"/>
        <v>n/a</v>
      </c>
      <c r="M713" s="212" t="str">
        <f t="shared" si="4"/>
        <v>n/a</v>
      </c>
      <c r="N713" s="207" t="str">
        <f t="shared" si="5"/>
        <v>n/a</v>
      </c>
      <c r="O713" s="207">
        <f t="shared" si="6"/>
        <v>0.002136752137</v>
      </c>
    </row>
    <row r="714" ht="15.75" customHeight="1">
      <c r="A714" s="207">
        <v>69.0</v>
      </c>
      <c r="B714" s="6" t="str">
        <f>VLOOKUP($A714, 'Completion rates'!$A:$E, 2, FALSE)</f>
        <v>Opening easy caskets</v>
      </c>
      <c r="C714" s="207">
        <v>12451.0</v>
      </c>
      <c r="D714" s="6" t="str">
        <f>VLOOKUP($C714, 'List of log slots'!$A:$E, 2, FALSE)</f>
        <v>Black wizard robe (t)</v>
      </c>
      <c r="E714" s="207">
        <f>VLOOKUP($C714, 'List of log slots'!$A:$E, 5, FALSE)</f>
        <v>3</v>
      </c>
      <c r="F714" s="210" t="b">
        <f>VLOOKUP(C714, 'List of log slots'!$A:$C, 3, FALSE)</f>
        <v>0</v>
      </c>
      <c r="G714" s="209" t="b">
        <f t="shared" si="377"/>
        <v>0</v>
      </c>
      <c r="H714" s="209" t="b">
        <f t="shared" si="7"/>
        <v>1</v>
      </c>
      <c r="I714" s="208" t="b">
        <f t="shared" ref="I714:J714" si="456">FALSE</f>
        <v>0</v>
      </c>
      <c r="J714" s="208" t="b">
        <f t="shared" si="456"/>
        <v>0</v>
      </c>
      <c r="K714" s="214">
        <v>468.0</v>
      </c>
      <c r="L714" s="212" t="str">
        <f t="shared" si="3"/>
        <v>n/a</v>
      </c>
      <c r="M714" s="212" t="str">
        <f t="shared" si="4"/>
        <v>n/a</v>
      </c>
      <c r="N714" s="207" t="str">
        <f t="shared" si="5"/>
        <v>n/a</v>
      </c>
      <c r="O714" s="207">
        <f t="shared" si="6"/>
        <v>0.002136752137</v>
      </c>
    </row>
    <row r="715" ht="15.75" customHeight="1">
      <c r="A715" s="207">
        <v>69.0</v>
      </c>
      <c r="B715" s="6" t="str">
        <f>VLOOKUP($A715, 'Completion rates'!$A:$E, 2, FALSE)</f>
        <v>Opening easy caskets</v>
      </c>
      <c r="C715" s="207">
        <v>12447.0</v>
      </c>
      <c r="D715" s="6" t="str">
        <f>VLOOKUP($C715, 'List of log slots'!$A:$E, 2, FALSE)</f>
        <v>Black skirt (t)</v>
      </c>
      <c r="E715" s="207">
        <f>VLOOKUP($C715, 'List of log slots'!$A:$E, 5, FALSE)</f>
        <v>3</v>
      </c>
      <c r="F715" s="209" t="b">
        <f>VLOOKUP(C715, 'List of log slots'!$A:$C, 3, FALSE)</f>
        <v>0</v>
      </c>
      <c r="G715" s="209" t="b">
        <f t="shared" si="377"/>
        <v>0</v>
      </c>
      <c r="H715" s="210" t="b">
        <f t="shared" si="7"/>
        <v>1</v>
      </c>
      <c r="I715" s="208" t="b">
        <f t="shared" ref="I715:J715" si="457">FALSE</f>
        <v>0</v>
      </c>
      <c r="J715" s="208" t="b">
        <f t="shared" si="457"/>
        <v>0</v>
      </c>
      <c r="K715" s="214">
        <v>468.0</v>
      </c>
      <c r="L715" s="212" t="str">
        <f t="shared" si="3"/>
        <v>n/a</v>
      </c>
      <c r="M715" s="212" t="str">
        <f t="shared" si="4"/>
        <v>n/a</v>
      </c>
      <c r="N715" s="207" t="str">
        <f t="shared" si="5"/>
        <v>n/a</v>
      </c>
      <c r="O715" s="207">
        <f t="shared" si="6"/>
        <v>0.002136752137</v>
      </c>
    </row>
    <row r="716" ht="15.75" customHeight="1">
      <c r="A716" s="207">
        <v>69.0</v>
      </c>
      <c r="B716" s="6" t="str">
        <f>VLOOKUP($A716, 'Completion rates'!$A:$E, 2, FALSE)</f>
        <v>Opening easy caskets</v>
      </c>
      <c r="C716" s="207">
        <v>20199.0</v>
      </c>
      <c r="D716" s="6" t="str">
        <f>VLOOKUP($C716, 'List of log slots'!$A:$E, 2, FALSE)</f>
        <v>Monk's robe top (g)</v>
      </c>
      <c r="E716" s="207">
        <f>VLOOKUP($C716, 'List of log slots'!$A:$E, 5, FALSE)</f>
        <v>7</v>
      </c>
      <c r="F716" s="209" t="b">
        <f>VLOOKUP(C716, 'List of log slots'!$A:$C, 3, FALSE)</f>
        <v>0</v>
      </c>
      <c r="G716" s="209" t="b">
        <f t="shared" si="377"/>
        <v>0</v>
      </c>
      <c r="H716" s="210" t="b">
        <f t="shared" si="7"/>
        <v>1</v>
      </c>
      <c r="I716" s="208" t="b">
        <f t="shared" ref="I716:J716" si="458">FALSE</f>
        <v>0</v>
      </c>
      <c r="J716" s="208" t="b">
        <f t="shared" si="458"/>
        <v>0</v>
      </c>
      <c r="K716" s="214">
        <v>4680.0</v>
      </c>
      <c r="L716" s="212" t="str">
        <f t="shared" si="3"/>
        <v>n/a</v>
      </c>
      <c r="M716" s="212" t="str">
        <f t="shared" si="4"/>
        <v>n/a</v>
      </c>
      <c r="N716" s="207" t="str">
        <f t="shared" si="5"/>
        <v>n/a</v>
      </c>
      <c r="O716" s="207">
        <f t="shared" si="6"/>
        <v>0.0002136752137</v>
      </c>
    </row>
    <row r="717" ht="15.75" customHeight="1">
      <c r="A717" s="207">
        <v>69.0</v>
      </c>
      <c r="B717" s="6" t="str">
        <f>VLOOKUP($A717, 'Completion rates'!$A:$E, 2, FALSE)</f>
        <v>Opening easy caskets</v>
      </c>
      <c r="C717" s="207">
        <v>20202.0</v>
      </c>
      <c r="D717" s="6" t="str">
        <f>VLOOKUP($C717, 'List of log slots'!$A:$E, 2, FALSE)</f>
        <v>Monk's robe (g)</v>
      </c>
      <c r="E717" s="207">
        <f>VLOOKUP($C717, 'List of log slots'!$A:$E, 5, FALSE)</f>
        <v>7</v>
      </c>
      <c r="F717" s="209" t="b">
        <f>VLOOKUP(C717, 'List of log slots'!$A:$C, 3, FALSE)</f>
        <v>0</v>
      </c>
      <c r="G717" s="209" t="b">
        <f t="shared" si="377"/>
        <v>0</v>
      </c>
      <c r="H717" s="210" t="b">
        <f t="shared" si="7"/>
        <v>1</v>
      </c>
      <c r="I717" s="208" t="b">
        <f t="shared" ref="I717:J717" si="459">FALSE</f>
        <v>0</v>
      </c>
      <c r="J717" s="208" t="b">
        <f t="shared" si="459"/>
        <v>0</v>
      </c>
      <c r="K717" s="214">
        <v>4680.0</v>
      </c>
      <c r="L717" s="212" t="str">
        <f t="shared" si="3"/>
        <v>n/a</v>
      </c>
      <c r="M717" s="212" t="str">
        <f t="shared" si="4"/>
        <v>n/a</v>
      </c>
      <c r="N717" s="207" t="str">
        <f t="shared" si="5"/>
        <v>n/a</v>
      </c>
      <c r="O717" s="207">
        <f t="shared" si="6"/>
        <v>0.0002136752137</v>
      </c>
    </row>
    <row r="718" ht="15.75" customHeight="1">
      <c r="A718" s="207">
        <v>69.0</v>
      </c>
      <c r="B718" s="6" t="str">
        <f>VLOOKUP($A718, 'Completion rates'!$A:$E, 2, FALSE)</f>
        <v>Opening easy caskets</v>
      </c>
      <c r="C718" s="207">
        <v>10458.0</v>
      </c>
      <c r="D718" s="6" t="str">
        <f>VLOOKUP($C718, 'List of log slots'!$A:$E, 2, FALSE)</f>
        <v>Saradomin robe top</v>
      </c>
      <c r="E718" s="207">
        <f>VLOOKUP($C718, 'List of log slots'!$A:$E, 5, FALSE)</f>
        <v>3</v>
      </c>
      <c r="F718" s="209" t="b">
        <f>VLOOKUP(C718, 'List of log slots'!$A:$C, 3, FALSE)</f>
        <v>0</v>
      </c>
      <c r="G718" s="209" t="b">
        <f t="shared" si="377"/>
        <v>0</v>
      </c>
      <c r="H718" s="210" t="b">
        <f t="shared" si="7"/>
        <v>1</v>
      </c>
      <c r="I718" s="208" t="b">
        <f t="shared" ref="I718:J718" si="460">FALSE</f>
        <v>0</v>
      </c>
      <c r="J718" s="208" t="b">
        <f t="shared" si="460"/>
        <v>0</v>
      </c>
      <c r="K718" s="214">
        <v>468.0</v>
      </c>
      <c r="L718" s="212" t="str">
        <f t="shared" si="3"/>
        <v>n/a</v>
      </c>
      <c r="M718" s="212" t="str">
        <f t="shared" si="4"/>
        <v>n/a</v>
      </c>
      <c r="N718" s="207" t="str">
        <f t="shared" si="5"/>
        <v>n/a</v>
      </c>
      <c r="O718" s="207">
        <f t="shared" si="6"/>
        <v>0.002136752137</v>
      </c>
    </row>
    <row r="719" ht="15.75" customHeight="1">
      <c r="A719" s="207">
        <v>69.0</v>
      </c>
      <c r="B719" s="6" t="str">
        <f>VLOOKUP($A719, 'Completion rates'!$A:$E, 2, FALSE)</f>
        <v>Opening easy caskets</v>
      </c>
      <c r="C719" s="207">
        <v>10464.0</v>
      </c>
      <c r="D719" s="6" t="str">
        <f>VLOOKUP($C719, 'List of log slots'!$A:$E, 2, FALSE)</f>
        <v>Saradomin robe legs</v>
      </c>
      <c r="E719" s="207">
        <f>VLOOKUP($C719, 'List of log slots'!$A:$E, 5, FALSE)</f>
        <v>3</v>
      </c>
      <c r="F719" s="208" t="b">
        <f>VLOOKUP(C719, 'List of log slots'!$A:$C, 3, FALSE)</f>
        <v>0</v>
      </c>
      <c r="G719" s="209" t="b">
        <f t="shared" si="377"/>
        <v>0</v>
      </c>
      <c r="H719" s="210" t="b">
        <f t="shared" si="7"/>
        <v>1</v>
      </c>
      <c r="I719" s="208" t="b">
        <f t="shared" ref="I719:J719" si="461">FALSE</f>
        <v>0</v>
      </c>
      <c r="J719" s="208" t="b">
        <f t="shared" si="461"/>
        <v>0</v>
      </c>
      <c r="K719" s="214">
        <v>468.0</v>
      </c>
      <c r="L719" s="212" t="str">
        <f t="shared" si="3"/>
        <v>n/a</v>
      </c>
      <c r="M719" s="212" t="str">
        <f t="shared" si="4"/>
        <v>n/a</v>
      </c>
      <c r="N719" s="207" t="str">
        <f t="shared" si="5"/>
        <v>n/a</v>
      </c>
      <c r="O719" s="207">
        <f t="shared" si="6"/>
        <v>0.002136752137</v>
      </c>
    </row>
    <row r="720" ht="15.75" customHeight="1">
      <c r="A720" s="207">
        <v>69.0</v>
      </c>
      <c r="B720" s="6" t="str">
        <f>VLOOKUP($A720, 'Completion rates'!$A:$E, 2, FALSE)</f>
        <v>Opening easy caskets</v>
      </c>
      <c r="C720" s="207">
        <v>10462.0</v>
      </c>
      <c r="D720" s="6" t="str">
        <f>VLOOKUP($C720, 'List of log slots'!$A:$E, 2, FALSE)</f>
        <v>Guthix robe top</v>
      </c>
      <c r="E720" s="207">
        <f>VLOOKUP($C720, 'List of log slots'!$A:$E, 5, FALSE)</f>
        <v>3</v>
      </c>
      <c r="F720" s="210" t="b">
        <f>VLOOKUP(C720, 'List of log slots'!$A:$C, 3, FALSE)</f>
        <v>0</v>
      </c>
      <c r="G720" s="209" t="b">
        <f t="shared" si="377"/>
        <v>0</v>
      </c>
      <c r="H720" s="209" t="b">
        <f t="shared" si="7"/>
        <v>1</v>
      </c>
      <c r="I720" s="208" t="b">
        <f t="shared" ref="I720:J720" si="462">FALSE</f>
        <v>0</v>
      </c>
      <c r="J720" s="208" t="b">
        <f t="shared" si="462"/>
        <v>0</v>
      </c>
      <c r="K720" s="214">
        <v>468.0</v>
      </c>
      <c r="L720" s="212" t="str">
        <f t="shared" si="3"/>
        <v>n/a</v>
      </c>
      <c r="M720" s="212" t="str">
        <f t="shared" si="4"/>
        <v>n/a</v>
      </c>
      <c r="N720" s="207" t="str">
        <f t="shared" si="5"/>
        <v>n/a</v>
      </c>
      <c r="O720" s="207">
        <f t="shared" si="6"/>
        <v>0.002136752137</v>
      </c>
    </row>
    <row r="721" ht="15.75" customHeight="1">
      <c r="A721" s="207">
        <v>69.0</v>
      </c>
      <c r="B721" s="6" t="str">
        <f>VLOOKUP($A721, 'Completion rates'!$A:$E, 2, FALSE)</f>
        <v>Opening easy caskets</v>
      </c>
      <c r="C721" s="207">
        <v>10466.0</v>
      </c>
      <c r="D721" s="6" t="str">
        <f>VLOOKUP($C721, 'List of log slots'!$A:$E, 2, FALSE)</f>
        <v>Guthix robe legs</v>
      </c>
      <c r="E721" s="207">
        <f>VLOOKUP($C721, 'List of log slots'!$A:$E, 5, FALSE)</f>
        <v>3</v>
      </c>
      <c r="F721" s="209" t="b">
        <f>VLOOKUP(C721, 'List of log slots'!$A:$C, 3, FALSE)</f>
        <v>0</v>
      </c>
      <c r="G721" s="209" t="b">
        <f t="shared" si="377"/>
        <v>0</v>
      </c>
      <c r="H721" s="210" t="b">
        <f t="shared" si="7"/>
        <v>1</v>
      </c>
      <c r="I721" s="208" t="b">
        <f t="shared" ref="I721:J721" si="463">FALSE</f>
        <v>0</v>
      </c>
      <c r="J721" s="208" t="b">
        <f t="shared" si="463"/>
        <v>0</v>
      </c>
      <c r="K721" s="214">
        <v>468.0</v>
      </c>
      <c r="L721" s="212" t="str">
        <f t="shared" si="3"/>
        <v>n/a</v>
      </c>
      <c r="M721" s="212" t="str">
        <f t="shared" si="4"/>
        <v>n/a</v>
      </c>
      <c r="N721" s="207" t="str">
        <f t="shared" si="5"/>
        <v>n/a</v>
      </c>
      <c r="O721" s="207">
        <f t="shared" si="6"/>
        <v>0.002136752137</v>
      </c>
    </row>
    <row r="722" ht="15.75" customHeight="1">
      <c r="A722" s="207">
        <v>69.0</v>
      </c>
      <c r="B722" s="6" t="str">
        <f>VLOOKUP($A722, 'Completion rates'!$A:$E, 2, FALSE)</f>
        <v>Opening easy caskets</v>
      </c>
      <c r="C722" s="207">
        <v>10460.0</v>
      </c>
      <c r="D722" s="6" t="str">
        <f>VLOOKUP($C722, 'List of log slots'!$A:$E, 2, FALSE)</f>
        <v>Zamorak robe top</v>
      </c>
      <c r="E722" s="207">
        <f>VLOOKUP($C722, 'List of log slots'!$A:$E, 5, FALSE)</f>
        <v>3</v>
      </c>
      <c r="F722" s="209" t="b">
        <f>VLOOKUP(C722, 'List of log slots'!$A:$C, 3, FALSE)</f>
        <v>0</v>
      </c>
      <c r="G722" s="209" t="b">
        <f t="shared" si="377"/>
        <v>0</v>
      </c>
      <c r="H722" s="210" t="b">
        <f t="shared" si="7"/>
        <v>1</v>
      </c>
      <c r="I722" s="208" t="b">
        <f t="shared" ref="I722:J722" si="464">FALSE</f>
        <v>0</v>
      </c>
      <c r="J722" s="208" t="b">
        <f t="shared" si="464"/>
        <v>0</v>
      </c>
      <c r="K722" s="214">
        <v>468.0</v>
      </c>
      <c r="L722" s="212" t="str">
        <f t="shared" si="3"/>
        <v>n/a</v>
      </c>
      <c r="M722" s="212" t="str">
        <f t="shared" si="4"/>
        <v>n/a</v>
      </c>
      <c r="N722" s="207" t="str">
        <f t="shared" si="5"/>
        <v>n/a</v>
      </c>
      <c r="O722" s="207">
        <f t="shared" si="6"/>
        <v>0.002136752137</v>
      </c>
    </row>
    <row r="723" ht="15.75" customHeight="1">
      <c r="A723" s="207">
        <v>69.0</v>
      </c>
      <c r="B723" s="6" t="str">
        <f>VLOOKUP($A723, 'Completion rates'!$A:$E, 2, FALSE)</f>
        <v>Opening easy caskets</v>
      </c>
      <c r="C723" s="207">
        <v>10468.0</v>
      </c>
      <c r="D723" s="6" t="str">
        <f>VLOOKUP($C723, 'List of log slots'!$A:$E, 2, FALSE)</f>
        <v>Zamorak robe legs</v>
      </c>
      <c r="E723" s="207">
        <f>VLOOKUP($C723, 'List of log slots'!$A:$E, 5, FALSE)</f>
        <v>3</v>
      </c>
      <c r="F723" s="209" t="b">
        <f>VLOOKUP(C723, 'List of log slots'!$A:$C, 3, FALSE)</f>
        <v>0</v>
      </c>
      <c r="G723" s="209" t="b">
        <f t="shared" si="377"/>
        <v>0</v>
      </c>
      <c r="H723" s="210" t="b">
        <f t="shared" si="7"/>
        <v>1</v>
      </c>
      <c r="I723" s="208" t="b">
        <f t="shared" ref="I723:J723" si="465">FALSE</f>
        <v>0</v>
      </c>
      <c r="J723" s="208" t="b">
        <f t="shared" si="465"/>
        <v>0</v>
      </c>
      <c r="K723" s="214">
        <v>468.0</v>
      </c>
      <c r="L723" s="212" t="str">
        <f t="shared" si="3"/>
        <v>n/a</v>
      </c>
      <c r="M723" s="212" t="str">
        <f t="shared" si="4"/>
        <v>n/a</v>
      </c>
      <c r="N723" s="207" t="str">
        <f t="shared" si="5"/>
        <v>n/a</v>
      </c>
      <c r="O723" s="207">
        <f t="shared" si="6"/>
        <v>0.002136752137</v>
      </c>
    </row>
    <row r="724" ht="15.75" customHeight="1">
      <c r="A724" s="207">
        <v>69.0</v>
      </c>
      <c r="B724" s="6" t="str">
        <f>VLOOKUP($A724, 'Completion rates'!$A:$E, 2, FALSE)</f>
        <v>Opening easy caskets</v>
      </c>
      <c r="C724" s="207">
        <v>12193.0</v>
      </c>
      <c r="D724" s="6" t="str">
        <f>VLOOKUP($C724, 'List of log slots'!$A:$E, 2, FALSE)</f>
        <v>Ancient robe top</v>
      </c>
      <c r="E724" s="207">
        <f>VLOOKUP($C724, 'List of log slots'!$A:$E, 5, FALSE)</f>
        <v>3</v>
      </c>
      <c r="F724" s="209" t="b">
        <f>VLOOKUP(C724, 'List of log slots'!$A:$C, 3, FALSE)</f>
        <v>0</v>
      </c>
      <c r="G724" s="209" t="b">
        <f t="shared" si="377"/>
        <v>0</v>
      </c>
      <c r="H724" s="210" t="b">
        <f t="shared" si="7"/>
        <v>1</v>
      </c>
      <c r="I724" s="208" t="b">
        <f t="shared" ref="I724:J724" si="466">FALSE</f>
        <v>0</v>
      </c>
      <c r="J724" s="208" t="b">
        <f t="shared" si="466"/>
        <v>0</v>
      </c>
      <c r="K724" s="214">
        <v>468.0</v>
      </c>
      <c r="L724" s="212" t="str">
        <f t="shared" si="3"/>
        <v>n/a</v>
      </c>
      <c r="M724" s="212" t="str">
        <f t="shared" si="4"/>
        <v>n/a</v>
      </c>
      <c r="N724" s="207" t="str">
        <f t="shared" si="5"/>
        <v>n/a</v>
      </c>
      <c r="O724" s="207">
        <f t="shared" si="6"/>
        <v>0.002136752137</v>
      </c>
    </row>
    <row r="725" ht="15.75" customHeight="1">
      <c r="A725" s="207">
        <v>69.0</v>
      </c>
      <c r="B725" s="6" t="str">
        <f>VLOOKUP($A725, 'Completion rates'!$A:$E, 2, FALSE)</f>
        <v>Opening easy caskets</v>
      </c>
      <c r="C725" s="207">
        <v>12195.0</v>
      </c>
      <c r="D725" s="6" t="str">
        <f>VLOOKUP($C725, 'List of log slots'!$A:$E, 2, FALSE)</f>
        <v>Ancient robe legs</v>
      </c>
      <c r="E725" s="207">
        <f>VLOOKUP($C725, 'List of log slots'!$A:$E, 5, FALSE)</f>
        <v>3</v>
      </c>
      <c r="F725" s="210" t="b">
        <f>VLOOKUP(C725, 'List of log slots'!$A:$C, 3, FALSE)</f>
        <v>0</v>
      </c>
      <c r="G725" s="209" t="b">
        <f t="shared" si="377"/>
        <v>0</v>
      </c>
      <c r="H725" s="209" t="b">
        <f t="shared" si="7"/>
        <v>1</v>
      </c>
      <c r="I725" s="208" t="b">
        <f t="shared" ref="I725:J725" si="467">FALSE</f>
        <v>0</v>
      </c>
      <c r="J725" s="208" t="b">
        <f t="shared" si="467"/>
        <v>0</v>
      </c>
      <c r="K725" s="214">
        <v>468.0</v>
      </c>
      <c r="L725" s="212" t="str">
        <f t="shared" si="3"/>
        <v>n/a</v>
      </c>
      <c r="M725" s="212" t="str">
        <f t="shared" si="4"/>
        <v>n/a</v>
      </c>
      <c r="N725" s="207" t="str">
        <f t="shared" si="5"/>
        <v>n/a</v>
      </c>
      <c r="O725" s="207">
        <f t="shared" si="6"/>
        <v>0.002136752137</v>
      </c>
    </row>
    <row r="726" ht="15.75" customHeight="1">
      <c r="A726" s="207">
        <v>69.0</v>
      </c>
      <c r="B726" s="6" t="str">
        <f>VLOOKUP($A726, 'Completion rates'!$A:$E, 2, FALSE)</f>
        <v>Opening easy caskets</v>
      </c>
      <c r="C726" s="207">
        <v>12253.0</v>
      </c>
      <c r="D726" s="6" t="str">
        <f>VLOOKUP($C726, 'List of log slots'!$A:$E, 2, FALSE)</f>
        <v>Armadyl robe top</v>
      </c>
      <c r="E726" s="207">
        <f>VLOOKUP($C726, 'List of log slots'!$A:$E, 5, FALSE)</f>
        <v>3</v>
      </c>
      <c r="F726" s="210" t="b">
        <f>VLOOKUP(C726, 'List of log slots'!$A:$C, 3, FALSE)</f>
        <v>0</v>
      </c>
      <c r="G726" s="209" t="b">
        <f t="shared" si="377"/>
        <v>0</v>
      </c>
      <c r="H726" s="209" t="b">
        <f t="shared" si="7"/>
        <v>1</v>
      </c>
      <c r="I726" s="208" t="b">
        <f t="shared" ref="I726:J726" si="468">FALSE</f>
        <v>0</v>
      </c>
      <c r="J726" s="208" t="b">
        <f t="shared" si="468"/>
        <v>0</v>
      </c>
      <c r="K726" s="214">
        <v>468.0</v>
      </c>
      <c r="L726" s="212" t="str">
        <f t="shared" si="3"/>
        <v>n/a</v>
      </c>
      <c r="M726" s="212" t="str">
        <f t="shared" si="4"/>
        <v>n/a</v>
      </c>
      <c r="N726" s="207" t="str">
        <f t="shared" si="5"/>
        <v>n/a</v>
      </c>
      <c r="O726" s="207">
        <f t="shared" si="6"/>
        <v>0.002136752137</v>
      </c>
    </row>
    <row r="727" ht="15.75" customHeight="1">
      <c r="A727" s="207">
        <v>69.0</v>
      </c>
      <c r="B727" s="6" t="str">
        <f>VLOOKUP($A727, 'Completion rates'!$A:$E, 2, FALSE)</f>
        <v>Opening easy caskets</v>
      </c>
      <c r="C727" s="207">
        <v>12255.0</v>
      </c>
      <c r="D727" s="6" t="str">
        <f>VLOOKUP($C727, 'List of log slots'!$A:$E, 2, FALSE)</f>
        <v>Armadyl robe legs</v>
      </c>
      <c r="E727" s="207">
        <f>VLOOKUP($C727, 'List of log slots'!$A:$E, 5, FALSE)</f>
        <v>3</v>
      </c>
      <c r="F727" s="209" t="b">
        <f>VLOOKUP(C727, 'List of log slots'!$A:$C, 3, FALSE)</f>
        <v>0</v>
      </c>
      <c r="G727" s="209" t="b">
        <f t="shared" si="377"/>
        <v>0</v>
      </c>
      <c r="H727" s="210" t="b">
        <f t="shared" si="7"/>
        <v>1</v>
      </c>
      <c r="I727" s="208" t="b">
        <f t="shared" ref="I727:J727" si="469">FALSE</f>
        <v>0</v>
      </c>
      <c r="J727" s="208" t="b">
        <f t="shared" si="469"/>
        <v>0</v>
      </c>
      <c r="K727" s="214">
        <v>468.0</v>
      </c>
      <c r="L727" s="212" t="str">
        <f t="shared" si="3"/>
        <v>n/a</v>
      </c>
      <c r="M727" s="212" t="str">
        <f t="shared" si="4"/>
        <v>n/a</v>
      </c>
      <c r="N727" s="207" t="str">
        <f t="shared" si="5"/>
        <v>n/a</v>
      </c>
      <c r="O727" s="207">
        <f t="shared" si="6"/>
        <v>0.002136752137</v>
      </c>
    </row>
    <row r="728" ht="15.75" customHeight="1">
      <c r="A728" s="207">
        <v>69.0</v>
      </c>
      <c r="B728" s="6" t="str">
        <f>VLOOKUP($A728, 'Completion rates'!$A:$E, 2, FALSE)</f>
        <v>Opening easy caskets</v>
      </c>
      <c r="C728" s="207">
        <v>12265.0</v>
      </c>
      <c r="D728" s="6" t="str">
        <f>VLOOKUP($C728, 'List of log slots'!$A:$E, 2, FALSE)</f>
        <v>Bandos robe top</v>
      </c>
      <c r="E728" s="207">
        <f>VLOOKUP($C728, 'List of log slots'!$A:$E, 5, FALSE)</f>
        <v>3</v>
      </c>
      <c r="F728" s="209" t="b">
        <f>VLOOKUP(C728, 'List of log slots'!$A:$C, 3, FALSE)</f>
        <v>0</v>
      </c>
      <c r="G728" s="209" t="b">
        <f t="shared" si="377"/>
        <v>0</v>
      </c>
      <c r="H728" s="210" t="b">
        <f t="shared" si="7"/>
        <v>1</v>
      </c>
      <c r="I728" s="208" t="b">
        <f t="shared" ref="I728:J728" si="470">FALSE</f>
        <v>0</v>
      </c>
      <c r="J728" s="208" t="b">
        <f t="shared" si="470"/>
        <v>0</v>
      </c>
      <c r="K728" s="214">
        <v>468.0</v>
      </c>
      <c r="L728" s="212" t="str">
        <f t="shared" si="3"/>
        <v>n/a</v>
      </c>
      <c r="M728" s="212" t="str">
        <f t="shared" si="4"/>
        <v>n/a</v>
      </c>
      <c r="N728" s="207" t="str">
        <f t="shared" si="5"/>
        <v>n/a</v>
      </c>
      <c r="O728" s="207">
        <f t="shared" si="6"/>
        <v>0.002136752137</v>
      </c>
    </row>
    <row r="729" ht="15.75" customHeight="1">
      <c r="A729" s="207">
        <v>69.0</v>
      </c>
      <c r="B729" s="6" t="str">
        <f>VLOOKUP($A729, 'Completion rates'!$A:$E, 2, FALSE)</f>
        <v>Opening easy caskets</v>
      </c>
      <c r="C729" s="207">
        <v>12267.0</v>
      </c>
      <c r="D729" s="6" t="str">
        <f>VLOOKUP($C729, 'List of log slots'!$A:$E, 2, FALSE)</f>
        <v>Bandos robe legs</v>
      </c>
      <c r="E729" s="207">
        <f>VLOOKUP($C729, 'List of log slots'!$A:$E, 5, FALSE)</f>
        <v>3</v>
      </c>
      <c r="F729" s="209" t="b">
        <f>VLOOKUP(C729, 'List of log slots'!$A:$C, 3, FALSE)</f>
        <v>0</v>
      </c>
      <c r="G729" s="209" t="b">
        <f t="shared" si="377"/>
        <v>0</v>
      </c>
      <c r="H729" s="210" t="b">
        <f t="shared" si="7"/>
        <v>1</v>
      </c>
      <c r="I729" s="208" t="b">
        <f t="shared" ref="I729:J729" si="471">FALSE</f>
        <v>0</v>
      </c>
      <c r="J729" s="208" t="b">
        <f t="shared" si="471"/>
        <v>0</v>
      </c>
      <c r="K729" s="214">
        <v>468.0</v>
      </c>
      <c r="L729" s="212" t="str">
        <f t="shared" si="3"/>
        <v>n/a</v>
      </c>
      <c r="M729" s="212" t="str">
        <f t="shared" si="4"/>
        <v>n/a</v>
      </c>
      <c r="N729" s="207" t="str">
        <f t="shared" si="5"/>
        <v>n/a</v>
      </c>
      <c r="O729" s="207">
        <f t="shared" si="6"/>
        <v>0.002136752137</v>
      </c>
    </row>
    <row r="730" ht="15.75" customHeight="1">
      <c r="A730" s="207">
        <v>69.0</v>
      </c>
      <c r="B730" s="6" t="str">
        <f>VLOOKUP($A730, 'Completion rates'!$A:$E, 2, FALSE)</f>
        <v>Opening easy caskets</v>
      </c>
      <c r="C730" s="207">
        <v>10316.0</v>
      </c>
      <c r="D730" s="6" t="str">
        <f>VLOOKUP($C730, 'List of log slots'!$A:$E, 2, FALSE)</f>
        <v>Bob's red shirt</v>
      </c>
      <c r="E730" s="207">
        <f>VLOOKUP($C730, 'List of log slots'!$A:$E, 5, FALSE)</f>
        <v>3</v>
      </c>
      <c r="F730" s="209" t="b">
        <f>VLOOKUP(C730, 'List of log slots'!$A:$C, 3, FALSE)</f>
        <v>0</v>
      </c>
      <c r="G730" s="209" t="b">
        <f t="shared" si="377"/>
        <v>0</v>
      </c>
      <c r="H730" s="210" t="b">
        <f t="shared" si="7"/>
        <v>1</v>
      </c>
      <c r="I730" s="208" t="b">
        <f t="shared" ref="I730:J730" si="472">FALSE</f>
        <v>0</v>
      </c>
      <c r="J730" s="208" t="b">
        <f t="shared" si="472"/>
        <v>0</v>
      </c>
      <c r="K730" s="214">
        <v>468.0</v>
      </c>
      <c r="L730" s="212" t="str">
        <f t="shared" si="3"/>
        <v>n/a</v>
      </c>
      <c r="M730" s="212" t="str">
        <f t="shared" si="4"/>
        <v>n/a</v>
      </c>
      <c r="N730" s="207" t="str">
        <f t="shared" si="5"/>
        <v>n/a</v>
      </c>
      <c r="O730" s="207">
        <f t="shared" si="6"/>
        <v>0.002136752137</v>
      </c>
    </row>
    <row r="731" ht="15.75" customHeight="1">
      <c r="A731" s="207">
        <v>69.0</v>
      </c>
      <c r="B731" s="6" t="str">
        <f>VLOOKUP($A731, 'Completion rates'!$A:$E, 2, FALSE)</f>
        <v>Opening easy caskets</v>
      </c>
      <c r="C731" s="207">
        <v>10320.0</v>
      </c>
      <c r="D731" s="6" t="str">
        <f>VLOOKUP($C731, 'List of log slots'!$A:$E, 2, FALSE)</f>
        <v>Bob's green shirt</v>
      </c>
      <c r="E731" s="207">
        <f>VLOOKUP($C731, 'List of log slots'!$A:$E, 5, FALSE)</f>
        <v>3</v>
      </c>
      <c r="F731" s="209" t="b">
        <f>VLOOKUP(C731, 'List of log slots'!$A:$C, 3, FALSE)</f>
        <v>0</v>
      </c>
      <c r="G731" s="209" t="b">
        <f t="shared" si="377"/>
        <v>0</v>
      </c>
      <c r="H731" s="210" t="b">
        <f t="shared" si="7"/>
        <v>1</v>
      </c>
      <c r="I731" s="208" t="b">
        <f t="shared" ref="I731:J731" si="473">FALSE</f>
        <v>0</v>
      </c>
      <c r="J731" s="208" t="b">
        <f t="shared" si="473"/>
        <v>0</v>
      </c>
      <c r="K731" s="214">
        <v>468.0</v>
      </c>
      <c r="L731" s="212" t="str">
        <f t="shared" si="3"/>
        <v>n/a</v>
      </c>
      <c r="M731" s="212" t="str">
        <f t="shared" si="4"/>
        <v>n/a</v>
      </c>
      <c r="N731" s="207" t="str">
        <f t="shared" si="5"/>
        <v>n/a</v>
      </c>
      <c r="O731" s="207">
        <f t="shared" si="6"/>
        <v>0.002136752137</v>
      </c>
    </row>
    <row r="732" ht="15.75" customHeight="1">
      <c r="A732" s="207">
        <v>69.0</v>
      </c>
      <c r="B732" s="6" t="str">
        <f>VLOOKUP($A732, 'Completion rates'!$A:$E, 2, FALSE)</f>
        <v>Opening easy caskets</v>
      </c>
      <c r="C732" s="207">
        <v>10318.0</v>
      </c>
      <c r="D732" s="6" t="str">
        <f>VLOOKUP($C732, 'List of log slots'!$A:$E, 2, FALSE)</f>
        <v>Bob's blue shirt</v>
      </c>
      <c r="E732" s="207">
        <f>VLOOKUP($C732, 'List of log slots'!$A:$E, 5, FALSE)</f>
        <v>3</v>
      </c>
      <c r="F732" s="209" t="b">
        <f>VLOOKUP(C732, 'List of log slots'!$A:$C, 3, FALSE)</f>
        <v>0</v>
      </c>
      <c r="G732" s="209" t="b">
        <f t="shared" si="377"/>
        <v>0</v>
      </c>
      <c r="H732" s="210" t="b">
        <f t="shared" si="7"/>
        <v>1</v>
      </c>
      <c r="I732" s="208" t="b">
        <f t="shared" ref="I732:J732" si="474">FALSE</f>
        <v>0</v>
      </c>
      <c r="J732" s="208" t="b">
        <f t="shared" si="474"/>
        <v>0</v>
      </c>
      <c r="K732" s="214">
        <v>468.0</v>
      </c>
      <c r="L732" s="212" t="str">
        <f t="shared" si="3"/>
        <v>n/a</v>
      </c>
      <c r="M732" s="212" t="str">
        <f t="shared" si="4"/>
        <v>n/a</v>
      </c>
      <c r="N732" s="207" t="str">
        <f t="shared" si="5"/>
        <v>n/a</v>
      </c>
      <c r="O732" s="207">
        <f t="shared" si="6"/>
        <v>0.002136752137</v>
      </c>
    </row>
    <row r="733" ht="15.75" customHeight="1">
      <c r="A733" s="207">
        <v>69.0</v>
      </c>
      <c r="B733" s="6" t="str">
        <f>VLOOKUP($A733, 'Completion rates'!$A:$E, 2, FALSE)</f>
        <v>Opening easy caskets</v>
      </c>
      <c r="C733" s="207">
        <v>10322.0</v>
      </c>
      <c r="D733" s="6" t="str">
        <f>VLOOKUP($C733, 'List of log slots'!$A:$E, 2, FALSE)</f>
        <v>Bob's black shirt</v>
      </c>
      <c r="E733" s="207">
        <f>VLOOKUP($C733, 'List of log slots'!$A:$E, 5, FALSE)</f>
        <v>3</v>
      </c>
      <c r="F733" s="210" t="b">
        <f>VLOOKUP(C733, 'List of log slots'!$A:$C, 3, FALSE)</f>
        <v>0</v>
      </c>
      <c r="G733" s="209" t="b">
        <f t="shared" si="377"/>
        <v>0</v>
      </c>
      <c r="H733" s="209" t="b">
        <f t="shared" si="7"/>
        <v>1</v>
      </c>
      <c r="I733" s="208" t="b">
        <f t="shared" ref="I733:J733" si="475">FALSE</f>
        <v>0</v>
      </c>
      <c r="J733" s="208" t="b">
        <f t="shared" si="475"/>
        <v>0</v>
      </c>
      <c r="K733" s="214">
        <v>468.0</v>
      </c>
      <c r="L733" s="212" t="str">
        <f t="shared" si="3"/>
        <v>n/a</v>
      </c>
      <c r="M733" s="212" t="str">
        <f t="shared" si="4"/>
        <v>n/a</v>
      </c>
      <c r="N733" s="207" t="str">
        <f t="shared" si="5"/>
        <v>n/a</v>
      </c>
      <c r="O733" s="207">
        <f t="shared" si="6"/>
        <v>0.002136752137</v>
      </c>
    </row>
    <row r="734" ht="15.75" customHeight="1">
      <c r="A734" s="207">
        <v>69.0</v>
      </c>
      <c r="B734" s="6" t="str">
        <f>VLOOKUP($A734, 'Completion rates'!$A:$E, 2, FALSE)</f>
        <v>Opening easy caskets</v>
      </c>
      <c r="C734" s="207">
        <v>10324.0</v>
      </c>
      <c r="D734" s="6" t="str">
        <f>VLOOKUP($C734, 'List of log slots'!$A:$E, 2, FALSE)</f>
        <v>Bob's purple shirt</v>
      </c>
      <c r="E734" s="207">
        <f>VLOOKUP($C734, 'List of log slots'!$A:$E, 5, FALSE)</f>
        <v>3</v>
      </c>
      <c r="F734" s="209" t="b">
        <f>VLOOKUP(C734, 'List of log slots'!$A:$C, 3, FALSE)</f>
        <v>0</v>
      </c>
      <c r="G734" s="209" t="b">
        <f t="shared" si="377"/>
        <v>0</v>
      </c>
      <c r="H734" s="210" t="b">
        <f t="shared" si="7"/>
        <v>1</v>
      </c>
      <c r="I734" s="208" t="b">
        <f t="shared" ref="I734:J734" si="476">FALSE</f>
        <v>0</v>
      </c>
      <c r="J734" s="208" t="b">
        <f t="shared" si="476"/>
        <v>0</v>
      </c>
      <c r="K734" s="214">
        <v>468.0</v>
      </c>
      <c r="L734" s="212" t="str">
        <f t="shared" si="3"/>
        <v>n/a</v>
      </c>
      <c r="M734" s="212" t="str">
        <f t="shared" si="4"/>
        <v>n/a</v>
      </c>
      <c r="N734" s="207" t="str">
        <f t="shared" si="5"/>
        <v>n/a</v>
      </c>
      <c r="O734" s="207">
        <f t="shared" si="6"/>
        <v>0.002136752137</v>
      </c>
    </row>
    <row r="735" ht="15.75" customHeight="1">
      <c r="A735" s="207">
        <v>69.0</v>
      </c>
      <c r="B735" s="6" t="str">
        <f>VLOOKUP($A735, 'Completion rates'!$A:$E, 2, FALSE)</f>
        <v>Opening easy caskets</v>
      </c>
      <c r="C735" s="207">
        <v>2631.0</v>
      </c>
      <c r="D735" s="6" t="str">
        <f>VLOOKUP($C735, 'List of log slots'!$A:$E, 2, FALSE)</f>
        <v>Highwayman mask</v>
      </c>
      <c r="E735" s="207">
        <f>VLOOKUP($C735, 'List of log slots'!$A:$E, 5, FALSE)</f>
        <v>3</v>
      </c>
      <c r="F735" s="209" t="b">
        <f>VLOOKUP(C735, 'List of log slots'!$A:$C, 3, FALSE)</f>
        <v>0</v>
      </c>
      <c r="G735" s="209" t="b">
        <f t="shared" si="377"/>
        <v>0</v>
      </c>
      <c r="H735" s="210" t="b">
        <f t="shared" si="7"/>
        <v>1</v>
      </c>
      <c r="I735" s="208" t="b">
        <f t="shared" ref="I735:J735" si="477">FALSE</f>
        <v>0</v>
      </c>
      <c r="J735" s="208" t="b">
        <f t="shared" si="477"/>
        <v>0</v>
      </c>
      <c r="K735" s="214">
        <v>468.0</v>
      </c>
      <c r="L735" s="212" t="str">
        <f t="shared" si="3"/>
        <v>n/a</v>
      </c>
      <c r="M735" s="212" t="str">
        <f t="shared" si="4"/>
        <v>n/a</v>
      </c>
      <c r="N735" s="207" t="str">
        <f t="shared" si="5"/>
        <v>n/a</v>
      </c>
      <c r="O735" s="207">
        <f t="shared" si="6"/>
        <v>0.002136752137</v>
      </c>
    </row>
    <row r="736" ht="15.75" customHeight="1">
      <c r="A736" s="207">
        <v>69.0</v>
      </c>
      <c r="B736" s="6" t="str">
        <f>VLOOKUP($A736, 'Completion rates'!$A:$E, 2, FALSE)</f>
        <v>Opening easy caskets</v>
      </c>
      <c r="C736" s="207">
        <v>2633.0</v>
      </c>
      <c r="D736" s="6" t="str">
        <f>VLOOKUP($C736, 'List of log slots'!$A:$E, 2, FALSE)</f>
        <v>Blue beret</v>
      </c>
      <c r="E736" s="207">
        <f>VLOOKUP($C736, 'List of log slots'!$A:$E, 5, FALSE)</f>
        <v>3</v>
      </c>
      <c r="F736" s="210" t="b">
        <f>VLOOKUP(C736, 'List of log slots'!$A:$C, 3, FALSE)</f>
        <v>0</v>
      </c>
      <c r="G736" s="209" t="b">
        <f t="shared" si="377"/>
        <v>0</v>
      </c>
      <c r="H736" s="209" t="b">
        <f t="shared" si="7"/>
        <v>1</v>
      </c>
      <c r="I736" s="208" t="b">
        <f t="shared" ref="I736:J736" si="478">FALSE</f>
        <v>0</v>
      </c>
      <c r="J736" s="208" t="b">
        <f t="shared" si="478"/>
        <v>0</v>
      </c>
      <c r="K736" s="214">
        <v>468.0</v>
      </c>
      <c r="L736" s="212" t="str">
        <f t="shared" si="3"/>
        <v>n/a</v>
      </c>
      <c r="M736" s="212" t="str">
        <f t="shared" si="4"/>
        <v>n/a</v>
      </c>
      <c r="N736" s="207" t="str">
        <f t="shared" si="5"/>
        <v>n/a</v>
      </c>
      <c r="O736" s="207">
        <f t="shared" si="6"/>
        <v>0.002136752137</v>
      </c>
    </row>
    <row r="737" ht="15.75" customHeight="1">
      <c r="A737" s="207">
        <v>69.0</v>
      </c>
      <c r="B737" s="6" t="str">
        <f>VLOOKUP($A737, 'Completion rates'!$A:$E, 2, FALSE)</f>
        <v>Opening easy caskets</v>
      </c>
      <c r="C737" s="207">
        <v>2635.0</v>
      </c>
      <c r="D737" s="6" t="str">
        <f>VLOOKUP($C737, 'List of log slots'!$A:$E, 2, FALSE)</f>
        <v>Black beret</v>
      </c>
      <c r="E737" s="207">
        <f>VLOOKUP($C737, 'List of log slots'!$A:$E, 5, FALSE)</f>
        <v>3</v>
      </c>
      <c r="F737" s="209" t="b">
        <f>VLOOKUP(C737, 'List of log slots'!$A:$C, 3, FALSE)</f>
        <v>0</v>
      </c>
      <c r="G737" s="209" t="b">
        <f t="shared" si="377"/>
        <v>0</v>
      </c>
      <c r="H737" s="210" t="b">
        <f t="shared" si="7"/>
        <v>1</v>
      </c>
      <c r="I737" s="208" t="b">
        <f t="shared" ref="I737:J737" si="479">FALSE</f>
        <v>0</v>
      </c>
      <c r="J737" s="208" t="b">
        <f t="shared" si="479"/>
        <v>0</v>
      </c>
      <c r="K737" s="214">
        <v>468.0</v>
      </c>
      <c r="L737" s="212" t="str">
        <f t="shared" si="3"/>
        <v>n/a</v>
      </c>
      <c r="M737" s="212" t="str">
        <f t="shared" si="4"/>
        <v>n/a</v>
      </c>
      <c r="N737" s="207" t="str">
        <f t="shared" si="5"/>
        <v>n/a</v>
      </c>
      <c r="O737" s="207">
        <f t="shared" si="6"/>
        <v>0.002136752137</v>
      </c>
    </row>
    <row r="738" ht="15.75" customHeight="1">
      <c r="A738" s="207">
        <v>69.0</v>
      </c>
      <c r="B738" s="6" t="str">
        <f>VLOOKUP($A738, 'Completion rates'!$A:$E, 2, FALSE)</f>
        <v>Opening easy caskets</v>
      </c>
      <c r="C738" s="207">
        <v>2637.0</v>
      </c>
      <c r="D738" s="6" t="str">
        <f>VLOOKUP($C738, 'List of log slots'!$A:$E, 2, FALSE)</f>
        <v>White beret</v>
      </c>
      <c r="E738" s="207">
        <f>VLOOKUP($C738, 'List of log slots'!$A:$E, 5, FALSE)</f>
        <v>3</v>
      </c>
      <c r="F738" s="209" t="b">
        <f>VLOOKUP(C738, 'List of log slots'!$A:$C, 3, FALSE)</f>
        <v>0</v>
      </c>
      <c r="G738" s="209" t="b">
        <f t="shared" si="377"/>
        <v>0</v>
      </c>
      <c r="H738" s="210" t="b">
        <f t="shared" si="7"/>
        <v>1</v>
      </c>
      <c r="I738" s="208" t="b">
        <f t="shared" ref="I738:J738" si="480">FALSE</f>
        <v>0</v>
      </c>
      <c r="J738" s="208" t="b">
        <f t="shared" si="480"/>
        <v>0</v>
      </c>
      <c r="K738" s="214">
        <v>468.0</v>
      </c>
      <c r="L738" s="212" t="str">
        <f t="shared" si="3"/>
        <v>n/a</v>
      </c>
      <c r="M738" s="212" t="str">
        <f t="shared" si="4"/>
        <v>n/a</v>
      </c>
      <c r="N738" s="207" t="str">
        <f t="shared" si="5"/>
        <v>n/a</v>
      </c>
      <c r="O738" s="207">
        <f t="shared" si="6"/>
        <v>0.002136752137</v>
      </c>
    </row>
    <row r="739" ht="15.75" customHeight="1">
      <c r="A739" s="207">
        <v>69.0</v>
      </c>
      <c r="B739" s="6" t="str">
        <f>VLOOKUP($A739, 'Completion rates'!$A:$E, 2, FALSE)</f>
        <v>Opening easy caskets</v>
      </c>
      <c r="C739" s="207">
        <v>12247.0</v>
      </c>
      <c r="D739" s="6" t="str">
        <f>VLOOKUP($C739, 'List of log slots'!$A:$E, 2, FALSE)</f>
        <v>Red beret</v>
      </c>
      <c r="E739" s="207">
        <f>VLOOKUP($C739, 'List of log slots'!$A:$E, 5, FALSE)</f>
        <v>3</v>
      </c>
      <c r="F739" s="209" t="b">
        <f>VLOOKUP(C739, 'List of log slots'!$A:$C, 3, FALSE)</f>
        <v>0</v>
      </c>
      <c r="G739" s="209" t="b">
        <f t="shared" si="377"/>
        <v>0</v>
      </c>
      <c r="H739" s="210" t="b">
        <f t="shared" si="7"/>
        <v>1</v>
      </c>
      <c r="I739" s="208" t="b">
        <f t="shared" ref="I739:J739" si="481">FALSE</f>
        <v>0</v>
      </c>
      <c r="J739" s="208" t="b">
        <f t="shared" si="481"/>
        <v>0</v>
      </c>
      <c r="K739" s="214">
        <v>468.0</v>
      </c>
      <c r="L739" s="212" t="str">
        <f t="shared" si="3"/>
        <v>n/a</v>
      </c>
      <c r="M739" s="212" t="str">
        <f t="shared" si="4"/>
        <v>n/a</v>
      </c>
      <c r="N739" s="207" t="str">
        <f t="shared" si="5"/>
        <v>n/a</v>
      </c>
      <c r="O739" s="207">
        <f t="shared" si="6"/>
        <v>0.002136752137</v>
      </c>
    </row>
    <row r="740" ht="15.75" customHeight="1">
      <c r="A740" s="207">
        <v>69.0</v>
      </c>
      <c r="B740" s="6" t="str">
        <f>VLOOKUP($A740, 'Completion rates'!$A:$E, 2, FALSE)</f>
        <v>Opening easy caskets</v>
      </c>
      <c r="C740" s="207">
        <v>10392.0</v>
      </c>
      <c r="D740" s="6" t="str">
        <f>VLOOKUP($C740, 'List of log slots'!$A:$E, 2, FALSE)</f>
        <v>A powdered wig</v>
      </c>
      <c r="E740" s="207">
        <f>VLOOKUP($C740, 'List of log slots'!$A:$E, 5, FALSE)</f>
        <v>3</v>
      </c>
      <c r="F740" s="209" t="b">
        <f>VLOOKUP(C740, 'List of log slots'!$A:$C, 3, FALSE)</f>
        <v>0</v>
      </c>
      <c r="G740" s="209" t="b">
        <f t="shared" si="377"/>
        <v>0</v>
      </c>
      <c r="H740" s="210" t="b">
        <f t="shared" si="7"/>
        <v>1</v>
      </c>
      <c r="I740" s="208" t="b">
        <f t="shared" ref="I740:J740" si="482">FALSE</f>
        <v>0</v>
      </c>
      <c r="J740" s="208" t="b">
        <f t="shared" si="482"/>
        <v>0</v>
      </c>
      <c r="K740" s="214">
        <v>468.0</v>
      </c>
      <c r="L740" s="212" t="str">
        <f t="shared" si="3"/>
        <v>n/a</v>
      </c>
      <c r="M740" s="212" t="str">
        <f t="shared" si="4"/>
        <v>n/a</v>
      </c>
      <c r="N740" s="207" t="str">
        <f t="shared" si="5"/>
        <v>n/a</v>
      </c>
      <c r="O740" s="207">
        <f t="shared" si="6"/>
        <v>0.002136752137</v>
      </c>
    </row>
    <row r="741" ht="15.75" customHeight="1">
      <c r="A741" s="207">
        <v>69.0</v>
      </c>
      <c r="B741" s="6" t="str">
        <f>VLOOKUP($A741, 'Completion rates'!$A:$E, 2, FALSE)</f>
        <v>Opening easy caskets</v>
      </c>
      <c r="C741" s="207">
        <v>12245.0</v>
      </c>
      <c r="D741" s="6" t="str">
        <f>VLOOKUP($C741, 'List of log slots'!$A:$E, 2, FALSE)</f>
        <v>Beanie</v>
      </c>
      <c r="E741" s="207">
        <f>VLOOKUP($C741, 'List of log slots'!$A:$E, 5, FALSE)</f>
        <v>3</v>
      </c>
      <c r="F741" s="209" t="b">
        <f>VLOOKUP(C741, 'List of log slots'!$A:$C, 3, FALSE)</f>
        <v>0</v>
      </c>
      <c r="G741" s="209" t="b">
        <f t="shared" si="377"/>
        <v>0</v>
      </c>
      <c r="H741" s="210" t="b">
        <f t="shared" si="7"/>
        <v>1</v>
      </c>
      <c r="I741" s="208" t="b">
        <f t="shared" ref="I741:J741" si="483">FALSE</f>
        <v>0</v>
      </c>
      <c r="J741" s="208" t="b">
        <f t="shared" si="483"/>
        <v>0</v>
      </c>
      <c r="K741" s="214">
        <v>468.0</v>
      </c>
      <c r="L741" s="212" t="str">
        <f t="shared" si="3"/>
        <v>n/a</v>
      </c>
      <c r="M741" s="212" t="str">
        <f t="shared" si="4"/>
        <v>n/a</v>
      </c>
      <c r="N741" s="207" t="str">
        <f t="shared" si="5"/>
        <v>n/a</v>
      </c>
      <c r="O741" s="207">
        <f t="shared" si="6"/>
        <v>0.002136752137</v>
      </c>
    </row>
    <row r="742" ht="15.75" customHeight="1">
      <c r="A742" s="207">
        <v>69.0</v>
      </c>
      <c r="B742" s="6" t="str">
        <f>VLOOKUP($A742, 'Completion rates'!$A:$E, 2, FALSE)</f>
        <v>Opening easy caskets</v>
      </c>
      <c r="C742" s="207">
        <v>12249.0</v>
      </c>
      <c r="D742" s="6" t="str">
        <f>VLOOKUP($C742, 'List of log slots'!$A:$E, 2, FALSE)</f>
        <v>Imp mask</v>
      </c>
      <c r="E742" s="207">
        <f>VLOOKUP($C742, 'List of log slots'!$A:$E, 5, FALSE)</f>
        <v>3</v>
      </c>
      <c r="F742" s="210" t="b">
        <f>VLOOKUP(C742, 'List of log slots'!$A:$C, 3, FALSE)</f>
        <v>0</v>
      </c>
      <c r="G742" s="209" t="b">
        <f t="shared" si="377"/>
        <v>0</v>
      </c>
      <c r="H742" s="209" t="b">
        <f t="shared" si="7"/>
        <v>1</v>
      </c>
      <c r="I742" s="208" t="b">
        <f t="shared" ref="I742:J742" si="484">FALSE</f>
        <v>0</v>
      </c>
      <c r="J742" s="208" t="b">
        <f t="shared" si="484"/>
        <v>0</v>
      </c>
      <c r="K742" s="214">
        <v>468.0</v>
      </c>
      <c r="L742" s="212" t="str">
        <f t="shared" si="3"/>
        <v>n/a</v>
      </c>
      <c r="M742" s="212" t="str">
        <f t="shared" si="4"/>
        <v>n/a</v>
      </c>
      <c r="N742" s="207" t="str">
        <f t="shared" si="5"/>
        <v>n/a</v>
      </c>
      <c r="O742" s="207">
        <f t="shared" si="6"/>
        <v>0.002136752137</v>
      </c>
    </row>
    <row r="743" ht="15.75" customHeight="1">
      <c r="A743" s="207">
        <v>69.0</v>
      </c>
      <c r="B743" s="6" t="str">
        <f>VLOOKUP($A743, 'Completion rates'!$A:$E, 2, FALSE)</f>
        <v>Opening easy caskets</v>
      </c>
      <c r="C743" s="207">
        <v>12251.0</v>
      </c>
      <c r="D743" s="6" t="str">
        <f>VLOOKUP($C743, 'List of log slots'!$A:$E, 2, FALSE)</f>
        <v>Goblin mask</v>
      </c>
      <c r="E743" s="207">
        <f>VLOOKUP($C743, 'List of log slots'!$A:$E, 5, FALSE)</f>
        <v>3</v>
      </c>
      <c r="F743" s="209" t="b">
        <f>VLOOKUP(C743, 'List of log slots'!$A:$C, 3, FALSE)</f>
        <v>0</v>
      </c>
      <c r="G743" s="209" t="b">
        <f t="shared" si="377"/>
        <v>0</v>
      </c>
      <c r="H743" s="210" t="b">
        <f t="shared" si="7"/>
        <v>1</v>
      </c>
      <c r="I743" s="208" t="b">
        <f t="shared" ref="I743:J743" si="485">FALSE</f>
        <v>0</v>
      </c>
      <c r="J743" s="208" t="b">
        <f t="shared" si="485"/>
        <v>0</v>
      </c>
      <c r="K743" s="214">
        <v>468.0</v>
      </c>
      <c r="L743" s="212" t="str">
        <f t="shared" si="3"/>
        <v>n/a</v>
      </c>
      <c r="M743" s="212" t="str">
        <f t="shared" si="4"/>
        <v>n/a</v>
      </c>
      <c r="N743" s="207" t="str">
        <f t="shared" si="5"/>
        <v>n/a</v>
      </c>
      <c r="O743" s="207">
        <f t="shared" si="6"/>
        <v>0.002136752137</v>
      </c>
    </row>
    <row r="744" ht="15.75" customHeight="1">
      <c r="A744" s="207">
        <v>69.0</v>
      </c>
      <c r="B744" s="6" t="str">
        <f>VLOOKUP($A744, 'Completion rates'!$A:$E, 2, FALSE)</f>
        <v>Opening easy caskets</v>
      </c>
      <c r="C744" s="207">
        <v>10398.0</v>
      </c>
      <c r="D744" s="6" t="str">
        <f>VLOOKUP($C744, 'List of log slots'!$A:$E, 2, FALSE)</f>
        <v>Sleeping cap</v>
      </c>
      <c r="E744" s="207">
        <f>VLOOKUP($C744, 'List of log slots'!$A:$E, 5, FALSE)</f>
        <v>3</v>
      </c>
      <c r="F744" s="210" t="b">
        <f>VLOOKUP(C744, 'List of log slots'!$A:$C, 3, FALSE)</f>
        <v>0</v>
      </c>
      <c r="G744" s="209" t="b">
        <f t="shared" si="377"/>
        <v>0</v>
      </c>
      <c r="H744" s="209" t="b">
        <f t="shared" si="7"/>
        <v>1</v>
      </c>
      <c r="I744" s="208" t="b">
        <f t="shared" ref="I744:J744" si="486">FALSE</f>
        <v>0</v>
      </c>
      <c r="J744" s="208" t="b">
        <f t="shared" si="486"/>
        <v>0</v>
      </c>
      <c r="K744" s="214">
        <v>468.0</v>
      </c>
      <c r="L744" s="212" t="str">
        <f t="shared" si="3"/>
        <v>n/a</v>
      </c>
      <c r="M744" s="212" t="str">
        <f t="shared" si="4"/>
        <v>n/a</v>
      </c>
      <c r="N744" s="207" t="str">
        <f t="shared" si="5"/>
        <v>n/a</v>
      </c>
      <c r="O744" s="207">
        <f t="shared" si="6"/>
        <v>0.002136752137</v>
      </c>
    </row>
    <row r="745" ht="15.75" customHeight="1">
      <c r="A745" s="207">
        <v>69.0</v>
      </c>
      <c r="B745" s="6" t="str">
        <f>VLOOKUP($A745, 'Completion rates'!$A:$E, 2, FALSE)</f>
        <v>Opening easy caskets</v>
      </c>
      <c r="C745" s="207">
        <v>10394.0</v>
      </c>
      <c r="D745" s="6" t="str">
        <f>VLOOKUP($C745, 'List of log slots'!$A:$E, 2, FALSE)</f>
        <v>Flared trousers</v>
      </c>
      <c r="E745" s="207">
        <f>VLOOKUP($C745, 'List of log slots'!$A:$E, 5, FALSE)</f>
        <v>3</v>
      </c>
      <c r="F745" s="209" t="b">
        <f>VLOOKUP(C745, 'List of log slots'!$A:$C, 3, FALSE)</f>
        <v>0</v>
      </c>
      <c r="G745" s="209" t="b">
        <f t="shared" si="377"/>
        <v>0</v>
      </c>
      <c r="H745" s="210" t="b">
        <f t="shared" si="7"/>
        <v>1</v>
      </c>
      <c r="I745" s="208" t="b">
        <f t="shared" ref="I745:J745" si="487">FALSE</f>
        <v>0</v>
      </c>
      <c r="J745" s="208" t="b">
        <f t="shared" si="487"/>
        <v>0</v>
      </c>
      <c r="K745" s="214">
        <v>468.0</v>
      </c>
      <c r="L745" s="212" t="str">
        <f t="shared" si="3"/>
        <v>n/a</v>
      </c>
      <c r="M745" s="212" t="str">
        <f t="shared" si="4"/>
        <v>n/a</v>
      </c>
      <c r="N745" s="207" t="str">
        <f t="shared" si="5"/>
        <v>n/a</v>
      </c>
      <c r="O745" s="207">
        <f t="shared" si="6"/>
        <v>0.002136752137</v>
      </c>
    </row>
    <row r="746" ht="15.75" customHeight="1">
      <c r="A746" s="207">
        <v>69.0</v>
      </c>
      <c r="B746" s="6" t="str">
        <f>VLOOKUP($A746, 'Completion rates'!$A:$E, 2, FALSE)</f>
        <v>Opening easy caskets</v>
      </c>
      <c r="C746" s="207">
        <v>10396.0</v>
      </c>
      <c r="D746" s="6" t="str">
        <f>VLOOKUP($C746, 'List of log slots'!$A:$E, 2, FALSE)</f>
        <v>Pantaloons</v>
      </c>
      <c r="E746" s="207">
        <f>VLOOKUP($C746, 'List of log slots'!$A:$E, 5, FALSE)</f>
        <v>3</v>
      </c>
      <c r="F746" s="209" t="b">
        <f>VLOOKUP(C746, 'List of log slots'!$A:$C, 3, FALSE)</f>
        <v>0</v>
      </c>
      <c r="G746" s="209" t="b">
        <f t="shared" si="377"/>
        <v>0</v>
      </c>
      <c r="H746" s="210" t="b">
        <f t="shared" si="7"/>
        <v>1</v>
      </c>
      <c r="I746" s="208" t="b">
        <f t="shared" ref="I746:J746" si="488">FALSE</f>
        <v>0</v>
      </c>
      <c r="J746" s="208" t="b">
        <f t="shared" si="488"/>
        <v>0</v>
      </c>
      <c r="K746" s="214">
        <v>468.0</v>
      </c>
      <c r="L746" s="212" t="str">
        <f t="shared" si="3"/>
        <v>n/a</v>
      </c>
      <c r="M746" s="212" t="str">
        <f t="shared" si="4"/>
        <v>n/a</v>
      </c>
      <c r="N746" s="207" t="str">
        <f t="shared" si="5"/>
        <v>n/a</v>
      </c>
      <c r="O746" s="207">
        <f t="shared" si="6"/>
        <v>0.002136752137</v>
      </c>
    </row>
    <row r="747" ht="15.75" customHeight="1">
      <c r="A747" s="207">
        <v>69.0</v>
      </c>
      <c r="B747" s="6" t="str">
        <f>VLOOKUP($A747, 'Completion rates'!$A:$E, 2, FALSE)</f>
        <v>Opening easy caskets</v>
      </c>
      <c r="C747" s="207">
        <v>12375.0</v>
      </c>
      <c r="D747" s="6" t="str">
        <f>VLOOKUP($C747, 'List of log slots'!$A:$E, 2, FALSE)</f>
        <v>Black cane</v>
      </c>
      <c r="E747" s="207">
        <f>VLOOKUP($C747, 'List of log slots'!$A:$E, 5, FALSE)</f>
        <v>3</v>
      </c>
      <c r="F747" s="210" t="b">
        <f>VLOOKUP(C747, 'List of log slots'!$A:$C, 3, FALSE)</f>
        <v>0</v>
      </c>
      <c r="G747" s="209" t="b">
        <f t="shared" si="377"/>
        <v>0</v>
      </c>
      <c r="H747" s="209" t="b">
        <f t="shared" si="7"/>
        <v>1</v>
      </c>
      <c r="I747" s="208" t="b">
        <f t="shared" ref="I747:J747" si="489">FALSE</f>
        <v>0</v>
      </c>
      <c r="J747" s="208" t="b">
        <f t="shared" si="489"/>
        <v>0</v>
      </c>
      <c r="K747" s="214">
        <v>468.0</v>
      </c>
      <c r="L747" s="212" t="str">
        <f t="shared" si="3"/>
        <v>n/a</v>
      </c>
      <c r="M747" s="212" t="str">
        <f t="shared" si="4"/>
        <v>n/a</v>
      </c>
      <c r="N747" s="207" t="str">
        <f t="shared" si="5"/>
        <v>n/a</v>
      </c>
      <c r="O747" s="207">
        <f t="shared" si="6"/>
        <v>0.002136752137</v>
      </c>
    </row>
    <row r="748" ht="15.75" customHeight="1">
      <c r="A748" s="207">
        <v>69.0</v>
      </c>
      <c r="B748" s="6" t="str">
        <f>VLOOKUP($A748, 'Completion rates'!$A:$E, 2, FALSE)</f>
        <v>Opening easy caskets</v>
      </c>
      <c r="C748" s="207">
        <v>23363.0</v>
      </c>
      <c r="D748" s="6" t="str">
        <f>VLOOKUP($C748, 'List of log slots'!$A:$E, 2, FALSE)</f>
        <v>Staff of bob the cat</v>
      </c>
      <c r="E748" s="207">
        <f>VLOOKUP($C748, 'List of log slots'!$A:$E, 5, FALSE)</f>
        <v>3</v>
      </c>
      <c r="F748" s="210" t="b">
        <f>VLOOKUP(C748, 'List of log slots'!$A:$C, 3, FALSE)</f>
        <v>0</v>
      </c>
      <c r="G748" s="209" t="b">
        <f t="shared" si="377"/>
        <v>0</v>
      </c>
      <c r="H748" s="209" t="b">
        <f t="shared" si="7"/>
        <v>1</v>
      </c>
      <c r="I748" s="208" t="b">
        <f t="shared" ref="I748:J748" si="490">FALSE</f>
        <v>0</v>
      </c>
      <c r="J748" s="208" t="b">
        <f t="shared" si="490"/>
        <v>0</v>
      </c>
      <c r="K748" s="214">
        <v>468.0</v>
      </c>
      <c r="L748" s="212" t="str">
        <f t="shared" si="3"/>
        <v>n/a</v>
      </c>
      <c r="M748" s="212" t="str">
        <f t="shared" si="4"/>
        <v>n/a</v>
      </c>
      <c r="N748" s="207" t="str">
        <f t="shared" si="5"/>
        <v>n/a</v>
      </c>
      <c r="O748" s="207">
        <f t="shared" si="6"/>
        <v>0.002136752137</v>
      </c>
    </row>
    <row r="749" ht="15.75" customHeight="1">
      <c r="A749" s="207">
        <v>69.0</v>
      </c>
      <c r="B749" s="6" t="str">
        <f>VLOOKUP($A749, 'Completion rates'!$A:$E, 2, FALSE)</f>
        <v>Opening easy caskets</v>
      </c>
      <c r="C749" s="207">
        <v>10404.0</v>
      </c>
      <c r="D749" s="6" t="str">
        <f>VLOOKUP($C749, 'List of log slots'!$A:$E, 2, FALSE)</f>
        <v>Red elegant shirt</v>
      </c>
      <c r="E749" s="207">
        <f>VLOOKUP($C749, 'List of log slots'!$A:$E, 5, FALSE)</f>
        <v>3</v>
      </c>
      <c r="F749" s="209" t="b">
        <f>VLOOKUP(C749, 'List of log slots'!$A:$C, 3, FALSE)</f>
        <v>0</v>
      </c>
      <c r="G749" s="209" t="b">
        <f t="shared" si="377"/>
        <v>0</v>
      </c>
      <c r="H749" s="210" t="b">
        <f t="shared" si="7"/>
        <v>1</v>
      </c>
      <c r="I749" s="208" t="b">
        <f t="shared" ref="I749:J749" si="491">FALSE</f>
        <v>0</v>
      </c>
      <c r="J749" s="208" t="b">
        <f t="shared" si="491"/>
        <v>0</v>
      </c>
      <c r="K749" s="214">
        <v>936.0</v>
      </c>
      <c r="L749" s="212" t="str">
        <f t="shared" si="3"/>
        <v>n/a</v>
      </c>
      <c r="M749" s="212" t="str">
        <f t="shared" si="4"/>
        <v>n/a</v>
      </c>
      <c r="N749" s="207" t="str">
        <f t="shared" si="5"/>
        <v>n/a</v>
      </c>
      <c r="O749" s="207">
        <f t="shared" si="6"/>
        <v>0.001068376068</v>
      </c>
    </row>
    <row r="750" ht="15.75" customHeight="1">
      <c r="A750" s="207">
        <v>69.0</v>
      </c>
      <c r="B750" s="6" t="str">
        <f>VLOOKUP($A750, 'Completion rates'!$A:$E, 2, FALSE)</f>
        <v>Opening easy caskets</v>
      </c>
      <c r="C750" s="207">
        <v>10424.0</v>
      </c>
      <c r="D750" s="6" t="str">
        <f>VLOOKUP($C750, 'List of log slots'!$A:$E, 2, FALSE)</f>
        <v>Red elegant blouse</v>
      </c>
      <c r="E750" s="207">
        <f>VLOOKUP($C750, 'List of log slots'!$A:$E, 5, FALSE)</f>
        <v>4</v>
      </c>
      <c r="F750" s="209" t="b">
        <f>VLOOKUP(C750, 'List of log slots'!$A:$C, 3, FALSE)</f>
        <v>0</v>
      </c>
      <c r="G750" s="209" t="b">
        <f t="shared" si="377"/>
        <v>0</v>
      </c>
      <c r="H750" s="210" t="b">
        <f t="shared" si="7"/>
        <v>1</v>
      </c>
      <c r="I750" s="208" t="b">
        <f t="shared" ref="I750:J750" si="492">FALSE</f>
        <v>0</v>
      </c>
      <c r="J750" s="208" t="b">
        <f t="shared" si="492"/>
        <v>0</v>
      </c>
      <c r="K750" s="214">
        <v>936.0</v>
      </c>
      <c r="L750" s="212" t="str">
        <f t="shared" si="3"/>
        <v>n/a</v>
      </c>
      <c r="M750" s="212" t="str">
        <f t="shared" si="4"/>
        <v>n/a</v>
      </c>
      <c r="N750" s="207" t="str">
        <f t="shared" si="5"/>
        <v>n/a</v>
      </c>
      <c r="O750" s="207">
        <f t="shared" si="6"/>
        <v>0.001068376068</v>
      </c>
    </row>
    <row r="751" ht="15.75" customHeight="1">
      <c r="A751" s="207">
        <v>69.0</v>
      </c>
      <c r="B751" s="6" t="str">
        <f>VLOOKUP($A751, 'Completion rates'!$A:$E, 2, FALSE)</f>
        <v>Opening easy caskets</v>
      </c>
      <c r="C751" s="207">
        <v>10406.0</v>
      </c>
      <c r="D751" s="6" t="str">
        <f>VLOOKUP($C751, 'List of log slots'!$A:$E, 2, FALSE)</f>
        <v>Red elegant legs</v>
      </c>
      <c r="E751" s="207">
        <f>VLOOKUP($C751, 'List of log slots'!$A:$E, 5, FALSE)</f>
        <v>4</v>
      </c>
      <c r="F751" s="209" t="b">
        <f>VLOOKUP(C751, 'List of log slots'!$A:$C, 3, FALSE)</f>
        <v>0</v>
      </c>
      <c r="G751" s="209" t="b">
        <f t="shared" si="377"/>
        <v>0</v>
      </c>
      <c r="H751" s="210" t="b">
        <f t="shared" si="7"/>
        <v>1</v>
      </c>
      <c r="I751" s="208" t="b">
        <f t="shared" ref="I751:J751" si="493">FALSE</f>
        <v>0</v>
      </c>
      <c r="J751" s="208" t="b">
        <f t="shared" si="493"/>
        <v>0</v>
      </c>
      <c r="K751" s="214">
        <v>936.0</v>
      </c>
      <c r="L751" s="212" t="str">
        <f t="shared" si="3"/>
        <v>n/a</v>
      </c>
      <c r="M751" s="212" t="str">
        <f t="shared" si="4"/>
        <v>n/a</v>
      </c>
      <c r="N751" s="207" t="str">
        <f t="shared" si="5"/>
        <v>n/a</v>
      </c>
      <c r="O751" s="207">
        <f t="shared" si="6"/>
        <v>0.001068376068</v>
      </c>
    </row>
    <row r="752" ht="15.75" customHeight="1">
      <c r="A752" s="207">
        <v>69.0</v>
      </c>
      <c r="B752" s="6" t="str">
        <f>VLOOKUP($A752, 'Completion rates'!$A:$E, 2, FALSE)</f>
        <v>Opening easy caskets</v>
      </c>
      <c r="C752" s="207">
        <v>10426.0</v>
      </c>
      <c r="D752" s="6" t="str">
        <f>VLOOKUP($C752, 'List of log slots'!$A:$E, 2, FALSE)</f>
        <v>Red elegant skirt</v>
      </c>
      <c r="E752" s="207">
        <f>VLOOKUP($C752, 'List of log slots'!$A:$E, 5, FALSE)</f>
        <v>4</v>
      </c>
      <c r="F752" s="209" t="b">
        <f>VLOOKUP(C752, 'List of log slots'!$A:$C, 3, FALSE)</f>
        <v>0</v>
      </c>
      <c r="G752" s="209" t="b">
        <f t="shared" si="377"/>
        <v>0</v>
      </c>
      <c r="H752" s="210" t="b">
        <f t="shared" si="7"/>
        <v>1</v>
      </c>
      <c r="I752" s="208" t="b">
        <f t="shared" ref="I752:J752" si="494">FALSE</f>
        <v>0</v>
      </c>
      <c r="J752" s="208" t="b">
        <f t="shared" si="494"/>
        <v>0</v>
      </c>
      <c r="K752" s="214">
        <v>936.0</v>
      </c>
      <c r="L752" s="212" t="str">
        <f t="shared" si="3"/>
        <v>n/a</v>
      </c>
      <c r="M752" s="212" t="str">
        <f t="shared" si="4"/>
        <v>n/a</v>
      </c>
      <c r="N752" s="207" t="str">
        <f t="shared" si="5"/>
        <v>n/a</v>
      </c>
      <c r="O752" s="207">
        <f t="shared" si="6"/>
        <v>0.001068376068</v>
      </c>
    </row>
    <row r="753" ht="15.75" customHeight="1">
      <c r="A753" s="207">
        <v>69.0</v>
      </c>
      <c r="B753" s="6" t="str">
        <f>VLOOKUP($A753, 'Completion rates'!$A:$E, 2, FALSE)</f>
        <v>Opening easy caskets</v>
      </c>
      <c r="C753" s="207">
        <v>10412.0</v>
      </c>
      <c r="D753" s="6" t="str">
        <f>VLOOKUP($C753, 'List of log slots'!$A:$E, 2, FALSE)</f>
        <v>Green elegant shirt</v>
      </c>
      <c r="E753" s="207">
        <f>VLOOKUP($C753, 'List of log slots'!$A:$E, 5, FALSE)</f>
        <v>4</v>
      </c>
      <c r="F753" s="209" t="b">
        <f>VLOOKUP(C753, 'List of log slots'!$A:$C, 3, FALSE)</f>
        <v>0</v>
      </c>
      <c r="G753" s="209" t="b">
        <f t="shared" si="377"/>
        <v>0</v>
      </c>
      <c r="H753" s="210" t="b">
        <f t="shared" si="7"/>
        <v>1</v>
      </c>
      <c r="I753" s="208" t="b">
        <f t="shared" ref="I753:J753" si="495">FALSE</f>
        <v>0</v>
      </c>
      <c r="J753" s="208" t="b">
        <f t="shared" si="495"/>
        <v>0</v>
      </c>
      <c r="K753" s="214">
        <v>936.0</v>
      </c>
      <c r="L753" s="212" t="str">
        <f t="shared" si="3"/>
        <v>n/a</v>
      </c>
      <c r="M753" s="212" t="str">
        <f t="shared" si="4"/>
        <v>n/a</v>
      </c>
      <c r="N753" s="207" t="str">
        <f t="shared" si="5"/>
        <v>n/a</v>
      </c>
      <c r="O753" s="207">
        <f t="shared" si="6"/>
        <v>0.001068376068</v>
      </c>
    </row>
    <row r="754" ht="15.75" customHeight="1">
      <c r="A754" s="207">
        <v>69.0</v>
      </c>
      <c r="B754" s="6" t="str">
        <f>VLOOKUP($A754, 'Completion rates'!$A:$E, 2, FALSE)</f>
        <v>Opening easy caskets</v>
      </c>
      <c r="C754" s="207">
        <v>10432.0</v>
      </c>
      <c r="D754" s="6" t="str">
        <f>VLOOKUP($C754, 'List of log slots'!$A:$E, 2, FALSE)</f>
        <v>Green elegant blouse</v>
      </c>
      <c r="E754" s="207">
        <f>VLOOKUP($C754, 'List of log slots'!$A:$E, 5, FALSE)</f>
        <v>4</v>
      </c>
      <c r="F754" s="210" t="b">
        <f>VLOOKUP(C754, 'List of log slots'!$A:$C, 3, FALSE)</f>
        <v>0</v>
      </c>
      <c r="G754" s="209" t="b">
        <f t="shared" si="377"/>
        <v>0</v>
      </c>
      <c r="H754" s="209" t="b">
        <f t="shared" si="7"/>
        <v>1</v>
      </c>
      <c r="I754" s="208" t="b">
        <f t="shared" ref="I754:J754" si="496">FALSE</f>
        <v>0</v>
      </c>
      <c r="J754" s="208" t="b">
        <f t="shared" si="496"/>
        <v>0</v>
      </c>
      <c r="K754" s="214">
        <v>936.0</v>
      </c>
      <c r="L754" s="212" t="str">
        <f t="shared" si="3"/>
        <v>n/a</v>
      </c>
      <c r="M754" s="212" t="str">
        <f t="shared" si="4"/>
        <v>n/a</v>
      </c>
      <c r="N754" s="207" t="str">
        <f t="shared" si="5"/>
        <v>n/a</v>
      </c>
      <c r="O754" s="207">
        <f t="shared" si="6"/>
        <v>0.001068376068</v>
      </c>
    </row>
    <row r="755" ht="15.75" customHeight="1">
      <c r="A755" s="207">
        <v>69.0</v>
      </c>
      <c r="B755" s="6" t="str">
        <f>VLOOKUP($A755, 'Completion rates'!$A:$E, 2, FALSE)</f>
        <v>Opening easy caskets</v>
      </c>
      <c r="C755" s="207">
        <v>10414.0</v>
      </c>
      <c r="D755" s="6" t="str">
        <f>VLOOKUP($C755, 'List of log slots'!$A:$E, 2, FALSE)</f>
        <v>Green elegant legs</v>
      </c>
      <c r="E755" s="207">
        <f>VLOOKUP($C755, 'List of log slots'!$A:$E, 5, FALSE)</f>
        <v>4</v>
      </c>
      <c r="F755" s="209" t="b">
        <f>VLOOKUP(C755, 'List of log slots'!$A:$C, 3, FALSE)</f>
        <v>0</v>
      </c>
      <c r="G755" s="209" t="b">
        <f t="shared" si="377"/>
        <v>0</v>
      </c>
      <c r="H755" s="210" t="b">
        <f t="shared" si="7"/>
        <v>1</v>
      </c>
      <c r="I755" s="208" t="b">
        <f t="shared" ref="I755:J755" si="497">FALSE</f>
        <v>0</v>
      </c>
      <c r="J755" s="208" t="b">
        <f t="shared" si="497"/>
        <v>0</v>
      </c>
      <c r="K755" s="214">
        <v>936.0</v>
      </c>
      <c r="L755" s="212" t="str">
        <f t="shared" si="3"/>
        <v>n/a</v>
      </c>
      <c r="M755" s="212" t="str">
        <f t="shared" si="4"/>
        <v>n/a</v>
      </c>
      <c r="N755" s="207" t="str">
        <f t="shared" si="5"/>
        <v>n/a</v>
      </c>
      <c r="O755" s="207">
        <f t="shared" si="6"/>
        <v>0.001068376068</v>
      </c>
    </row>
    <row r="756" ht="15.75" customHeight="1">
      <c r="A756" s="207">
        <v>69.0</v>
      </c>
      <c r="B756" s="6" t="str">
        <f>VLOOKUP($A756, 'Completion rates'!$A:$E, 2, FALSE)</f>
        <v>Opening easy caskets</v>
      </c>
      <c r="C756" s="207">
        <v>10434.0</v>
      </c>
      <c r="D756" s="6" t="str">
        <f>VLOOKUP($C756, 'List of log slots'!$A:$E, 2, FALSE)</f>
        <v>Green elegant skirt</v>
      </c>
      <c r="E756" s="207">
        <f>VLOOKUP($C756, 'List of log slots'!$A:$E, 5, FALSE)</f>
        <v>4</v>
      </c>
      <c r="F756" s="209" t="b">
        <f>VLOOKUP(C756, 'List of log slots'!$A:$C, 3, FALSE)</f>
        <v>0</v>
      </c>
      <c r="G756" s="209" t="b">
        <f t="shared" si="377"/>
        <v>0</v>
      </c>
      <c r="H756" s="210" t="b">
        <f t="shared" si="7"/>
        <v>1</v>
      </c>
      <c r="I756" s="208" t="b">
        <f t="shared" ref="I756:J756" si="498">FALSE</f>
        <v>0</v>
      </c>
      <c r="J756" s="208" t="b">
        <f t="shared" si="498"/>
        <v>0</v>
      </c>
      <c r="K756" s="214">
        <v>936.0</v>
      </c>
      <c r="L756" s="212" t="str">
        <f t="shared" si="3"/>
        <v>n/a</v>
      </c>
      <c r="M756" s="212" t="str">
        <f t="shared" si="4"/>
        <v>n/a</v>
      </c>
      <c r="N756" s="207" t="str">
        <f t="shared" si="5"/>
        <v>n/a</v>
      </c>
      <c r="O756" s="207">
        <f t="shared" si="6"/>
        <v>0.001068376068</v>
      </c>
    </row>
    <row r="757" ht="15.75" customHeight="1">
      <c r="A757" s="207">
        <v>69.0</v>
      </c>
      <c r="B757" s="6" t="str">
        <f>VLOOKUP($A757, 'Completion rates'!$A:$E, 2, FALSE)</f>
        <v>Opening easy caskets</v>
      </c>
      <c r="C757" s="207">
        <v>10408.0</v>
      </c>
      <c r="D757" s="6" t="str">
        <f>VLOOKUP($C757, 'List of log slots'!$A:$E, 2, FALSE)</f>
        <v>Blue elegant shirt</v>
      </c>
      <c r="E757" s="207">
        <f>VLOOKUP($C757, 'List of log slots'!$A:$E, 5, FALSE)</f>
        <v>4</v>
      </c>
      <c r="F757" s="209" t="b">
        <f>VLOOKUP(C757, 'List of log slots'!$A:$C, 3, FALSE)</f>
        <v>0</v>
      </c>
      <c r="G757" s="209" t="b">
        <f t="shared" si="377"/>
        <v>0</v>
      </c>
      <c r="H757" s="210" t="b">
        <f t="shared" si="7"/>
        <v>1</v>
      </c>
      <c r="I757" s="208" t="b">
        <f t="shared" ref="I757:J757" si="499">FALSE</f>
        <v>0</v>
      </c>
      <c r="J757" s="208" t="b">
        <f t="shared" si="499"/>
        <v>0</v>
      </c>
      <c r="K757" s="214">
        <v>936.0</v>
      </c>
      <c r="L757" s="212" t="str">
        <f t="shared" si="3"/>
        <v>n/a</v>
      </c>
      <c r="M757" s="212" t="str">
        <f t="shared" si="4"/>
        <v>n/a</v>
      </c>
      <c r="N757" s="207" t="str">
        <f t="shared" si="5"/>
        <v>n/a</v>
      </c>
      <c r="O757" s="207">
        <f t="shared" si="6"/>
        <v>0.001068376068</v>
      </c>
    </row>
    <row r="758" ht="15.75" customHeight="1">
      <c r="A758" s="207">
        <v>69.0</v>
      </c>
      <c r="B758" s="6" t="str">
        <f>VLOOKUP($A758, 'Completion rates'!$A:$E, 2, FALSE)</f>
        <v>Opening easy caskets</v>
      </c>
      <c r="C758" s="207">
        <v>10428.0</v>
      </c>
      <c r="D758" s="6" t="str">
        <f>VLOOKUP($C758, 'List of log slots'!$A:$E, 2, FALSE)</f>
        <v>Blue elegant blouse</v>
      </c>
      <c r="E758" s="207">
        <f>VLOOKUP($C758, 'List of log slots'!$A:$E, 5, FALSE)</f>
        <v>4</v>
      </c>
      <c r="F758" s="210" t="b">
        <f>VLOOKUP(C758, 'List of log slots'!$A:$C, 3, FALSE)</f>
        <v>0</v>
      </c>
      <c r="G758" s="209" t="b">
        <f t="shared" si="377"/>
        <v>0</v>
      </c>
      <c r="H758" s="209" t="b">
        <f t="shared" si="7"/>
        <v>1</v>
      </c>
      <c r="I758" s="208" t="b">
        <f t="shared" ref="I758:J758" si="500">FALSE</f>
        <v>0</v>
      </c>
      <c r="J758" s="208" t="b">
        <f t="shared" si="500"/>
        <v>0</v>
      </c>
      <c r="K758" s="214">
        <v>936.0</v>
      </c>
      <c r="L758" s="212" t="str">
        <f t="shared" si="3"/>
        <v>n/a</v>
      </c>
      <c r="M758" s="212" t="str">
        <f t="shared" si="4"/>
        <v>n/a</v>
      </c>
      <c r="N758" s="207" t="str">
        <f t="shared" si="5"/>
        <v>n/a</v>
      </c>
      <c r="O758" s="207">
        <f t="shared" si="6"/>
        <v>0.001068376068</v>
      </c>
    </row>
    <row r="759" ht="15.75" customHeight="1">
      <c r="A759" s="207">
        <v>69.0</v>
      </c>
      <c r="B759" s="6" t="str">
        <f>VLOOKUP($A759, 'Completion rates'!$A:$E, 2, FALSE)</f>
        <v>Opening easy caskets</v>
      </c>
      <c r="C759" s="207">
        <v>10410.0</v>
      </c>
      <c r="D759" s="6" t="str">
        <f>VLOOKUP($C759, 'List of log slots'!$A:$E, 2, FALSE)</f>
        <v>Blue elegant legs</v>
      </c>
      <c r="E759" s="207">
        <f>VLOOKUP($C759, 'List of log slots'!$A:$E, 5, FALSE)</f>
        <v>4</v>
      </c>
      <c r="F759" s="209" t="b">
        <f>VLOOKUP(C759, 'List of log slots'!$A:$C, 3, FALSE)</f>
        <v>0</v>
      </c>
      <c r="G759" s="209" t="b">
        <f t="shared" si="377"/>
        <v>0</v>
      </c>
      <c r="H759" s="210" t="b">
        <f t="shared" si="7"/>
        <v>1</v>
      </c>
      <c r="I759" s="208" t="b">
        <f t="shared" ref="I759:J759" si="501">FALSE</f>
        <v>0</v>
      </c>
      <c r="J759" s="208" t="b">
        <f t="shared" si="501"/>
        <v>0</v>
      </c>
      <c r="K759" s="214">
        <v>936.0</v>
      </c>
      <c r="L759" s="212" t="str">
        <f t="shared" si="3"/>
        <v>n/a</v>
      </c>
      <c r="M759" s="212" t="str">
        <f t="shared" si="4"/>
        <v>n/a</v>
      </c>
      <c r="N759" s="207" t="str">
        <f t="shared" si="5"/>
        <v>n/a</v>
      </c>
      <c r="O759" s="207">
        <f t="shared" si="6"/>
        <v>0.001068376068</v>
      </c>
    </row>
    <row r="760" ht="15.75" customHeight="1">
      <c r="A760" s="207">
        <v>69.0</v>
      </c>
      <c r="B760" s="6" t="str">
        <f>VLOOKUP($A760, 'Completion rates'!$A:$E, 2, FALSE)</f>
        <v>Opening easy caskets</v>
      </c>
      <c r="C760" s="207">
        <v>10430.0</v>
      </c>
      <c r="D760" s="6" t="str">
        <f>VLOOKUP($C760, 'List of log slots'!$A:$E, 2, FALSE)</f>
        <v>Blue elegant skirt</v>
      </c>
      <c r="E760" s="207">
        <f>VLOOKUP($C760, 'List of log slots'!$A:$E, 5, FALSE)</f>
        <v>4</v>
      </c>
      <c r="F760" s="209" t="b">
        <f>VLOOKUP(C760, 'List of log slots'!$A:$C, 3, FALSE)</f>
        <v>0</v>
      </c>
      <c r="G760" s="209" t="b">
        <f t="shared" si="377"/>
        <v>0</v>
      </c>
      <c r="H760" s="210" t="b">
        <f t="shared" si="7"/>
        <v>1</v>
      </c>
      <c r="I760" s="208" t="b">
        <f t="shared" ref="I760:J760" si="502">FALSE</f>
        <v>0</v>
      </c>
      <c r="J760" s="208" t="b">
        <f t="shared" si="502"/>
        <v>0</v>
      </c>
      <c r="K760" s="214">
        <v>936.0</v>
      </c>
      <c r="L760" s="212" t="str">
        <f t="shared" si="3"/>
        <v>n/a</v>
      </c>
      <c r="M760" s="212" t="str">
        <f t="shared" si="4"/>
        <v>n/a</v>
      </c>
      <c r="N760" s="207" t="str">
        <f t="shared" si="5"/>
        <v>n/a</v>
      </c>
      <c r="O760" s="207">
        <f t="shared" si="6"/>
        <v>0.001068376068</v>
      </c>
    </row>
    <row r="761" ht="15.75" customHeight="1">
      <c r="A761" s="207">
        <v>69.0</v>
      </c>
      <c r="B761" s="6" t="str">
        <f>VLOOKUP($A761, 'Completion rates'!$A:$E, 2, FALSE)</f>
        <v>Opening easy caskets</v>
      </c>
      <c r="C761" s="207">
        <v>10366.0</v>
      </c>
      <c r="D761" s="6" t="str">
        <f>VLOOKUP($C761, 'List of log slots'!$A:$E, 2, FALSE)</f>
        <v>Amulet of magic (t)</v>
      </c>
      <c r="E761" s="207">
        <f>VLOOKUP($C761, 'List of log slots'!$A:$E, 5, FALSE)</f>
        <v>2</v>
      </c>
      <c r="F761" s="210" t="b">
        <f>VLOOKUP(C761, 'List of log slots'!$A:$C, 3, FALSE)</f>
        <v>0</v>
      </c>
      <c r="G761" s="209" t="b">
        <f t="shared" si="377"/>
        <v>0</v>
      </c>
      <c r="H761" s="209" t="b">
        <f t="shared" si="7"/>
        <v>1</v>
      </c>
      <c r="I761" s="208" t="b">
        <f t="shared" ref="I761:J761" si="503">FALSE</f>
        <v>0</v>
      </c>
      <c r="J761" s="208" t="b">
        <f t="shared" si="503"/>
        <v>0</v>
      </c>
      <c r="K761" s="214">
        <v>120.0</v>
      </c>
      <c r="L761" s="212" t="str">
        <f t="shared" si="3"/>
        <v>n/a</v>
      </c>
      <c r="M761" s="212" t="str">
        <f t="shared" si="4"/>
        <v>n/a</v>
      </c>
      <c r="N761" s="207" t="str">
        <f t="shared" si="5"/>
        <v>n/a</v>
      </c>
      <c r="O761" s="207">
        <f t="shared" si="6"/>
        <v>0.008333333333</v>
      </c>
    </row>
    <row r="762" ht="15.75" customHeight="1">
      <c r="A762" s="207">
        <v>69.0</v>
      </c>
      <c r="B762" s="6" t="str">
        <f>VLOOKUP($A762, 'Completion rates'!$A:$E, 2, FALSE)</f>
        <v>Opening easy caskets</v>
      </c>
      <c r="C762" s="207">
        <v>23354.0</v>
      </c>
      <c r="D762" s="6" t="str">
        <f>VLOOKUP($C762, 'List of log slots'!$A:$E, 2, FALSE)</f>
        <v>Amulet of power (t)</v>
      </c>
      <c r="E762" s="207">
        <f>VLOOKUP($C762, 'List of log slots'!$A:$E, 5, FALSE)</f>
        <v>3</v>
      </c>
      <c r="F762" s="209" t="b">
        <f>VLOOKUP(C762, 'List of log slots'!$A:$C, 3, FALSE)</f>
        <v>0</v>
      </c>
      <c r="G762" s="209" t="b">
        <f t="shared" si="377"/>
        <v>0</v>
      </c>
      <c r="H762" s="210" t="b">
        <f t="shared" si="7"/>
        <v>1</v>
      </c>
      <c r="I762" s="208" t="b">
        <f t="shared" ref="I762:J762" si="504">FALSE</f>
        <v>0</v>
      </c>
      <c r="J762" s="208" t="b">
        <f t="shared" si="504"/>
        <v>0</v>
      </c>
      <c r="K762" s="214">
        <v>468.0</v>
      </c>
      <c r="L762" s="212" t="str">
        <f t="shared" si="3"/>
        <v>n/a</v>
      </c>
      <c r="M762" s="212" t="str">
        <f t="shared" si="4"/>
        <v>n/a</v>
      </c>
      <c r="N762" s="207" t="str">
        <f t="shared" si="5"/>
        <v>n/a</v>
      </c>
      <c r="O762" s="207">
        <f t="shared" si="6"/>
        <v>0.002136752137</v>
      </c>
    </row>
    <row r="763" ht="15.75" customHeight="1">
      <c r="A763" s="207">
        <v>69.0</v>
      </c>
      <c r="B763" s="6" t="str">
        <f>VLOOKUP($A763, 'Completion rates'!$A:$E, 2, FALSE)</f>
        <v>Opening easy caskets</v>
      </c>
      <c r="C763" s="207">
        <v>23360.0</v>
      </c>
      <c r="D763" s="6" t="str">
        <f>VLOOKUP($C763, 'List of log slots'!$A:$E, 2, FALSE)</f>
        <v>Ham joint</v>
      </c>
      <c r="E763" s="207">
        <f>VLOOKUP($C763, 'List of log slots'!$A:$E, 5, FALSE)</f>
        <v>3</v>
      </c>
      <c r="F763" s="210" t="b">
        <f>VLOOKUP(C763, 'List of log slots'!$A:$C, 3, FALSE)</f>
        <v>0</v>
      </c>
      <c r="G763" s="209" t="b">
        <f t="shared" si="377"/>
        <v>0</v>
      </c>
      <c r="H763" s="209" t="b">
        <f t="shared" si="7"/>
        <v>1</v>
      </c>
      <c r="I763" s="208" t="b">
        <f t="shared" ref="I763:J763" si="505">FALSE</f>
        <v>0</v>
      </c>
      <c r="J763" s="208" t="b">
        <f t="shared" si="505"/>
        <v>0</v>
      </c>
      <c r="K763" s="214">
        <v>468.0</v>
      </c>
      <c r="L763" s="212" t="str">
        <f t="shared" si="3"/>
        <v>n/a</v>
      </c>
      <c r="M763" s="212" t="str">
        <f t="shared" si="4"/>
        <v>n/a</v>
      </c>
      <c r="N763" s="207" t="str">
        <f t="shared" si="5"/>
        <v>n/a</v>
      </c>
      <c r="O763" s="207">
        <f t="shared" si="6"/>
        <v>0.002136752137</v>
      </c>
    </row>
    <row r="764" ht="15.75" customHeight="1">
      <c r="A764" s="207">
        <v>69.0</v>
      </c>
      <c r="B764" s="6" t="str">
        <f>VLOOKUP($A764, 'Completion rates'!$A:$E, 2, FALSE)</f>
        <v>Opening easy caskets</v>
      </c>
      <c r="C764" s="207">
        <v>23357.0</v>
      </c>
      <c r="D764" s="6" t="str">
        <f>VLOOKUP($C764, 'List of log slots'!$A:$E, 2, FALSE)</f>
        <v>Rain bow</v>
      </c>
      <c r="E764" s="207">
        <f>VLOOKUP($C764, 'List of log slots'!$A:$E, 5, FALSE)</f>
        <v>3</v>
      </c>
      <c r="F764" s="210" t="b">
        <f>VLOOKUP(C764, 'List of log slots'!$A:$C, 3, FALSE)</f>
        <v>0</v>
      </c>
      <c r="G764" s="209" t="b">
        <f t="shared" si="377"/>
        <v>0</v>
      </c>
      <c r="H764" s="209" t="b">
        <f t="shared" si="7"/>
        <v>1</v>
      </c>
      <c r="I764" s="208" t="b">
        <f t="shared" ref="I764:J764" si="506">FALSE</f>
        <v>0</v>
      </c>
      <c r="J764" s="208" t="b">
        <f t="shared" si="506"/>
        <v>0</v>
      </c>
      <c r="K764" s="214">
        <v>468.0</v>
      </c>
      <c r="L764" s="212" t="str">
        <f t="shared" si="3"/>
        <v>n/a</v>
      </c>
      <c r="M764" s="212" t="str">
        <f t="shared" si="4"/>
        <v>n/a</v>
      </c>
      <c r="N764" s="207" t="str">
        <f t="shared" si="5"/>
        <v>n/a</v>
      </c>
      <c r="O764" s="207">
        <f t="shared" si="6"/>
        <v>0.002136752137</v>
      </c>
    </row>
    <row r="765" ht="15.75" customHeight="1">
      <c r="A765" s="207">
        <v>69.0</v>
      </c>
      <c r="B765" s="6" t="str">
        <f>VLOOKUP($A765, 'Completion rates'!$A:$E, 2, FALSE)</f>
        <v>Opening easy caskets</v>
      </c>
      <c r="C765" s="207">
        <v>10280.0</v>
      </c>
      <c r="D765" s="6" t="str">
        <f>VLOOKUP($C765, 'List of log slots'!$A:$E, 2, FALSE)</f>
        <v>Willow comp bow</v>
      </c>
      <c r="E765" s="207">
        <f>VLOOKUP($C765, 'List of log slots'!$A:$E, 5, FALSE)</f>
        <v>2</v>
      </c>
      <c r="F765" s="209" t="b">
        <f>VLOOKUP(C765, 'List of log slots'!$A:$C, 3, FALSE)</f>
        <v>0</v>
      </c>
      <c r="G765" s="209" t="b">
        <f t="shared" si="377"/>
        <v>0</v>
      </c>
      <c r="H765" s="210" t="b">
        <f t="shared" si="7"/>
        <v>1</v>
      </c>
      <c r="I765" s="208" t="b">
        <f t="shared" ref="I765:J765" si="507">FALSE</f>
        <v>0</v>
      </c>
      <c r="J765" s="208" t="b">
        <f t="shared" si="507"/>
        <v>0</v>
      </c>
      <c r="K765" s="214">
        <v>120.0</v>
      </c>
      <c r="L765" s="212" t="str">
        <f t="shared" si="3"/>
        <v>n/a</v>
      </c>
      <c r="M765" s="212" t="str">
        <f t="shared" si="4"/>
        <v>n/a</v>
      </c>
      <c r="N765" s="207" t="str">
        <f t="shared" si="5"/>
        <v>n/a</v>
      </c>
      <c r="O765" s="207">
        <f t="shared" si="6"/>
        <v>0.008333333333</v>
      </c>
    </row>
    <row r="766" ht="15.75" customHeight="1">
      <c r="A766" s="207">
        <v>69.0</v>
      </c>
      <c r="B766" s="6" t="str">
        <f>VLOOKUP($A766, 'Completion rates'!$A:$E, 2, FALSE)</f>
        <v>Opening easy caskets</v>
      </c>
      <c r="C766" s="207">
        <v>3827.0</v>
      </c>
      <c r="D766" s="6" t="str">
        <f>VLOOKUP($C766, 'List of log slots'!$A:$E, 2, FALSE)</f>
        <v>Saradomin page 1</v>
      </c>
      <c r="E766" s="207">
        <f>VLOOKUP($C766, 'List of log slots'!$A:$E, 5, FALSE)</f>
        <v>2</v>
      </c>
      <c r="F766" s="210" t="b">
        <f>VLOOKUP(C766, 'List of log slots'!$A:$C, 3, FALSE)</f>
        <v>0</v>
      </c>
      <c r="G766" s="209" t="b">
        <f t="shared" si="377"/>
        <v>0</v>
      </c>
      <c r="H766" s="209" t="b">
        <f t="shared" si="7"/>
        <v>1</v>
      </c>
      <c r="I766" s="208" t="b">
        <f t="shared" ref="I766:J766" si="508">FALSE</f>
        <v>0</v>
      </c>
      <c r="J766" s="208" t="b">
        <f t="shared" si="508"/>
        <v>0</v>
      </c>
      <c r="K766" s="214">
        <v>288.0</v>
      </c>
      <c r="L766" s="212" t="str">
        <f t="shared" si="3"/>
        <v>n/a</v>
      </c>
      <c r="M766" s="212" t="str">
        <f t="shared" si="4"/>
        <v>n/a</v>
      </c>
      <c r="N766" s="207" t="str">
        <f t="shared" si="5"/>
        <v>n/a</v>
      </c>
      <c r="O766" s="207">
        <f t="shared" si="6"/>
        <v>0.003472222222</v>
      </c>
    </row>
    <row r="767" ht="15.75" customHeight="1">
      <c r="A767" s="207">
        <v>69.0</v>
      </c>
      <c r="B767" s="6" t="str">
        <f>VLOOKUP($A767, 'Completion rates'!$A:$E, 2, FALSE)</f>
        <v>Opening easy caskets</v>
      </c>
      <c r="C767" s="207">
        <v>3831.0</v>
      </c>
      <c r="D767" s="6" t="str">
        <f>VLOOKUP($C767, 'List of log slots'!$A:$E, 2, FALSE)</f>
        <v>Zamorak page 1</v>
      </c>
      <c r="E767" s="207">
        <f>VLOOKUP($C767, 'List of log slots'!$A:$E, 5, FALSE)</f>
        <v>2</v>
      </c>
      <c r="F767" s="210" t="b">
        <f>VLOOKUP(C767, 'List of log slots'!$A:$C, 3, FALSE)</f>
        <v>0</v>
      </c>
      <c r="G767" s="209" t="b">
        <f t="shared" si="377"/>
        <v>0</v>
      </c>
      <c r="H767" s="209" t="b">
        <f t="shared" si="7"/>
        <v>1</v>
      </c>
      <c r="I767" s="208" t="b">
        <f t="shared" ref="I767:J767" si="509">FALSE</f>
        <v>0</v>
      </c>
      <c r="J767" s="208" t="b">
        <f t="shared" si="509"/>
        <v>0</v>
      </c>
      <c r="K767" s="214">
        <v>288.0</v>
      </c>
      <c r="L767" s="212" t="str">
        <f t="shared" si="3"/>
        <v>n/a</v>
      </c>
      <c r="M767" s="212" t="str">
        <f t="shared" si="4"/>
        <v>n/a</v>
      </c>
      <c r="N767" s="207" t="str">
        <f t="shared" si="5"/>
        <v>n/a</v>
      </c>
      <c r="O767" s="207">
        <f t="shared" si="6"/>
        <v>0.003472222222</v>
      </c>
    </row>
    <row r="768" ht="15.75" customHeight="1">
      <c r="A768" s="207">
        <v>69.0</v>
      </c>
      <c r="B768" s="6" t="str">
        <f>VLOOKUP($A768, 'Completion rates'!$A:$E, 2, FALSE)</f>
        <v>Opening easy caskets</v>
      </c>
      <c r="C768" s="207">
        <v>3835.0</v>
      </c>
      <c r="D768" s="6" t="str">
        <f>VLOOKUP($C768, 'List of log slots'!$A:$E, 2, FALSE)</f>
        <v>Guthix page 1</v>
      </c>
      <c r="E768" s="207">
        <f>VLOOKUP($C768, 'List of log slots'!$A:$E, 5, FALSE)</f>
        <v>2</v>
      </c>
      <c r="F768" s="210" t="b">
        <f>VLOOKUP(C768, 'List of log slots'!$A:$C, 3, FALSE)</f>
        <v>0</v>
      </c>
      <c r="G768" s="209" t="b">
        <f t="shared" si="377"/>
        <v>0</v>
      </c>
      <c r="H768" s="209" t="b">
        <f t="shared" si="7"/>
        <v>1</v>
      </c>
      <c r="I768" s="208" t="b">
        <f t="shared" ref="I768:J768" si="510">FALSE</f>
        <v>0</v>
      </c>
      <c r="J768" s="208" t="b">
        <f t="shared" si="510"/>
        <v>0</v>
      </c>
      <c r="K768" s="214">
        <v>288.0</v>
      </c>
      <c r="L768" s="212" t="str">
        <f t="shared" si="3"/>
        <v>n/a</v>
      </c>
      <c r="M768" s="212" t="str">
        <f t="shared" si="4"/>
        <v>n/a</v>
      </c>
      <c r="N768" s="207" t="str">
        <f t="shared" si="5"/>
        <v>n/a</v>
      </c>
      <c r="O768" s="207">
        <f t="shared" si="6"/>
        <v>0.003472222222</v>
      </c>
    </row>
    <row r="769" ht="15.75" customHeight="1">
      <c r="A769" s="207">
        <v>69.0</v>
      </c>
      <c r="B769" s="6" t="str">
        <f>VLOOKUP($A769, 'Completion rates'!$A:$E, 2, FALSE)</f>
        <v>Opening easy caskets</v>
      </c>
      <c r="C769" s="207">
        <v>12613.0</v>
      </c>
      <c r="D769" s="6" t="str">
        <f>VLOOKUP($C769, 'List of log slots'!$A:$E, 2, FALSE)</f>
        <v>Bandos page 1</v>
      </c>
      <c r="E769" s="207">
        <f>VLOOKUP($C769, 'List of log slots'!$A:$E, 5, FALSE)</f>
        <v>2</v>
      </c>
      <c r="F769" s="210" t="b">
        <f>VLOOKUP(C769, 'List of log slots'!$A:$C, 3, FALSE)</f>
        <v>0</v>
      </c>
      <c r="G769" s="209" t="b">
        <f t="shared" si="377"/>
        <v>0</v>
      </c>
      <c r="H769" s="209" t="b">
        <f t="shared" si="7"/>
        <v>1</v>
      </c>
      <c r="I769" s="208" t="b">
        <f t="shared" ref="I769:J769" si="511">FALSE</f>
        <v>0</v>
      </c>
      <c r="J769" s="208" t="b">
        <f t="shared" si="511"/>
        <v>0</v>
      </c>
      <c r="K769" s="214">
        <v>288.0</v>
      </c>
      <c r="L769" s="212" t="str">
        <f t="shared" si="3"/>
        <v>n/a</v>
      </c>
      <c r="M769" s="212" t="str">
        <f t="shared" si="4"/>
        <v>n/a</v>
      </c>
      <c r="N769" s="207" t="str">
        <f t="shared" si="5"/>
        <v>n/a</v>
      </c>
      <c r="O769" s="207">
        <f t="shared" si="6"/>
        <v>0.003472222222</v>
      </c>
    </row>
    <row r="770" ht="15.75" customHeight="1">
      <c r="A770" s="207">
        <v>69.0</v>
      </c>
      <c r="B770" s="6" t="str">
        <f>VLOOKUP($A770, 'Completion rates'!$A:$E, 2, FALSE)</f>
        <v>Opening easy caskets</v>
      </c>
      <c r="C770" s="207">
        <v>12617.0</v>
      </c>
      <c r="D770" s="6" t="str">
        <f>VLOOKUP($C770, 'List of log slots'!$A:$E, 2, FALSE)</f>
        <v>Armadyl page 1</v>
      </c>
      <c r="E770" s="207">
        <f>VLOOKUP($C770, 'List of log slots'!$A:$E, 5, FALSE)</f>
        <v>2</v>
      </c>
      <c r="F770" s="210" t="b">
        <f>VLOOKUP(C770, 'List of log slots'!$A:$C, 3, FALSE)</f>
        <v>0</v>
      </c>
      <c r="G770" s="209" t="b">
        <f t="shared" si="377"/>
        <v>0</v>
      </c>
      <c r="H770" s="209" t="b">
        <f t="shared" si="7"/>
        <v>1</v>
      </c>
      <c r="I770" s="208" t="b">
        <f t="shared" ref="I770:J770" si="512">FALSE</f>
        <v>0</v>
      </c>
      <c r="J770" s="208" t="b">
        <f t="shared" si="512"/>
        <v>0</v>
      </c>
      <c r="K770" s="214">
        <v>288.0</v>
      </c>
      <c r="L770" s="212" t="str">
        <f t="shared" si="3"/>
        <v>n/a</v>
      </c>
      <c r="M770" s="212" t="str">
        <f t="shared" si="4"/>
        <v>n/a</v>
      </c>
      <c r="N770" s="207" t="str">
        <f t="shared" si="5"/>
        <v>n/a</v>
      </c>
      <c r="O770" s="207">
        <f t="shared" si="6"/>
        <v>0.003472222222</v>
      </c>
    </row>
    <row r="771" ht="15.75" customHeight="1">
      <c r="A771" s="207">
        <v>69.0</v>
      </c>
      <c r="B771" s="6" t="str">
        <f>VLOOKUP($A771, 'Completion rates'!$A:$E, 2, FALSE)</f>
        <v>Opening easy caskets</v>
      </c>
      <c r="C771" s="207">
        <v>12621.0</v>
      </c>
      <c r="D771" s="6" t="str">
        <f>VLOOKUP($C771, 'List of log slots'!$A:$E, 2, FALSE)</f>
        <v>Ancient page 1</v>
      </c>
      <c r="E771" s="207">
        <f>VLOOKUP($C771, 'List of log slots'!$A:$E, 5, FALSE)</f>
        <v>2</v>
      </c>
      <c r="F771" s="210" t="b">
        <f>VLOOKUP(C771, 'List of log slots'!$A:$C, 3, FALSE)</f>
        <v>0</v>
      </c>
      <c r="G771" s="209" t="b">
        <f t="shared" si="377"/>
        <v>0</v>
      </c>
      <c r="H771" s="209" t="b">
        <f t="shared" si="7"/>
        <v>1</v>
      </c>
      <c r="I771" s="208" t="b">
        <f t="shared" ref="I771:J771" si="513">FALSE</f>
        <v>0</v>
      </c>
      <c r="J771" s="208" t="b">
        <f t="shared" si="513"/>
        <v>0</v>
      </c>
      <c r="K771" s="214">
        <v>288.0</v>
      </c>
      <c r="L771" s="212" t="str">
        <f t="shared" si="3"/>
        <v>n/a</v>
      </c>
      <c r="M771" s="212" t="str">
        <f t="shared" si="4"/>
        <v>n/a</v>
      </c>
      <c r="N771" s="207" t="str">
        <f t="shared" si="5"/>
        <v>n/a</v>
      </c>
      <c r="O771" s="207">
        <f t="shared" si="6"/>
        <v>0.003472222222</v>
      </c>
    </row>
    <row r="772" ht="15.75" customHeight="1">
      <c r="A772" s="207">
        <v>69.0</v>
      </c>
      <c r="B772" s="6" t="str">
        <f>VLOOKUP($A772, 'Completion rates'!$A:$E, 2, FALSE)</f>
        <v>Opening easy caskets</v>
      </c>
      <c r="C772" s="207">
        <v>3828.0</v>
      </c>
      <c r="D772" s="6" t="str">
        <f>VLOOKUP($C772, 'List of log slots'!$A:$E, 2, FALSE)</f>
        <v>Saradomin page 2</v>
      </c>
      <c r="E772" s="207">
        <f>VLOOKUP($C772, 'List of log slots'!$A:$E, 5, FALSE)</f>
        <v>2</v>
      </c>
      <c r="F772" s="210" t="b">
        <f>VLOOKUP(C772, 'List of log slots'!$A:$C, 3, FALSE)</f>
        <v>0</v>
      </c>
      <c r="G772" s="209" t="b">
        <f t="shared" si="377"/>
        <v>0</v>
      </c>
      <c r="H772" s="209" t="b">
        <f t="shared" si="7"/>
        <v>1</v>
      </c>
      <c r="I772" s="208" t="b">
        <f t="shared" ref="I772:J772" si="514">FALSE</f>
        <v>0</v>
      </c>
      <c r="J772" s="208" t="b">
        <f t="shared" si="514"/>
        <v>0</v>
      </c>
      <c r="K772" s="214">
        <v>288.0</v>
      </c>
      <c r="L772" s="212" t="str">
        <f t="shared" si="3"/>
        <v>n/a</v>
      </c>
      <c r="M772" s="212" t="str">
        <f t="shared" si="4"/>
        <v>n/a</v>
      </c>
      <c r="N772" s="207" t="str">
        <f t="shared" si="5"/>
        <v>n/a</v>
      </c>
      <c r="O772" s="207">
        <f t="shared" si="6"/>
        <v>0.003472222222</v>
      </c>
    </row>
    <row r="773" ht="15.75" customHeight="1">
      <c r="A773" s="207">
        <v>69.0</v>
      </c>
      <c r="B773" s="6" t="str">
        <f>VLOOKUP($A773, 'Completion rates'!$A:$E, 2, FALSE)</f>
        <v>Opening easy caskets</v>
      </c>
      <c r="C773" s="207">
        <v>3832.0</v>
      </c>
      <c r="D773" s="6" t="str">
        <f>VLOOKUP($C773, 'List of log slots'!$A:$E, 2, FALSE)</f>
        <v>Zamorak page 2</v>
      </c>
      <c r="E773" s="207">
        <f>VLOOKUP($C773, 'List of log slots'!$A:$E, 5, FALSE)</f>
        <v>2</v>
      </c>
      <c r="F773" s="210" t="b">
        <f>VLOOKUP(C773, 'List of log slots'!$A:$C, 3, FALSE)</f>
        <v>0</v>
      </c>
      <c r="G773" s="209" t="b">
        <f t="shared" si="377"/>
        <v>0</v>
      </c>
      <c r="H773" s="209" t="b">
        <f t="shared" si="7"/>
        <v>1</v>
      </c>
      <c r="I773" s="208" t="b">
        <f t="shared" ref="I773:J773" si="515">FALSE</f>
        <v>0</v>
      </c>
      <c r="J773" s="208" t="b">
        <f t="shared" si="515"/>
        <v>0</v>
      </c>
      <c r="K773" s="214">
        <v>288.0</v>
      </c>
      <c r="L773" s="212" t="str">
        <f t="shared" si="3"/>
        <v>n/a</v>
      </c>
      <c r="M773" s="212" t="str">
        <f t="shared" si="4"/>
        <v>n/a</v>
      </c>
      <c r="N773" s="207" t="str">
        <f t="shared" si="5"/>
        <v>n/a</v>
      </c>
      <c r="O773" s="207">
        <f t="shared" si="6"/>
        <v>0.003472222222</v>
      </c>
    </row>
    <row r="774" ht="15.75" customHeight="1">
      <c r="A774" s="207">
        <v>69.0</v>
      </c>
      <c r="B774" s="6" t="str">
        <f>VLOOKUP($A774, 'Completion rates'!$A:$E, 2, FALSE)</f>
        <v>Opening easy caskets</v>
      </c>
      <c r="C774" s="207">
        <v>3836.0</v>
      </c>
      <c r="D774" s="6" t="str">
        <f>VLOOKUP($C774, 'List of log slots'!$A:$E, 2, FALSE)</f>
        <v>Guthix page 2</v>
      </c>
      <c r="E774" s="207">
        <f>VLOOKUP($C774, 'List of log slots'!$A:$E, 5, FALSE)</f>
        <v>2</v>
      </c>
      <c r="F774" s="209" t="b">
        <f>VLOOKUP(C774, 'List of log slots'!$A:$C, 3, FALSE)</f>
        <v>0</v>
      </c>
      <c r="G774" s="209" t="b">
        <f t="shared" si="377"/>
        <v>0</v>
      </c>
      <c r="H774" s="210" t="b">
        <f t="shared" si="7"/>
        <v>1</v>
      </c>
      <c r="I774" s="208" t="b">
        <f t="shared" ref="I774:J774" si="516">FALSE</f>
        <v>0</v>
      </c>
      <c r="J774" s="208" t="b">
        <f t="shared" si="516"/>
        <v>0</v>
      </c>
      <c r="K774" s="214">
        <v>288.0</v>
      </c>
      <c r="L774" s="212" t="str">
        <f t="shared" si="3"/>
        <v>n/a</v>
      </c>
      <c r="M774" s="212" t="str">
        <f t="shared" si="4"/>
        <v>n/a</v>
      </c>
      <c r="N774" s="207" t="str">
        <f t="shared" si="5"/>
        <v>n/a</v>
      </c>
      <c r="O774" s="207">
        <f t="shared" si="6"/>
        <v>0.003472222222</v>
      </c>
    </row>
    <row r="775" ht="15.75" customHeight="1">
      <c r="A775" s="207">
        <v>69.0</v>
      </c>
      <c r="B775" s="6" t="str">
        <f>VLOOKUP($A775, 'Completion rates'!$A:$E, 2, FALSE)</f>
        <v>Opening easy caskets</v>
      </c>
      <c r="C775" s="207">
        <v>12614.0</v>
      </c>
      <c r="D775" s="6" t="str">
        <f>VLOOKUP($C775, 'List of log slots'!$A:$E, 2, FALSE)</f>
        <v>Bandos page 2</v>
      </c>
      <c r="E775" s="207">
        <f>VLOOKUP($C775, 'List of log slots'!$A:$E, 5, FALSE)</f>
        <v>2</v>
      </c>
      <c r="F775" s="210" t="b">
        <f>VLOOKUP(C775, 'List of log slots'!$A:$C, 3, FALSE)</f>
        <v>0</v>
      </c>
      <c r="G775" s="209" t="b">
        <f t="shared" si="377"/>
        <v>0</v>
      </c>
      <c r="H775" s="209" t="b">
        <f t="shared" si="7"/>
        <v>1</v>
      </c>
      <c r="I775" s="208" t="b">
        <f t="shared" ref="I775:J775" si="517">FALSE</f>
        <v>0</v>
      </c>
      <c r="J775" s="208" t="b">
        <f t="shared" si="517"/>
        <v>0</v>
      </c>
      <c r="K775" s="214">
        <v>288.0</v>
      </c>
      <c r="L775" s="212" t="str">
        <f t="shared" si="3"/>
        <v>n/a</v>
      </c>
      <c r="M775" s="212" t="str">
        <f t="shared" si="4"/>
        <v>n/a</v>
      </c>
      <c r="N775" s="207" t="str">
        <f t="shared" si="5"/>
        <v>n/a</v>
      </c>
      <c r="O775" s="207">
        <f t="shared" si="6"/>
        <v>0.003472222222</v>
      </c>
    </row>
    <row r="776" ht="15.75" customHeight="1">
      <c r="A776" s="207">
        <v>69.0</v>
      </c>
      <c r="B776" s="6" t="str">
        <f>VLOOKUP($A776, 'Completion rates'!$A:$E, 2, FALSE)</f>
        <v>Opening easy caskets</v>
      </c>
      <c r="C776" s="207">
        <v>12618.0</v>
      </c>
      <c r="D776" s="6" t="str">
        <f>VLOOKUP($C776, 'List of log slots'!$A:$E, 2, FALSE)</f>
        <v>Armadyl page 2</v>
      </c>
      <c r="E776" s="207">
        <f>VLOOKUP($C776, 'List of log slots'!$A:$E, 5, FALSE)</f>
        <v>2</v>
      </c>
      <c r="F776" s="210" t="b">
        <f>VLOOKUP(C776, 'List of log slots'!$A:$C, 3, FALSE)</f>
        <v>0</v>
      </c>
      <c r="G776" s="209" t="b">
        <f t="shared" si="377"/>
        <v>0</v>
      </c>
      <c r="H776" s="209" t="b">
        <f t="shared" si="7"/>
        <v>1</v>
      </c>
      <c r="I776" s="208" t="b">
        <f t="shared" ref="I776:J776" si="518">FALSE</f>
        <v>0</v>
      </c>
      <c r="J776" s="208" t="b">
        <f t="shared" si="518"/>
        <v>0</v>
      </c>
      <c r="K776" s="214">
        <v>288.0</v>
      </c>
      <c r="L776" s="212" t="str">
        <f t="shared" si="3"/>
        <v>n/a</v>
      </c>
      <c r="M776" s="212" t="str">
        <f t="shared" si="4"/>
        <v>n/a</v>
      </c>
      <c r="N776" s="207" t="str">
        <f t="shared" si="5"/>
        <v>n/a</v>
      </c>
      <c r="O776" s="207">
        <f t="shared" si="6"/>
        <v>0.003472222222</v>
      </c>
    </row>
    <row r="777" ht="15.75" customHeight="1">
      <c r="A777" s="207">
        <v>69.0</v>
      </c>
      <c r="B777" s="6" t="str">
        <f>VLOOKUP($A777, 'Completion rates'!$A:$E, 2, FALSE)</f>
        <v>Opening easy caskets</v>
      </c>
      <c r="C777" s="207">
        <v>12622.0</v>
      </c>
      <c r="D777" s="6" t="str">
        <f>VLOOKUP($C777, 'List of log slots'!$A:$E, 2, FALSE)</f>
        <v>Ancient page 2</v>
      </c>
      <c r="E777" s="207">
        <f>VLOOKUP($C777, 'List of log slots'!$A:$E, 5, FALSE)</f>
        <v>2</v>
      </c>
      <c r="F777" s="210" t="b">
        <f>VLOOKUP(C777, 'List of log slots'!$A:$C, 3, FALSE)</f>
        <v>0</v>
      </c>
      <c r="G777" s="209" t="b">
        <f t="shared" si="377"/>
        <v>0</v>
      </c>
      <c r="H777" s="209" t="b">
        <f t="shared" si="7"/>
        <v>1</v>
      </c>
      <c r="I777" s="208" t="b">
        <f t="shared" ref="I777:J777" si="519">FALSE</f>
        <v>0</v>
      </c>
      <c r="J777" s="208" t="b">
        <f t="shared" si="519"/>
        <v>0</v>
      </c>
      <c r="K777" s="214">
        <v>288.0</v>
      </c>
      <c r="L777" s="212" t="str">
        <f t="shared" si="3"/>
        <v>n/a</v>
      </c>
      <c r="M777" s="212" t="str">
        <f t="shared" si="4"/>
        <v>n/a</v>
      </c>
      <c r="N777" s="207" t="str">
        <f t="shared" si="5"/>
        <v>n/a</v>
      </c>
      <c r="O777" s="207">
        <f t="shared" si="6"/>
        <v>0.003472222222</v>
      </c>
    </row>
    <row r="778" ht="15.75" customHeight="1">
      <c r="A778" s="207">
        <v>69.0</v>
      </c>
      <c r="B778" s="6" t="str">
        <f>VLOOKUP($A778, 'Completion rates'!$A:$E, 2, FALSE)</f>
        <v>Opening easy caskets</v>
      </c>
      <c r="C778" s="207">
        <v>3829.0</v>
      </c>
      <c r="D778" s="6" t="str">
        <f>VLOOKUP($C778, 'List of log slots'!$A:$E, 2, FALSE)</f>
        <v>Saradomin page 3</v>
      </c>
      <c r="E778" s="207">
        <f>VLOOKUP($C778, 'List of log slots'!$A:$E, 5, FALSE)</f>
        <v>2</v>
      </c>
      <c r="F778" s="210" t="b">
        <f>VLOOKUP(C778, 'List of log slots'!$A:$C, 3, FALSE)</f>
        <v>0</v>
      </c>
      <c r="G778" s="209" t="b">
        <f t="shared" si="377"/>
        <v>0</v>
      </c>
      <c r="H778" s="209" t="b">
        <f t="shared" si="7"/>
        <v>1</v>
      </c>
      <c r="I778" s="208" t="b">
        <f t="shared" ref="I778:J778" si="520">FALSE</f>
        <v>0</v>
      </c>
      <c r="J778" s="208" t="b">
        <f t="shared" si="520"/>
        <v>0</v>
      </c>
      <c r="K778" s="214">
        <v>288.0</v>
      </c>
      <c r="L778" s="212" t="str">
        <f t="shared" si="3"/>
        <v>n/a</v>
      </c>
      <c r="M778" s="212" t="str">
        <f t="shared" si="4"/>
        <v>n/a</v>
      </c>
      <c r="N778" s="207" t="str">
        <f t="shared" si="5"/>
        <v>n/a</v>
      </c>
      <c r="O778" s="207">
        <f t="shared" si="6"/>
        <v>0.003472222222</v>
      </c>
    </row>
    <row r="779" ht="15.75" customHeight="1">
      <c r="A779" s="207">
        <v>69.0</v>
      </c>
      <c r="B779" s="6" t="str">
        <f>VLOOKUP($A779, 'Completion rates'!$A:$E, 2, FALSE)</f>
        <v>Opening easy caskets</v>
      </c>
      <c r="C779" s="207">
        <v>3833.0</v>
      </c>
      <c r="D779" s="6" t="str">
        <f>VLOOKUP($C779, 'List of log slots'!$A:$E, 2, FALSE)</f>
        <v>Zamorak page 3</v>
      </c>
      <c r="E779" s="207">
        <f>VLOOKUP($C779, 'List of log slots'!$A:$E, 5, FALSE)</f>
        <v>2</v>
      </c>
      <c r="F779" s="210" t="b">
        <f>VLOOKUP(C779, 'List of log slots'!$A:$C, 3, FALSE)</f>
        <v>0</v>
      </c>
      <c r="G779" s="209" t="b">
        <f t="shared" si="377"/>
        <v>0</v>
      </c>
      <c r="H779" s="209" t="b">
        <f t="shared" si="7"/>
        <v>1</v>
      </c>
      <c r="I779" s="208" t="b">
        <f t="shared" ref="I779:J779" si="521">FALSE</f>
        <v>0</v>
      </c>
      <c r="J779" s="208" t="b">
        <f t="shared" si="521"/>
        <v>0</v>
      </c>
      <c r="K779" s="214">
        <v>288.0</v>
      </c>
      <c r="L779" s="212" t="str">
        <f t="shared" si="3"/>
        <v>n/a</v>
      </c>
      <c r="M779" s="212" t="str">
        <f t="shared" si="4"/>
        <v>n/a</v>
      </c>
      <c r="N779" s="207" t="str">
        <f t="shared" si="5"/>
        <v>n/a</v>
      </c>
      <c r="O779" s="207">
        <f t="shared" si="6"/>
        <v>0.003472222222</v>
      </c>
    </row>
    <row r="780" ht="15.75" customHeight="1">
      <c r="A780" s="207">
        <v>69.0</v>
      </c>
      <c r="B780" s="6" t="str">
        <f>VLOOKUP($A780, 'Completion rates'!$A:$E, 2, FALSE)</f>
        <v>Opening easy caskets</v>
      </c>
      <c r="C780" s="207">
        <v>3837.0</v>
      </c>
      <c r="D780" s="6" t="str">
        <f>VLOOKUP($C780, 'List of log slots'!$A:$E, 2, FALSE)</f>
        <v>Guthix page 3</v>
      </c>
      <c r="E780" s="207">
        <f>VLOOKUP($C780, 'List of log slots'!$A:$E, 5, FALSE)</f>
        <v>2</v>
      </c>
      <c r="F780" s="210" t="b">
        <f>VLOOKUP(C780, 'List of log slots'!$A:$C, 3, FALSE)</f>
        <v>0</v>
      </c>
      <c r="G780" s="209" t="b">
        <f t="shared" si="377"/>
        <v>0</v>
      </c>
      <c r="H780" s="209" t="b">
        <f t="shared" si="7"/>
        <v>1</v>
      </c>
      <c r="I780" s="208" t="b">
        <f t="shared" ref="I780:J780" si="522">FALSE</f>
        <v>0</v>
      </c>
      <c r="J780" s="208" t="b">
        <f t="shared" si="522"/>
        <v>0</v>
      </c>
      <c r="K780" s="214">
        <v>288.0</v>
      </c>
      <c r="L780" s="212" t="str">
        <f t="shared" si="3"/>
        <v>n/a</v>
      </c>
      <c r="M780" s="212" t="str">
        <f t="shared" si="4"/>
        <v>n/a</v>
      </c>
      <c r="N780" s="207" t="str">
        <f t="shared" si="5"/>
        <v>n/a</v>
      </c>
      <c r="O780" s="207">
        <f t="shared" si="6"/>
        <v>0.003472222222</v>
      </c>
    </row>
    <row r="781" ht="15.75" customHeight="1">
      <c r="A781" s="207">
        <v>69.0</v>
      </c>
      <c r="B781" s="6" t="str">
        <f>VLOOKUP($A781, 'Completion rates'!$A:$E, 2, FALSE)</f>
        <v>Opening easy caskets</v>
      </c>
      <c r="C781" s="207">
        <v>12615.0</v>
      </c>
      <c r="D781" s="6" t="str">
        <f>VLOOKUP($C781, 'List of log slots'!$A:$E, 2, FALSE)</f>
        <v>Bandos page 3</v>
      </c>
      <c r="E781" s="207">
        <f>VLOOKUP($C781, 'List of log slots'!$A:$E, 5, FALSE)</f>
        <v>2</v>
      </c>
      <c r="F781" s="210" t="b">
        <f>VLOOKUP(C781, 'List of log slots'!$A:$C, 3, FALSE)</f>
        <v>0</v>
      </c>
      <c r="G781" s="209" t="b">
        <f t="shared" si="377"/>
        <v>0</v>
      </c>
      <c r="H781" s="209" t="b">
        <f t="shared" si="7"/>
        <v>1</v>
      </c>
      <c r="I781" s="208" t="b">
        <f t="shared" ref="I781:J781" si="523">FALSE</f>
        <v>0</v>
      </c>
      <c r="J781" s="208" t="b">
        <f t="shared" si="523"/>
        <v>0</v>
      </c>
      <c r="K781" s="214">
        <v>288.0</v>
      </c>
      <c r="L781" s="212" t="str">
        <f t="shared" si="3"/>
        <v>n/a</v>
      </c>
      <c r="M781" s="212" t="str">
        <f t="shared" si="4"/>
        <v>n/a</v>
      </c>
      <c r="N781" s="207" t="str">
        <f t="shared" si="5"/>
        <v>n/a</v>
      </c>
      <c r="O781" s="207">
        <f t="shared" si="6"/>
        <v>0.003472222222</v>
      </c>
    </row>
    <row r="782" ht="15.75" customHeight="1">
      <c r="A782" s="207">
        <v>69.0</v>
      </c>
      <c r="B782" s="6" t="str">
        <f>VLOOKUP($A782, 'Completion rates'!$A:$E, 2, FALSE)</f>
        <v>Opening easy caskets</v>
      </c>
      <c r="C782" s="207">
        <v>12619.0</v>
      </c>
      <c r="D782" s="6" t="str">
        <f>VLOOKUP($C782, 'List of log slots'!$A:$E, 2, FALSE)</f>
        <v>Armadyl page 3</v>
      </c>
      <c r="E782" s="207">
        <f>VLOOKUP($C782, 'List of log slots'!$A:$E, 5, FALSE)</f>
        <v>2</v>
      </c>
      <c r="F782" s="210" t="b">
        <f>VLOOKUP(C782, 'List of log slots'!$A:$C, 3, FALSE)</f>
        <v>0</v>
      </c>
      <c r="G782" s="209" t="b">
        <f t="shared" si="377"/>
        <v>0</v>
      </c>
      <c r="H782" s="209" t="b">
        <f t="shared" si="7"/>
        <v>1</v>
      </c>
      <c r="I782" s="208" t="b">
        <f t="shared" ref="I782:J782" si="524">FALSE</f>
        <v>0</v>
      </c>
      <c r="J782" s="208" t="b">
        <f t="shared" si="524"/>
        <v>0</v>
      </c>
      <c r="K782" s="214">
        <v>288.0</v>
      </c>
      <c r="L782" s="212" t="str">
        <f t="shared" si="3"/>
        <v>n/a</v>
      </c>
      <c r="M782" s="212" t="str">
        <f t="shared" si="4"/>
        <v>n/a</v>
      </c>
      <c r="N782" s="207" t="str">
        <f t="shared" si="5"/>
        <v>n/a</v>
      </c>
      <c r="O782" s="207">
        <f t="shared" si="6"/>
        <v>0.003472222222</v>
      </c>
    </row>
    <row r="783" ht="15.75" customHeight="1">
      <c r="A783" s="207">
        <v>69.0</v>
      </c>
      <c r="B783" s="6" t="str">
        <f>VLOOKUP($A783, 'Completion rates'!$A:$E, 2, FALSE)</f>
        <v>Opening easy caskets</v>
      </c>
      <c r="C783" s="207">
        <v>12623.0</v>
      </c>
      <c r="D783" s="6" t="str">
        <f>VLOOKUP($C783, 'List of log slots'!$A:$E, 2, FALSE)</f>
        <v>Ancient page 3</v>
      </c>
      <c r="E783" s="207">
        <f>VLOOKUP($C783, 'List of log slots'!$A:$E, 5, FALSE)</f>
        <v>2</v>
      </c>
      <c r="F783" s="210" t="b">
        <f>VLOOKUP(C783, 'List of log slots'!$A:$C, 3, FALSE)</f>
        <v>0</v>
      </c>
      <c r="G783" s="209" t="b">
        <f t="shared" si="377"/>
        <v>0</v>
      </c>
      <c r="H783" s="209" t="b">
        <f t="shared" si="7"/>
        <v>1</v>
      </c>
      <c r="I783" s="208" t="b">
        <f t="shared" ref="I783:J783" si="525">FALSE</f>
        <v>0</v>
      </c>
      <c r="J783" s="208" t="b">
        <f t="shared" si="525"/>
        <v>0</v>
      </c>
      <c r="K783" s="214">
        <v>288.0</v>
      </c>
      <c r="L783" s="212" t="str">
        <f t="shared" si="3"/>
        <v>n/a</v>
      </c>
      <c r="M783" s="212" t="str">
        <f t="shared" si="4"/>
        <v>n/a</v>
      </c>
      <c r="N783" s="207" t="str">
        <f t="shared" si="5"/>
        <v>n/a</v>
      </c>
      <c r="O783" s="207">
        <f t="shared" si="6"/>
        <v>0.003472222222</v>
      </c>
    </row>
    <row r="784" ht="15.75" customHeight="1">
      <c r="A784" s="207">
        <v>69.0</v>
      </c>
      <c r="B784" s="6" t="str">
        <f>VLOOKUP($A784, 'Completion rates'!$A:$E, 2, FALSE)</f>
        <v>Opening easy caskets</v>
      </c>
      <c r="C784" s="207">
        <v>3830.0</v>
      </c>
      <c r="D784" s="6" t="str">
        <f>VLOOKUP($C784, 'List of log slots'!$A:$E, 2, FALSE)</f>
        <v>Saradomin page 4</v>
      </c>
      <c r="E784" s="207">
        <f>VLOOKUP($C784, 'List of log slots'!$A:$E, 5, FALSE)</f>
        <v>2</v>
      </c>
      <c r="F784" s="210" t="b">
        <f>VLOOKUP(C784, 'List of log slots'!$A:$C, 3, FALSE)</f>
        <v>0</v>
      </c>
      <c r="G784" s="209" t="b">
        <f t="shared" si="377"/>
        <v>0</v>
      </c>
      <c r="H784" s="209" t="b">
        <f t="shared" si="7"/>
        <v>1</v>
      </c>
      <c r="I784" s="208" t="b">
        <f t="shared" ref="I784:J784" si="526">FALSE</f>
        <v>0</v>
      </c>
      <c r="J784" s="208" t="b">
        <f t="shared" si="526"/>
        <v>0</v>
      </c>
      <c r="K784" s="214">
        <v>288.0</v>
      </c>
      <c r="L784" s="212" t="str">
        <f t="shared" si="3"/>
        <v>n/a</v>
      </c>
      <c r="M784" s="212" t="str">
        <f t="shared" si="4"/>
        <v>n/a</v>
      </c>
      <c r="N784" s="207" t="str">
        <f t="shared" si="5"/>
        <v>n/a</v>
      </c>
      <c r="O784" s="207">
        <f t="shared" si="6"/>
        <v>0.003472222222</v>
      </c>
    </row>
    <row r="785" ht="15.75" customHeight="1">
      <c r="A785" s="207">
        <v>69.0</v>
      </c>
      <c r="B785" s="6" t="str">
        <f>VLOOKUP($A785, 'Completion rates'!$A:$E, 2, FALSE)</f>
        <v>Opening easy caskets</v>
      </c>
      <c r="C785" s="207">
        <v>3834.0</v>
      </c>
      <c r="D785" s="6" t="str">
        <f>VLOOKUP($C785, 'List of log slots'!$A:$E, 2, FALSE)</f>
        <v>Zamorak page 4</v>
      </c>
      <c r="E785" s="207">
        <f>VLOOKUP($C785, 'List of log slots'!$A:$E, 5, FALSE)</f>
        <v>2</v>
      </c>
      <c r="F785" s="210" t="b">
        <f>VLOOKUP(C785, 'List of log slots'!$A:$C, 3, FALSE)</f>
        <v>0</v>
      </c>
      <c r="G785" s="209" t="b">
        <f t="shared" si="377"/>
        <v>0</v>
      </c>
      <c r="H785" s="209" t="b">
        <f t="shared" si="7"/>
        <v>1</v>
      </c>
      <c r="I785" s="208" t="b">
        <f t="shared" ref="I785:J785" si="527">FALSE</f>
        <v>0</v>
      </c>
      <c r="J785" s="208" t="b">
        <f t="shared" si="527"/>
        <v>0</v>
      </c>
      <c r="K785" s="214">
        <v>288.0</v>
      </c>
      <c r="L785" s="212" t="str">
        <f t="shared" si="3"/>
        <v>n/a</v>
      </c>
      <c r="M785" s="212" t="str">
        <f t="shared" si="4"/>
        <v>n/a</v>
      </c>
      <c r="N785" s="207" t="str">
        <f t="shared" si="5"/>
        <v>n/a</v>
      </c>
      <c r="O785" s="207">
        <f t="shared" si="6"/>
        <v>0.003472222222</v>
      </c>
    </row>
    <row r="786" ht="15.75" customHeight="1">
      <c r="A786" s="207">
        <v>69.0</v>
      </c>
      <c r="B786" s="6" t="str">
        <f>VLOOKUP($A786, 'Completion rates'!$A:$E, 2, FALSE)</f>
        <v>Opening easy caskets</v>
      </c>
      <c r="C786" s="207">
        <v>3838.0</v>
      </c>
      <c r="D786" s="6" t="str">
        <f>VLOOKUP($C786, 'List of log slots'!$A:$E, 2, FALSE)</f>
        <v>Guthix page 4</v>
      </c>
      <c r="E786" s="207">
        <f>VLOOKUP($C786, 'List of log slots'!$A:$E, 5, FALSE)</f>
        <v>2</v>
      </c>
      <c r="F786" s="209" t="b">
        <f>VLOOKUP(C786, 'List of log slots'!$A:$C, 3, FALSE)</f>
        <v>0</v>
      </c>
      <c r="G786" s="209" t="b">
        <f t="shared" si="377"/>
        <v>0</v>
      </c>
      <c r="H786" s="210" t="b">
        <f t="shared" si="7"/>
        <v>1</v>
      </c>
      <c r="I786" s="208" t="b">
        <f t="shared" ref="I786:J786" si="528">FALSE</f>
        <v>0</v>
      </c>
      <c r="J786" s="208" t="b">
        <f t="shared" si="528"/>
        <v>0</v>
      </c>
      <c r="K786" s="214">
        <v>288.0</v>
      </c>
      <c r="L786" s="212" t="str">
        <f t="shared" si="3"/>
        <v>n/a</v>
      </c>
      <c r="M786" s="212" t="str">
        <f t="shared" si="4"/>
        <v>n/a</v>
      </c>
      <c r="N786" s="207" t="str">
        <f t="shared" si="5"/>
        <v>n/a</v>
      </c>
      <c r="O786" s="207">
        <f t="shared" si="6"/>
        <v>0.003472222222</v>
      </c>
    </row>
    <row r="787" ht="15.75" customHeight="1">
      <c r="A787" s="207">
        <v>69.0</v>
      </c>
      <c r="B787" s="6" t="str">
        <f>VLOOKUP($A787, 'Completion rates'!$A:$E, 2, FALSE)</f>
        <v>Opening easy caskets</v>
      </c>
      <c r="C787" s="207">
        <v>12616.0</v>
      </c>
      <c r="D787" s="6" t="str">
        <f>VLOOKUP($C787, 'List of log slots'!$A:$E, 2, FALSE)</f>
        <v>Bandos page 4</v>
      </c>
      <c r="E787" s="207">
        <f>VLOOKUP($C787, 'List of log slots'!$A:$E, 5, FALSE)</f>
        <v>2</v>
      </c>
      <c r="F787" s="210" t="b">
        <f>VLOOKUP(C787, 'List of log slots'!$A:$C, 3, FALSE)</f>
        <v>0</v>
      </c>
      <c r="G787" s="209" t="b">
        <f t="shared" si="377"/>
        <v>0</v>
      </c>
      <c r="H787" s="209" t="b">
        <f t="shared" si="7"/>
        <v>1</v>
      </c>
      <c r="I787" s="208" t="b">
        <f t="shared" ref="I787:J787" si="529">FALSE</f>
        <v>0</v>
      </c>
      <c r="J787" s="208" t="b">
        <f t="shared" si="529"/>
        <v>0</v>
      </c>
      <c r="K787" s="214">
        <v>288.0</v>
      </c>
      <c r="L787" s="212" t="str">
        <f t="shared" si="3"/>
        <v>n/a</v>
      </c>
      <c r="M787" s="212" t="str">
        <f t="shared" si="4"/>
        <v>n/a</v>
      </c>
      <c r="N787" s="207" t="str">
        <f t="shared" si="5"/>
        <v>n/a</v>
      </c>
      <c r="O787" s="207">
        <f t="shared" si="6"/>
        <v>0.003472222222</v>
      </c>
    </row>
    <row r="788" ht="15.75" customHeight="1">
      <c r="A788" s="207">
        <v>69.0</v>
      </c>
      <c r="B788" s="6" t="str">
        <f>VLOOKUP($A788, 'Completion rates'!$A:$E, 2, FALSE)</f>
        <v>Opening easy caskets</v>
      </c>
      <c r="C788" s="207">
        <v>12620.0</v>
      </c>
      <c r="D788" s="6" t="str">
        <f>VLOOKUP($C788, 'List of log slots'!$A:$E, 2, FALSE)</f>
        <v>Armadyl page 4</v>
      </c>
      <c r="E788" s="207">
        <f>VLOOKUP($C788, 'List of log slots'!$A:$E, 5, FALSE)</f>
        <v>2</v>
      </c>
      <c r="F788" s="210" t="b">
        <f>VLOOKUP(C788, 'List of log slots'!$A:$C, 3, FALSE)</f>
        <v>0</v>
      </c>
      <c r="G788" s="209" t="b">
        <f t="shared" si="377"/>
        <v>0</v>
      </c>
      <c r="H788" s="209" t="b">
        <f t="shared" si="7"/>
        <v>1</v>
      </c>
      <c r="I788" s="208" t="b">
        <f t="shared" ref="I788:J788" si="530">FALSE</f>
        <v>0</v>
      </c>
      <c r="J788" s="208" t="b">
        <f t="shared" si="530"/>
        <v>0</v>
      </c>
      <c r="K788" s="214">
        <v>288.0</v>
      </c>
      <c r="L788" s="212" t="str">
        <f t="shared" si="3"/>
        <v>n/a</v>
      </c>
      <c r="M788" s="212" t="str">
        <f t="shared" si="4"/>
        <v>n/a</v>
      </c>
      <c r="N788" s="207" t="str">
        <f t="shared" si="5"/>
        <v>n/a</v>
      </c>
      <c r="O788" s="207">
        <f t="shared" si="6"/>
        <v>0.003472222222</v>
      </c>
    </row>
    <row r="789" ht="15.75" customHeight="1">
      <c r="A789" s="207">
        <v>69.0</v>
      </c>
      <c r="B789" s="6" t="str">
        <f>VLOOKUP($A789, 'Completion rates'!$A:$E, 2, FALSE)</f>
        <v>Opening easy caskets</v>
      </c>
      <c r="C789" s="207">
        <v>12624.0</v>
      </c>
      <c r="D789" s="6" t="str">
        <f>VLOOKUP($C789, 'List of log slots'!$A:$E, 2, FALSE)</f>
        <v>Ancient page 4</v>
      </c>
      <c r="E789" s="207">
        <f>VLOOKUP($C789, 'List of log slots'!$A:$E, 5, FALSE)</f>
        <v>2</v>
      </c>
      <c r="F789" s="210" t="b">
        <f>VLOOKUP(C789, 'List of log slots'!$A:$C, 3, FALSE)</f>
        <v>0</v>
      </c>
      <c r="G789" s="209" t="b">
        <f t="shared" si="377"/>
        <v>0</v>
      </c>
      <c r="H789" s="209" t="b">
        <f t="shared" si="7"/>
        <v>1</v>
      </c>
      <c r="I789" s="208" t="b">
        <f t="shared" ref="I789:J789" si="531">FALSE</f>
        <v>0</v>
      </c>
      <c r="J789" s="208" t="b">
        <f t="shared" si="531"/>
        <v>0</v>
      </c>
      <c r="K789" s="214">
        <v>288.0</v>
      </c>
      <c r="L789" s="212" t="str">
        <f t="shared" si="3"/>
        <v>n/a</v>
      </c>
      <c r="M789" s="212" t="str">
        <f t="shared" si="4"/>
        <v>n/a</v>
      </c>
      <c r="N789" s="207" t="str">
        <f t="shared" si="5"/>
        <v>n/a</v>
      </c>
      <c r="O789" s="207">
        <f t="shared" si="6"/>
        <v>0.003472222222</v>
      </c>
    </row>
    <row r="790" ht="15.75" customHeight="1">
      <c r="A790" s="207">
        <v>69.0</v>
      </c>
      <c r="B790" s="6" t="str">
        <f>VLOOKUP($A790, 'Completion rates'!$A:$E, 2, FALSE)</f>
        <v>Opening easy caskets</v>
      </c>
      <c r="C790" s="207">
        <v>20220.0</v>
      </c>
      <c r="D790" s="6" t="str">
        <f>VLOOKUP($C790, 'List of log slots'!$A:$E, 2, FALSE)</f>
        <v>Holy blessing</v>
      </c>
      <c r="E790" s="207">
        <f>VLOOKUP($C790, 'List of log slots'!$A:$E, 5, FALSE)</f>
        <v>2</v>
      </c>
      <c r="F790" s="210" t="b">
        <f>VLOOKUP(C790, 'List of log slots'!$A:$C, 3, FALSE)</f>
        <v>0</v>
      </c>
      <c r="G790" s="209" t="b">
        <f t="shared" si="377"/>
        <v>0</v>
      </c>
      <c r="H790" s="209" t="b">
        <f t="shared" si="7"/>
        <v>1</v>
      </c>
      <c r="I790" s="208" t="b">
        <f t="shared" ref="I790:J790" si="532">FALSE</f>
        <v>0</v>
      </c>
      <c r="J790" s="208" t="b">
        <f t="shared" si="532"/>
        <v>0</v>
      </c>
      <c r="K790" s="214">
        <v>720.0</v>
      </c>
      <c r="L790" s="212" t="str">
        <f t="shared" si="3"/>
        <v>n/a</v>
      </c>
      <c r="M790" s="212" t="str">
        <f t="shared" si="4"/>
        <v>n/a</v>
      </c>
      <c r="N790" s="207" t="str">
        <f t="shared" si="5"/>
        <v>n/a</v>
      </c>
      <c r="O790" s="207">
        <f t="shared" si="6"/>
        <v>0.001388888889</v>
      </c>
    </row>
    <row r="791" ht="15.75" customHeight="1">
      <c r="A791" s="207">
        <v>69.0</v>
      </c>
      <c r="B791" s="6" t="str">
        <f>VLOOKUP($A791, 'Completion rates'!$A:$E, 2, FALSE)</f>
        <v>Opening easy caskets</v>
      </c>
      <c r="C791" s="207">
        <v>20223.0</v>
      </c>
      <c r="D791" s="6" t="str">
        <f>VLOOKUP($C791, 'List of log slots'!$A:$E, 2, FALSE)</f>
        <v>Unholy blessing</v>
      </c>
      <c r="E791" s="207">
        <f>VLOOKUP($C791, 'List of log slots'!$A:$E, 5, FALSE)</f>
        <v>2</v>
      </c>
      <c r="F791" s="210" t="b">
        <f>VLOOKUP(C791, 'List of log slots'!$A:$C, 3, FALSE)</f>
        <v>0</v>
      </c>
      <c r="G791" s="209" t="b">
        <f t="shared" si="377"/>
        <v>0</v>
      </c>
      <c r="H791" s="209" t="b">
        <f t="shared" si="7"/>
        <v>1</v>
      </c>
      <c r="I791" s="208" t="b">
        <f t="shared" ref="I791:J791" si="533">FALSE</f>
        <v>0</v>
      </c>
      <c r="J791" s="208" t="b">
        <f t="shared" si="533"/>
        <v>0</v>
      </c>
      <c r="K791" s="214">
        <v>720.0</v>
      </c>
      <c r="L791" s="212" t="str">
        <f t="shared" si="3"/>
        <v>n/a</v>
      </c>
      <c r="M791" s="212" t="str">
        <f t="shared" si="4"/>
        <v>n/a</v>
      </c>
      <c r="N791" s="207" t="str">
        <f t="shared" si="5"/>
        <v>n/a</v>
      </c>
      <c r="O791" s="207">
        <f t="shared" si="6"/>
        <v>0.001388888889</v>
      </c>
    </row>
    <row r="792" ht="15.75" customHeight="1">
      <c r="A792" s="207">
        <v>69.0</v>
      </c>
      <c r="B792" s="6" t="str">
        <f>VLOOKUP($A792, 'Completion rates'!$A:$E, 2, FALSE)</f>
        <v>Opening easy caskets</v>
      </c>
      <c r="C792" s="207">
        <v>20226.0</v>
      </c>
      <c r="D792" s="6" t="str">
        <f>VLOOKUP($C792, 'List of log slots'!$A:$E, 2, FALSE)</f>
        <v>Peaceful blessing</v>
      </c>
      <c r="E792" s="207">
        <f>VLOOKUP($C792, 'List of log slots'!$A:$E, 5, FALSE)</f>
        <v>2</v>
      </c>
      <c r="F792" s="210" t="b">
        <f>VLOOKUP(C792, 'List of log slots'!$A:$C, 3, FALSE)</f>
        <v>0</v>
      </c>
      <c r="G792" s="209" t="b">
        <f t="shared" si="377"/>
        <v>0</v>
      </c>
      <c r="H792" s="209" t="b">
        <f t="shared" si="7"/>
        <v>1</v>
      </c>
      <c r="I792" s="208" t="b">
        <f t="shared" ref="I792:J792" si="534">FALSE</f>
        <v>0</v>
      </c>
      <c r="J792" s="208" t="b">
        <f t="shared" si="534"/>
        <v>0</v>
      </c>
      <c r="K792" s="214">
        <v>720.0</v>
      </c>
      <c r="L792" s="212" t="str">
        <f t="shared" si="3"/>
        <v>n/a</v>
      </c>
      <c r="M792" s="212" t="str">
        <f t="shared" si="4"/>
        <v>n/a</v>
      </c>
      <c r="N792" s="207" t="str">
        <f t="shared" si="5"/>
        <v>n/a</v>
      </c>
      <c r="O792" s="207">
        <f t="shared" si="6"/>
        <v>0.001388888889</v>
      </c>
    </row>
    <row r="793" ht="15.75" customHeight="1">
      <c r="A793" s="207">
        <v>69.0</v>
      </c>
      <c r="B793" s="6" t="str">
        <f>VLOOKUP($A793, 'Completion rates'!$A:$E, 2, FALSE)</f>
        <v>Opening easy caskets</v>
      </c>
      <c r="C793" s="207">
        <v>20232.0</v>
      </c>
      <c r="D793" s="6" t="str">
        <f>VLOOKUP($C793, 'List of log slots'!$A:$E, 2, FALSE)</f>
        <v>War blessing</v>
      </c>
      <c r="E793" s="207">
        <f>VLOOKUP($C793, 'List of log slots'!$A:$E, 5, FALSE)</f>
        <v>2</v>
      </c>
      <c r="F793" s="210" t="b">
        <f>VLOOKUP(C793, 'List of log slots'!$A:$C, 3, FALSE)</f>
        <v>0</v>
      </c>
      <c r="G793" s="209" t="b">
        <f t="shared" si="377"/>
        <v>0</v>
      </c>
      <c r="H793" s="209" t="b">
        <f t="shared" si="7"/>
        <v>1</v>
      </c>
      <c r="I793" s="208" t="b">
        <f t="shared" ref="I793:J793" si="535">FALSE</f>
        <v>0</v>
      </c>
      <c r="J793" s="208" t="b">
        <f t="shared" si="535"/>
        <v>0</v>
      </c>
      <c r="K793" s="214">
        <v>720.0</v>
      </c>
      <c r="L793" s="212" t="str">
        <f t="shared" si="3"/>
        <v>n/a</v>
      </c>
      <c r="M793" s="212" t="str">
        <f t="shared" si="4"/>
        <v>n/a</v>
      </c>
      <c r="N793" s="207" t="str">
        <f t="shared" si="5"/>
        <v>n/a</v>
      </c>
      <c r="O793" s="207">
        <f t="shared" si="6"/>
        <v>0.001388888889</v>
      </c>
    </row>
    <row r="794" ht="15.75" customHeight="1">
      <c r="A794" s="207">
        <v>69.0</v>
      </c>
      <c r="B794" s="6" t="str">
        <f>VLOOKUP($A794, 'Completion rates'!$A:$E, 2, FALSE)</f>
        <v>Opening easy caskets</v>
      </c>
      <c r="C794" s="207">
        <v>20229.0</v>
      </c>
      <c r="D794" s="6" t="str">
        <f>VLOOKUP($C794, 'List of log slots'!$A:$E, 2, FALSE)</f>
        <v>Honourable blessing</v>
      </c>
      <c r="E794" s="207">
        <f>VLOOKUP($C794, 'List of log slots'!$A:$E, 5, FALSE)</f>
        <v>2</v>
      </c>
      <c r="F794" s="210" t="b">
        <f>VLOOKUP(C794, 'List of log slots'!$A:$C, 3, FALSE)</f>
        <v>0</v>
      </c>
      <c r="G794" s="209" t="b">
        <f t="shared" si="377"/>
        <v>0</v>
      </c>
      <c r="H794" s="209" t="b">
        <f t="shared" si="7"/>
        <v>1</v>
      </c>
      <c r="I794" s="208" t="b">
        <f t="shared" ref="I794:J794" si="536">FALSE</f>
        <v>0</v>
      </c>
      <c r="J794" s="208" t="b">
        <f t="shared" si="536"/>
        <v>0</v>
      </c>
      <c r="K794" s="214">
        <v>720.0</v>
      </c>
      <c r="L794" s="212" t="str">
        <f t="shared" si="3"/>
        <v>n/a</v>
      </c>
      <c r="M794" s="212" t="str">
        <f t="shared" si="4"/>
        <v>n/a</v>
      </c>
      <c r="N794" s="207" t="str">
        <f t="shared" si="5"/>
        <v>n/a</v>
      </c>
      <c r="O794" s="207">
        <f t="shared" si="6"/>
        <v>0.001388888889</v>
      </c>
    </row>
    <row r="795" ht="15.75" customHeight="1">
      <c r="A795" s="207">
        <v>69.0</v>
      </c>
      <c r="B795" s="6" t="str">
        <f>VLOOKUP($A795, 'Completion rates'!$A:$E, 2, FALSE)</f>
        <v>Opening easy caskets</v>
      </c>
      <c r="C795" s="207">
        <v>20235.0</v>
      </c>
      <c r="D795" s="6" t="str">
        <f>VLOOKUP($C795, 'List of log slots'!$A:$E, 2, FALSE)</f>
        <v>Ancient blessing</v>
      </c>
      <c r="E795" s="207">
        <f>VLOOKUP($C795, 'List of log slots'!$A:$E, 5, FALSE)</f>
        <v>2</v>
      </c>
      <c r="F795" s="210" t="b">
        <f>VLOOKUP(C795, 'List of log slots'!$A:$C, 3, FALSE)</f>
        <v>0</v>
      </c>
      <c r="G795" s="209" t="b">
        <f t="shared" si="377"/>
        <v>0</v>
      </c>
      <c r="H795" s="209" t="b">
        <f t="shared" si="7"/>
        <v>1</v>
      </c>
      <c r="I795" s="208" t="b">
        <f t="shared" ref="I795:J795" si="537">FALSE</f>
        <v>0</v>
      </c>
      <c r="J795" s="208" t="b">
        <f t="shared" si="537"/>
        <v>0</v>
      </c>
      <c r="K795" s="214">
        <v>720.0</v>
      </c>
      <c r="L795" s="212" t="str">
        <f t="shared" si="3"/>
        <v>n/a</v>
      </c>
      <c r="M795" s="212" t="str">
        <f t="shared" si="4"/>
        <v>n/a</v>
      </c>
      <c r="N795" s="207" t="str">
        <f t="shared" si="5"/>
        <v>n/a</v>
      </c>
      <c r="O795" s="207">
        <f t="shared" si="6"/>
        <v>0.001388888889</v>
      </c>
    </row>
    <row r="796" ht="15.75" customHeight="1">
      <c r="A796" s="207">
        <v>69.0</v>
      </c>
      <c r="B796" s="6" t="str">
        <f>VLOOKUP($A796, 'Completion rates'!$A:$E, 2, FALSE)</f>
        <v>Opening easy caskets</v>
      </c>
      <c r="C796" s="207">
        <v>12402.0</v>
      </c>
      <c r="D796" s="6" t="str">
        <f>VLOOKUP($C796, 'List of log slots'!$A:$E, 2, FALSE)</f>
        <v>Nardah teleport</v>
      </c>
      <c r="E796" s="207">
        <f>VLOOKUP($C796, 'List of log slots'!$A:$E, 5, FALSE)</f>
        <v>2</v>
      </c>
      <c r="F796" s="210" t="b">
        <f>VLOOKUP(C796, 'List of log slots'!$A:$C, 3, FALSE)</f>
        <v>0</v>
      </c>
      <c r="G796" s="209" t="b">
        <f t="shared" si="377"/>
        <v>0</v>
      </c>
      <c r="H796" s="209" t="b">
        <f t="shared" si="7"/>
        <v>1</v>
      </c>
      <c r="I796" s="208" t="b">
        <f t="shared" ref="I796:J796" si="538">FALSE</f>
        <v>0</v>
      </c>
      <c r="J796" s="208" t="b">
        <f t="shared" si="538"/>
        <v>0</v>
      </c>
      <c r="K796" s="214">
        <v>151.0</v>
      </c>
      <c r="L796" s="212" t="str">
        <f t="shared" si="3"/>
        <v>n/a</v>
      </c>
      <c r="M796" s="212" t="str">
        <f t="shared" si="4"/>
        <v>n/a</v>
      </c>
      <c r="N796" s="207" t="str">
        <f t="shared" si="5"/>
        <v>n/a</v>
      </c>
      <c r="O796" s="207">
        <f t="shared" si="6"/>
        <v>0.006622516556</v>
      </c>
    </row>
    <row r="797" ht="15.75" customHeight="1">
      <c r="A797" s="207">
        <v>69.0</v>
      </c>
      <c r="B797" s="6" t="str">
        <f>VLOOKUP($A797, 'Completion rates'!$A:$E, 2, FALSE)</f>
        <v>Opening easy caskets</v>
      </c>
      <c r="C797" s="207">
        <v>12411.0</v>
      </c>
      <c r="D797" s="6" t="str">
        <f>VLOOKUP($C797, 'List of log slots'!$A:$E, 2, FALSE)</f>
        <v>Mos le'harmless teleport</v>
      </c>
      <c r="E797" s="207">
        <f>VLOOKUP($C797, 'List of log slots'!$A:$E, 5, FALSE)</f>
        <v>2</v>
      </c>
      <c r="F797" s="210" t="b">
        <f>VLOOKUP(C797, 'List of log slots'!$A:$C, 3, FALSE)</f>
        <v>0</v>
      </c>
      <c r="G797" s="209" t="b">
        <f t="shared" si="377"/>
        <v>0</v>
      </c>
      <c r="H797" s="209" t="b">
        <f t="shared" si="7"/>
        <v>1</v>
      </c>
      <c r="I797" s="208" t="b">
        <f t="shared" ref="I797:J797" si="539">FALSE</f>
        <v>0</v>
      </c>
      <c r="J797" s="208" t="b">
        <f t="shared" si="539"/>
        <v>0</v>
      </c>
      <c r="K797" s="214">
        <v>151.0</v>
      </c>
      <c r="L797" s="212" t="str">
        <f t="shared" si="3"/>
        <v>n/a</v>
      </c>
      <c r="M797" s="212" t="str">
        <f t="shared" si="4"/>
        <v>n/a</v>
      </c>
      <c r="N797" s="207" t="str">
        <f t="shared" si="5"/>
        <v>n/a</v>
      </c>
      <c r="O797" s="207">
        <f t="shared" si="6"/>
        <v>0.006622516556</v>
      </c>
    </row>
    <row r="798" ht="15.75" customHeight="1">
      <c r="A798" s="207">
        <v>69.0</v>
      </c>
      <c r="B798" s="6" t="str">
        <f>VLOOKUP($A798, 'Completion rates'!$A:$E, 2, FALSE)</f>
        <v>Opening easy caskets</v>
      </c>
      <c r="C798" s="207">
        <v>12406.0</v>
      </c>
      <c r="D798" s="6" t="str">
        <f>VLOOKUP($C798, 'List of log slots'!$A:$E, 2, FALSE)</f>
        <v>Mort'ton teleport</v>
      </c>
      <c r="E798" s="207">
        <f>VLOOKUP($C798, 'List of log slots'!$A:$E, 5, FALSE)</f>
        <v>2</v>
      </c>
      <c r="F798" s="210" t="b">
        <f>VLOOKUP(C798, 'List of log slots'!$A:$C, 3, FALSE)</f>
        <v>0</v>
      </c>
      <c r="G798" s="209" t="b">
        <f t="shared" si="377"/>
        <v>0</v>
      </c>
      <c r="H798" s="209" t="b">
        <f t="shared" si="7"/>
        <v>1</v>
      </c>
      <c r="I798" s="208" t="b">
        <f t="shared" ref="I798:J798" si="540">FALSE</f>
        <v>0</v>
      </c>
      <c r="J798" s="208" t="b">
        <f t="shared" si="540"/>
        <v>0</v>
      </c>
      <c r="K798" s="214">
        <v>151.0</v>
      </c>
      <c r="L798" s="212" t="str">
        <f t="shared" si="3"/>
        <v>n/a</v>
      </c>
      <c r="M798" s="212" t="str">
        <f t="shared" si="4"/>
        <v>n/a</v>
      </c>
      <c r="N798" s="207" t="str">
        <f t="shared" si="5"/>
        <v>n/a</v>
      </c>
      <c r="O798" s="207">
        <f t="shared" si="6"/>
        <v>0.006622516556</v>
      </c>
    </row>
    <row r="799" ht="15.75" customHeight="1">
      <c r="A799" s="207">
        <v>69.0</v>
      </c>
      <c r="B799" s="6" t="str">
        <f>VLOOKUP($A799, 'Completion rates'!$A:$E, 2, FALSE)</f>
        <v>Opening easy caskets</v>
      </c>
      <c r="C799" s="212">
        <v>12404.0</v>
      </c>
      <c r="D799" s="6" t="str">
        <f>VLOOKUP($C799, 'List of log slots'!$A:$E, 2, FALSE)</f>
        <v>Feldip hills teleport</v>
      </c>
      <c r="E799" s="207">
        <f>VLOOKUP($C799, 'List of log slots'!$A:$E, 5, FALSE)</f>
        <v>2</v>
      </c>
      <c r="F799" s="210" t="b">
        <f>VLOOKUP(C799, 'List of log slots'!$A:$C, 3, FALSE)</f>
        <v>0</v>
      </c>
      <c r="G799" s="209" t="b">
        <f t="shared" si="377"/>
        <v>0</v>
      </c>
      <c r="H799" s="209" t="b">
        <f t="shared" si="7"/>
        <v>1</v>
      </c>
      <c r="I799" s="208" t="b">
        <f t="shared" ref="I799:J799" si="541">FALSE</f>
        <v>0</v>
      </c>
      <c r="J799" s="208" t="b">
        <f t="shared" si="541"/>
        <v>0</v>
      </c>
      <c r="K799" s="214">
        <v>151.0</v>
      </c>
      <c r="L799" s="212" t="str">
        <f t="shared" si="3"/>
        <v>n/a</v>
      </c>
      <c r="M799" s="212" t="str">
        <f t="shared" si="4"/>
        <v>n/a</v>
      </c>
      <c r="N799" s="207" t="str">
        <f t="shared" si="5"/>
        <v>n/a</v>
      </c>
      <c r="O799" s="207">
        <f t="shared" si="6"/>
        <v>0.006622516556</v>
      </c>
    </row>
    <row r="800" ht="15.75" customHeight="1">
      <c r="A800" s="207">
        <v>69.0</v>
      </c>
      <c r="B800" s="6" t="str">
        <f>VLOOKUP($A800, 'Completion rates'!$A:$E, 2, FALSE)</f>
        <v>Opening easy caskets</v>
      </c>
      <c r="C800" s="212">
        <v>12405.0</v>
      </c>
      <c r="D800" s="6" t="str">
        <f>VLOOKUP($C800, 'List of log slots'!$A:$E, 2, FALSE)</f>
        <v>Lunar isle teleport</v>
      </c>
      <c r="E800" s="207">
        <f>VLOOKUP($C800, 'List of log slots'!$A:$E, 5, FALSE)</f>
        <v>2</v>
      </c>
      <c r="F800" s="210" t="b">
        <f>VLOOKUP(C800, 'List of log slots'!$A:$C, 3, FALSE)</f>
        <v>0</v>
      </c>
      <c r="G800" s="209" t="b">
        <f t="shared" si="377"/>
        <v>0</v>
      </c>
      <c r="H800" s="209" t="b">
        <f t="shared" si="7"/>
        <v>1</v>
      </c>
      <c r="I800" s="208" t="b">
        <f t="shared" ref="I800:J800" si="542">FALSE</f>
        <v>0</v>
      </c>
      <c r="J800" s="208" t="b">
        <f t="shared" si="542"/>
        <v>0</v>
      </c>
      <c r="K800" s="214">
        <v>151.0</v>
      </c>
      <c r="L800" s="212" t="str">
        <f t="shared" si="3"/>
        <v>n/a</v>
      </c>
      <c r="M800" s="212" t="str">
        <f t="shared" si="4"/>
        <v>n/a</v>
      </c>
      <c r="N800" s="207" t="str">
        <f t="shared" si="5"/>
        <v>n/a</v>
      </c>
      <c r="O800" s="207">
        <f t="shared" si="6"/>
        <v>0.006622516556</v>
      </c>
    </row>
    <row r="801" ht="15.75" customHeight="1">
      <c r="A801" s="207">
        <v>69.0</v>
      </c>
      <c r="B801" s="6" t="str">
        <f>VLOOKUP($A801, 'Completion rates'!$A:$E, 2, FALSE)</f>
        <v>Opening easy caskets</v>
      </c>
      <c r="C801" s="207">
        <v>12403.0</v>
      </c>
      <c r="D801" s="6" t="str">
        <f>VLOOKUP($C801, 'List of log slots'!$A:$E, 2, FALSE)</f>
        <v>Digsite teleport</v>
      </c>
      <c r="E801" s="207">
        <f>VLOOKUP($C801, 'List of log slots'!$A:$E, 5, FALSE)</f>
        <v>2</v>
      </c>
      <c r="F801" s="210" t="b">
        <f>VLOOKUP(C801, 'List of log slots'!$A:$C, 3, FALSE)</f>
        <v>0</v>
      </c>
      <c r="G801" s="209" t="b">
        <f t="shared" si="377"/>
        <v>0</v>
      </c>
      <c r="H801" s="209" t="b">
        <f t="shared" si="7"/>
        <v>1</v>
      </c>
      <c r="I801" s="208" t="b">
        <f t="shared" ref="I801:J801" si="543">FALSE</f>
        <v>0</v>
      </c>
      <c r="J801" s="208" t="b">
        <f t="shared" si="543"/>
        <v>0</v>
      </c>
      <c r="K801" s="214">
        <v>151.0</v>
      </c>
      <c r="L801" s="212" t="str">
        <f t="shared" si="3"/>
        <v>n/a</v>
      </c>
      <c r="M801" s="212" t="str">
        <f t="shared" si="4"/>
        <v>n/a</v>
      </c>
      <c r="N801" s="207" t="str">
        <f t="shared" si="5"/>
        <v>n/a</v>
      </c>
      <c r="O801" s="207">
        <f t="shared" si="6"/>
        <v>0.006622516556</v>
      </c>
    </row>
    <row r="802" ht="15.75" customHeight="1">
      <c r="A802" s="207">
        <v>69.0</v>
      </c>
      <c r="B802" s="6" t="str">
        <f>VLOOKUP($A802, 'Completion rates'!$A:$E, 2, FALSE)</f>
        <v>Opening easy caskets</v>
      </c>
      <c r="C802" s="207">
        <v>12408.0</v>
      </c>
      <c r="D802" s="6" t="str">
        <f>VLOOKUP($C802, 'List of log slots'!$A:$E, 2, FALSE)</f>
        <v>Piscatoris teleport</v>
      </c>
      <c r="E802" s="207">
        <f>VLOOKUP($C802, 'List of log slots'!$A:$E, 5, FALSE)</f>
        <v>2</v>
      </c>
      <c r="F802" s="210" t="b">
        <f>VLOOKUP(C802, 'List of log slots'!$A:$C, 3, FALSE)</f>
        <v>0</v>
      </c>
      <c r="G802" s="209" t="b">
        <f t="shared" si="377"/>
        <v>0</v>
      </c>
      <c r="H802" s="209" t="b">
        <f t="shared" si="7"/>
        <v>1</v>
      </c>
      <c r="I802" s="208" t="b">
        <f t="shared" ref="I802:J802" si="544">FALSE</f>
        <v>0</v>
      </c>
      <c r="J802" s="208" t="b">
        <f t="shared" si="544"/>
        <v>0</v>
      </c>
      <c r="K802" s="214">
        <v>151.0</v>
      </c>
      <c r="L802" s="212" t="str">
        <f t="shared" si="3"/>
        <v>n/a</v>
      </c>
      <c r="M802" s="212" t="str">
        <f t="shared" si="4"/>
        <v>n/a</v>
      </c>
      <c r="N802" s="207" t="str">
        <f t="shared" si="5"/>
        <v>n/a</v>
      </c>
      <c r="O802" s="207">
        <f t="shared" si="6"/>
        <v>0.006622516556</v>
      </c>
    </row>
    <row r="803" ht="15.75" customHeight="1">
      <c r="A803" s="207">
        <v>69.0</v>
      </c>
      <c r="B803" s="6" t="str">
        <f>VLOOKUP($A803, 'Completion rates'!$A:$E, 2, FALSE)</f>
        <v>Opening easy caskets</v>
      </c>
      <c r="C803" s="207">
        <v>12407.0</v>
      </c>
      <c r="D803" s="6" t="str">
        <f>VLOOKUP($C803, 'List of log slots'!$A:$E, 2, FALSE)</f>
        <v>Pest control teleport</v>
      </c>
      <c r="E803" s="207">
        <f>VLOOKUP($C803, 'List of log slots'!$A:$E, 5, FALSE)</f>
        <v>2</v>
      </c>
      <c r="F803" s="210" t="b">
        <f>VLOOKUP(C803, 'List of log slots'!$A:$C, 3, FALSE)</f>
        <v>0</v>
      </c>
      <c r="G803" s="209" t="b">
        <f t="shared" si="377"/>
        <v>0</v>
      </c>
      <c r="H803" s="209" t="b">
        <f t="shared" si="7"/>
        <v>1</v>
      </c>
      <c r="I803" s="208" t="b">
        <f t="shared" ref="I803:J803" si="545">FALSE</f>
        <v>0</v>
      </c>
      <c r="J803" s="208" t="b">
        <f t="shared" si="545"/>
        <v>0</v>
      </c>
      <c r="K803" s="214">
        <v>151.0</v>
      </c>
      <c r="L803" s="212" t="str">
        <f t="shared" si="3"/>
        <v>n/a</v>
      </c>
      <c r="M803" s="212" t="str">
        <f t="shared" si="4"/>
        <v>n/a</v>
      </c>
      <c r="N803" s="207" t="str">
        <f t="shared" si="5"/>
        <v>n/a</v>
      </c>
      <c r="O803" s="207">
        <f t="shared" si="6"/>
        <v>0.006622516556</v>
      </c>
    </row>
    <row r="804" ht="15.75" customHeight="1">
      <c r="A804" s="207">
        <v>69.0</v>
      </c>
      <c r="B804" s="6" t="str">
        <f>VLOOKUP($A804, 'Completion rates'!$A:$E, 2, FALSE)</f>
        <v>Opening easy caskets</v>
      </c>
      <c r="C804" s="207">
        <v>12409.0</v>
      </c>
      <c r="D804" s="6" t="str">
        <f>VLOOKUP($C804, 'List of log slots'!$A:$E, 2, FALSE)</f>
        <v>Tai bwo wannai teleport</v>
      </c>
      <c r="E804" s="207">
        <f>VLOOKUP($C804, 'List of log slots'!$A:$E, 5, FALSE)</f>
        <v>2</v>
      </c>
      <c r="F804" s="210" t="b">
        <f>VLOOKUP(C804, 'List of log slots'!$A:$C, 3, FALSE)</f>
        <v>0</v>
      </c>
      <c r="G804" s="209" t="b">
        <f t="shared" si="377"/>
        <v>0</v>
      </c>
      <c r="H804" s="209" t="b">
        <f t="shared" si="7"/>
        <v>1</v>
      </c>
      <c r="I804" s="208" t="b">
        <f t="shared" ref="I804:J804" si="546">FALSE</f>
        <v>0</v>
      </c>
      <c r="J804" s="208" t="b">
        <f t="shared" si="546"/>
        <v>0</v>
      </c>
      <c r="K804" s="214">
        <v>151.0</v>
      </c>
      <c r="L804" s="212" t="str">
        <f t="shared" si="3"/>
        <v>n/a</v>
      </c>
      <c r="M804" s="212" t="str">
        <f t="shared" si="4"/>
        <v>n/a</v>
      </c>
      <c r="N804" s="207" t="str">
        <f t="shared" si="5"/>
        <v>n/a</v>
      </c>
      <c r="O804" s="207">
        <f t="shared" si="6"/>
        <v>0.006622516556</v>
      </c>
    </row>
    <row r="805" ht="15.75" customHeight="1">
      <c r="A805" s="207">
        <v>69.0</v>
      </c>
      <c r="B805" s="6" t="str">
        <f>VLOOKUP($A805, 'Completion rates'!$A:$E, 2, FALSE)</f>
        <v>Opening easy caskets</v>
      </c>
      <c r="C805" s="207">
        <v>12642.0</v>
      </c>
      <c r="D805" s="6" t="str">
        <f>VLOOKUP($C805, 'List of log slots'!$A:$E, 2, FALSE)</f>
        <v>Lumberyard teleport</v>
      </c>
      <c r="E805" s="207">
        <f>VLOOKUP($C805, 'List of log slots'!$A:$E, 5, FALSE)</f>
        <v>2</v>
      </c>
      <c r="F805" s="210" t="b">
        <f>VLOOKUP(C805, 'List of log slots'!$A:$C, 3, FALSE)</f>
        <v>0</v>
      </c>
      <c r="G805" s="209" t="b">
        <f t="shared" si="377"/>
        <v>0</v>
      </c>
      <c r="H805" s="209" t="b">
        <f t="shared" si="7"/>
        <v>1</v>
      </c>
      <c r="I805" s="208" t="b">
        <f t="shared" ref="I805:J805" si="547">FALSE</f>
        <v>0</v>
      </c>
      <c r="J805" s="208" t="b">
        <f t="shared" si="547"/>
        <v>0</v>
      </c>
      <c r="K805" s="214">
        <v>151.0</v>
      </c>
      <c r="L805" s="212" t="str">
        <f t="shared" si="3"/>
        <v>n/a</v>
      </c>
      <c r="M805" s="212" t="str">
        <f t="shared" si="4"/>
        <v>n/a</v>
      </c>
      <c r="N805" s="207" t="str">
        <f t="shared" si="5"/>
        <v>n/a</v>
      </c>
      <c r="O805" s="207">
        <f t="shared" si="6"/>
        <v>0.006622516556</v>
      </c>
    </row>
    <row r="806" ht="15.75" customHeight="1">
      <c r="A806" s="207">
        <v>69.0</v>
      </c>
      <c r="B806" s="6" t="str">
        <f>VLOOKUP($A806, 'Completion rates'!$A:$E, 2, FALSE)</f>
        <v>Opening easy caskets</v>
      </c>
      <c r="C806" s="207">
        <v>12410.0</v>
      </c>
      <c r="D806" s="6" t="str">
        <f>VLOOKUP($C806, 'List of log slots'!$A:$E, 2, FALSE)</f>
        <v>Iorwerth camp teleport</v>
      </c>
      <c r="E806" s="207">
        <f>VLOOKUP($C806, 'List of log slots'!$A:$E, 5, FALSE)</f>
        <v>2</v>
      </c>
      <c r="F806" s="210" t="b">
        <f>VLOOKUP(C806, 'List of log slots'!$A:$C, 3, FALSE)</f>
        <v>0</v>
      </c>
      <c r="G806" s="209" t="b">
        <f t="shared" si="377"/>
        <v>0</v>
      </c>
      <c r="H806" s="209" t="b">
        <f t="shared" si="7"/>
        <v>1</v>
      </c>
      <c r="I806" s="208" t="b">
        <f t="shared" ref="I806:J806" si="548">FALSE</f>
        <v>0</v>
      </c>
      <c r="J806" s="208" t="b">
        <f t="shared" si="548"/>
        <v>0</v>
      </c>
      <c r="K806" s="214">
        <v>151.0</v>
      </c>
      <c r="L806" s="212" t="str">
        <f t="shared" si="3"/>
        <v>n/a</v>
      </c>
      <c r="M806" s="212" t="str">
        <f t="shared" si="4"/>
        <v>n/a</v>
      </c>
      <c r="N806" s="207" t="str">
        <f t="shared" si="5"/>
        <v>n/a</v>
      </c>
      <c r="O806" s="207">
        <f t="shared" si="6"/>
        <v>0.006622516556</v>
      </c>
    </row>
    <row r="807" ht="15.75" customHeight="1">
      <c r="A807" s="207">
        <v>69.0</v>
      </c>
      <c r="B807" s="6" t="str">
        <f>VLOOKUP($A807, 'Completion rates'!$A:$E, 2, FALSE)</f>
        <v>Opening easy caskets</v>
      </c>
      <c r="C807" s="207">
        <v>21387.0</v>
      </c>
      <c r="D807" s="6" t="str">
        <f>VLOOKUP($C807, 'List of log slots'!$A:$E, 2, FALSE)</f>
        <v>Master scroll book (empty)</v>
      </c>
      <c r="E807" s="207">
        <f>VLOOKUP($C807, 'List of log slots'!$A:$E, 5, FALSE)</f>
        <v>2</v>
      </c>
      <c r="F807" s="210" t="b">
        <f>VLOOKUP(C807, 'List of log slots'!$A:$C, 3, FALSE)</f>
        <v>0</v>
      </c>
      <c r="G807" s="209" t="b">
        <f t="shared" si="377"/>
        <v>0</v>
      </c>
      <c r="H807" s="209" t="b">
        <f t="shared" si="7"/>
        <v>1</v>
      </c>
      <c r="I807" s="208" t="b">
        <f t="shared" ref="I807:J807" si="549">FALSE</f>
        <v>0</v>
      </c>
      <c r="J807" s="208" t="b">
        <f t="shared" si="549"/>
        <v>0</v>
      </c>
      <c r="K807" s="214">
        <v>264.0</v>
      </c>
      <c r="L807" s="212" t="str">
        <f t="shared" si="3"/>
        <v>n/a</v>
      </c>
      <c r="M807" s="212" t="str">
        <f t="shared" si="4"/>
        <v>n/a</v>
      </c>
      <c r="N807" s="207" t="str">
        <f t="shared" si="5"/>
        <v>n/a</v>
      </c>
      <c r="O807" s="207">
        <f t="shared" si="6"/>
        <v>0.003787878788</v>
      </c>
    </row>
    <row r="808" ht="15.75" customHeight="1">
      <c r="A808" s="207">
        <v>69.0</v>
      </c>
      <c r="B808" s="6" t="str">
        <f>VLOOKUP($A808, 'Completion rates'!$A:$E, 2, FALSE)</f>
        <v>Opening easy caskets</v>
      </c>
      <c r="C808" s="207">
        <v>7329.0</v>
      </c>
      <c r="D808" s="6" t="str">
        <f>VLOOKUP($C808, 'List of log slots'!$A:$E, 2, FALSE)</f>
        <v>Red firelighter</v>
      </c>
      <c r="E808" s="207">
        <f>VLOOKUP($C808, 'List of log slots'!$A:$E, 5, FALSE)</f>
        <v>2</v>
      </c>
      <c r="F808" s="210" t="b">
        <f>VLOOKUP(C808, 'List of log slots'!$A:$C, 3, FALSE)</f>
        <v>0</v>
      </c>
      <c r="G808" s="209" t="b">
        <f t="shared" si="377"/>
        <v>0</v>
      </c>
      <c r="H808" s="209" t="b">
        <f t="shared" si="7"/>
        <v>1</v>
      </c>
      <c r="I808" s="208" t="b">
        <f t="shared" ref="I808:J808" si="550">FALSE</f>
        <v>0</v>
      </c>
      <c r="J808" s="208" t="b">
        <f t="shared" si="550"/>
        <v>0</v>
      </c>
      <c r="K808" s="214">
        <v>60.0</v>
      </c>
      <c r="L808" s="212" t="str">
        <f t="shared" si="3"/>
        <v>n/a</v>
      </c>
      <c r="M808" s="212" t="str">
        <f t="shared" si="4"/>
        <v>n/a</v>
      </c>
      <c r="N808" s="207" t="str">
        <f t="shared" si="5"/>
        <v>n/a</v>
      </c>
      <c r="O808" s="207">
        <f t="shared" si="6"/>
        <v>0.01666666667</v>
      </c>
    </row>
    <row r="809" ht="15.75" customHeight="1">
      <c r="A809" s="207">
        <v>69.0</v>
      </c>
      <c r="B809" s="6" t="str">
        <f>VLOOKUP($A809, 'Completion rates'!$A:$E, 2, FALSE)</f>
        <v>Opening easy caskets</v>
      </c>
      <c r="C809" s="207">
        <v>7330.0</v>
      </c>
      <c r="D809" s="6" t="str">
        <f>VLOOKUP($C809, 'List of log slots'!$A:$E, 2, FALSE)</f>
        <v>Green firelighter</v>
      </c>
      <c r="E809" s="207">
        <f>VLOOKUP($C809, 'List of log slots'!$A:$E, 5, FALSE)</f>
        <v>2</v>
      </c>
      <c r="F809" s="210" t="b">
        <f>VLOOKUP(C809, 'List of log slots'!$A:$C, 3, FALSE)</f>
        <v>0</v>
      </c>
      <c r="G809" s="209" t="b">
        <f t="shared" si="377"/>
        <v>0</v>
      </c>
      <c r="H809" s="209" t="b">
        <f t="shared" si="7"/>
        <v>1</v>
      </c>
      <c r="I809" s="208" t="b">
        <f t="shared" ref="I809:J809" si="551">FALSE</f>
        <v>0</v>
      </c>
      <c r="J809" s="208" t="b">
        <f t="shared" si="551"/>
        <v>0</v>
      </c>
      <c r="K809" s="214">
        <v>60.0</v>
      </c>
      <c r="L809" s="212" t="str">
        <f t="shared" si="3"/>
        <v>n/a</v>
      </c>
      <c r="M809" s="212" t="str">
        <f t="shared" si="4"/>
        <v>n/a</v>
      </c>
      <c r="N809" s="207" t="str">
        <f t="shared" si="5"/>
        <v>n/a</v>
      </c>
      <c r="O809" s="207">
        <f t="shared" si="6"/>
        <v>0.01666666667</v>
      </c>
    </row>
    <row r="810" ht="15.75" customHeight="1">
      <c r="A810" s="207">
        <v>69.0</v>
      </c>
      <c r="B810" s="6" t="str">
        <f>VLOOKUP($A810, 'Completion rates'!$A:$E, 2, FALSE)</f>
        <v>Opening easy caskets</v>
      </c>
      <c r="C810" s="207">
        <v>7331.0</v>
      </c>
      <c r="D810" s="6" t="str">
        <f>VLOOKUP($C810, 'List of log slots'!$A:$E, 2, FALSE)</f>
        <v>Blue firelighter</v>
      </c>
      <c r="E810" s="207">
        <f>VLOOKUP($C810, 'List of log slots'!$A:$E, 5, FALSE)</f>
        <v>2</v>
      </c>
      <c r="F810" s="210" t="b">
        <f>VLOOKUP(C810, 'List of log slots'!$A:$C, 3, FALSE)</f>
        <v>0</v>
      </c>
      <c r="G810" s="209" t="b">
        <f t="shared" si="377"/>
        <v>0</v>
      </c>
      <c r="H810" s="209" t="b">
        <f t="shared" si="7"/>
        <v>1</v>
      </c>
      <c r="I810" s="208" t="b">
        <f t="shared" ref="I810:J810" si="552">FALSE</f>
        <v>0</v>
      </c>
      <c r="J810" s="208" t="b">
        <f t="shared" si="552"/>
        <v>0</v>
      </c>
      <c r="K810" s="214">
        <v>60.0</v>
      </c>
      <c r="L810" s="212" t="str">
        <f t="shared" si="3"/>
        <v>n/a</v>
      </c>
      <c r="M810" s="212" t="str">
        <f t="shared" si="4"/>
        <v>n/a</v>
      </c>
      <c r="N810" s="207" t="str">
        <f t="shared" si="5"/>
        <v>n/a</v>
      </c>
      <c r="O810" s="207">
        <f t="shared" si="6"/>
        <v>0.01666666667</v>
      </c>
    </row>
    <row r="811" ht="15.75" customHeight="1">
      <c r="A811" s="207">
        <v>69.0</v>
      </c>
      <c r="B811" s="6" t="str">
        <f>VLOOKUP($A811, 'Completion rates'!$A:$E, 2, FALSE)</f>
        <v>Opening easy caskets</v>
      </c>
      <c r="C811" s="207">
        <v>10326.0</v>
      </c>
      <c r="D811" s="6" t="str">
        <f>VLOOKUP($C811, 'List of log slots'!$A:$E, 2, FALSE)</f>
        <v>Purple firelighter</v>
      </c>
      <c r="E811" s="207">
        <f>VLOOKUP($C811, 'List of log slots'!$A:$E, 5, FALSE)</f>
        <v>2</v>
      </c>
      <c r="F811" s="210" t="b">
        <f>VLOOKUP(C811, 'List of log slots'!$A:$C, 3, FALSE)</f>
        <v>0</v>
      </c>
      <c r="G811" s="209" t="b">
        <f t="shared" si="377"/>
        <v>0</v>
      </c>
      <c r="H811" s="209" t="b">
        <f t="shared" si="7"/>
        <v>1</v>
      </c>
      <c r="I811" s="208" t="b">
        <f t="shared" ref="I811:J811" si="553">FALSE</f>
        <v>0</v>
      </c>
      <c r="J811" s="208" t="b">
        <f t="shared" si="553"/>
        <v>0</v>
      </c>
      <c r="K811" s="214">
        <v>60.0</v>
      </c>
      <c r="L811" s="212" t="str">
        <f t="shared" si="3"/>
        <v>n/a</v>
      </c>
      <c r="M811" s="212" t="str">
        <f t="shared" si="4"/>
        <v>n/a</v>
      </c>
      <c r="N811" s="207" t="str">
        <f t="shared" si="5"/>
        <v>n/a</v>
      </c>
      <c r="O811" s="207">
        <f t="shared" si="6"/>
        <v>0.01666666667</v>
      </c>
    </row>
    <row r="812" ht="15.75" customHeight="1">
      <c r="A812" s="207">
        <v>69.0</v>
      </c>
      <c r="B812" s="6" t="str">
        <f>VLOOKUP($A812, 'Completion rates'!$A:$E, 2, FALSE)</f>
        <v>Opening easy caskets</v>
      </c>
      <c r="C812" s="207">
        <v>10327.0</v>
      </c>
      <c r="D812" s="6" t="str">
        <f>VLOOKUP($C812, 'List of log slots'!$A:$E, 2, FALSE)</f>
        <v>White firelighter</v>
      </c>
      <c r="E812" s="207">
        <f>VLOOKUP($C812, 'List of log slots'!$A:$E, 5, FALSE)</f>
        <v>2</v>
      </c>
      <c r="F812" s="210" t="b">
        <f>VLOOKUP(C812, 'List of log slots'!$A:$C, 3, FALSE)</f>
        <v>0</v>
      </c>
      <c r="G812" s="209" t="b">
        <f t="shared" si="377"/>
        <v>0</v>
      </c>
      <c r="H812" s="209" t="b">
        <f t="shared" si="7"/>
        <v>1</v>
      </c>
      <c r="I812" s="208" t="b">
        <f t="shared" ref="I812:J812" si="554">FALSE</f>
        <v>0</v>
      </c>
      <c r="J812" s="208" t="b">
        <f t="shared" si="554"/>
        <v>0</v>
      </c>
      <c r="K812" s="214">
        <v>60.0</v>
      </c>
      <c r="L812" s="212" t="str">
        <f t="shared" si="3"/>
        <v>n/a</v>
      </c>
      <c r="M812" s="212" t="str">
        <f t="shared" si="4"/>
        <v>n/a</v>
      </c>
      <c r="N812" s="207" t="str">
        <f t="shared" si="5"/>
        <v>n/a</v>
      </c>
      <c r="O812" s="207">
        <f t="shared" si="6"/>
        <v>0.01666666667</v>
      </c>
    </row>
    <row r="813" ht="15.75" customHeight="1">
      <c r="A813" s="207">
        <v>69.0</v>
      </c>
      <c r="B813" s="6" t="str">
        <f>VLOOKUP($A813, 'Completion rates'!$A:$E, 2, FALSE)</f>
        <v>Opening easy caskets</v>
      </c>
      <c r="C813" s="207">
        <v>20238.0</v>
      </c>
      <c r="D813" s="6" t="str">
        <f>VLOOKUP($C813, 'List of log slots'!$A:$E, 2, FALSE)</f>
        <v>Charge dragonstone jewellery scroll</v>
      </c>
      <c r="E813" s="207">
        <f>VLOOKUP($C813, 'List of log slots'!$A:$E, 5, FALSE)</f>
        <v>2</v>
      </c>
      <c r="F813" s="210" t="b">
        <f>VLOOKUP(C813, 'List of log slots'!$A:$C, 3, FALSE)</f>
        <v>0</v>
      </c>
      <c r="G813" s="209" t="b">
        <f t="shared" si="377"/>
        <v>0</v>
      </c>
      <c r="H813" s="209" t="b">
        <f t="shared" si="7"/>
        <v>1</v>
      </c>
      <c r="I813" s="208" t="b">
        <f t="shared" ref="I813:J813" si="555">FALSE</f>
        <v>0</v>
      </c>
      <c r="J813" s="208" t="b">
        <f t="shared" si="555"/>
        <v>0</v>
      </c>
      <c r="K813" s="214">
        <v>151.0</v>
      </c>
      <c r="L813" s="212" t="str">
        <f t="shared" si="3"/>
        <v>n/a</v>
      </c>
      <c r="M813" s="212" t="str">
        <f t="shared" si="4"/>
        <v>n/a</v>
      </c>
      <c r="N813" s="207" t="str">
        <f t="shared" si="5"/>
        <v>n/a</v>
      </c>
      <c r="O813" s="207">
        <f t="shared" si="6"/>
        <v>0.006622516556</v>
      </c>
    </row>
    <row r="814" ht="15.75" customHeight="1">
      <c r="A814" s="207">
        <v>69.0</v>
      </c>
      <c r="B814" s="6" t="str">
        <f>VLOOKUP($A814, 'Completion rates'!$A:$E, 2, FALSE)</f>
        <v>Opening easy caskets</v>
      </c>
      <c r="C814" s="207">
        <v>10476.0</v>
      </c>
      <c r="D814" s="6" t="str">
        <f>VLOOKUP($C814, 'List of log slots'!$A:$E, 2, FALSE)</f>
        <v>Purple sweets</v>
      </c>
      <c r="E814" s="207">
        <f>VLOOKUP($C814, 'List of log slots'!$A:$E, 5, FALSE)</f>
        <v>2</v>
      </c>
      <c r="F814" s="210" t="b">
        <f>VLOOKUP(C814, 'List of log slots'!$A:$C, 3, FALSE)</f>
        <v>0</v>
      </c>
      <c r="G814" s="209" t="b">
        <f t="shared" si="377"/>
        <v>0</v>
      </c>
      <c r="H814" s="209" t="b">
        <f t="shared" si="7"/>
        <v>1</v>
      </c>
      <c r="I814" s="208" t="b">
        <f t="shared" ref="I814:J814" si="556">FALSE</f>
        <v>0</v>
      </c>
      <c r="J814" s="208" t="b">
        <f t="shared" si="556"/>
        <v>0</v>
      </c>
      <c r="K814" s="214">
        <v>11.0</v>
      </c>
      <c r="L814" s="212" t="str">
        <f t="shared" si="3"/>
        <v>n/a</v>
      </c>
      <c r="M814" s="212" t="str">
        <f t="shared" si="4"/>
        <v>n/a</v>
      </c>
      <c r="N814" s="207" t="str">
        <f t="shared" si="5"/>
        <v>n/a</v>
      </c>
      <c r="O814" s="207">
        <f t="shared" si="6"/>
        <v>0.09090909091</v>
      </c>
    </row>
    <row r="815" ht="15.75" customHeight="1">
      <c r="A815" s="207">
        <v>69.0</v>
      </c>
      <c r="B815" s="6" t="str">
        <f>VLOOKUP($A815, 'Completion rates'!$A:$E, 2, FALSE)</f>
        <v>Opening easy caskets</v>
      </c>
      <c r="C815" s="207">
        <v>30906.0</v>
      </c>
      <c r="D815" s="6" t="str">
        <f>VLOOKUP($C815, 'List of log slots'!$A:$E, 2, FALSE)</f>
        <v>Minor easy scroll case</v>
      </c>
      <c r="E815" s="207">
        <f>VLOOKUP($C815, 'List of log slots'!$A:$E, 5, FALSE)</f>
        <v>4</v>
      </c>
      <c r="F815" s="210" t="b">
        <f>VLOOKUP(C815, 'List of log slots'!$A:$C, 3, FALSE)</f>
        <v>0</v>
      </c>
      <c r="G815" s="209" t="b">
        <f t="shared" si="377"/>
        <v>0</v>
      </c>
      <c r="H815" s="209" t="b">
        <f t="shared" si="7"/>
        <v>1</v>
      </c>
      <c r="I815" s="213" t="b">
        <f t="shared" ref="I815:I816" si="557">TRUE</f>
        <v>1</v>
      </c>
      <c r="J815" s="208" t="b">
        <f t="shared" ref="J815:J816" si="558">FALSE</f>
        <v>0</v>
      </c>
      <c r="K815" s="214">
        <v>100.0</v>
      </c>
      <c r="L815" s="212" t="str">
        <f t="shared" si="3"/>
        <v>n/a</v>
      </c>
      <c r="M815" s="212">
        <f t="shared" si="4"/>
        <v>100</v>
      </c>
      <c r="N815" s="207" t="str">
        <f t="shared" si="5"/>
        <v>n/a</v>
      </c>
      <c r="O815" s="207" t="str">
        <f t="shared" si="6"/>
        <v>n/a</v>
      </c>
    </row>
    <row r="816" ht="15.75" customHeight="1">
      <c r="A816" s="207">
        <v>69.0</v>
      </c>
      <c r="B816" s="6" t="str">
        <f>VLOOKUP($A816, 'Completion rates'!$A:$E, 2, FALSE)</f>
        <v>Opening easy caskets</v>
      </c>
      <c r="C816" s="207">
        <v>30908.0</v>
      </c>
      <c r="D816" s="6" t="str">
        <f>VLOOKUP($C816, 'List of log slots'!$A:$E, 2, FALSE)</f>
        <v>Major easy scroll case</v>
      </c>
      <c r="E816" s="207">
        <f>VLOOKUP($C816, 'List of log slots'!$A:$E, 5, FALSE)</f>
        <v>5</v>
      </c>
      <c r="F816" s="209" t="b">
        <f>VLOOKUP(C816, 'List of log slots'!$A:$C, 3, FALSE)</f>
        <v>0</v>
      </c>
      <c r="G816" s="210" t="b">
        <f>TRUE</f>
        <v>1</v>
      </c>
      <c r="H816" s="210" t="b">
        <f t="shared" si="7"/>
        <v>0</v>
      </c>
      <c r="I816" s="213" t="b">
        <f t="shared" si="557"/>
        <v>1</v>
      </c>
      <c r="J816" s="208" t="b">
        <f t="shared" si="558"/>
        <v>0</v>
      </c>
      <c r="K816" s="214">
        <v>100.0</v>
      </c>
      <c r="L816" s="212" t="str">
        <f t="shared" si="3"/>
        <v>n/a</v>
      </c>
      <c r="M816" s="212">
        <f t="shared" si="4"/>
        <v>100</v>
      </c>
      <c r="N816" s="207" t="str">
        <f t="shared" si="5"/>
        <v>n/a</v>
      </c>
      <c r="O816" s="207" t="str">
        <f t="shared" si="6"/>
        <v>n/a</v>
      </c>
    </row>
    <row r="817" ht="15.75" customHeight="1">
      <c r="A817" s="207">
        <v>70.0</v>
      </c>
      <c r="B817" s="6" t="str">
        <f>VLOOKUP($A817, 'Completion rates'!$A:$E, 2, FALSE)</f>
        <v>Opening medium caskets</v>
      </c>
      <c r="C817" s="207">
        <v>2577.0</v>
      </c>
      <c r="D817" s="6" t="str">
        <f>VLOOKUP($C817, 'List of log slots'!$A:$E, 2, FALSE)</f>
        <v>Ranger boots</v>
      </c>
      <c r="E817" s="207">
        <f>VLOOKUP($C817, 'List of log slots'!$A:$E, 5, FALSE)</f>
        <v>4</v>
      </c>
      <c r="F817" s="209" t="b">
        <f>VLOOKUP(C817, 'List of log slots'!$A:$C, 3, FALSE)</f>
        <v>0</v>
      </c>
      <c r="G817" s="209" t="b">
        <f t="shared" ref="G817:G981" si="560">FALSE</f>
        <v>0</v>
      </c>
      <c r="H817" s="210" t="b">
        <f t="shared" si="7"/>
        <v>1</v>
      </c>
      <c r="I817" s="208" t="b">
        <f t="shared" ref="I817:J817" si="559">FALSE</f>
        <v>0</v>
      </c>
      <c r="J817" s="208" t="b">
        <f t="shared" si="559"/>
        <v>0</v>
      </c>
      <c r="K817" s="214">
        <v>283.0</v>
      </c>
      <c r="L817" s="212" t="str">
        <f t="shared" si="3"/>
        <v>n/a</v>
      </c>
      <c r="M817" s="212" t="str">
        <f t="shared" si="4"/>
        <v>n/a</v>
      </c>
      <c r="N817" s="207" t="str">
        <f t="shared" si="5"/>
        <v>n/a</v>
      </c>
      <c r="O817" s="207">
        <f t="shared" si="6"/>
        <v>0.003533568905</v>
      </c>
    </row>
    <row r="818" ht="15.75" customHeight="1">
      <c r="A818" s="207">
        <v>70.0</v>
      </c>
      <c r="B818" s="6" t="str">
        <f>VLOOKUP($A818, 'Completion rates'!$A:$E, 2, FALSE)</f>
        <v>Opening medium caskets</v>
      </c>
      <c r="C818" s="207">
        <v>2579.0</v>
      </c>
      <c r="D818" s="6" t="str">
        <f>VLOOKUP($C818, 'List of log slots'!$A:$E, 2, FALSE)</f>
        <v>Wizard boots</v>
      </c>
      <c r="E818" s="207">
        <f>VLOOKUP($C818, 'List of log slots'!$A:$E, 5, FALSE)</f>
        <v>4</v>
      </c>
      <c r="F818" s="210" t="b">
        <f>VLOOKUP(C818, 'List of log slots'!$A:$C, 3, FALSE)</f>
        <v>0</v>
      </c>
      <c r="G818" s="209" t="b">
        <f t="shared" si="560"/>
        <v>0</v>
      </c>
      <c r="H818" s="209" t="b">
        <f t="shared" si="7"/>
        <v>1</v>
      </c>
      <c r="I818" s="208" t="b">
        <f t="shared" ref="I818:J818" si="561">FALSE</f>
        <v>0</v>
      </c>
      <c r="J818" s="208" t="b">
        <f t="shared" si="561"/>
        <v>0</v>
      </c>
      <c r="K818" s="214">
        <v>283.0</v>
      </c>
      <c r="L818" s="212" t="str">
        <f t="shared" si="3"/>
        <v>n/a</v>
      </c>
      <c r="M818" s="212" t="str">
        <f t="shared" si="4"/>
        <v>n/a</v>
      </c>
      <c r="N818" s="207" t="str">
        <f t="shared" si="5"/>
        <v>n/a</v>
      </c>
      <c r="O818" s="207">
        <f t="shared" si="6"/>
        <v>0.003533568905</v>
      </c>
    </row>
    <row r="819" ht="15.75" customHeight="1">
      <c r="A819" s="207">
        <v>70.0</v>
      </c>
      <c r="B819" s="6" t="str">
        <f>VLOOKUP($A819, 'Completion rates'!$A:$E, 2, FALSE)</f>
        <v>Opening medium caskets</v>
      </c>
      <c r="C819" s="207">
        <v>12598.0</v>
      </c>
      <c r="D819" s="6" t="str">
        <f>VLOOKUP($C819, 'List of log slots'!$A:$E, 2, FALSE)</f>
        <v>Holy sandals</v>
      </c>
      <c r="E819" s="207">
        <f>VLOOKUP($C819, 'List of log slots'!$A:$E, 5, FALSE)</f>
        <v>4</v>
      </c>
      <c r="F819" s="209" t="b">
        <f>VLOOKUP(C819, 'List of log slots'!$A:$C, 3, FALSE)</f>
        <v>0</v>
      </c>
      <c r="G819" s="209" t="b">
        <f t="shared" si="560"/>
        <v>0</v>
      </c>
      <c r="H819" s="210" t="b">
        <f t="shared" si="7"/>
        <v>1</v>
      </c>
      <c r="I819" s="208" t="b">
        <f t="shared" ref="I819:J819" si="562">FALSE</f>
        <v>0</v>
      </c>
      <c r="J819" s="208" t="b">
        <f t="shared" si="562"/>
        <v>0</v>
      </c>
      <c r="K819" s="214">
        <v>283.0</v>
      </c>
      <c r="L819" s="212" t="str">
        <f t="shared" si="3"/>
        <v>n/a</v>
      </c>
      <c r="M819" s="212" t="str">
        <f t="shared" si="4"/>
        <v>n/a</v>
      </c>
      <c r="N819" s="207" t="str">
        <f t="shared" si="5"/>
        <v>n/a</v>
      </c>
      <c r="O819" s="207">
        <f t="shared" si="6"/>
        <v>0.003533568905</v>
      </c>
    </row>
    <row r="820" ht="15.75" customHeight="1">
      <c r="A820" s="207">
        <v>70.0</v>
      </c>
      <c r="B820" s="6" t="str">
        <f>VLOOKUP($A820, 'Completion rates'!$A:$E, 2, FALSE)</f>
        <v>Opening medium caskets</v>
      </c>
      <c r="C820" s="207">
        <v>23413.0</v>
      </c>
      <c r="D820" s="6" t="str">
        <f>VLOOKUP($C820, 'List of log slots'!$A:$E, 2, FALSE)</f>
        <v>Climbing boots (g)</v>
      </c>
      <c r="E820" s="207">
        <f>VLOOKUP($C820, 'List of log slots'!$A:$E, 5, FALSE)</f>
        <v>4</v>
      </c>
      <c r="F820" s="209" t="b">
        <f>VLOOKUP(C820, 'List of log slots'!$A:$C, 3, FALSE)</f>
        <v>0</v>
      </c>
      <c r="G820" s="209" t="b">
        <f t="shared" si="560"/>
        <v>0</v>
      </c>
      <c r="H820" s="210" t="b">
        <f t="shared" si="7"/>
        <v>1</v>
      </c>
      <c r="I820" s="208" t="b">
        <f t="shared" ref="I820:J820" si="563">FALSE</f>
        <v>0</v>
      </c>
      <c r="J820" s="208" t="b">
        <f t="shared" si="563"/>
        <v>0</v>
      </c>
      <c r="K820" s="214">
        <v>283.0</v>
      </c>
      <c r="L820" s="212" t="str">
        <f t="shared" si="3"/>
        <v>n/a</v>
      </c>
      <c r="M820" s="212" t="str">
        <f t="shared" si="4"/>
        <v>n/a</v>
      </c>
      <c r="N820" s="207" t="str">
        <f t="shared" si="5"/>
        <v>n/a</v>
      </c>
      <c r="O820" s="207">
        <f t="shared" si="6"/>
        <v>0.003533568905</v>
      </c>
    </row>
    <row r="821" ht="15.75" customHeight="1">
      <c r="A821" s="207">
        <v>70.0</v>
      </c>
      <c r="B821" s="6" t="str">
        <f>VLOOKUP($A821, 'Completion rates'!$A:$E, 2, FALSE)</f>
        <v>Opening medium caskets</v>
      </c>
      <c r="C821" s="207">
        <v>23389.0</v>
      </c>
      <c r="D821" s="6" t="str">
        <f>VLOOKUP($C821, 'List of log slots'!$A:$E, 2, FALSE)</f>
        <v>Spiked manacles</v>
      </c>
      <c r="E821" s="207">
        <f>VLOOKUP($C821, 'List of log slots'!$A:$E, 5, FALSE)</f>
        <v>4</v>
      </c>
      <c r="F821" s="209" t="b">
        <f>VLOOKUP(C821, 'List of log slots'!$A:$C, 3, FALSE)</f>
        <v>0</v>
      </c>
      <c r="G821" s="209" t="b">
        <f t="shared" si="560"/>
        <v>0</v>
      </c>
      <c r="H821" s="210" t="b">
        <f t="shared" si="7"/>
        <v>1</v>
      </c>
      <c r="I821" s="208" t="b">
        <f t="shared" ref="I821:J821" si="564">FALSE</f>
        <v>0</v>
      </c>
      <c r="J821" s="208" t="b">
        <f t="shared" si="564"/>
        <v>0</v>
      </c>
      <c r="K821" s="214">
        <v>283.0</v>
      </c>
      <c r="L821" s="212" t="str">
        <f t="shared" si="3"/>
        <v>n/a</v>
      </c>
      <c r="M821" s="212" t="str">
        <f t="shared" si="4"/>
        <v>n/a</v>
      </c>
      <c r="N821" s="207" t="str">
        <f t="shared" si="5"/>
        <v>n/a</v>
      </c>
      <c r="O821" s="207">
        <f t="shared" si="6"/>
        <v>0.003533568905</v>
      </c>
    </row>
    <row r="822" ht="15.75" customHeight="1">
      <c r="A822" s="207">
        <v>70.0</v>
      </c>
      <c r="B822" s="6" t="str">
        <f>VLOOKUP($A822, 'Completion rates'!$A:$E, 2, FALSE)</f>
        <v>Opening medium caskets</v>
      </c>
      <c r="C822" s="207">
        <v>2605.0</v>
      </c>
      <c r="D822" s="6" t="str">
        <f>VLOOKUP($C822, 'List of log slots'!$A:$E, 2, FALSE)</f>
        <v>Adamant full helm (t)</v>
      </c>
      <c r="E822" s="207">
        <f>VLOOKUP($C822, 'List of log slots'!$A:$E, 5, FALSE)</f>
        <v>4</v>
      </c>
      <c r="F822" s="209" t="b">
        <f>VLOOKUP(C822, 'List of log slots'!$A:$C, 3, FALSE)</f>
        <v>0</v>
      </c>
      <c r="G822" s="209" t="b">
        <f t="shared" si="560"/>
        <v>0</v>
      </c>
      <c r="H822" s="210" t="b">
        <f t="shared" si="7"/>
        <v>1</v>
      </c>
      <c r="I822" s="208" t="b">
        <f t="shared" ref="I822:J822" si="565">FALSE</f>
        <v>0</v>
      </c>
      <c r="J822" s="208" t="b">
        <f t="shared" si="565"/>
        <v>0</v>
      </c>
      <c r="K822" s="214">
        <v>283.0</v>
      </c>
      <c r="L822" s="212" t="str">
        <f t="shared" si="3"/>
        <v>n/a</v>
      </c>
      <c r="M822" s="212" t="str">
        <f t="shared" si="4"/>
        <v>n/a</v>
      </c>
      <c r="N822" s="207" t="str">
        <f t="shared" si="5"/>
        <v>n/a</v>
      </c>
      <c r="O822" s="207">
        <f t="shared" si="6"/>
        <v>0.003533568905</v>
      </c>
    </row>
    <row r="823" ht="15.75" customHeight="1">
      <c r="A823" s="207">
        <v>70.0</v>
      </c>
      <c r="B823" s="6" t="str">
        <f>VLOOKUP($A823, 'Completion rates'!$A:$E, 2, FALSE)</f>
        <v>Opening medium caskets</v>
      </c>
      <c r="C823" s="207">
        <v>2599.0</v>
      </c>
      <c r="D823" s="6" t="str">
        <f>VLOOKUP($C823, 'List of log slots'!$A:$E, 2, FALSE)</f>
        <v>Adamant platebody (t)</v>
      </c>
      <c r="E823" s="207">
        <f>VLOOKUP($C823, 'List of log slots'!$A:$E, 5, FALSE)</f>
        <v>4</v>
      </c>
      <c r="F823" s="210" t="b">
        <f>VLOOKUP(C823, 'List of log slots'!$A:$C, 3, FALSE)</f>
        <v>0</v>
      </c>
      <c r="G823" s="209" t="b">
        <f t="shared" si="560"/>
        <v>0</v>
      </c>
      <c r="H823" s="209" t="b">
        <f t="shared" si="7"/>
        <v>1</v>
      </c>
      <c r="I823" s="208" t="b">
        <f t="shared" ref="I823:J823" si="566">FALSE</f>
        <v>0</v>
      </c>
      <c r="J823" s="208" t="b">
        <f t="shared" si="566"/>
        <v>0</v>
      </c>
      <c r="K823" s="214">
        <v>283.0</v>
      </c>
      <c r="L823" s="212" t="str">
        <f t="shared" si="3"/>
        <v>n/a</v>
      </c>
      <c r="M823" s="212" t="str">
        <f t="shared" si="4"/>
        <v>n/a</v>
      </c>
      <c r="N823" s="207" t="str">
        <f t="shared" si="5"/>
        <v>n/a</v>
      </c>
      <c r="O823" s="207">
        <f t="shared" si="6"/>
        <v>0.003533568905</v>
      </c>
    </row>
    <row r="824" ht="15.75" customHeight="1">
      <c r="A824" s="207">
        <v>70.0</v>
      </c>
      <c r="B824" s="6" t="str">
        <f>VLOOKUP($A824, 'Completion rates'!$A:$E, 2, FALSE)</f>
        <v>Opening medium caskets</v>
      </c>
      <c r="C824" s="207">
        <v>2601.0</v>
      </c>
      <c r="D824" s="6" t="str">
        <f>VLOOKUP($C824, 'List of log slots'!$A:$E, 2, FALSE)</f>
        <v>Adamant platelegs (t)</v>
      </c>
      <c r="E824" s="207">
        <f>VLOOKUP($C824, 'List of log slots'!$A:$E, 5, FALSE)</f>
        <v>4</v>
      </c>
      <c r="F824" s="209" t="b">
        <f>VLOOKUP(C824, 'List of log slots'!$A:$C, 3, FALSE)</f>
        <v>0</v>
      </c>
      <c r="G824" s="209" t="b">
        <f t="shared" si="560"/>
        <v>0</v>
      </c>
      <c r="H824" s="210" t="b">
        <f t="shared" si="7"/>
        <v>1</v>
      </c>
      <c r="I824" s="208" t="b">
        <f t="shared" ref="I824:J824" si="567">FALSE</f>
        <v>0</v>
      </c>
      <c r="J824" s="208" t="b">
        <f t="shared" si="567"/>
        <v>0</v>
      </c>
      <c r="K824" s="214">
        <v>283.0</v>
      </c>
      <c r="L824" s="212" t="str">
        <f t="shared" si="3"/>
        <v>n/a</v>
      </c>
      <c r="M824" s="212" t="str">
        <f t="shared" si="4"/>
        <v>n/a</v>
      </c>
      <c r="N824" s="207" t="str">
        <f t="shared" si="5"/>
        <v>n/a</v>
      </c>
      <c r="O824" s="207">
        <f t="shared" si="6"/>
        <v>0.003533568905</v>
      </c>
    </row>
    <row r="825" ht="15.75" customHeight="1">
      <c r="A825" s="207">
        <v>70.0</v>
      </c>
      <c r="B825" s="6" t="str">
        <f>VLOOKUP($A825, 'Completion rates'!$A:$E, 2, FALSE)</f>
        <v>Opening medium caskets</v>
      </c>
      <c r="C825" s="207">
        <v>3474.0</v>
      </c>
      <c r="D825" s="6" t="str">
        <f>VLOOKUP($C825, 'List of log slots'!$A:$E, 2, FALSE)</f>
        <v>Adamant plateskirt (t)</v>
      </c>
      <c r="E825" s="207">
        <f>VLOOKUP($C825, 'List of log slots'!$A:$E, 5, FALSE)</f>
        <v>4</v>
      </c>
      <c r="F825" s="210" t="b">
        <f>VLOOKUP(C825, 'List of log slots'!$A:$C, 3, FALSE)</f>
        <v>0</v>
      </c>
      <c r="G825" s="209" t="b">
        <f t="shared" si="560"/>
        <v>0</v>
      </c>
      <c r="H825" s="209" t="b">
        <f t="shared" si="7"/>
        <v>1</v>
      </c>
      <c r="I825" s="208" t="b">
        <f t="shared" ref="I825:J825" si="568">FALSE</f>
        <v>0</v>
      </c>
      <c r="J825" s="208" t="b">
        <f t="shared" si="568"/>
        <v>0</v>
      </c>
      <c r="K825" s="214">
        <v>283.0</v>
      </c>
      <c r="L825" s="212" t="str">
        <f t="shared" si="3"/>
        <v>n/a</v>
      </c>
      <c r="M825" s="212" t="str">
        <f t="shared" si="4"/>
        <v>n/a</v>
      </c>
      <c r="N825" s="207" t="str">
        <f t="shared" si="5"/>
        <v>n/a</v>
      </c>
      <c r="O825" s="207">
        <f t="shared" si="6"/>
        <v>0.003533568905</v>
      </c>
    </row>
    <row r="826" ht="15.75" customHeight="1">
      <c r="A826" s="207">
        <v>70.0</v>
      </c>
      <c r="B826" s="6" t="str">
        <f>VLOOKUP($A826, 'Completion rates'!$A:$E, 2, FALSE)</f>
        <v>Opening medium caskets</v>
      </c>
      <c r="C826" s="207">
        <v>2603.0</v>
      </c>
      <c r="D826" s="6" t="str">
        <f>VLOOKUP($C826, 'List of log slots'!$A:$E, 2, FALSE)</f>
        <v>Adamant kiteshield (t)</v>
      </c>
      <c r="E826" s="207">
        <f>VLOOKUP($C826, 'List of log slots'!$A:$E, 5, FALSE)</f>
        <v>4</v>
      </c>
      <c r="F826" s="209" t="b">
        <f>VLOOKUP(C826, 'List of log slots'!$A:$C, 3, FALSE)</f>
        <v>0</v>
      </c>
      <c r="G826" s="209" t="b">
        <f t="shared" si="560"/>
        <v>0</v>
      </c>
      <c r="H826" s="210" t="b">
        <f t="shared" si="7"/>
        <v>1</v>
      </c>
      <c r="I826" s="208" t="b">
        <f t="shared" ref="I826:J826" si="569">FALSE</f>
        <v>0</v>
      </c>
      <c r="J826" s="208" t="b">
        <f t="shared" si="569"/>
        <v>0</v>
      </c>
      <c r="K826" s="214">
        <v>283.0</v>
      </c>
      <c r="L826" s="212" t="str">
        <f t="shared" si="3"/>
        <v>n/a</v>
      </c>
      <c r="M826" s="212" t="str">
        <f t="shared" si="4"/>
        <v>n/a</v>
      </c>
      <c r="N826" s="207" t="str">
        <f t="shared" si="5"/>
        <v>n/a</v>
      </c>
      <c r="O826" s="207">
        <f t="shared" si="6"/>
        <v>0.003533568905</v>
      </c>
    </row>
    <row r="827" ht="15.75" customHeight="1">
      <c r="A827" s="207">
        <v>70.0</v>
      </c>
      <c r="B827" s="6" t="str">
        <f>VLOOKUP($A827, 'Completion rates'!$A:$E, 2, FALSE)</f>
        <v>Opening medium caskets</v>
      </c>
      <c r="C827" s="207">
        <v>2613.0</v>
      </c>
      <c r="D827" s="6" t="str">
        <f>VLOOKUP($C827, 'List of log slots'!$A:$E, 2, FALSE)</f>
        <v>Adamant full helm (g)</v>
      </c>
      <c r="E827" s="207">
        <f>VLOOKUP($C827, 'List of log slots'!$A:$E, 5, FALSE)</f>
        <v>4</v>
      </c>
      <c r="F827" s="209" t="b">
        <f>VLOOKUP(C827, 'List of log slots'!$A:$C, 3, FALSE)</f>
        <v>0</v>
      </c>
      <c r="G827" s="209" t="b">
        <f t="shared" si="560"/>
        <v>0</v>
      </c>
      <c r="H827" s="210" t="b">
        <f t="shared" si="7"/>
        <v>1</v>
      </c>
      <c r="I827" s="208" t="b">
        <f t="shared" ref="I827:J827" si="570">FALSE</f>
        <v>0</v>
      </c>
      <c r="J827" s="208" t="b">
        <f t="shared" si="570"/>
        <v>0</v>
      </c>
      <c r="K827" s="214">
        <v>283.0</v>
      </c>
      <c r="L827" s="212" t="str">
        <f t="shared" si="3"/>
        <v>n/a</v>
      </c>
      <c r="M827" s="212" t="str">
        <f t="shared" si="4"/>
        <v>n/a</v>
      </c>
      <c r="N827" s="207" t="str">
        <f t="shared" si="5"/>
        <v>n/a</v>
      </c>
      <c r="O827" s="207">
        <f t="shared" si="6"/>
        <v>0.003533568905</v>
      </c>
    </row>
    <row r="828" ht="15.75" customHeight="1">
      <c r="A828" s="207">
        <v>70.0</v>
      </c>
      <c r="B828" s="6" t="str">
        <f>VLOOKUP($A828, 'Completion rates'!$A:$E, 2, FALSE)</f>
        <v>Opening medium caskets</v>
      </c>
      <c r="C828" s="207">
        <v>2607.0</v>
      </c>
      <c r="D828" s="6" t="str">
        <f>VLOOKUP($C828, 'List of log slots'!$A:$E, 2, FALSE)</f>
        <v>Adamant platebody (g)</v>
      </c>
      <c r="E828" s="207">
        <f>VLOOKUP($C828, 'List of log slots'!$A:$E, 5, FALSE)</f>
        <v>4</v>
      </c>
      <c r="F828" s="209" t="b">
        <f>VLOOKUP(C828, 'List of log slots'!$A:$C, 3, FALSE)</f>
        <v>0</v>
      </c>
      <c r="G828" s="209" t="b">
        <f t="shared" si="560"/>
        <v>0</v>
      </c>
      <c r="H828" s="210" t="b">
        <f t="shared" si="7"/>
        <v>1</v>
      </c>
      <c r="I828" s="208" t="b">
        <f t="shared" ref="I828:J828" si="571">FALSE</f>
        <v>0</v>
      </c>
      <c r="J828" s="208" t="b">
        <f t="shared" si="571"/>
        <v>0</v>
      </c>
      <c r="K828" s="214">
        <v>283.0</v>
      </c>
      <c r="L828" s="212" t="str">
        <f t="shared" si="3"/>
        <v>n/a</v>
      </c>
      <c r="M828" s="212" t="str">
        <f t="shared" si="4"/>
        <v>n/a</v>
      </c>
      <c r="N828" s="207" t="str">
        <f t="shared" si="5"/>
        <v>n/a</v>
      </c>
      <c r="O828" s="207">
        <f t="shared" si="6"/>
        <v>0.003533568905</v>
      </c>
    </row>
    <row r="829" ht="15.75" customHeight="1">
      <c r="A829" s="207">
        <v>70.0</v>
      </c>
      <c r="B829" s="6" t="str">
        <f>VLOOKUP($A829, 'Completion rates'!$A:$E, 2, FALSE)</f>
        <v>Opening medium caskets</v>
      </c>
      <c r="C829" s="207">
        <v>2609.0</v>
      </c>
      <c r="D829" s="6" t="str">
        <f>VLOOKUP($C829, 'List of log slots'!$A:$E, 2, FALSE)</f>
        <v>Adamant platelegs (g)</v>
      </c>
      <c r="E829" s="207">
        <f>VLOOKUP($C829, 'List of log slots'!$A:$E, 5, FALSE)</f>
        <v>4</v>
      </c>
      <c r="F829" s="209" t="b">
        <f>VLOOKUP(C829, 'List of log slots'!$A:$C, 3, FALSE)</f>
        <v>0</v>
      </c>
      <c r="G829" s="209" t="b">
        <f t="shared" si="560"/>
        <v>0</v>
      </c>
      <c r="H829" s="210" t="b">
        <f t="shared" si="7"/>
        <v>1</v>
      </c>
      <c r="I829" s="208" t="b">
        <f t="shared" ref="I829:J829" si="572">FALSE</f>
        <v>0</v>
      </c>
      <c r="J829" s="208" t="b">
        <f t="shared" si="572"/>
        <v>0</v>
      </c>
      <c r="K829" s="214">
        <v>283.0</v>
      </c>
      <c r="L829" s="212" t="str">
        <f t="shared" si="3"/>
        <v>n/a</v>
      </c>
      <c r="M829" s="212" t="str">
        <f t="shared" si="4"/>
        <v>n/a</v>
      </c>
      <c r="N829" s="207" t="str">
        <f t="shared" si="5"/>
        <v>n/a</v>
      </c>
      <c r="O829" s="207">
        <f t="shared" si="6"/>
        <v>0.003533568905</v>
      </c>
    </row>
    <row r="830" ht="15.75" customHeight="1">
      <c r="A830" s="207">
        <v>70.0</v>
      </c>
      <c r="B830" s="6" t="str">
        <f>VLOOKUP($A830, 'Completion rates'!$A:$E, 2, FALSE)</f>
        <v>Opening medium caskets</v>
      </c>
      <c r="C830" s="207">
        <v>3475.0</v>
      </c>
      <c r="D830" s="6" t="str">
        <f>VLOOKUP($C830, 'List of log slots'!$A:$E, 2, FALSE)</f>
        <v>Adamant plateskirt (g)</v>
      </c>
      <c r="E830" s="207">
        <f>VLOOKUP($C830, 'List of log slots'!$A:$E, 5, FALSE)</f>
        <v>4</v>
      </c>
      <c r="F830" s="209" t="b">
        <f>VLOOKUP(C830, 'List of log slots'!$A:$C, 3, FALSE)</f>
        <v>0</v>
      </c>
      <c r="G830" s="209" t="b">
        <f t="shared" si="560"/>
        <v>0</v>
      </c>
      <c r="H830" s="210" t="b">
        <f t="shared" si="7"/>
        <v>1</v>
      </c>
      <c r="I830" s="208" t="b">
        <f t="shared" ref="I830:J830" si="573">FALSE</f>
        <v>0</v>
      </c>
      <c r="J830" s="208" t="b">
        <f t="shared" si="573"/>
        <v>0</v>
      </c>
      <c r="K830" s="214">
        <v>283.0</v>
      </c>
      <c r="L830" s="212" t="str">
        <f t="shared" si="3"/>
        <v>n/a</v>
      </c>
      <c r="M830" s="212" t="str">
        <f t="shared" si="4"/>
        <v>n/a</v>
      </c>
      <c r="N830" s="207" t="str">
        <f t="shared" si="5"/>
        <v>n/a</v>
      </c>
      <c r="O830" s="207">
        <f t="shared" si="6"/>
        <v>0.003533568905</v>
      </c>
    </row>
    <row r="831" ht="15.75" customHeight="1">
      <c r="A831" s="207">
        <v>70.0</v>
      </c>
      <c r="B831" s="6" t="str">
        <f>VLOOKUP($A831, 'Completion rates'!$A:$E, 2, FALSE)</f>
        <v>Opening medium caskets</v>
      </c>
      <c r="C831" s="207">
        <v>2611.0</v>
      </c>
      <c r="D831" s="6" t="str">
        <f>VLOOKUP($C831, 'List of log slots'!$A:$E, 2, FALSE)</f>
        <v>Adamant kiteshield (g)</v>
      </c>
      <c r="E831" s="207">
        <f>VLOOKUP($C831, 'List of log slots'!$A:$E, 5, FALSE)</f>
        <v>4</v>
      </c>
      <c r="F831" s="209" t="b">
        <f>VLOOKUP(C831, 'List of log slots'!$A:$C, 3, FALSE)</f>
        <v>0</v>
      </c>
      <c r="G831" s="209" t="b">
        <f t="shared" si="560"/>
        <v>0</v>
      </c>
      <c r="H831" s="210" t="b">
        <f t="shared" si="7"/>
        <v>1</v>
      </c>
      <c r="I831" s="208" t="b">
        <f t="shared" ref="I831:J831" si="574">FALSE</f>
        <v>0</v>
      </c>
      <c r="J831" s="208" t="b">
        <f t="shared" si="574"/>
        <v>0</v>
      </c>
      <c r="K831" s="214">
        <v>283.0</v>
      </c>
      <c r="L831" s="212" t="str">
        <f t="shared" si="3"/>
        <v>n/a</v>
      </c>
      <c r="M831" s="212" t="str">
        <f t="shared" si="4"/>
        <v>n/a</v>
      </c>
      <c r="N831" s="207" t="str">
        <f t="shared" si="5"/>
        <v>n/a</v>
      </c>
      <c r="O831" s="207">
        <f t="shared" si="6"/>
        <v>0.003533568905</v>
      </c>
    </row>
    <row r="832" ht="15.75" customHeight="1">
      <c r="A832" s="207">
        <v>70.0</v>
      </c>
      <c r="B832" s="6" t="str">
        <f>VLOOKUP($A832, 'Completion rates'!$A:$E, 2, FALSE)</f>
        <v>Opening medium caskets</v>
      </c>
      <c r="C832" s="207">
        <v>7334.0</v>
      </c>
      <c r="D832" s="6" t="str">
        <f>VLOOKUP($C832, 'List of log slots'!$A:$E, 2, FALSE)</f>
        <v>Adamant shield (h1)</v>
      </c>
      <c r="E832" s="207">
        <f>VLOOKUP($C832, 'List of log slots'!$A:$E, 5, FALSE)</f>
        <v>4</v>
      </c>
      <c r="F832" s="210" t="b">
        <f>VLOOKUP(C832, 'List of log slots'!$A:$C, 3, FALSE)</f>
        <v>0</v>
      </c>
      <c r="G832" s="209" t="b">
        <f t="shared" si="560"/>
        <v>0</v>
      </c>
      <c r="H832" s="209" t="b">
        <f t="shared" si="7"/>
        <v>1</v>
      </c>
      <c r="I832" s="208" t="b">
        <f t="shared" ref="I832:J832" si="575">FALSE</f>
        <v>0</v>
      </c>
      <c r="J832" s="208" t="b">
        <f t="shared" si="575"/>
        <v>0</v>
      </c>
      <c r="K832" s="214">
        <v>283.0</v>
      </c>
      <c r="L832" s="212" t="str">
        <f t="shared" si="3"/>
        <v>n/a</v>
      </c>
      <c r="M832" s="212" t="str">
        <f t="shared" si="4"/>
        <v>n/a</v>
      </c>
      <c r="N832" s="207" t="str">
        <f t="shared" si="5"/>
        <v>n/a</v>
      </c>
      <c r="O832" s="207">
        <f t="shared" si="6"/>
        <v>0.003533568905</v>
      </c>
    </row>
    <row r="833" ht="15.75" customHeight="1">
      <c r="A833" s="207">
        <v>70.0</v>
      </c>
      <c r="B833" s="6" t="str">
        <f>VLOOKUP($A833, 'Completion rates'!$A:$E, 2, FALSE)</f>
        <v>Opening medium caskets</v>
      </c>
      <c r="C833" s="207">
        <v>7340.0</v>
      </c>
      <c r="D833" s="6" t="str">
        <f>VLOOKUP($C833, 'List of log slots'!$A:$E, 2, FALSE)</f>
        <v>Adamant shield (h2)</v>
      </c>
      <c r="E833" s="207">
        <f>VLOOKUP($C833, 'List of log slots'!$A:$E, 5, FALSE)</f>
        <v>4</v>
      </c>
      <c r="F833" s="209" t="b">
        <f>VLOOKUP(C833, 'List of log slots'!$A:$C, 3, FALSE)</f>
        <v>0</v>
      </c>
      <c r="G833" s="209" t="b">
        <f t="shared" si="560"/>
        <v>0</v>
      </c>
      <c r="H833" s="210" t="b">
        <f t="shared" si="7"/>
        <v>1</v>
      </c>
      <c r="I833" s="208" t="b">
        <f t="shared" ref="I833:J833" si="576">FALSE</f>
        <v>0</v>
      </c>
      <c r="J833" s="208" t="b">
        <f t="shared" si="576"/>
        <v>0</v>
      </c>
      <c r="K833" s="214">
        <v>283.0</v>
      </c>
      <c r="L833" s="212" t="str">
        <f t="shared" si="3"/>
        <v>n/a</v>
      </c>
      <c r="M833" s="212" t="str">
        <f t="shared" si="4"/>
        <v>n/a</v>
      </c>
      <c r="N833" s="207" t="str">
        <f t="shared" si="5"/>
        <v>n/a</v>
      </c>
      <c r="O833" s="207">
        <f t="shared" si="6"/>
        <v>0.003533568905</v>
      </c>
    </row>
    <row r="834" ht="15.75" customHeight="1">
      <c r="A834" s="207">
        <v>70.0</v>
      </c>
      <c r="B834" s="6" t="str">
        <f>VLOOKUP($A834, 'Completion rates'!$A:$E, 2, FALSE)</f>
        <v>Opening medium caskets</v>
      </c>
      <c r="C834" s="207">
        <v>7346.0</v>
      </c>
      <c r="D834" s="6" t="str">
        <f>VLOOKUP($C834, 'List of log slots'!$A:$E, 2, FALSE)</f>
        <v>Adamant shield (h3)</v>
      </c>
      <c r="E834" s="207">
        <f>VLOOKUP($C834, 'List of log slots'!$A:$E, 5, FALSE)</f>
        <v>4</v>
      </c>
      <c r="F834" s="209" t="b">
        <f>VLOOKUP(C834, 'List of log slots'!$A:$C, 3, FALSE)</f>
        <v>0</v>
      </c>
      <c r="G834" s="209" t="b">
        <f t="shared" si="560"/>
        <v>0</v>
      </c>
      <c r="H834" s="210" t="b">
        <f t="shared" si="7"/>
        <v>1</v>
      </c>
      <c r="I834" s="208" t="b">
        <f t="shared" ref="I834:J834" si="577">FALSE</f>
        <v>0</v>
      </c>
      <c r="J834" s="208" t="b">
        <f t="shared" si="577"/>
        <v>0</v>
      </c>
      <c r="K834" s="214">
        <v>283.0</v>
      </c>
      <c r="L834" s="212" t="str">
        <f t="shared" si="3"/>
        <v>n/a</v>
      </c>
      <c r="M834" s="212" t="str">
        <f t="shared" si="4"/>
        <v>n/a</v>
      </c>
      <c r="N834" s="207" t="str">
        <f t="shared" si="5"/>
        <v>n/a</v>
      </c>
      <c r="O834" s="207">
        <f t="shared" si="6"/>
        <v>0.003533568905</v>
      </c>
    </row>
    <row r="835" ht="15.75" customHeight="1">
      <c r="A835" s="207">
        <v>70.0</v>
      </c>
      <c r="B835" s="6" t="str">
        <f>VLOOKUP($A835, 'Completion rates'!$A:$E, 2, FALSE)</f>
        <v>Opening medium caskets</v>
      </c>
      <c r="C835" s="207">
        <v>7352.0</v>
      </c>
      <c r="D835" s="6" t="str">
        <f>VLOOKUP($C835, 'List of log slots'!$A:$E, 2, FALSE)</f>
        <v>Adamant shield (h4)</v>
      </c>
      <c r="E835" s="207">
        <f>VLOOKUP($C835, 'List of log slots'!$A:$E, 5, FALSE)</f>
        <v>4</v>
      </c>
      <c r="F835" s="209" t="b">
        <f>VLOOKUP(C835, 'List of log slots'!$A:$C, 3, FALSE)</f>
        <v>0</v>
      </c>
      <c r="G835" s="209" t="b">
        <f t="shared" si="560"/>
        <v>0</v>
      </c>
      <c r="H835" s="210" t="b">
        <f t="shared" si="7"/>
        <v>1</v>
      </c>
      <c r="I835" s="208" t="b">
        <f t="shared" ref="I835:J835" si="578">FALSE</f>
        <v>0</v>
      </c>
      <c r="J835" s="208" t="b">
        <f t="shared" si="578"/>
        <v>0</v>
      </c>
      <c r="K835" s="214">
        <v>283.0</v>
      </c>
      <c r="L835" s="212" t="str">
        <f t="shared" si="3"/>
        <v>n/a</v>
      </c>
      <c r="M835" s="212" t="str">
        <f t="shared" si="4"/>
        <v>n/a</v>
      </c>
      <c r="N835" s="207" t="str">
        <f t="shared" si="5"/>
        <v>n/a</v>
      </c>
      <c r="O835" s="207">
        <f t="shared" si="6"/>
        <v>0.003533568905</v>
      </c>
    </row>
    <row r="836" ht="15.75" customHeight="1">
      <c r="A836" s="207">
        <v>70.0</v>
      </c>
      <c r="B836" s="6" t="str">
        <f>VLOOKUP($A836, 'Completion rates'!$A:$E, 2, FALSE)</f>
        <v>Opening medium caskets</v>
      </c>
      <c r="C836" s="207">
        <v>7358.0</v>
      </c>
      <c r="D836" s="6" t="str">
        <f>VLOOKUP($C836, 'List of log slots'!$A:$E, 2, FALSE)</f>
        <v>Adamant shield (h5)</v>
      </c>
      <c r="E836" s="207">
        <f>VLOOKUP($C836, 'List of log slots'!$A:$E, 5, FALSE)</f>
        <v>4</v>
      </c>
      <c r="F836" s="208" t="b">
        <f>VLOOKUP(C836, 'List of log slots'!$A:$C, 3, FALSE)</f>
        <v>0</v>
      </c>
      <c r="G836" s="209" t="b">
        <f t="shared" si="560"/>
        <v>0</v>
      </c>
      <c r="H836" s="210" t="b">
        <f t="shared" si="7"/>
        <v>1</v>
      </c>
      <c r="I836" s="208" t="b">
        <f t="shared" ref="I836:J836" si="579">FALSE</f>
        <v>0</v>
      </c>
      <c r="J836" s="208" t="b">
        <f t="shared" si="579"/>
        <v>0</v>
      </c>
      <c r="K836" s="214">
        <v>283.0</v>
      </c>
      <c r="L836" s="212" t="str">
        <f t="shared" si="3"/>
        <v>n/a</v>
      </c>
      <c r="M836" s="212" t="str">
        <f t="shared" si="4"/>
        <v>n/a</v>
      </c>
      <c r="N836" s="207" t="str">
        <f t="shared" si="5"/>
        <v>n/a</v>
      </c>
      <c r="O836" s="207">
        <f t="shared" si="6"/>
        <v>0.003533568905</v>
      </c>
    </row>
    <row r="837" ht="15.75" customHeight="1">
      <c r="A837" s="207">
        <v>70.0</v>
      </c>
      <c r="B837" s="6" t="str">
        <f>VLOOKUP($A837, 'Completion rates'!$A:$E, 2, FALSE)</f>
        <v>Opening medium caskets</v>
      </c>
      <c r="C837" s="207">
        <v>10296.0</v>
      </c>
      <c r="D837" s="6" t="str">
        <f>VLOOKUP($C837, 'List of log slots'!$A:$E, 2, FALSE)</f>
        <v>Adamant helm (h1)</v>
      </c>
      <c r="E837" s="207">
        <f>VLOOKUP($C837, 'List of log slots'!$A:$E, 5, FALSE)</f>
        <v>4</v>
      </c>
      <c r="F837" s="208" t="b">
        <f>VLOOKUP(C837, 'List of log slots'!$A:$C, 3, FALSE)</f>
        <v>0</v>
      </c>
      <c r="G837" s="209" t="b">
        <f t="shared" si="560"/>
        <v>0</v>
      </c>
      <c r="H837" s="210" t="b">
        <f t="shared" si="7"/>
        <v>1</v>
      </c>
      <c r="I837" s="208" t="b">
        <f t="shared" ref="I837:J837" si="580">FALSE</f>
        <v>0</v>
      </c>
      <c r="J837" s="208" t="b">
        <f t="shared" si="580"/>
        <v>0</v>
      </c>
      <c r="K837" s="214">
        <v>283.0</v>
      </c>
      <c r="L837" s="212" t="str">
        <f t="shared" si="3"/>
        <v>n/a</v>
      </c>
      <c r="M837" s="212" t="str">
        <f t="shared" si="4"/>
        <v>n/a</v>
      </c>
      <c r="N837" s="207" t="str">
        <f t="shared" si="5"/>
        <v>n/a</v>
      </c>
      <c r="O837" s="207">
        <f t="shared" si="6"/>
        <v>0.003533568905</v>
      </c>
    </row>
    <row r="838" ht="15.75" customHeight="1">
      <c r="A838" s="207">
        <v>70.0</v>
      </c>
      <c r="B838" s="6" t="str">
        <f>VLOOKUP($A838, 'Completion rates'!$A:$E, 2, FALSE)</f>
        <v>Opening medium caskets</v>
      </c>
      <c r="C838" s="207">
        <v>10298.0</v>
      </c>
      <c r="D838" s="6" t="str">
        <f>VLOOKUP($C838, 'List of log slots'!$A:$E, 2, FALSE)</f>
        <v>Adamant helm (h2)</v>
      </c>
      <c r="E838" s="207">
        <f>VLOOKUP($C838, 'List of log slots'!$A:$E, 5, FALSE)</f>
        <v>4</v>
      </c>
      <c r="F838" s="210" t="b">
        <f>VLOOKUP(C838, 'List of log slots'!$A:$C, 3, FALSE)</f>
        <v>0</v>
      </c>
      <c r="G838" s="209" t="b">
        <f t="shared" si="560"/>
        <v>0</v>
      </c>
      <c r="H838" s="209" t="b">
        <f t="shared" si="7"/>
        <v>1</v>
      </c>
      <c r="I838" s="208" t="b">
        <f t="shared" ref="I838:J838" si="581">FALSE</f>
        <v>0</v>
      </c>
      <c r="J838" s="208" t="b">
        <f t="shared" si="581"/>
        <v>0</v>
      </c>
      <c r="K838" s="214">
        <v>283.0</v>
      </c>
      <c r="L838" s="212" t="str">
        <f t="shared" si="3"/>
        <v>n/a</v>
      </c>
      <c r="M838" s="212" t="str">
        <f t="shared" si="4"/>
        <v>n/a</v>
      </c>
      <c r="N838" s="207" t="str">
        <f t="shared" si="5"/>
        <v>n/a</v>
      </c>
      <c r="O838" s="207">
        <f t="shared" si="6"/>
        <v>0.003533568905</v>
      </c>
    </row>
    <row r="839" ht="15.75" customHeight="1">
      <c r="A839" s="207">
        <v>70.0</v>
      </c>
      <c r="B839" s="6" t="str">
        <f>VLOOKUP($A839, 'Completion rates'!$A:$E, 2, FALSE)</f>
        <v>Opening medium caskets</v>
      </c>
      <c r="C839" s="207">
        <v>10300.0</v>
      </c>
      <c r="D839" s="6" t="str">
        <f>VLOOKUP($C839, 'List of log slots'!$A:$E, 2, FALSE)</f>
        <v>Adamant helm (h3)</v>
      </c>
      <c r="E839" s="207">
        <f>VLOOKUP($C839, 'List of log slots'!$A:$E, 5, FALSE)</f>
        <v>4</v>
      </c>
      <c r="F839" s="209" t="b">
        <f>VLOOKUP(C839, 'List of log slots'!$A:$C, 3, FALSE)</f>
        <v>0</v>
      </c>
      <c r="G839" s="209" t="b">
        <f t="shared" si="560"/>
        <v>0</v>
      </c>
      <c r="H839" s="210" t="b">
        <f t="shared" si="7"/>
        <v>1</v>
      </c>
      <c r="I839" s="208" t="b">
        <f t="shared" ref="I839:J839" si="582">FALSE</f>
        <v>0</v>
      </c>
      <c r="J839" s="208" t="b">
        <f t="shared" si="582"/>
        <v>0</v>
      </c>
      <c r="K839" s="214">
        <v>283.0</v>
      </c>
      <c r="L839" s="212" t="str">
        <f t="shared" si="3"/>
        <v>n/a</v>
      </c>
      <c r="M839" s="212" t="str">
        <f t="shared" si="4"/>
        <v>n/a</v>
      </c>
      <c r="N839" s="207" t="str">
        <f t="shared" si="5"/>
        <v>n/a</v>
      </c>
      <c r="O839" s="207">
        <f t="shared" si="6"/>
        <v>0.003533568905</v>
      </c>
    </row>
    <row r="840" ht="15.75" customHeight="1">
      <c r="A840" s="207">
        <v>70.0</v>
      </c>
      <c r="B840" s="6" t="str">
        <f>VLOOKUP($A840, 'Completion rates'!$A:$E, 2, FALSE)</f>
        <v>Opening medium caskets</v>
      </c>
      <c r="C840" s="207">
        <v>10302.0</v>
      </c>
      <c r="D840" s="6" t="str">
        <f>VLOOKUP($C840, 'List of log slots'!$A:$E, 2, FALSE)</f>
        <v>Adamant helm (h4)</v>
      </c>
      <c r="E840" s="207">
        <f>VLOOKUP($C840, 'List of log slots'!$A:$E, 5, FALSE)</f>
        <v>4</v>
      </c>
      <c r="F840" s="209" t="b">
        <f>VLOOKUP(C840, 'List of log slots'!$A:$C, 3, FALSE)</f>
        <v>0</v>
      </c>
      <c r="G840" s="209" t="b">
        <f t="shared" si="560"/>
        <v>0</v>
      </c>
      <c r="H840" s="210" t="b">
        <f t="shared" si="7"/>
        <v>1</v>
      </c>
      <c r="I840" s="208" t="b">
        <f t="shared" ref="I840:J840" si="583">FALSE</f>
        <v>0</v>
      </c>
      <c r="J840" s="208" t="b">
        <f t="shared" si="583"/>
        <v>0</v>
      </c>
      <c r="K840" s="214">
        <v>283.0</v>
      </c>
      <c r="L840" s="212" t="str">
        <f t="shared" si="3"/>
        <v>n/a</v>
      </c>
      <c r="M840" s="212" t="str">
        <f t="shared" si="4"/>
        <v>n/a</v>
      </c>
      <c r="N840" s="207" t="str">
        <f t="shared" si="5"/>
        <v>n/a</v>
      </c>
      <c r="O840" s="207">
        <f t="shared" si="6"/>
        <v>0.003533568905</v>
      </c>
    </row>
    <row r="841" ht="15.75" customHeight="1">
      <c r="A841" s="207">
        <v>70.0</v>
      </c>
      <c r="B841" s="6" t="str">
        <f>VLOOKUP($A841, 'Completion rates'!$A:$E, 2, FALSE)</f>
        <v>Opening medium caskets</v>
      </c>
      <c r="C841" s="207">
        <v>10304.0</v>
      </c>
      <c r="D841" s="6" t="str">
        <f>VLOOKUP($C841, 'List of log slots'!$A:$E, 2, FALSE)</f>
        <v>Adamant helm (h5)</v>
      </c>
      <c r="E841" s="207">
        <f>VLOOKUP($C841, 'List of log slots'!$A:$E, 5, FALSE)</f>
        <v>4</v>
      </c>
      <c r="F841" s="210" t="b">
        <f>VLOOKUP(C841, 'List of log slots'!$A:$C, 3, FALSE)</f>
        <v>0</v>
      </c>
      <c r="G841" s="209" t="b">
        <f t="shared" si="560"/>
        <v>0</v>
      </c>
      <c r="H841" s="209" t="b">
        <f t="shared" si="7"/>
        <v>1</v>
      </c>
      <c r="I841" s="208" t="b">
        <f t="shared" ref="I841:J841" si="584">FALSE</f>
        <v>0</v>
      </c>
      <c r="J841" s="208" t="b">
        <f t="shared" si="584"/>
        <v>0</v>
      </c>
      <c r="K841" s="214">
        <v>283.0</v>
      </c>
      <c r="L841" s="212" t="str">
        <f t="shared" si="3"/>
        <v>n/a</v>
      </c>
      <c r="M841" s="212" t="str">
        <f t="shared" si="4"/>
        <v>n/a</v>
      </c>
      <c r="N841" s="207" t="str">
        <f t="shared" si="5"/>
        <v>n/a</v>
      </c>
      <c r="O841" s="207">
        <f t="shared" si="6"/>
        <v>0.003533568905</v>
      </c>
    </row>
    <row r="842" ht="15.75" customHeight="1">
      <c r="A842" s="207">
        <v>70.0</v>
      </c>
      <c r="B842" s="6" t="str">
        <f>VLOOKUP($A842, 'Completion rates'!$A:$E, 2, FALSE)</f>
        <v>Opening medium caskets</v>
      </c>
      <c r="C842" s="207">
        <v>23392.0</v>
      </c>
      <c r="D842" s="6" t="str">
        <f>VLOOKUP($C842, 'List of log slots'!$A:$E, 2, FALSE)</f>
        <v>Adamant platebody (h1)</v>
      </c>
      <c r="E842" s="207">
        <f>VLOOKUP($C842, 'List of log slots'!$A:$E, 5, FALSE)</f>
        <v>4</v>
      </c>
      <c r="F842" s="209" t="b">
        <f>VLOOKUP(C842, 'List of log slots'!$A:$C, 3, FALSE)</f>
        <v>0</v>
      </c>
      <c r="G842" s="209" t="b">
        <f t="shared" si="560"/>
        <v>0</v>
      </c>
      <c r="H842" s="210" t="b">
        <f t="shared" si="7"/>
        <v>1</v>
      </c>
      <c r="I842" s="208" t="b">
        <f t="shared" ref="I842:J842" si="585">FALSE</f>
        <v>0</v>
      </c>
      <c r="J842" s="208" t="b">
        <f t="shared" si="585"/>
        <v>0</v>
      </c>
      <c r="K842" s="214">
        <v>283.0</v>
      </c>
      <c r="L842" s="212" t="str">
        <f t="shared" si="3"/>
        <v>n/a</v>
      </c>
      <c r="M842" s="212" t="str">
        <f t="shared" si="4"/>
        <v>n/a</v>
      </c>
      <c r="N842" s="207" t="str">
        <f t="shared" si="5"/>
        <v>n/a</v>
      </c>
      <c r="O842" s="207">
        <f t="shared" si="6"/>
        <v>0.003533568905</v>
      </c>
    </row>
    <row r="843" ht="15.75" customHeight="1">
      <c r="A843" s="207">
        <v>70.0</v>
      </c>
      <c r="B843" s="6" t="str">
        <f>VLOOKUP($A843, 'Completion rates'!$A:$E, 2, FALSE)</f>
        <v>Opening medium caskets</v>
      </c>
      <c r="C843" s="207">
        <v>23395.0</v>
      </c>
      <c r="D843" s="6" t="str">
        <f>VLOOKUP($C843, 'List of log slots'!$A:$E, 2, FALSE)</f>
        <v>Adamant platebody (h2)</v>
      </c>
      <c r="E843" s="207">
        <f>VLOOKUP($C843, 'List of log slots'!$A:$E, 5, FALSE)</f>
        <v>4</v>
      </c>
      <c r="F843" s="209" t="b">
        <f>VLOOKUP(C843, 'List of log slots'!$A:$C, 3, FALSE)</f>
        <v>0</v>
      </c>
      <c r="G843" s="209" t="b">
        <f t="shared" si="560"/>
        <v>0</v>
      </c>
      <c r="H843" s="210" t="b">
        <f t="shared" si="7"/>
        <v>1</v>
      </c>
      <c r="I843" s="208" t="b">
        <f t="shared" ref="I843:J843" si="586">FALSE</f>
        <v>0</v>
      </c>
      <c r="J843" s="208" t="b">
        <f t="shared" si="586"/>
        <v>0</v>
      </c>
      <c r="K843" s="214">
        <v>283.0</v>
      </c>
      <c r="L843" s="212" t="str">
        <f t="shared" si="3"/>
        <v>n/a</v>
      </c>
      <c r="M843" s="212" t="str">
        <f t="shared" si="4"/>
        <v>n/a</v>
      </c>
      <c r="N843" s="207" t="str">
        <f t="shared" si="5"/>
        <v>n/a</v>
      </c>
      <c r="O843" s="207">
        <f t="shared" si="6"/>
        <v>0.003533568905</v>
      </c>
    </row>
    <row r="844" ht="15.75" customHeight="1">
      <c r="A844" s="207">
        <v>70.0</v>
      </c>
      <c r="B844" s="6" t="str">
        <f>VLOOKUP($A844, 'Completion rates'!$A:$E, 2, FALSE)</f>
        <v>Opening medium caskets</v>
      </c>
      <c r="C844" s="207">
        <v>23398.0</v>
      </c>
      <c r="D844" s="6" t="str">
        <f>VLOOKUP($C844, 'List of log slots'!$A:$E, 2, FALSE)</f>
        <v>Adamant platebody (h3)</v>
      </c>
      <c r="E844" s="207">
        <f>VLOOKUP($C844, 'List of log slots'!$A:$E, 5, FALSE)</f>
        <v>4</v>
      </c>
      <c r="F844" s="209" t="b">
        <f>VLOOKUP(C844, 'List of log slots'!$A:$C, 3, FALSE)</f>
        <v>0</v>
      </c>
      <c r="G844" s="209" t="b">
        <f t="shared" si="560"/>
        <v>0</v>
      </c>
      <c r="H844" s="210" t="b">
        <f t="shared" si="7"/>
        <v>1</v>
      </c>
      <c r="I844" s="208" t="b">
        <f t="shared" ref="I844:J844" si="587">FALSE</f>
        <v>0</v>
      </c>
      <c r="J844" s="208" t="b">
        <f t="shared" si="587"/>
        <v>0</v>
      </c>
      <c r="K844" s="214">
        <v>283.0</v>
      </c>
      <c r="L844" s="212" t="str">
        <f t="shared" si="3"/>
        <v>n/a</v>
      </c>
      <c r="M844" s="212" t="str">
        <f t="shared" si="4"/>
        <v>n/a</v>
      </c>
      <c r="N844" s="207" t="str">
        <f t="shared" si="5"/>
        <v>n/a</v>
      </c>
      <c r="O844" s="207">
        <f t="shared" si="6"/>
        <v>0.003533568905</v>
      </c>
    </row>
    <row r="845" ht="15.75" customHeight="1">
      <c r="A845" s="207">
        <v>70.0</v>
      </c>
      <c r="B845" s="6" t="str">
        <f>VLOOKUP($A845, 'Completion rates'!$A:$E, 2, FALSE)</f>
        <v>Opening medium caskets</v>
      </c>
      <c r="C845" s="207">
        <v>23401.0</v>
      </c>
      <c r="D845" s="6" t="str">
        <f>VLOOKUP($C845, 'List of log slots'!$A:$E, 2, FALSE)</f>
        <v>Adamant platebody (h4)</v>
      </c>
      <c r="E845" s="207">
        <f>VLOOKUP($C845, 'List of log slots'!$A:$E, 5, FALSE)</f>
        <v>4</v>
      </c>
      <c r="F845" s="209" t="b">
        <f>VLOOKUP(C845, 'List of log slots'!$A:$C, 3, FALSE)</f>
        <v>0</v>
      </c>
      <c r="G845" s="209" t="b">
        <f t="shared" si="560"/>
        <v>0</v>
      </c>
      <c r="H845" s="210" t="b">
        <f t="shared" si="7"/>
        <v>1</v>
      </c>
      <c r="I845" s="208" t="b">
        <f t="shared" ref="I845:J845" si="588">FALSE</f>
        <v>0</v>
      </c>
      <c r="J845" s="208" t="b">
        <f t="shared" si="588"/>
        <v>0</v>
      </c>
      <c r="K845" s="214">
        <v>283.0</v>
      </c>
      <c r="L845" s="212" t="str">
        <f t="shared" si="3"/>
        <v>n/a</v>
      </c>
      <c r="M845" s="212" t="str">
        <f t="shared" si="4"/>
        <v>n/a</v>
      </c>
      <c r="N845" s="207" t="str">
        <f t="shared" si="5"/>
        <v>n/a</v>
      </c>
      <c r="O845" s="207">
        <f t="shared" si="6"/>
        <v>0.003533568905</v>
      </c>
    </row>
    <row r="846" ht="15.75" customHeight="1">
      <c r="A846" s="207">
        <v>70.0</v>
      </c>
      <c r="B846" s="6" t="str">
        <f>VLOOKUP($A846, 'Completion rates'!$A:$E, 2, FALSE)</f>
        <v>Opening medium caskets</v>
      </c>
      <c r="C846" s="207">
        <v>23404.0</v>
      </c>
      <c r="D846" s="6" t="str">
        <f>VLOOKUP($C846, 'List of log slots'!$A:$E, 2, FALSE)</f>
        <v>Adamant platebody (h5)</v>
      </c>
      <c r="E846" s="207">
        <f>VLOOKUP($C846, 'List of log slots'!$A:$E, 5, FALSE)</f>
        <v>4</v>
      </c>
      <c r="F846" s="209" t="b">
        <f>VLOOKUP(C846, 'List of log slots'!$A:$C, 3, FALSE)</f>
        <v>0</v>
      </c>
      <c r="G846" s="209" t="b">
        <f t="shared" si="560"/>
        <v>0</v>
      </c>
      <c r="H846" s="210" t="b">
        <f t="shared" si="7"/>
        <v>1</v>
      </c>
      <c r="I846" s="208" t="b">
        <f t="shared" ref="I846:J846" si="589">FALSE</f>
        <v>0</v>
      </c>
      <c r="J846" s="208" t="b">
        <f t="shared" si="589"/>
        <v>0</v>
      </c>
      <c r="K846" s="214">
        <v>283.0</v>
      </c>
      <c r="L846" s="212" t="str">
        <f t="shared" si="3"/>
        <v>n/a</v>
      </c>
      <c r="M846" s="212" t="str">
        <f t="shared" si="4"/>
        <v>n/a</v>
      </c>
      <c r="N846" s="207" t="str">
        <f t="shared" si="5"/>
        <v>n/a</v>
      </c>
      <c r="O846" s="207">
        <f t="shared" si="6"/>
        <v>0.003533568905</v>
      </c>
    </row>
    <row r="847" ht="15.75" customHeight="1">
      <c r="A847" s="207">
        <v>70.0</v>
      </c>
      <c r="B847" s="6" t="str">
        <f>VLOOKUP($A847, 'Completion rates'!$A:$E, 2, FALSE)</f>
        <v>Opening medium caskets</v>
      </c>
      <c r="C847" s="207">
        <v>12283.0</v>
      </c>
      <c r="D847" s="6" t="str">
        <f>VLOOKUP($C847, 'List of log slots'!$A:$E, 2, FALSE)</f>
        <v>Mithril full helm (g)</v>
      </c>
      <c r="E847" s="207">
        <f>VLOOKUP($C847, 'List of log slots'!$A:$E, 5, FALSE)</f>
        <v>4</v>
      </c>
      <c r="F847" s="209" t="b">
        <f>VLOOKUP(C847, 'List of log slots'!$A:$C, 3, FALSE)</f>
        <v>0</v>
      </c>
      <c r="G847" s="209" t="b">
        <f t="shared" si="560"/>
        <v>0</v>
      </c>
      <c r="H847" s="210" t="b">
        <f t="shared" si="7"/>
        <v>1</v>
      </c>
      <c r="I847" s="208" t="b">
        <f t="shared" ref="I847:J847" si="590">FALSE</f>
        <v>0</v>
      </c>
      <c r="J847" s="208" t="b">
        <f t="shared" si="590"/>
        <v>0</v>
      </c>
      <c r="K847" s="214">
        <v>283.0</v>
      </c>
      <c r="L847" s="212" t="str">
        <f t="shared" si="3"/>
        <v>n/a</v>
      </c>
      <c r="M847" s="212" t="str">
        <f t="shared" si="4"/>
        <v>n/a</v>
      </c>
      <c r="N847" s="207" t="str">
        <f t="shared" si="5"/>
        <v>n/a</v>
      </c>
      <c r="O847" s="207">
        <f t="shared" si="6"/>
        <v>0.003533568905</v>
      </c>
    </row>
    <row r="848" ht="15.75" customHeight="1">
      <c r="A848" s="207">
        <v>70.0</v>
      </c>
      <c r="B848" s="6" t="str">
        <f>VLOOKUP($A848, 'Completion rates'!$A:$E, 2, FALSE)</f>
        <v>Opening medium caskets</v>
      </c>
      <c r="C848" s="207">
        <v>12277.0</v>
      </c>
      <c r="D848" s="6" t="str">
        <f>VLOOKUP($C848, 'List of log slots'!$A:$E, 2, FALSE)</f>
        <v>Mithril platebody (g)</v>
      </c>
      <c r="E848" s="207">
        <f>VLOOKUP($C848, 'List of log slots'!$A:$E, 5, FALSE)</f>
        <v>4</v>
      </c>
      <c r="F848" s="209" t="b">
        <f>VLOOKUP(C848, 'List of log slots'!$A:$C, 3, FALSE)</f>
        <v>0</v>
      </c>
      <c r="G848" s="209" t="b">
        <f t="shared" si="560"/>
        <v>0</v>
      </c>
      <c r="H848" s="210" t="b">
        <f t="shared" si="7"/>
        <v>1</v>
      </c>
      <c r="I848" s="208" t="b">
        <f t="shared" ref="I848:J848" si="591">FALSE</f>
        <v>0</v>
      </c>
      <c r="J848" s="208" t="b">
        <f t="shared" si="591"/>
        <v>0</v>
      </c>
      <c r="K848" s="214">
        <v>283.0</v>
      </c>
      <c r="L848" s="212" t="str">
        <f t="shared" si="3"/>
        <v>n/a</v>
      </c>
      <c r="M848" s="212" t="str">
        <f t="shared" si="4"/>
        <v>n/a</v>
      </c>
      <c r="N848" s="207" t="str">
        <f t="shared" si="5"/>
        <v>n/a</v>
      </c>
      <c r="O848" s="207">
        <f t="shared" si="6"/>
        <v>0.003533568905</v>
      </c>
    </row>
    <row r="849" ht="15.75" customHeight="1">
      <c r="A849" s="207">
        <v>70.0</v>
      </c>
      <c r="B849" s="6" t="str">
        <f>VLOOKUP($A849, 'Completion rates'!$A:$E, 2, FALSE)</f>
        <v>Opening medium caskets</v>
      </c>
      <c r="C849" s="207">
        <v>12279.0</v>
      </c>
      <c r="D849" s="6" t="str">
        <f>VLOOKUP($C849, 'List of log slots'!$A:$E, 2, FALSE)</f>
        <v>Mithril platelegs (g)</v>
      </c>
      <c r="E849" s="207">
        <f>VLOOKUP($C849, 'List of log slots'!$A:$E, 5, FALSE)</f>
        <v>4</v>
      </c>
      <c r="F849" s="209" t="b">
        <f>VLOOKUP(C849, 'List of log slots'!$A:$C, 3, FALSE)</f>
        <v>0</v>
      </c>
      <c r="G849" s="209" t="b">
        <f t="shared" si="560"/>
        <v>0</v>
      </c>
      <c r="H849" s="210" t="b">
        <f t="shared" si="7"/>
        <v>1</v>
      </c>
      <c r="I849" s="208" t="b">
        <f t="shared" ref="I849:J849" si="592">FALSE</f>
        <v>0</v>
      </c>
      <c r="J849" s="208" t="b">
        <f t="shared" si="592"/>
        <v>0</v>
      </c>
      <c r="K849" s="214">
        <v>283.0</v>
      </c>
      <c r="L849" s="212" t="str">
        <f t="shared" si="3"/>
        <v>n/a</v>
      </c>
      <c r="M849" s="212" t="str">
        <f t="shared" si="4"/>
        <v>n/a</v>
      </c>
      <c r="N849" s="207" t="str">
        <f t="shared" si="5"/>
        <v>n/a</v>
      </c>
      <c r="O849" s="207">
        <f t="shared" si="6"/>
        <v>0.003533568905</v>
      </c>
    </row>
    <row r="850" ht="15.75" customHeight="1">
      <c r="A850" s="207">
        <v>70.0</v>
      </c>
      <c r="B850" s="6" t="str">
        <f>VLOOKUP($A850, 'Completion rates'!$A:$E, 2, FALSE)</f>
        <v>Opening medium caskets</v>
      </c>
      <c r="C850" s="207">
        <v>12285.0</v>
      </c>
      <c r="D850" s="6" t="str">
        <f>VLOOKUP($C850, 'List of log slots'!$A:$E, 2, FALSE)</f>
        <v>Mithril plateskirt (g)</v>
      </c>
      <c r="E850" s="207">
        <f>VLOOKUP($C850, 'List of log slots'!$A:$E, 5, FALSE)</f>
        <v>4</v>
      </c>
      <c r="F850" s="209" t="b">
        <f>VLOOKUP(C850, 'List of log slots'!$A:$C, 3, FALSE)</f>
        <v>0</v>
      </c>
      <c r="G850" s="209" t="b">
        <f t="shared" si="560"/>
        <v>0</v>
      </c>
      <c r="H850" s="210" t="b">
        <f t="shared" si="7"/>
        <v>1</v>
      </c>
      <c r="I850" s="208" t="b">
        <f t="shared" ref="I850:J850" si="593">FALSE</f>
        <v>0</v>
      </c>
      <c r="J850" s="208" t="b">
        <f t="shared" si="593"/>
        <v>0</v>
      </c>
      <c r="K850" s="214">
        <v>283.0</v>
      </c>
      <c r="L850" s="212" t="str">
        <f t="shared" si="3"/>
        <v>n/a</v>
      </c>
      <c r="M850" s="212" t="str">
        <f t="shared" si="4"/>
        <v>n/a</v>
      </c>
      <c r="N850" s="207" t="str">
        <f t="shared" si="5"/>
        <v>n/a</v>
      </c>
      <c r="O850" s="207">
        <f t="shared" si="6"/>
        <v>0.003533568905</v>
      </c>
    </row>
    <row r="851" ht="15.75" customHeight="1">
      <c r="A851" s="207">
        <v>70.0</v>
      </c>
      <c r="B851" s="6" t="str">
        <f>VLOOKUP($A851, 'Completion rates'!$A:$E, 2, FALSE)</f>
        <v>Opening medium caskets</v>
      </c>
      <c r="C851" s="207">
        <v>12281.0</v>
      </c>
      <c r="D851" s="6" t="str">
        <f>VLOOKUP($C851, 'List of log slots'!$A:$E, 2, FALSE)</f>
        <v>Mithril kiteshield (g)</v>
      </c>
      <c r="E851" s="207">
        <f>VLOOKUP($C851, 'List of log slots'!$A:$E, 5, FALSE)</f>
        <v>4</v>
      </c>
      <c r="F851" s="210" t="b">
        <f>VLOOKUP(C851, 'List of log slots'!$A:$C, 3, FALSE)</f>
        <v>0</v>
      </c>
      <c r="G851" s="209" t="b">
        <f t="shared" si="560"/>
        <v>0</v>
      </c>
      <c r="H851" s="209" t="b">
        <f t="shared" si="7"/>
        <v>1</v>
      </c>
      <c r="I851" s="208" t="b">
        <f t="shared" ref="I851:J851" si="594">FALSE</f>
        <v>0</v>
      </c>
      <c r="J851" s="208" t="b">
        <f t="shared" si="594"/>
        <v>0</v>
      </c>
      <c r="K851" s="214">
        <v>283.0</v>
      </c>
      <c r="L851" s="212" t="str">
        <f t="shared" si="3"/>
        <v>n/a</v>
      </c>
      <c r="M851" s="212" t="str">
        <f t="shared" si="4"/>
        <v>n/a</v>
      </c>
      <c r="N851" s="207" t="str">
        <f t="shared" si="5"/>
        <v>n/a</v>
      </c>
      <c r="O851" s="207">
        <f t="shared" si="6"/>
        <v>0.003533568905</v>
      </c>
    </row>
    <row r="852" ht="15.75" customHeight="1">
      <c r="A852" s="207">
        <v>70.0</v>
      </c>
      <c r="B852" s="6" t="str">
        <f>VLOOKUP($A852, 'Completion rates'!$A:$E, 2, FALSE)</f>
        <v>Opening medium caskets</v>
      </c>
      <c r="C852" s="207">
        <v>12293.0</v>
      </c>
      <c r="D852" s="6" t="str">
        <f>VLOOKUP($C852, 'List of log slots'!$A:$E, 2, FALSE)</f>
        <v>Mithril full helm (t)</v>
      </c>
      <c r="E852" s="207">
        <f>VLOOKUP($C852, 'List of log slots'!$A:$E, 5, FALSE)</f>
        <v>4</v>
      </c>
      <c r="F852" s="210" t="b">
        <f>VLOOKUP(C852, 'List of log slots'!$A:$C, 3, FALSE)</f>
        <v>0</v>
      </c>
      <c r="G852" s="209" t="b">
        <f t="shared" si="560"/>
        <v>0</v>
      </c>
      <c r="H852" s="209" t="b">
        <f t="shared" si="7"/>
        <v>1</v>
      </c>
      <c r="I852" s="208" t="b">
        <f t="shared" ref="I852:J852" si="595">FALSE</f>
        <v>0</v>
      </c>
      <c r="J852" s="208" t="b">
        <f t="shared" si="595"/>
        <v>0</v>
      </c>
      <c r="K852" s="214">
        <v>283.0</v>
      </c>
      <c r="L852" s="212" t="str">
        <f t="shared" si="3"/>
        <v>n/a</v>
      </c>
      <c r="M852" s="212" t="str">
        <f t="shared" si="4"/>
        <v>n/a</v>
      </c>
      <c r="N852" s="207" t="str">
        <f t="shared" si="5"/>
        <v>n/a</v>
      </c>
      <c r="O852" s="207">
        <f t="shared" si="6"/>
        <v>0.003533568905</v>
      </c>
    </row>
    <row r="853" ht="15.75" customHeight="1">
      <c r="A853" s="207">
        <v>70.0</v>
      </c>
      <c r="B853" s="6" t="str">
        <f>VLOOKUP($A853, 'Completion rates'!$A:$E, 2, FALSE)</f>
        <v>Opening medium caskets</v>
      </c>
      <c r="C853" s="207">
        <v>12287.0</v>
      </c>
      <c r="D853" s="6" t="str">
        <f>VLOOKUP($C853, 'List of log slots'!$A:$E, 2, FALSE)</f>
        <v>Mithril platebody (t)</v>
      </c>
      <c r="E853" s="207">
        <f>VLOOKUP($C853, 'List of log slots'!$A:$E, 5, FALSE)</f>
        <v>4</v>
      </c>
      <c r="F853" s="209" t="b">
        <f>VLOOKUP(C853, 'List of log slots'!$A:$C, 3, FALSE)</f>
        <v>0</v>
      </c>
      <c r="G853" s="209" t="b">
        <f t="shared" si="560"/>
        <v>0</v>
      </c>
      <c r="H853" s="210" t="b">
        <f t="shared" si="7"/>
        <v>1</v>
      </c>
      <c r="I853" s="208" t="b">
        <f t="shared" ref="I853:J853" si="596">FALSE</f>
        <v>0</v>
      </c>
      <c r="J853" s="208" t="b">
        <f t="shared" si="596"/>
        <v>0</v>
      </c>
      <c r="K853" s="214">
        <v>283.0</v>
      </c>
      <c r="L853" s="212" t="str">
        <f t="shared" si="3"/>
        <v>n/a</v>
      </c>
      <c r="M853" s="212" t="str">
        <f t="shared" si="4"/>
        <v>n/a</v>
      </c>
      <c r="N853" s="207" t="str">
        <f t="shared" si="5"/>
        <v>n/a</v>
      </c>
      <c r="O853" s="207">
        <f t="shared" si="6"/>
        <v>0.003533568905</v>
      </c>
    </row>
    <row r="854" ht="15.75" customHeight="1">
      <c r="A854" s="207">
        <v>70.0</v>
      </c>
      <c r="B854" s="6" t="str">
        <f>VLOOKUP($A854, 'Completion rates'!$A:$E, 2, FALSE)</f>
        <v>Opening medium caskets</v>
      </c>
      <c r="C854" s="207">
        <v>12289.0</v>
      </c>
      <c r="D854" s="6" t="str">
        <f>VLOOKUP($C854, 'List of log slots'!$A:$E, 2, FALSE)</f>
        <v>Mithril platelegs (t)</v>
      </c>
      <c r="E854" s="207">
        <f>VLOOKUP($C854, 'List of log slots'!$A:$E, 5, FALSE)</f>
        <v>4</v>
      </c>
      <c r="F854" s="209" t="b">
        <f>VLOOKUP(C854, 'List of log slots'!$A:$C, 3, FALSE)</f>
        <v>0</v>
      </c>
      <c r="G854" s="209" t="b">
        <f t="shared" si="560"/>
        <v>0</v>
      </c>
      <c r="H854" s="210" t="b">
        <f t="shared" si="7"/>
        <v>1</v>
      </c>
      <c r="I854" s="208" t="b">
        <f t="shared" ref="I854:J854" si="597">FALSE</f>
        <v>0</v>
      </c>
      <c r="J854" s="208" t="b">
        <f t="shared" si="597"/>
        <v>0</v>
      </c>
      <c r="K854" s="214">
        <v>283.0</v>
      </c>
      <c r="L854" s="212" t="str">
        <f t="shared" si="3"/>
        <v>n/a</v>
      </c>
      <c r="M854" s="212" t="str">
        <f t="shared" si="4"/>
        <v>n/a</v>
      </c>
      <c r="N854" s="207" t="str">
        <f t="shared" si="5"/>
        <v>n/a</v>
      </c>
      <c r="O854" s="207">
        <f t="shared" si="6"/>
        <v>0.003533568905</v>
      </c>
    </row>
    <row r="855" ht="15.75" customHeight="1">
      <c r="A855" s="207">
        <v>70.0</v>
      </c>
      <c r="B855" s="6" t="str">
        <f>VLOOKUP($A855, 'Completion rates'!$A:$E, 2, FALSE)</f>
        <v>Opening medium caskets</v>
      </c>
      <c r="C855" s="207">
        <v>12295.0</v>
      </c>
      <c r="D855" s="6" t="str">
        <f>VLOOKUP($C855, 'List of log slots'!$A:$E, 2, FALSE)</f>
        <v>Mithril plateskirt (t)</v>
      </c>
      <c r="E855" s="207">
        <f>VLOOKUP($C855, 'List of log slots'!$A:$E, 5, FALSE)</f>
        <v>4</v>
      </c>
      <c r="F855" s="209" t="b">
        <f>VLOOKUP(C855, 'List of log slots'!$A:$C, 3, FALSE)</f>
        <v>0</v>
      </c>
      <c r="G855" s="209" t="b">
        <f t="shared" si="560"/>
        <v>0</v>
      </c>
      <c r="H855" s="210" t="b">
        <f t="shared" si="7"/>
        <v>1</v>
      </c>
      <c r="I855" s="208" t="b">
        <f t="shared" ref="I855:J855" si="598">FALSE</f>
        <v>0</v>
      </c>
      <c r="J855" s="208" t="b">
        <f t="shared" si="598"/>
        <v>0</v>
      </c>
      <c r="K855" s="214">
        <v>283.0</v>
      </c>
      <c r="L855" s="212" t="str">
        <f t="shared" si="3"/>
        <v>n/a</v>
      </c>
      <c r="M855" s="212" t="str">
        <f t="shared" si="4"/>
        <v>n/a</v>
      </c>
      <c r="N855" s="207" t="str">
        <f t="shared" si="5"/>
        <v>n/a</v>
      </c>
      <c r="O855" s="207">
        <f t="shared" si="6"/>
        <v>0.003533568905</v>
      </c>
    </row>
    <row r="856" ht="15.75" customHeight="1">
      <c r="A856" s="207">
        <v>70.0</v>
      </c>
      <c r="B856" s="6" t="str">
        <f>VLOOKUP($A856, 'Completion rates'!$A:$E, 2, FALSE)</f>
        <v>Opening medium caskets</v>
      </c>
      <c r="C856" s="207">
        <v>12291.0</v>
      </c>
      <c r="D856" s="6" t="str">
        <f>VLOOKUP($C856, 'List of log slots'!$A:$E, 2, FALSE)</f>
        <v>Mithril kiteshield (t)</v>
      </c>
      <c r="E856" s="207">
        <f>VLOOKUP($C856, 'List of log slots'!$A:$E, 5, FALSE)</f>
        <v>4</v>
      </c>
      <c r="F856" s="209" t="b">
        <f>VLOOKUP(C856, 'List of log slots'!$A:$C, 3, FALSE)</f>
        <v>0</v>
      </c>
      <c r="G856" s="209" t="b">
        <f t="shared" si="560"/>
        <v>0</v>
      </c>
      <c r="H856" s="210" t="b">
        <f t="shared" si="7"/>
        <v>1</v>
      </c>
      <c r="I856" s="208" t="b">
        <f t="shared" ref="I856:J856" si="599">FALSE</f>
        <v>0</v>
      </c>
      <c r="J856" s="208" t="b">
        <f t="shared" si="599"/>
        <v>0</v>
      </c>
      <c r="K856" s="214">
        <v>283.0</v>
      </c>
      <c r="L856" s="212" t="str">
        <f t="shared" si="3"/>
        <v>n/a</v>
      </c>
      <c r="M856" s="212" t="str">
        <f t="shared" si="4"/>
        <v>n/a</v>
      </c>
      <c r="N856" s="207" t="str">
        <f t="shared" si="5"/>
        <v>n/a</v>
      </c>
      <c r="O856" s="207">
        <f t="shared" si="6"/>
        <v>0.003533568905</v>
      </c>
    </row>
    <row r="857" ht="15.75" customHeight="1">
      <c r="A857" s="207">
        <v>70.0</v>
      </c>
      <c r="B857" s="6" t="str">
        <f>VLOOKUP($A857, 'Completion rates'!$A:$E, 2, FALSE)</f>
        <v>Opening medium caskets</v>
      </c>
      <c r="C857" s="207">
        <v>7370.0</v>
      </c>
      <c r="D857" s="6" t="str">
        <f>VLOOKUP($C857, 'List of log slots'!$A:$E, 2, FALSE)</f>
        <v>Green d'hide body (g)</v>
      </c>
      <c r="E857" s="207">
        <f>VLOOKUP($C857, 'List of log slots'!$A:$E, 5, FALSE)</f>
        <v>4</v>
      </c>
      <c r="F857" s="209" t="b">
        <f>VLOOKUP(C857, 'List of log slots'!$A:$C, 3, FALSE)</f>
        <v>0</v>
      </c>
      <c r="G857" s="209" t="b">
        <f t="shared" si="560"/>
        <v>0</v>
      </c>
      <c r="H857" s="210" t="b">
        <f t="shared" si="7"/>
        <v>1</v>
      </c>
      <c r="I857" s="208" t="b">
        <f t="shared" ref="I857:J857" si="600">FALSE</f>
        <v>0</v>
      </c>
      <c r="J857" s="208" t="b">
        <f t="shared" si="600"/>
        <v>0</v>
      </c>
      <c r="K857" s="214">
        <v>283.0</v>
      </c>
      <c r="L857" s="212" t="str">
        <f t="shared" si="3"/>
        <v>n/a</v>
      </c>
      <c r="M857" s="212" t="str">
        <f t="shared" si="4"/>
        <v>n/a</v>
      </c>
      <c r="N857" s="207" t="str">
        <f t="shared" si="5"/>
        <v>n/a</v>
      </c>
      <c r="O857" s="207">
        <f t="shared" si="6"/>
        <v>0.003533568905</v>
      </c>
    </row>
    <row r="858" ht="15.75" customHeight="1">
      <c r="A858" s="207">
        <v>70.0</v>
      </c>
      <c r="B858" s="6" t="str">
        <f>VLOOKUP($A858, 'Completion rates'!$A:$E, 2, FALSE)</f>
        <v>Opening medium caskets</v>
      </c>
      <c r="C858" s="207">
        <v>7372.0</v>
      </c>
      <c r="D858" s="6" t="str">
        <f>VLOOKUP($C858, 'List of log slots'!$A:$E, 2, FALSE)</f>
        <v>Green d'hide body (t)</v>
      </c>
      <c r="E858" s="207">
        <f>VLOOKUP($C858, 'List of log slots'!$A:$E, 5, FALSE)</f>
        <v>4</v>
      </c>
      <c r="F858" s="209" t="b">
        <f>VLOOKUP(C858, 'List of log slots'!$A:$C, 3, FALSE)</f>
        <v>0</v>
      </c>
      <c r="G858" s="209" t="b">
        <f t="shared" si="560"/>
        <v>0</v>
      </c>
      <c r="H858" s="210" t="b">
        <f t="shared" si="7"/>
        <v>1</v>
      </c>
      <c r="I858" s="208" t="b">
        <f t="shared" ref="I858:J858" si="601">FALSE</f>
        <v>0</v>
      </c>
      <c r="J858" s="208" t="b">
        <f t="shared" si="601"/>
        <v>0</v>
      </c>
      <c r="K858" s="214">
        <v>283.0</v>
      </c>
      <c r="L858" s="212" t="str">
        <f t="shared" si="3"/>
        <v>n/a</v>
      </c>
      <c r="M858" s="212" t="str">
        <f t="shared" si="4"/>
        <v>n/a</v>
      </c>
      <c r="N858" s="207" t="str">
        <f t="shared" si="5"/>
        <v>n/a</v>
      </c>
      <c r="O858" s="207">
        <f t="shared" si="6"/>
        <v>0.003533568905</v>
      </c>
    </row>
    <row r="859" ht="15.75" customHeight="1">
      <c r="A859" s="207">
        <v>70.0</v>
      </c>
      <c r="B859" s="6" t="str">
        <f>VLOOKUP($A859, 'Completion rates'!$A:$E, 2, FALSE)</f>
        <v>Opening medium caskets</v>
      </c>
      <c r="C859" s="207">
        <v>7378.0</v>
      </c>
      <c r="D859" s="6" t="str">
        <f>VLOOKUP($C859, 'List of log slots'!$A:$E, 2, FALSE)</f>
        <v>Green d'hide chaps (g)</v>
      </c>
      <c r="E859" s="207">
        <f>VLOOKUP($C859, 'List of log slots'!$A:$E, 5, FALSE)</f>
        <v>4</v>
      </c>
      <c r="F859" s="209" t="b">
        <f>VLOOKUP(C859, 'List of log slots'!$A:$C, 3, FALSE)</f>
        <v>0</v>
      </c>
      <c r="G859" s="209" t="b">
        <f t="shared" si="560"/>
        <v>0</v>
      </c>
      <c r="H859" s="210" t="b">
        <f t="shared" si="7"/>
        <v>1</v>
      </c>
      <c r="I859" s="208" t="b">
        <f t="shared" ref="I859:J859" si="602">FALSE</f>
        <v>0</v>
      </c>
      <c r="J859" s="208" t="b">
        <f t="shared" si="602"/>
        <v>0</v>
      </c>
      <c r="K859" s="214">
        <v>283.0</v>
      </c>
      <c r="L859" s="212" t="str">
        <f t="shared" si="3"/>
        <v>n/a</v>
      </c>
      <c r="M859" s="212" t="str">
        <f t="shared" si="4"/>
        <v>n/a</v>
      </c>
      <c r="N859" s="207" t="str">
        <f t="shared" si="5"/>
        <v>n/a</v>
      </c>
      <c r="O859" s="207">
        <f t="shared" si="6"/>
        <v>0.003533568905</v>
      </c>
    </row>
    <row r="860" ht="15.75" customHeight="1">
      <c r="A860" s="207">
        <v>70.0</v>
      </c>
      <c r="B860" s="6" t="str">
        <f>VLOOKUP($A860, 'Completion rates'!$A:$E, 2, FALSE)</f>
        <v>Opening medium caskets</v>
      </c>
      <c r="C860" s="207">
        <v>7380.0</v>
      </c>
      <c r="D860" s="6" t="str">
        <f>VLOOKUP($C860, 'List of log slots'!$A:$E, 2, FALSE)</f>
        <v>Green d'hide chaps (t)</v>
      </c>
      <c r="E860" s="207">
        <f>VLOOKUP($C860, 'List of log slots'!$A:$E, 5, FALSE)</f>
        <v>4</v>
      </c>
      <c r="F860" s="210" t="b">
        <f>VLOOKUP(C860, 'List of log slots'!$A:$C, 3, FALSE)</f>
        <v>0</v>
      </c>
      <c r="G860" s="209" t="b">
        <f t="shared" si="560"/>
        <v>0</v>
      </c>
      <c r="H860" s="209" t="b">
        <f t="shared" si="7"/>
        <v>1</v>
      </c>
      <c r="I860" s="208" t="b">
        <f t="shared" ref="I860:J860" si="603">FALSE</f>
        <v>0</v>
      </c>
      <c r="J860" s="208" t="b">
        <f t="shared" si="603"/>
        <v>0</v>
      </c>
      <c r="K860" s="214">
        <v>283.0</v>
      </c>
      <c r="L860" s="212" t="str">
        <f t="shared" si="3"/>
        <v>n/a</v>
      </c>
      <c r="M860" s="212" t="str">
        <f t="shared" si="4"/>
        <v>n/a</v>
      </c>
      <c r="N860" s="207" t="str">
        <f t="shared" si="5"/>
        <v>n/a</v>
      </c>
      <c r="O860" s="207">
        <f t="shared" si="6"/>
        <v>0.003533568905</v>
      </c>
    </row>
    <row r="861" ht="15.75" customHeight="1">
      <c r="A861" s="207">
        <v>70.0</v>
      </c>
      <c r="B861" s="6" t="str">
        <f>VLOOKUP($A861, 'Completion rates'!$A:$E, 2, FALSE)</f>
        <v>Opening medium caskets</v>
      </c>
      <c r="C861" s="207">
        <v>10452.0</v>
      </c>
      <c r="D861" s="6" t="str">
        <f>VLOOKUP($C861, 'List of log slots'!$A:$E, 2, FALSE)</f>
        <v>Saradomin mitre</v>
      </c>
      <c r="E861" s="207">
        <f>VLOOKUP($C861, 'List of log slots'!$A:$E, 5, FALSE)</f>
        <v>4</v>
      </c>
      <c r="F861" s="209" t="b">
        <f>VLOOKUP(C861, 'List of log slots'!$A:$C, 3, FALSE)</f>
        <v>0</v>
      </c>
      <c r="G861" s="209" t="b">
        <f t="shared" si="560"/>
        <v>0</v>
      </c>
      <c r="H861" s="210" t="b">
        <f t="shared" si="7"/>
        <v>1</v>
      </c>
      <c r="I861" s="208" t="b">
        <f t="shared" ref="I861:J861" si="604">FALSE</f>
        <v>0</v>
      </c>
      <c r="J861" s="208" t="b">
        <f t="shared" si="604"/>
        <v>0</v>
      </c>
      <c r="K861" s="214">
        <v>283.0</v>
      </c>
      <c r="L861" s="212" t="str">
        <f t="shared" si="3"/>
        <v>n/a</v>
      </c>
      <c r="M861" s="212" t="str">
        <f t="shared" si="4"/>
        <v>n/a</v>
      </c>
      <c r="N861" s="207" t="str">
        <f t="shared" si="5"/>
        <v>n/a</v>
      </c>
      <c r="O861" s="207">
        <f t="shared" si="6"/>
        <v>0.003533568905</v>
      </c>
    </row>
    <row r="862" ht="15.75" customHeight="1">
      <c r="A862" s="207">
        <v>70.0</v>
      </c>
      <c r="B862" s="6" t="str">
        <f>VLOOKUP($A862, 'Completion rates'!$A:$E, 2, FALSE)</f>
        <v>Opening medium caskets</v>
      </c>
      <c r="C862" s="207">
        <v>10446.0</v>
      </c>
      <c r="D862" s="6" t="str">
        <f>VLOOKUP($C862, 'List of log slots'!$A:$E, 2, FALSE)</f>
        <v>Saradomin cloak</v>
      </c>
      <c r="E862" s="207">
        <f>VLOOKUP($C862, 'List of log slots'!$A:$E, 5, FALSE)</f>
        <v>4</v>
      </c>
      <c r="F862" s="209" t="b">
        <f>VLOOKUP(C862, 'List of log slots'!$A:$C, 3, FALSE)</f>
        <v>0</v>
      </c>
      <c r="G862" s="209" t="b">
        <f t="shared" si="560"/>
        <v>0</v>
      </c>
      <c r="H862" s="210" t="b">
        <f t="shared" si="7"/>
        <v>1</v>
      </c>
      <c r="I862" s="208" t="b">
        <f t="shared" ref="I862:J862" si="605">FALSE</f>
        <v>0</v>
      </c>
      <c r="J862" s="208" t="b">
        <f t="shared" si="605"/>
        <v>0</v>
      </c>
      <c r="K862" s="214">
        <v>283.0</v>
      </c>
      <c r="L862" s="212" t="str">
        <f t="shared" si="3"/>
        <v>n/a</v>
      </c>
      <c r="M862" s="212" t="str">
        <f t="shared" si="4"/>
        <v>n/a</v>
      </c>
      <c r="N862" s="207" t="str">
        <f t="shared" si="5"/>
        <v>n/a</v>
      </c>
      <c r="O862" s="207">
        <f t="shared" si="6"/>
        <v>0.003533568905</v>
      </c>
    </row>
    <row r="863" ht="15.75" customHeight="1">
      <c r="A863" s="207">
        <v>70.0</v>
      </c>
      <c r="B863" s="6" t="str">
        <f>VLOOKUP($A863, 'Completion rates'!$A:$E, 2, FALSE)</f>
        <v>Opening medium caskets</v>
      </c>
      <c r="C863" s="207">
        <v>10454.0</v>
      </c>
      <c r="D863" s="6" t="str">
        <f>VLOOKUP($C863, 'List of log slots'!$A:$E, 2, FALSE)</f>
        <v>Guthix mitre</v>
      </c>
      <c r="E863" s="207">
        <f>VLOOKUP($C863, 'List of log slots'!$A:$E, 5, FALSE)</f>
        <v>4</v>
      </c>
      <c r="F863" s="210" t="b">
        <f>VLOOKUP(C863, 'List of log slots'!$A:$C, 3, FALSE)</f>
        <v>0</v>
      </c>
      <c r="G863" s="209" t="b">
        <f t="shared" si="560"/>
        <v>0</v>
      </c>
      <c r="H863" s="209" t="b">
        <f t="shared" si="7"/>
        <v>1</v>
      </c>
      <c r="I863" s="208" t="b">
        <f t="shared" ref="I863:J863" si="606">FALSE</f>
        <v>0</v>
      </c>
      <c r="J863" s="208" t="b">
        <f t="shared" si="606"/>
        <v>0</v>
      </c>
      <c r="K863" s="214">
        <v>283.0</v>
      </c>
      <c r="L863" s="212" t="str">
        <f t="shared" si="3"/>
        <v>n/a</v>
      </c>
      <c r="M863" s="212" t="str">
        <f t="shared" si="4"/>
        <v>n/a</v>
      </c>
      <c r="N863" s="207" t="str">
        <f t="shared" si="5"/>
        <v>n/a</v>
      </c>
      <c r="O863" s="207">
        <f t="shared" si="6"/>
        <v>0.003533568905</v>
      </c>
    </row>
    <row r="864" ht="15.75" customHeight="1">
      <c r="A864" s="207">
        <v>70.0</v>
      </c>
      <c r="B864" s="6" t="str">
        <f>VLOOKUP($A864, 'Completion rates'!$A:$E, 2, FALSE)</f>
        <v>Opening medium caskets</v>
      </c>
      <c r="C864" s="207">
        <v>10448.0</v>
      </c>
      <c r="D864" s="6" t="str">
        <f>VLOOKUP($C864, 'List of log slots'!$A:$E, 2, FALSE)</f>
        <v>Guthix cloak</v>
      </c>
      <c r="E864" s="207">
        <f>VLOOKUP($C864, 'List of log slots'!$A:$E, 5, FALSE)</f>
        <v>4</v>
      </c>
      <c r="F864" s="209" t="b">
        <f>VLOOKUP(C864, 'List of log slots'!$A:$C, 3, FALSE)</f>
        <v>0</v>
      </c>
      <c r="G864" s="209" t="b">
        <f t="shared" si="560"/>
        <v>0</v>
      </c>
      <c r="H864" s="210" t="b">
        <f t="shared" si="7"/>
        <v>1</v>
      </c>
      <c r="I864" s="208" t="b">
        <f t="shared" ref="I864:J864" si="607">FALSE</f>
        <v>0</v>
      </c>
      <c r="J864" s="208" t="b">
        <f t="shared" si="607"/>
        <v>0</v>
      </c>
      <c r="K864" s="214">
        <v>283.0</v>
      </c>
      <c r="L864" s="212" t="str">
        <f t="shared" si="3"/>
        <v>n/a</v>
      </c>
      <c r="M864" s="212" t="str">
        <f t="shared" si="4"/>
        <v>n/a</v>
      </c>
      <c r="N864" s="207" t="str">
        <f t="shared" si="5"/>
        <v>n/a</v>
      </c>
      <c r="O864" s="207">
        <f t="shared" si="6"/>
        <v>0.003533568905</v>
      </c>
    </row>
    <row r="865" ht="15.75" customHeight="1">
      <c r="A865" s="207">
        <v>70.0</v>
      </c>
      <c r="B865" s="6" t="str">
        <f>VLOOKUP($A865, 'Completion rates'!$A:$E, 2, FALSE)</f>
        <v>Opening medium caskets</v>
      </c>
      <c r="C865" s="207">
        <v>10456.0</v>
      </c>
      <c r="D865" s="6" t="str">
        <f>VLOOKUP($C865, 'List of log slots'!$A:$E, 2, FALSE)</f>
        <v>Zamorak mitre</v>
      </c>
      <c r="E865" s="207">
        <f>VLOOKUP($C865, 'List of log slots'!$A:$E, 5, FALSE)</f>
        <v>4</v>
      </c>
      <c r="F865" s="210" t="b">
        <f>VLOOKUP(C865, 'List of log slots'!$A:$C, 3, FALSE)</f>
        <v>0</v>
      </c>
      <c r="G865" s="209" t="b">
        <f t="shared" si="560"/>
        <v>0</v>
      </c>
      <c r="H865" s="209" t="b">
        <f t="shared" si="7"/>
        <v>1</v>
      </c>
      <c r="I865" s="208" t="b">
        <f t="shared" ref="I865:J865" si="608">FALSE</f>
        <v>0</v>
      </c>
      <c r="J865" s="208" t="b">
        <f t="shared" si="608"/>
        <v>0</v>
      </c>
      <c r="K865" s="214">
        <v>283.0</v>
      </c>
      <c r="L865" s="212" t="str">
        <f t="shared" si="3"/>
        <v>n/a</v>
      </c>
      <c r="M865" s="212" t="str">
        <f t="shared" si="4"/>
        <v>n/a</v>
      </c>
      <c r="N865" s="207" t="str">
        <f t="shared" si="5"/>
        <v>n/a</v>
      </c>
      <c r="O865" s="207">
        <f t="shared" si="6"/>
        <v>0.003533568905</v>
      </c>
    </row>
    <row r="866" ht="15.75" customHeight="1">
      <c r="A866" s="207">
        <v>70.0</v>
      </c>
      <c r="B866" s="6" t="str">
        <f>VLOOKUP($A866, 'Completion rates'!$A:$E, 2, FALSE)</f>
        <v>Opening medium caskets</v>
      </c>
      <c r="C866" s="207">
        <v>10450.0</v>
      </c>
      <c r="D866" s="6" t="str">
        <f>VLOOKUP($C866, 'List of log slots'!$A:$E, 2, FALSE)</f>
        <v>Zamorak cloak</v>
      </c>
      <c r="E866" s="207">
        <f>VLOOKUP($C866, 'List of log slots'!$A:$E, 5, FALSE)</f>
        <v>4</v>
      </c>
      <c r="F866" s="209" t="b">
        <f>VLOOKUP(C866, 'List of log slots'!$A:$C, 3, FALSE)</f>
        <v>0</v>
      </c>
      <c r="G866" s="209" t="b">
        <f t="shared" si="560"/>
        <v>0</v>
      </c>
      <c r="H866" s="210" t="b">
        <f t="shared" si="7"/>
        <v>1</v>
      </c>
      <c r="I866" s="208" t="b">
        <f t="shared" ref="I866:J866" si="609">FALSE</f>
        <v>0</v>
      </c>
      <c r="J866" s="208" t="b">
        <f t="shared" si="609"/>
        <v>0</v>
      </c>
      <c r="K866" s="214">
        <v>283.0</v>
      </c>
      <c r="L866" s="212" t="str">
        <f t="shared" si="3"/>
        <v>n/a</v>
      </c>
      <c r="M866" s="212" t="str">
        <f t="shared" si="4"/>
        <v>n/a</v>
      </c>
      <c r="N866" s="207" t="str">
        <f t="shared" si="5"/>
        <v>n/a</v>
      </c>
      <c r="O866" s="207">
        <f t="shared" si="6"/>
        <v>0.003533568905</v>
      </c>
    </row>
    <row r="867" ht="15.75" customHeight="1">
      <c r="A867" s="207">
        <v>70.0</v>
      </c>
      <c r="B867" s="6" t="str">
        <f>VLOOKUP($A867, 'Completion rates'!$A:$E, 2, FALSE)</f>
        <v>Opening medium caskets</v>
      </c>
      <c r="C867" s="207">
        <v>12203.0</v>
      </c>
      <c r="D867" s="6" t="str">
        <f>VLOOKUP($C867, 'List of log slots'!$A:$E, 2, FALSE)</f>
        <v>Ancient mitre</v>
      </c>
      <c r="E867" s="207">
        <f>VLOOKUP($C867, 'List of log slots'!$A:$E, 5, FALSE)</f>
        <v>4</v>
      </c>
      <c r="F867" s="209" t="b">
        <f>VLOOKUP(C867, 'List of log slots'!$A:$C, 3, FALSE)</f>
        <v>0</v>
      </c>
      <c r="G867" s="209" t="b">
        <f t="shared" si="560"/>
        <v>0</v>
      </c>
      <c r="H867" s="210" t="b">
        <f t="shared" si="7"/>
        <v>1</v>
      </c>
      <c r="I867" s="208" t="b">
        <f t="shared" ref="I867:J867" si="610">FALSE</f>
        <v>0</v>
      </c>
      <c r="J867" s="208" t="b">
        <f t="shared" si="610"/>
        <v>0</v>
      </c>
      <c r="K867" s="214">
        <v>283.0</v>
      </c>
      <c r="L867" s="212" t="str">
        <f t="shared" si="3"/>
        <v>n/a</v>
      </c>
      <c r="M867" s="212" t="str">
        <f t="shared" si="4"/>
        <v>n/a</v>
      </c>
      <c r="N867" s="207" t="str">
        <f t="shared" si="5"/>
        <v>n/a</v>
      </c>
      <c r="O867" s="207">
        <f t="shared" si="6"/>
        <v>0.003533568905</v>
      </c>
    </row>
    <row r="868" ht="15.75" customHeight="1">
      <c r="A868" s="207">
        <v>70.0</v>
      </c>
      <c r="B868" s="6" t="str">
        <f>VLOOKUP($A868, 'Completion rates'!$A:$E, 2, FALSE)</f>
        <v>Opening medium caskets</v>
      </c>
      <c r="C868" s="207">
        <v>12197.0</v>
      </c>
      <c r="D868" s="6" t="str">
        <f>VLOOKUP($C868, 'List of log slots'!$A:$E, 2, FALSE)</f>
        <v>Ancient cloak</v>
      </c>
      <c r="E868" s="207">
        <f>VLOOKUP($C868, 'List of log slots'!$A:$E, 5, FALSE)</f>
        <v>4</v>
      </c>
      <c r="F868" s="209" t="b">
        <f>VLOOKUP(C868, 'List of log slots'!$A:$C, 3, FALSE)</f>
        <v>0</v>
      </c>
      <c r="G868" s="209" t="b">
        <f t="shared" si="560"/>
        <v>0</v>
      </c>
      <c r="H868" s="210" t="b">
        <f t="shared" si="7"/>
        <v>1</v>
      </c>
      <c r="I868" s="208" t="b">
        <f t="shared" ref="I868:J868" si="611">FALSE</f>
        <v>0</v>
      </c>
      <c r="J868" s="208" t="b">
        <f t="shared" si="611"/>
        <v>0</v>
      </c>
      <c r="K868" s="214">
        <v>283.0</v>
      </c>
      <c r="L868" s="212" t="str">
        <f t="shared" si="3"/>
        <v>n/a</v>
      </c>
      <c r="M868" s="212" t="str">
        <f t="shared" si="4"/>
        <v>n/a</v>
      </c>
      <c r="N868" s="207" t="str">
        <f t="shared" si="5"/>
        <v>n/a</v>
      </c>
      <c r="O868" s="207">
        <f t="shared" si="6"/>
        <v>0.003533568905</v>
      </c>
    </row>
    <row r="869" ht="15.75" customHeight="1">
      <c r="A869" s="207">
        <v>70.0</v>
      </c>
      <c r="B869" s="6" t="str">
        <f>VLOOKUP($A869, 'Completion rates'!$A:$E, 2, FALSE)</f>
        <v>Opening medium caskets</v>
      </c>
      <c r="C869" s="207">
        <v>12201.0</v>
      </c>
      <c r="D869" s="6" t="str">
        <f>VLOOKUP($C869, 'List of log slots'!$A:$E, 2, FALSE)</f>
        <v>Ancient stole</v>
      </c>
      <c r="E869" s="207">
        <f>VLOOKUP($C869, 'List of log slots'!$A:$E, 5, FALSE)</f>
        <v>4</v>
      </c>
      <c r="F869" s="209" t="b">
        <f>VLOOKUP(C869, 'List of log slots'!$A:$C, 3, FALSE)</f>
        <v>0</v>
      </c>
      <c r="G869" s="209" t="b">
        <f t="shared" si="560"/>
        <v>0</v>
      </c>
      <c r="H869" s="210" t="b">
        <f t="shared" si="7"/>
        <v>1</v>
      </c>
      <c r="I869" s="208" t="b">
        <f t="shared" ref="I869:J869" si="612">FALSE</f>
        <v>0</v>
      </c>
      <c r="J869" s="208" t="b">
        <f t="shared" si="612"/>
        <v>0</v>
      </c>
      <c r="K869" s="214">
        <v>283.0</v>
      </c>
      <c r="L869" s="212" t="str">
        <f t="shared" si="3"/>
        <v>n/a</v>
      </c>
      <c r="M869" s="212" t="str">
        <f t="shared" si="4"/>
        <v>n/a</v>
      </c>
      <c r="N869" s="207" t="str">
        <f t="shared" si="5"/>
        <v>n/a</v>
      </c>
      <c r="O869" s="207">
        <f t="shared" si="6"/>
        <v>0.003533568905</v>
      </c>
    </row>
    <row r="870" ht="15.75" customHeight="1">
      <c r="A870" s="207">
        <v>70.0</v>
      </c>
      <c r="B870" s="6" t="str">
        <f>VLOOKUP($A870, 'Completion rates'!$A:$E, 2, FALSE)</f>
        <v>Opening medium caskets</v>
      </c>
      <c r="C870" s="207">
        <v>12199.0</v>
      </c>
      <c r="D870" s="6" t="str">
        <f>VLOOKUP($C870, 'List of log slots'!$A:$E, 2, FALSE)</f>
        <v>Ancient crozier</v>
      </c>
      <c r="E870" s="207">
        <f>VLOOKUP($C870, 'List of log slots'!$A:$E, 5, FALSE)</f>
        <v>4</v>
      </c>
      <c r="F870" s="209" t="b">
        <f>VLOOKUP(C870, 'List of log slots'!$A:$C, 3, FALSE)</f>
        <v>0</v>
      </c>
      <c r="G870" s="209" t="b">
        <f t="shared" si="560"/>
        <v>0</v>
      </c>
      <c r="H870" s="210" t="b">
        <f t="shared" si="7"/>
        <v>1</v>
      </c>
      <c r="I870" s="208" t="b">
        <f t="shared" ref="I870:J870" si="613">FALSE</f>
        <v>0</v>
      </c>
      <c r="J870" s="208" t="b">
        <f t="shared" si="613"/>
        <v>0</v>
      </c>
      <c r="K870" s="214">
        <v>283.0</v>
      </c>
      <c r="L870" s="212" t="str">
        <f t="shared" si="3"/>
        <v>n/a</v>
      </c>
      <c r="M870" s="212" t="str">
        <f t="shared" si="4"/>
        <v>n/a</v>
      </c>
      <c r="N870" s="207" t="str">
        <f t="shared" si="5"/>
        <v>n/a</v>
      </c>
      <c r="O870" s="207">
        <f t="shared" si="6"/>
        <v>0.003533568905</v>
      </c>
    </row>
    <row r="871" ht="15.75" customHeight="1">
      <c r="A871" s="207">
        <v>70.0</v>
      </c>
      <c r="B871" s="6" t="str">
        <f>VLOOKUP($A871, 'Completion rates'!$A:$E, 2, FALSE)</f>
        <v>Opening medium caskets</v>
      </c>
      <c r="C871" s="207">
        <v>12259.0</v>
      </c>
      <c r="D871" s="6" t="str">
        <f>VLOOKUP($C871, 'List of log slots'!$A:$E, 2, FALSE)</f>
        <v>Armadyl mitre</v>
      </c>
      <c r="E871" s="207">
        <f>VLOOKUP($C871, 'List of log slots'!$A:$E, 5, FALSE)</f>
        <v>4</v>
      </c>
      <c r="F871" s="210" t="b">
        <f>VLOOKUP(C871, 'List of log slots'!$A:$C, 3, FALSE)</f>
        <v>0</v>
      </c>
      <c r="G871" s="209" t="b">
        <f t="shared" si="560"/>
        <v>0</v>
      </c>
      <c r="H871" s="209" t="b">
        <f t="shared" si="7"/>
        <v>1</v>
      </c>
      <c r="I871" s="208" t="b">
        <f t="shared" ref="I871:J871" si="614">FALSE</f>
        <v>0</v>
      </c>
      <c r="J871" s="208" t="b">
        <f t="shared" si="614"/>
        <v>0</v>
      </c>
      <c r="K871" s="214">
        <v>283.0</v>
      </c>
      <c r="L871" s="212" t="str">
        <f t="shared" si="3"/>
        <v>n/a</v>
      </c>
      <c r="M871" s="212" t="str">
        <f t="shared" si="4"/>
        <v>n/a</v>
      </c>
      <c r="N871" s="207" t="str">
        <f t="shared" si="5"/>
        <v>n/a</v>
      </c>
      <c r="O871" s="207">
        <f t="shared" si="6"/>
        <v>0.003533568905</v>
      </c>
    </row>
    <row r="872" ht="15.75" customHeight="1">
      <c r="A872" s="207">
        <v>70.0</v>
      </c>
      <c r="B872" s="6" t="str">
        <f>VLOOKUP($A872, 'Completion rates'!$A:$E, 2, FALSE)</f>
        <v>Opening medium caskets</v>
      </c>
      <c r="C872" s="207">
        <v>12261.0</v>
      </c>
      <c r="D872" s="6" t="str">
        <f>VLOOKUP($C872, 'List of log slots'!$A:$E, 2, FALSE)</f>
        <v>Armadyl cloak</v>
      </c>
      <c r="E872" s="207">
        <f>VLOOKUP($C872, 'List of log slots'!$A:$E, 5, FALSE)</f>
        <v>4</v>
      </c>
      <c r="F872" s="209" t="b">
        <f>VLOOKUP(C872, 'List of log slots'!$A:$C, 3, FALSE)</f>
        <v>0</v>
      </c>
      <c r="G872" s="209" t="b">
        <f t="shared" si="560"/>
        <v>0</v>
      </c>
      <c r="H872" s="210" t="b">
        <f t="shared" si="7"/>
        <v>1</v>
      </c>
      <c r="I872" s="208" t="b">
        <f t="shared" ref="I872:J872" si="615">FALSE</f>
        <v>0</v>
      </c>
      <c r="J872" s="208" t="b">
        <f t="shared" si="615"/>
        <v>0</v>
      </c>
      <c r="K872" s="214">
        <v>283.0</v>
      </c>
      <c r="L872" s="212" t="str">
        <f t="shared" si="3"/>
        <v>n/a</v>
      </c>
      <c r="M872" s="212" t="str">
        <f t="shared" si="4"/>
        <v>n/a</v>
      </c>
      <c r="N872" s="207" t="str">
        <f t="shared" si="5"/>
        <v>n/a</v>
      </c>
      <c r="O872" s="207">
        <f t="shared" si="6"/>
        <v>0.003533568905</v>
      </c>
    </row>
    <row r="873" ht="15.75" customHeight="1">
      <c r="A873" s="207">
        <v>70.0</v>
      </c>
      <c r="B873" s="6" t="str">
        <f>VLOOKUP($A873, 'Completion rates'!$A:$E, 2, FALSE)</f>
        <v>Opening medium caskets</v>
      </c>
      <c r="C873" s="207">
        <v>12257.0</v>
      </c>
      <c r="D873" s="6" t="str">
        <f>VLOOKUP($C873, 'List of log slots'!$A:$E, 2, FALSE)</f>
        <v>Armadyl stole</v>
      </c>
      <c r="E873" s="207">
        <f>VLOOKUP($C873, 'List of log slots'!$A:$E, 5, FALSE)</f>
        <v>4</v>
      </c>
      <c r="F873" s="210" t="b">
        <f>VLOOKUP(C873, 'List of log slots'!$A:$C, 3, FALSE)</f>
        <v>0</v>
      </c>
      <c r="G873" s="209" t="b">
        <f t="shared" si="560"/>
        <v>0</v>
      </c>
      <c r="H873" s="209" t="b">
        <f t="shared" si="7"/>
        <v>1</v>
      </c>
      <c r="I873" s="208" t="b">
        <f t="shared" ref="I873:J873" si="616">FALSE</f>
        <v>0</v>
      </c>
      <c r="J873" s="208" t="b">
        <f t="shared" si="616"/>
        <v>0</v>
      </c>
      <c r="K873" s="214">
        <v>283.0</v>
      </c>
      <c r="L873" s="212" t="str">
        <f t="shared" si="3"/>
        <v>n/a</v>
      </c>
      <c r="M873" s="212" t="str">
        <f t="shared" si="4"/>
        <v>n/a</v>
      </c>
      <c r="N873" s="207" t="str">
        <f t="shared" si="5"/>
        <v>n/a</v>
      </c>
      <c r="O873" s="207">
        <f t="shared" si="6"/>
        <v>0.003533568905</v>
      </c>
    </row>
    <row r="874" ht="15.75" customHeight="1">
      <c r="A874" s="207">
        <v>70.0</v>
      </c>
      <c r="B874" s="6" t="str">
        <f>VLOOKUP($A874, 'Completion rates'!$A:$E, 2, FALSE)</f>
        <v>Opening medium caskets</v>
      </c>
      <c r="C874" s="207">
        <v>12263.0</v>
      </c>
      <c r="D874" s="6" t="str">
        <f>VLOOKUP($C874, 'List of log slots'!$A:$E, 2, FALSE)</f>
        <v>Armadyl crozier</v>
      </c>
      <c r="E874" s="207">
        <f>VLOOKUP($C874, 'List of log slots'!$A:$E, 5, FALSE)</f>
        <v>4</v>
      </c>
      <c r="F874" s="209" t="b">
        <f>VLOOKUP(C874, 'List of log slots'!$A:$C, 3, FALSE)</f>
        <v>0</v>
      </c>
      <c r="G874" s="209" t="b">
        <f t="shared" si="560"/>
        <v>0</v>
      </c>
      <c r="H874" s="210" t="b">
        <f t="shared" si="7"/>
        <v>1</v>
      </c>
      <c r="I874" s="208" t="b">
        <f t="shared" ref="I874:J874" si="617">FALSE</f>
        <v>0</v>
      </c>
      <c r="J874" s="208" t="b">
        <f t="shared" si="617"/>
        <v>0</v>
      </c>
      <c r="K874" s="214">
        <v>283.0</v>
      </c>
      <c r="L874" s="212" t="str">
        <f t="shared" si="3"/>
        <v>n/a</v>
      </c>
      <c r="M874" s="212" t="str">
        <f t="shared" si="4"/>
        <v>n/a</v>
      </c>
      <c r="N874" s="207" t="str">
        <f t="shared" si="5"/>
        <v>n/a</v>
      </c>
      <c r="O874" s="207">
        <f t="shared" si="6"/>
        <v>0.003533568905</v>
      </c>
    </row>
    <row r="875" ht="15.75" customHeight="1">
      <c r="A875" s="207">
        <v>70.0</v>
      </c>
      <c r="B875" s="6" t="str">
        <f>VLOOKUP($A875, 'Completion rates'!$A:$E, 2, FALSE)</f>
        <v>Opening medium caskets</v>
      </c>
      <c r="C875" s="207">
        <v>12271.0</v>
      </c>
      <c r="D875" s="6" t="str">
        <f>VLOOKUP($C875, 'List of log slots'!$A:$E, 2, FALSE)</f>
        <v>Bandos mitre</v>
      </c>
      <c r="E875" s="207">
        <f>VLOOKUP($C875, 'List of log slots'!$A:$E, 5, FALSE)</f>
        <v>4</v>
      </c>
      <c r="F875" s="209" t="b">
        <f>VLOOKUP(C875, 'List of log slots'!$A:$C, 3, FALSE)</f>
        <v>0</v>
      </c>
      <c r="G875" s="209" t="b">
        <f t="shared" si="560"/>
        <v>0</v>
      </c>
      <c r="H875" s="210" t="b">
        <f t="shared" si="7"/>
        <v>1</v>
      </c>
      <c r="I875" s="208" t="b">
        <f t="shared" ref="I875:J875" si="618">FALSE</f>
        <v>0</v>
      </c>
      <c r="J875" s="208" t="b">
        <f t="shared" si="618"/>
        <v>0</v>
      </c>
      <c r="K875" s="214">
        <v>283.0</v>
      </c>
      <c r="L875" s="212" t="str">
        <f t="shared" si="3"/>
        <v>n/a</v>
      </c>
      <c r="M875" s="212" t="str">
        <f t="shared" si="4"/>
        <v>n/a</v>
      </c>
      <c r="N875" s="207" t="str">
        <f t="shared" si="5"/>
        <v>n/a</v>
      </c>
      <c r="O875" s="207">
        <f t="shared" si="6"/>
        <v>0.003533568905</v>
      </c>
    </row>
    <row r="876" ht="15.75" customHeight="1">
      <c r="A876" s="207">
        <v>70.0</v>
      </c>
      <c r="B876" s="6" t="str">
        <f>VLOOKUP($A876, 'Completion rates'!$A:$E, 2, FALSE)</f>
        <v>Opening medium caskets</v>
      </c>
      <c r="C876" s="207">
        <v>12273.0</v>
      </c>
      <c r="D876" s="6" t="str">
        <f>VLOOKUP($C876, 'List of log slots'!$A:$E, 2, FALSE)</f>
        <v>Bandos cloak</v>
      </c>
      <c r="E876" s="207">
        <f>VLOOKUP($C876, 'List of log slots'!$A:$E, 5, FALSE)</f>
        <v>4</v>
      </c>
      <c r="F876" s="209" t="b">
        <f>VLOOKUP(C876, 'List of log slots'!$A:$C, 3, FALSE)</f>
        <v>0</v>
      </c>
      <c r="G876" s="209" t="b">
        <f t="shared" si="560"/>
        <v>0</v>
      </c>
      <c r="H876" s="210" t="b">
        <f t="shared" si="7"/>
        <v>1</v>
      </c>
      <c r="I876" s="208" t="b">
        <f t="shared" ref="I876:J876" si="619">FALSE</f>
        <v>0</v>
      </c>
      <c r="J876" s="208" t="b">
        <f t="shared" si="619"/>
        <v>0</v>
      </c>
      <c r="K876" s="214">
        <v>283.0</v>
      </c>
      <c r="L876" s="212" t="str">
        <f t="shared" si="3"/>
        <v>n/a</v>
      </c>
      <c r="M876" s="212" t="str">
        <f t="shared" si="4"/>
        <v>n/a</v>
      </c>
      <c r="N876" s="207" t="str">
        <f t="shared" si="5"/>
        <v>n/a</v>
      </c>
      <c r="O876" s="207">
        <f t="shared" si="6"/>
        <v>0.003533568905</v>
      </c>
    </row>
    <row r="877" ht="15.75" customHeight="1">
      <c r="A877" s="207">
        <v>70.0</v>
      </c>
      <c r="B877" s="6" t="str">
        <f>VLOOKUP($A877, 'Completion rates'!$A:$E, 2, FALSE)</f>
        <v>Opening medium caskets</v>
      </c>
      <c r="C877" s="207">
        <v>12269.0</v>
      </c>
      <c r="D877" s="6" t="str">
        <f>VLOOKUP($C877, 'List of log slots'!$A:$E, 2, FALSE)</f>
        <v>Bandos stole</v>
      </c>
      <c r="E877" s="207">
        <f>VLOOKUP($C877, 'List of log slots'!$A:$E, 5, FALSE)</f>
        <v>4</v>
      </c>
      <c r="F877" s="209" t="b">
        <f>VLOOKUP(C877, 'List of log slots'!$A:$C, 3, FALSE)</f>
        <v>0</v>
      </c>
      <c r="G877" s="209" t="b">
        <f t="shared" si="560"/>
        <v>0</v>
      </c>
      <c r="H877" s="210" t="b">
        <f t="shared" si="7"/>
        <v>1</v>
      </c>
      <c r="I877" s="208" t="b">
        <f t="shared" ref="I877:J877" si="620">FALSE</f>
        <v>0</v>
      </c>
      <c r="J877" s="208" t="b">
        <f t="shared" si="620"/>
        <v>0</v>
      </c>
      <c r="K877" s="214">
        <v>283.0</v>
      </c>
      <c r="L877" s="212" t="str">
        <f t="shared" si="3"/>
        <v>n/a</v>
      </c>
      <c r="M877" s="212" t="str">
        <f t="shared" si="4"/>
        <v>n/a</v>
      </c>
      <c r="N877" s="207" t="str">
        <f t="shared" si="5"/>
        <v>n/a</v>
      </c>
      <c r="O877" s="207">
        <f t="shared" si="6"/>
        <v>0.003533568905</v>
      </c>
    </row>
    <row r="878" ht="15.75" customHeight="1">
      <c r="A878" s="207">
        <v>70.0</v>
      </c>
      <c r="B878" s="6" t="str">
        <f>VLOOKUP($A878, 'Completion rates'!$A:$E, 2, FALSE)</f>
        <v>Opening medium caskets</v>
      </c>
      <c r="C878" s="207">
        <v>12275.0</v>
      </c>
      <c r="D878" s="6" t="str">
        <f>VLOOKUP($C878, 'List of log slots'!$A:$E, 2, FALSE)</f>
        <v>Bandos crozier</v>
      </c>
      <c r="E878" s="207">
        <f>VLOOKUP($C878, 'List of log slots'!$A:$E, 5, FALSE)</f>
        <v>4</v>
      </c>
      <c r="F878" s="209" t="b">
        <f>VLOOKUP(C878, 'List of log slots'!$A:$C, 3, FALSE)</f>
        <v>0</v>
      </c>
      <c r="G878" s="209" t="b">
        <f t="shared" si="560"/>
        <v>0</v>
      </c>
      <c r="H878" s="210" t="b">
        <f t="shared" si="7"/>
        <v>1</v>
      </c>
      <c r="I878" s="208" t="b">
        <f t="shared" ref="I878:J878" si="621">FALSE</f>
        <v>0</v>
      </c>
      <c r="J878" s="208" t="b">
        <f t="shared" si="621"/>
        <v>0</v>
      </c>
      <c r="K878" s="214">
        <v>283.0</v>
      </c>
      <c r="L878" s="212" t="str">
        <f t="shared" si="3"/>
        <v>n/a</v>
      </c>
      <c r="M878" s="212" t="str">
        <f t="shared" si="4"/>
        <v>n/a</v>
      </c>
      <c r="N878" s="207" t="str">
        <f t="shared" si="5"/>
        <v>n/a</v>
      </c>
      <c r="O878" s="207">
        <f t="shared" si="6"/>
        <v>0.003533568905</v>
      </c>
    </row>
    <row r="879" ht="15.75" customHeight="1">
      <c r="A879" s="207">
        <v>70.0</v>
      </c>
      <c r="B879" s="6" t="str">
        <f>VLOOKUP($A879, 'Completion rates'!$A:$E, 2, FALSE)</f>
        <v>Opening medium caskets</v>
      </c>
      <c r="C879" s="207">
        <v>7319.0</v>
      </c>
      <c r="D879" s="6" t="str">
        <f>VLOOKUP($C879, 'List of log slots'!$A:$E, 2, FALSE)</f>
        <v>Red boater</v>
      </c>
      <c r="E879" s="207">
        <f>VLOOKUP($C879, 'List of log slots'!$A:$E, 5, FALSE)</f>
        <v>4</v>
      </c>
      <c r="F879" s="209" t="b">
        <f>VLOOKUP(C879, 'List of log slots'!$A:$C, 3, FALSE)</f>
        <v>0</v>
      </c>
      <c r="G879" s="209" t="b">
        <f t="shared" si="560"/>
        <v>0</v>
      </c>
      <c r="H879" s="210" t="b">
        <f t="shared" si="7"/>
        <v>1</v>
      </c>
      <c r="I879" s="208" t="b">
        <f t="shared" ref="I879:J879" si="622">FALSE</f>
        <v>0</v>
      </c>
      <c r="J879" s="208" t="b">
        <f t="shared" si="622"/>
        <v>0</v>
      </c>
      <c r="K879" s="214">
        <v>283.0</v>
      </c>
      <c r="L879" s="212" t="str">
        <f t="shared" si="3"/>
        <v>n/a</v>
      </c>
      <c r="M879" s="212" t="str">
        <f t="shared" si="4"/>
        <v>n/a</v>
      </c>
      <c r="N879" s="207" t="str">
        <f t="shared" si="5"/>
        <v>n/a</v>
      </c>
      <c r="O879" s="207">
        <f t="shared" si="6"/>
        <v>0.003533568905</v>
      </c>
    </row>
    <row r="880" ht="15.75" customHeight="1">
      <c r="A880" s="207">
        <v>70.0</v>
      </c>
      <c r="B880" s="6" t="str">
        <f>VLOOKUP($A880, 'Completion rates'!$A:$E, 2, FALSE)</f>
        <v>Opening medium caskets</v>
      </c>
      <c r="C880" s="207">
        <v>7323.0</v>
      </c>
      <c r="D880" s="6" t="str">
        <f>VLOOKUP($C880, 'List of log slots'!$A:$E, 2, FALSE)</f>
        <v>Green boater</v>
      </c>
      <c r="E880" s="207">
        <f>VLOOKUP($C880, 'List of log slots'!$A:$E, 5, FALSE)</f>
        <v>4</v>
      </c>
      <c r="F880" s="209" t="b">
        <f>VLOOKUP(C880, 'List of log slots'!$A:$C, 3, FALSE)</f>
        <v>0</v>
      </c>
      <c r="G880" s="209" t="b">
        <f t="shared" si="560"/>
        <v>0</v>
      </c>
      <c r="H880" s="210" t="b">
        <f t="shared" si="7"/>
        <v>1</v>
      </c>
      <c r="I880" s="208" t="b">
        <f t="shared" ref="I880:J880" si="623">FALSE</f>
        <v>0</v>
      </c>
      <c r="J880" s="208" t="b">
        <f t="shared" si="623"/>
        <v>0</v>
      </c>
      <c r="K880" s="214">
        <v>283.0</v>
      </c>
      <c r="L880" s="212" t="str">
        <f t="shared" si="3"/>
        <v>n/a</v>
      </c>
      <c r="M880" s="212" t="str">
        <f t="shared" si="4"/>
        <v>n/a</v>
      </c>
      <c r="N880" s="207" t="str">
        <f t="shared" si="5"/>
        <v>n/a</v>
      </c>
      <c r="O880" s="207">
        <f t="shared" si="6"/>
        <v>0.003533568905</v>
      </c>
    </row>
    <row r="881" ht="15.75" customHeight="1">
      <c r="A881" s="207">
        <v>70.0</v>
      </c>
      <c r="B881" s="6" t="str">
        <f>VLOOKUP($A881, 'Completion rates'!$A:$E, 2, FALSE)</f>
        <v>Opening medium caskets</v>
      </c>
      <c r="C881" s="207">
        <v>7321.0</v>
      </c>
      <c r="D881" s="6" t="str">
        <f>VLOOKUP($C881, 'List of log slots'!$A:$E, 2, FALSE)</f>
        <v>Orange boater</v>
      </c>
      <c r="E881" s="207">
        <f>VLOOKUP($C881, 'List of log slots'!$A:$E, 5, FALSE)</f>
        <v>4</v>
      </c>
      <c r="F881" s="209" t="b">
        <f>VLOOKUP(C881, 'List of log slots'!$A:$C, 3, FALSE)</f>
        <v>0</v>
      </c>
      <c r="G881" s="209" t="b">
        <f t="shared" si="560"/>
        <v>0</v>
      </c>
      <c r="H881" s="210" t="b">
        <f t="shared" si="7"/>
        <v>1</v>
      </c>
      <c r="I881" s="208" t="b">
        <f t="shared" ref="I881:J881" si="624">FALSE</f>
        <v>0</v>
      </c>
      <c r="J881" s="208" t="b">
        <f t="shared" si="624"/>
        <v>0</v>
      </c>
      <c r="K881" s="214">
        <v>283.0</v>
      </c>
      <c r="L881" s="212" t="str">
        <f t="shared" si="3"/>
        <v>n/a</v>
      </c>
      <c r="M881" s="212" t="str">
        <f t="shared" si="4"/>
        <v>n/a</v>
      </c>
      <c r="N881" s="207" t="str">
        <f t="shared" si="5"/>
        <v>n/a</v>
      </c>
      <c r="O881" s="207">
        <f t="shared" si="6"/>
        <v>0.003533568905</v>
      </c>
    </row>
    <row r="882" ht="15.75" customHeight="1">
      <c r="A882" s="207">
        <v>70.0</v>
      </c>
      <c r="B882" s="6" t="str">
        <f>VLOOKUP($A882, 'Completion rates'!$A:$E, 2, FALSE)</f>
        <v>Opening medium caskets</v>
      </c>
      <c r="C882" s="207">
        <v>7327.0</v>
      </c>
      <c r="D882" s="6" t="str">
        <f>VLOOKUP($C882, 'List of log slots'!$A:$E, 2, FALSE)</f>
        <v>Black boater</v>
      </c>
      <c r="E882" s="207">
        <f>VLOOKUP($C882, 'List of log slots'!$A:$E, 5, FALSE)</f>
        <v>4</v>
      </c>
      <c r="F882" s="209" t="b">
        <f>VLOOKUP(C882, 'List of log slots'!$A:$C, 3, FALSE)</f>
        <v>0</v>
      </c>
      <c r="G882" s="209" t="b">
        <f t="shared" si="560"/>
        <v>0</v>
      </c>
      <c r="H882" s="210" t="b">
        <f t="shared" si="7"/>
        <v>1</v>
      </c>
      <c r="I882" s="208" t="b">
        <f t="shared" ref="I882:J882" si="625">FALSE</f>
        <v>0</v>
      </c>
      <c r="J882" s="208" t="b">
        <f t="shared" si="625"/>
        <v>0</v>
      </c>
      <c r="K882" s="214">
        <v>283.0</v>
      </c>
      <c r="L882" s="212" t="str">
        <f t="shared" si="3"/>
        <v>n/a</v>
      </c>
      <c r="M882" s="212" t="str">
        <f t="shared" si="4"/>
        <v>n/a</v>
      </c>
      <c r="N882" s="207" t="str">
        <f t="shared" si="5"/>
        <v>n/a</v>
      </c>
      <c r="O882" s="207">
        <f t="shared" si="6"/>
        <v>0.003533568905</v>
      </c>
    </row>
    <row r="883" ht="15.75" customHeight="1">
      <c r="A883" s="207">
        <v>70.0</v>
      </c>
      <c r="B883" s="6" t="str">
        <f>VLOOKUP($A883, 'Completion rates'!$A:$E, 2, FALSE)</f>
        <v>Opening medium caskets</v>
      </c>
      <c r="C883" s="207">
        <v>7325.0</v>
      </c>
      <c r="D883" s="6" t="str">
        <f>VLOOKUP($C883, 'List of log slots'!$A:$E, 2, FALSE)</f>
        <v>Blue boater</v>
      </c>
      <c r="E883" s="207">
        <f>VLOOKUP($C883, 'List of log slots'!$A:$E, 5, FALSE)</f>
        <v>4</v>
      </c>
      <c r="F883" s="210" t="b">
        <f>VLOOKUP(C883, 'List of log slots'!$A:$C, 3, FALSE)</f>
        <v>0</v>
      </c>
      <c r="G883" s="209" t="b">
        <f t="shared" si="560"/>
        <v>0</v>
      </c>
      <c r="H883" s="209" t="b">
        <f t="shared" si="7"/>
        <v>1</v>
      </c>
      <c r="I883" s="208" t="b">
        <f t="shared" ref="I883:J883" si="626">FALSE</f>
        <v>0</v>
      </c>
      <c r="J883" s="208" t="b">
        <f t="shared" si="626"/>
        <v>0</v>
      </c>
      <c r="K883" s="214">
        <v>283.0</v>
      </c>
      <c r="L883" s="212" t="str">
        <f t="shared" si="3"/>
        <v>n/a</v>
      </c>
      <c r="M883" s="212" t="str">
        <f t="shared" si="4"/>
        <v>n/a</v>
      </c>
      <c r="N883" s="207" t="str">
        <f t="shared" si="5"/>
        <v>n/a</v>
      </c>
      <c r="O883" s="207">
        <f t="shared" si="6"/>
        <v>0.003533568905</v>
      </c>
    </row>
    <row r="884" ht="15.75" customHeight="1">
      <c r="A884" s="207">
        <v>70.0</v>
      </c>
      <c r="B884" s="6" t="str">
        <f>VLOOKUP($A884, 'Completion rates'!$A:$E, 2, FALSE)</f>
        <v>Opening medium caskets</v>
      </c>
      <c r="C884" s="207">
        <v>12309.0</v>
      </c>
      <c r="D884" s="6" t="str">
        <f>VLOOKUP($C884, 'List of log slots'!$A:$E, 2, FALSE)</f>
        <v>Pink boater</v>
      </c>
      <c r="E884" s="207">
        <f>VLOOKUP($C884, 'List of log slots'!$A:$E, 5, FALSE)</f>
        <v>4</v>
      </c>
      <c r="F884" s="209" t="b">
        <f>VLOOKUP(C884, 'List of log slots'!$A:$C, 3, FALSE)</f>
        <v>0</v>
      </c>
      <c r="G884" s="209" t="b">
        <f t="shared" si="560"/>
        <v>0</v>
      </c>
      <c r="H884" s="210" t="b">
        <f t="shared" si="7"/>
        <v>1</v>
      </c>
      <c r="I884" s="208" t="b">
        <f t="shared" ref="I884:J884" si="627">FALSE</f>
        <v>0</v>
      </c>
      <c r="J884" s="208" t="b">
        <f t="shared" si="627"/>
        <v>0</v>
      </c>
      <c r="K884" s="214">
        <v>283.0</v>
      </c>
      <c r="L884" s="212" t="str">
        <f t="shared" si="3"/>
        <v>n/a</v>
      </c>
      <c r="M884" s="212" t="str">
        <f t="shared" si="4"/>
        <v>n/a</v>
      </c>
      <c r="N884" s="207" t="str">
        <f t="shared" si="5"/>
        <v>n/a</v>
      </c>
      <c r="O884" s="207">
        <f t="shared" si="6"/>
        <v>0.003533568905</v>
      </c>
    </row>
    <row r="885" ht="15.75" customHeight="1">
      <c r="A885" s="207">
        <v>70.0</v>
      </c>
      <c r="B885" s="6" t="str">
        <f>VLOOKUP($A885, 'Completion rates'!$A:$E, 2, FALSE)</f>
        <v>Opening medium caskets</v>
      </c>
      <c r="C885" s="207">
        <v>12311.0</v>
      </c>
      <c r="D885" s="6" t="str">
        <f>VLOOKUP($C885, 'List of log slots'!$A:$E, 2, FALSE)</f>
        <v>Purple boater</v>
      </c>
      <c r="E885" s="207">
        <f>VLOOKUP($C885, 'List of log slots'!$A:$E, 5, FALSE)</f>
        <v>4</v>
      </c>
      <c r="F885" s="208" t="b">
        <f>VLOOKUP(C885, 'List of log slots'!$A:$C, 3, FALSE)</f>
        <v>0</v>
      </c>
      <c r="G885" s="209" t="b">
        <f t="shared" si="560"/>
        <v>0</v>
      </c>
      <c r="H885" s="210" t="b">
        <f t="shared" si="7"/>
        <v>1</v>
      </c>
      <c r="I885" s="208" t="b">
        <f t="shared" ref="I885:J885" si="628">FALSE</f>
        <v>0</v>
      </c>
      <c r="J885" s="208" t="b">
        <f t="shared" si="628"/>
        <v>0</v>
      </c>
      <c r="K885" s="214">
        <v>283.0</v>
      </c>
      <c r="L885" s="212" t="str">
        <f t="shared" si="3"/>
        <v>n/a</v>
      </c>
      <c r="M885" s="212" t="str">
        <f t="shared" si="4"/>
        <v>n/a</v>
      </c>
      <c r="N885" s="207" t="str">
        <f t="shared" si="5"/>
        <v>n/a</v>
      </c>
      <c r="O885" s="207">
        <f t="shared" si="6"/>
        <v>0.003533568905</v>
      </c>
    </row>
    <row r="886" ht="15.75" customHeight="1">
      <c r="A886" s="207">
        <v>70.0</v>
      </c>
      <c r="B886" s="6" t="str">
        <f>VLOOKUP($A886, 'Completion rates'!$A:$E, 2, FALSE)</f>
        <v>Opening medium caskets</v>
      </c>
      <c r="C886" s="207">
        <v>12313.0</v>
      </c>
      <c r="D886" s="6" t="str">
        <f>VLOOKUP($C886, 'List of log slots'!$A:$E, 2, FALSE)</f>
        <v>White boater</v>
      </c>
      <c r="E886" s="207">
        <f>VLOOKUP($C886, 'List of log slots'!$A:$E, 5, FALSE)</f>
        <v>4</v>
      </c>
      <c r="F886" s="209" t="b">
        <f>VLOOKUP(C886, 'List of log slots'!$A:$C, 3, FALSE)</f>
        <v>0</v>
      </c>
      <c r="G886" s="209" t="b">
        <f t="shared" si="560"/>
        <v>0</v>
      </c>
      <c r="H886" s="210" t="b">
        <f t="shared" si="7"/>
        <v>1</v>
      </c>
      <c r="I886" s="208" t="b">
        <f t="shared" ref="I886:J886" si="629">FALSE</f>
        <v>0</v>
      </c>
      <c r="J886" s="208" t="b">
        <f t="shared" si="629"/>
        <v>0</v>
      </c>
      <c r="K886" s="214">
        <v>283.0</v>
      </c>
      <c r="L886" s="212" t="str">
        <f t="shared" si="3"/>
        <v>n/a</v>
      </c>
      <c r="M886" s="212" t="str">
        <f t="shared" si="4"/>
        <v>n/a</v>
      </c>
      <c r="N886" s="207" t="str">
        <f t="shared" si="5"/>
        <v>n/a</v>
      </c>
      <c r="O886" s="207">
        <f t="shared" si="6"/>
        <v>0.003533568905</v>
      </c>
    </row>
    <row r="887" ht="15.75" customHeight="1">
      <c r="A887" s="207">
        <v>70.0</v>
      </c>
      <c r="B887" s="6" t="str">
        <f>VLOOKUP($A887, 'Completion rates'!$A:$E, 2, FALSE)</f>
        <v>Opening medium caskets</v>
      </c>
      <c r="C887" s="207">
        <v>2645.0</v>
      </c>
      <c r="D887" s="6" t="str">
        <f>VLOOKUP($C887, 'List of log slots'!$A:$E, 2, FALSE)</f>
        <v>Red headband</v>
      </c>
      <c r="E887" s="207">
        <f>VLOOKUP($C887, 'List of log slots'!$A:$E, 5, FALSE)</f>
        <v>4</v>
      </c>
      <c r="F887" s="210" t="b">
        <f>VLOOKUP(C887, 'List of log slots'!$A:$C, 3, FALSE)</f>
        <v>0</v>
      </c>
      <c r="G887" s="209" t="b">
        <f t="shared" si="560"/>
        <v>0</v>
      </c>
      <c r="H887" s="209" t="b">
        <f t="shared" si="7"/>
        <v>1</v>
      </c>
      <c r="I887" s="208" t="b">
        <f t="shared" ref="I887:J887" si="630">FALSE</f>
        <v>0</v>
      </c>
      <c r="J887" s="208" t="b">
        <f t="shared" si="630"/>
        <v>0</v>
      </c>
      <c r="K887" s="214">
        <v>283.0</v>
      </c>
      <c r="L887" s="212" t="str">
        <f t="shared" si="3"/>
        <v>n/a</v>
      </c>
      <c r="M887" s="212" t="str">
        <f t="shared" si="4"/>
        <v>n/a</v>
      </c>
      <c r="N887" s="207" t="str">
        <f t="shared" si="5"/>
        <v>n/a</v>
      </c>
      <c r="O887" s="207">
        <f t="shared" si="6"/>
        <v>0.003533568905</v>
      </c>
    </row>
    <row r="888" ht="15.75" customHeight="1">
      <c r="A888" s="207">
        <v>70.0</v>
      </c>
      <c r="B888" s="6" t="str">
        <f>VLOOKUP($A888, 'Completion rates'!$A:$E, 2, FALSE)</f>
        <v>Opening medium caskets</v>
      </c>
      <c r="C888" s="207">
        <v>2647.0</v>
      </c>
      <c r="D888" s="6" t="str">
        <f>VLOOKUP($C888, 'List of log slots'!$A:$E, 2, FALSE)</f>
        <v>Black headband</v>
      </c>
      <c r="E888" s="207">
        <f>VLOOKUP($C888, 'List of log slots'!$A:$E, 5, FALSE)</f>
        <v>4</v>
      </c>
      <c r="F888" s="209" t="b">
        <f>VLOOKUP(C888, 'List of log slots'!$A:$C, 3, FALSE)</f>
        <v>0</v>
      </c>
      <c r="G888" s="209" t="b">
        <f t="shared" si="560"/>
        <v>0</v>
      </c>
      <c r="H888" s="210" t="b">
        <f t="shared" si="7"/>
        <v>1</v>
      </c>
      <c r="I888" s="208" t="b">
        <f t="shared" ref="I888:J888" si="631">FALSE</f>
        <v>0</v>
      </c>
      <c r="J888" s="208" t="b">
        <f t="shared" si="631"/>
        <v>0</v>
      </c>
      <c r="K888" s="214">
        <v>283.0</v>
      </c>
      <c r="L888" s="212" t="str">
        <f t="shared" si="3"/>
        <v>n/a</v>
      </c>
      <c r="M888" s="212" t="str">
        <f t="shared" si="4"/>
        <v>n/a</v>
      </c>
      <c r="N888" s="207" t="str">
        <f t="shared" si="5"/>
        <v>n/a</v>
      </c>
      <c r="O888" s="207">
        <f t="shared" si="6"/>
        <v>0.003533568905</v>
      </c>
    </row>
    <row r="889" ht="15.75" customHeight="1">
      <c r="A889" s="207">
        <v>70.0</v>
      </c>
      <c r="B889" s="6" t="str">
        <f>VLOOKUP($A889, 'Completion rates'!$A:$E, 2, FALSE)</f>
        <v>Opening medium caskets</v>
      </c>
      <c r="C889" s="207">
        <v>2649.0</v>
      </c>
      <c r="D889" s="6" t="str">
        <f>VLOOKUP($C889, 'List of log slots'!$A:$E, 2, FALSE)</f>
        <v>Brown headband</v>
      </c>
      <c r="E889" s="207">
        <f>VLOOKUP($C889, 'List of log slots'!$A:$E, 5, FALSE)</f>
        <v>4</v>
      </c>
      <c r="F889" s="209" t="b">
        <f>VLOOKUP(C889, 'List of log slots'!$A:$C, 3, FALSE)</f>
        <v>0</v>
      </c>
      <c r="G889" s="209" t="b">
        <f t="shared" si="560"/>
        <v>0</v>
      </c>
      <c r="H889" s="210" t="b">
        <f t="shared" si="7"/>
        <v>1</v>
      </c>
      <c r="I889" s="208" t="b">
        <f t="shared" ref="I889:J889" si="632">FALSE</f>
        <v>0</v>
      </c>
      <c r="J889" s="208" t="b">
        <f t="shared" si="632"/>
        <v>0</v>
      </c>
      <c r="K889" s="214">
        <v>283.0</v>
      </c>
      <c r="L889" s="212" t="str">
        <f t="shared" si="3"/>
        <v>n/a</v>
      </c>
      <c r="M889" s="212" t="str">
        <f t="shared" si="4"/>
        <v>n/a</v>
      </c>
      <c r="N889" s="207" t="str">
        <f t="shared" si="5"/>
        <v>n/a</v>
      </c>
      <c r="O889" s="207">
        <f t="shared" si="6"/>
        <v>0.003533568905</v>
      </c>
    </row>
    <row r="890" ht="15.75" customHeight="1">
      <c r="A890" s="207">
        <v>70.0</v>
      </c>
      <c r="B890" s="6" t="str">
        <f>VLOOKUP($A890, 'Completion rates'!$A:$E, 2, FALSE)</f>
        <v>Opening medium caskets</v>
      </c>
      <c r="C890" s="207">
        <v>12299.0</v>
      </c>
      <c r="D890" s="6" t="str">
        <f>VLOOKUP($C890, 'List of log slots'!$A:$E, 2, FALSE)</f>
        <v>White headband</v>
      </c>
      <c r="E890" s="207">
        <f>VLOOKUP($C890, 'List of log slots'!$A:$E, 5, FALSE)</f>
        <v>4</v>
      </c>
      <c r="F890" s="209" t="b">
        <f>VLOOKUP(C890, 'List of log slots'!$A:$C, 3, FALSE)</f>
        <v>0</v>
      </c>
      <c r="G890" s="209" t="b">
        <f t="shared" si="560"/>
        <v>0</v>
      </c>
      <c r="H890" s="210" t="b">
        <f t="shared" si="7"/>
        <v>1</v>
      </c>
      <c r="I890" s="208" t="b">
        <f t="shared" ref="I890:J890" si="633">FALSE</f>
        <v>0</v>
      </c>
      <c r="J890" s="208" t="b">
        <f t="shared" si="633"/>
        <v>0</v>
      </c>
      <c r="K890" s="214">
        <v>283.0</v>
      </c>
      <c r="L890" s="212" t="str">
        <f t="shared" si="3"/>
        <v>n/a</v>
      </c>
      <c r="M890" s="212" t="str">
        <f t="shared" si="4"/>
        <v>n/a</v>
      </c>
      <c r="N890" s="207" t="str">
        <f t="shared" si="5"/>
        <v>n/a</v>
      </c>
      <c r="O890" s="207">
        <f t="shared" si="6"/>
        <v>0.003533568905</v>
      </c>
    </row>
    <row r="891" ht="15.75" customHeight="1">
      <c r="A891" s="207">
        <v>70.0</v>
      </c>
      <c r="B891" s="6" t="str">
        <f>VLOOKUP($A891, 'Completion rates'!$A:$E, 2, FALSE)</f>
        <v>Opening medium caskets</v>
      </c>
      <c r="C891" s="207">
        <v>12301.0</v>
      </c>
      <c r="D891" s="6" t="str">
        <f>VLOOKUP($C891, 'List of log slots'!$A:$E, 2, FALSE)</f>
        <v>Blue headband</v>
      </c>
      <c r="E891" s="207">
        <f>VLOOKUP($C891, 'List of log slots'!$A:$E, 5, FALSE)</f>
        <v>4</v>
      </c>
      <c r="F891" s="209" t="b">
        <f>VLOOKUP(C891, 'List of log slots'!$A:$C, 3, FALSE)</f>
        <v>0</v>
      </c>
      <c r="G891" s="209" t="b">
        <f t="shared" si="560"/>
        <v>0</v>
      </c>
      <c r="H891" s="210" t="b">
        <f t="shared" si="7"/>
        <v>1</v>
      </c>
      <c r="I891" s="208" t="b">
        <f t="shared" ref="I891:J891" si="634">FALSE</f>
        <v>0</v>
      </c>
      <c r="J891" s="208" t="b">
        <f t="shared" si="634"/>
        <v>0</v>
      </c>
      <c r="K891" s="214">
        <v>283.0</v>
      </c>
      <c r="L891" s="212" t="str">
        <f t="shared" si="3"/>
        <v>n/a</v>
      </c>
      <c r="M891" s="212" t="str">
        <f t="shared" si="4"/>
        <v>n/a</v>
      </c>
      <c r="N891" s="207" t="str">
        <f t="shared" si="5"/>
        <v>n/a</v>
      </c>
      <c r="O891" s="207">
        <f t="shared" si="6"/>
        <v>0.003533568905</v>
      </c>
    </row>
    <row r="892" ht="15.75" customHeight="1">
      <c r="A892" s="207">
        <v>70.0</v>
      </c>
      <c r="B892" s="6" t="str">
        <f>VLOOKUP($A892, 'Completion rates'!$A:$E, 2, FALSE)</f>
        <v>Opening medium caskets</v>
      </c>
      <c r="C892" s="207">
        <v>12303.0</v>
      </c>
      <c r="D892" s="6" t="str">
        <f>VLOOKUP($C892, 'List of log slots'!$A:$E, 2, FALSE)</f>
        <v>Gold headband</v>
      </c>
      <c r="E892" s="207">
        <f>VLOOKUP($C892, 'List of log slots'!$A:$E, 5, FALSE)</f>
        <v>4</v>
      </c>
      <c r="F892" s="210" t="b">
        <f>VLOOKUP(C892, 'List of log slots'!$A:$C, 3, FALSE)</f>
        <v>0</v>
      </c>
      <c r="G892" s="209" t="b">
        <f t="shared" si="560"/>
        <v>0</v>
      </c>
      <c r="H892" s="209" t="b">
        <f t="shared" si="7"/>
        <v>1</v>
      </c>
      <c r="I892" s="208" t="b">
        <f t="shared" ref="I892:J892" si="635">FALSE</f>
        <v>0</v>
      </c>
      <c r="J892" s="208" t="b">
        <f t="shared" si="635"/>
        <v>0</v>
      </c>
      <c r="K892" s="214">
        <v>283.0</v>
      </c>
      <c r="L892" s="212" t="str">
        <f t="shared" si="3"/>
        <v>n/a</v>
      </c>
      <c r="M892" s="212" t="str">
        <f t="shared" si="4"/>
        <v>n/a</v>
      </c>
      <c r="N892" s="207" t="str">
        <f t="shared" si="5"/>
        <v>n/a</v>
      </c>
      <c r="O892" s="207">
        <f t="shared" si="6"/>
        <v>0.003533568905</v>
      </c>
    </row>
    <row r="893" ht="15.75" customHeight="1">
      <c r="A893" s="207">
        <v>70.0</v>
      </c>
      <c r="B893" s="6" t="str">
        <f>VLOOKUP($A893, 'Completion rates'!$A:$E, 2, FALSE)</f>
        <v>Opening medium caskets</v>
      </c>
      <c r="C893" s="207">
        <v>12305.0</v>
      </c>
      <c r="D893" s="6" t="str">
        <f>VLOOKUP($C893, 'List of log slots'!$A:$E, 2, FALSE)</f>
        <v>Pink headband</v>
      </c>
      <c r="E893" s="207">
        <f>VLOOKUP($C893, 'List of log slots'!$A:$E, 5, FALSE)</f>
        <v>4</v>
      </c>
      <c r="F893" s="210" t="b">
        <f>VLOOKUP(C893, 'List of log slots'!$A:$C, 3, FALSE)</f>
        <v>0</v>
      </c>
      <c r="G893" s="209" t="b">
        <f t="shared" si="560"/>
        <v>0</v>
      </c>
      <c r="H893" s="209" t="b">
        <f t="shared" si="7"/>
        <v>1</v>
      </c>
      <c r="I893" s="208" t="b">
        <f t="shared" ref="I893:J893" si="636">FALSE</f>
        <v>0</v>
      </c>
      <c r="J893" s="208" t="b">
        <f t="shared" si="636"/>
        <v>0</v>
      </c>
      <c r="K893" s="214">
        <v>283.0</v>
      </c>
      <c r="L893" s="212" t="str">
        <f t="shared" si="3"/>
        <v>n/a</v>
      </c>
      <c r="M893" s="212" t="str">
        <f t="shared" si="4"/>
        <v>n/a</v>
      </c>
      <c r="N893" s="207" t="str">
        <f t="shared" si="5"/>
        <v>n/a</v>
      </c>
      <c r="O893" s="207">
        <f t="shared" si="6"/>
        <v>0.003533568905</v>
      </c>
    </row>
    <row r="894" ht="15.75" customHeight="1">
      <c r="A894" s="207">
        <v>70.0</v>
      </c>
      <c r="B894" s="6" t="str">
        <f>VLOOKUP($A894, 'Completion rates'!$A:$E, 2, FALSE)</f>
        <v>Opening medium caskets</v>
      </c>
      <c r="C894" s="207">
        <v>12307.0</v>
      </c>
      <c r="D894" s="6" t="str">
        <f>VLOOKUP($C894, 'List of log slots'!$A:$E, 2, FALSE)</f>
        <v>Green headband</v>
      </c>
      <c r="E894" s="207">
        <f>VLOOKUP($C894, 'List of log slots'!$A:$E, 5, FALSE)</f>
        <v>4</v>
      </c>
      <c r="F894" s="210" t="b">
        <f>VLOOKUP(C894, 'List of log slots'!$A:$C, 3, FALSE)</f>
        <v>0</v>
      </c>
      <c r="G894" s="209" t="b">
        <f t="shared" si="560"/>
        <v>0</v>
      </c>
      <c r="H894" s="209" t="b">
        <f t="shared" si="7"/>
        <v>1</v>
      </c>
      <c r="I894" s="208" t="b">
        <f t="shared" ref="I894:J894" si="637">FALSE</f>
        <v>0</v>
      </c>
      <c r="J894" s="208" t="b">
        <f t="shared" si="637"/>
        <v>0</v>
      </c>
      <c r="K894" s="214">
        <v>283.0</v>
      </c>
      <c r="L894" s="212" t="str">
        <f t="shared" si="3"/>
        <v>n/a</v>
      </c>
      <c r="M894" s="212" t="str">
        <f t="shared" si="4"/>
        <v>n/a</v>
      </c>
      <c r="N894" s="207" t="str">
        <f t="shared" si="5"/>
        <v>n/a</v>
      </c>
      <c r="O894" s="207">
        <f t="shared" si="6"/>
        <v>0.003533568905</v>
      </c>
    </row>
    <row r="895" ht="15.75" customHeight="1">
      <c r="A895" s="207">
        <v>70.0</v>
      </c>
      <c r="B895" s="6" t="str">
        <f>VLOOKUP($A895, 'Completion rates'!$A:$E, 2, FALSE)</f>
        <v>Opening medium caskets</v>
      </c>
      <c r="C895" s="207">
        <v>12319.0</v>
      </c>
      <c r="D895" s="6" t="str">
        <f>VLOOKUP($C895, 'List of log slots'!$A:$E, 2, FALSE)</f>
        <v>Crier hat</v>
      </c>
      <c r="E895" s="207">
        <f>VLOOKUP($C895, 'List of log slots'!$A:$E, 5, FALSE)</f>
        <v>4</v>
      </c>
      <c r="F895" s="209" t="b">
        <f>VLOOKUP(C895, 'List of log slots'!$A:$C, 3, FALSE)</f>
        <v>0</v>
      </c>
      <c r="G895" s="209" t="b">
        <f t="shared" si="560"/>
        <v>0</v>
      </c>
      <c r="H895" s="210" t="b">
        <f t="shared" si="7"/>
        <v>1</v>
      </c>
      <c r="I895" s="208" t="b">
        <f t="shared" ref="I895:J895" si="638">FALSE</f>
        <v>0</v>
      </c>
      <c r="J895" s="208" t="b">
        <f t="shared" si="638"/>
        <v>0</v>
      </c>
      <c r="K895" s="214">
        <v>283.0</v>
      </c>
      <c r="L895" s="212" t="str">
        <f t="shared" si="3"/>
        <v>n/a</v>
      </c>
      <c r="M895" s="212" t="str">
        <f t="shared" si="4"/>
        <v>n/a</v>
      </c>
      <c r="N895" s="207" t="str">
        <f t="shared" si="5"/>
        <v>n/a</v>
      </c>
      <c r="O895" s="207">
        <f t="shared" si="6"/>
        <v>0.003533568905</v>
      </c>
    </row>
    <row r="896" ht="15.75" customHeight="1">
      <c r="A896" s="207">
        <v>70.0</v>
      </c>
      <c r="B896" s="6" t="str">
        <f>VLOOKUP($A896, 'Completion rates'!$A:$E, 2, FALSE)</f>
        <v>Opening medium caskets</v>
      </c>
      <c r="C896" s="207">
        <v>20240.0</v>
      </c>
      <c r="D896" s="6" t="str">
        <f>VLOOKUP($C896, 'List of log slots'!$A:$E, 2, FALSE)</f>
        <v>Crier coat</v>
      </c>
      <c r="E896" s="207">
        <f>VLOOKUP($C896, 'List of log slots'!$A:$E, 5, FALSE)</f>
        <v>4</v>
      </c>
      <c r="F896" s="209" t="b">
        <f>VLOOKUP(C896, 'List of log slots'!$A:$C, 3, FALSE)</f>
        <v>0</v>
      </c>
      <c r="G896" s="209" t="b">
        <f t="shared" si="560"/>
        <v>0</v>
      </c>
      <c r="H896" s="210" t="b">
        <f t="shared" si="7"/>
        <v>1</v>
      </c>
      <c r="I896" s="208" t="b">
        <f t="shared" ref="I896:J896" si="639">FALSE</f>
        <v>0</v>
      </c>
      <c r="J896" s="208" t="b">
        <f t="shared" si="639"/>
        <v>0</v>
      </c>
      <c r="K896" s="214">
        <v>283.0</v>
      </c>
      <c r="L896" s="212" t="str">
        <f t="shared" si="3"/>
        <v>n/a</v>
      </c>
      <c r="M896" s="212" t="str">
        <f t="shared" si="4"/>
        <v>n/a</v>
      </c>
      <c r="N896" s="207" t="str">
        <f t="shared" si="5"/>
        <v>n/a</v>
      </c>
      <c r="O896" s="207">
        <f t="shared" si="6"/>
        <v>0.003533568905</v>
      </c>
    </row>
    <row r="897" ht="15.75" customHeight="1">
      <c r="A897" s="207">
        <v>70.0</v>
      </c>
      <c r="B897" s="6" t="str">
        <f>VLOOKUP($A897, 'Completion rates'!$A:$E, 2, FALSE)</f>
        <v>Opening medium caskets</v>
      </c>
      <c r="C897" s="207">
        <v>20243.0</v>
      </c>
      <c r="D897" s="6" t="str">
        <f>VLOOKUP($C897, 'List of log slots'!$A:$E, 2, FALSE)</f>
        <v>Crier bell</v>
      </c>
      <c r="E897" s="207">
        <f>VLOOKUP($C897, 'List of log slots'!$A:$E, 5, FALSE)</f>
        <v>4</v>
      </c>
      <c r="F897" s="209" t="b">
        <f>VLOOKUP(C897, 'List of log slots'!$A:$C, 3, FALSE)</f>
        <v>0</v>
      </c>
      <c r="G897" s="209" t="b">
        <f t="shared" si="560"/>
        <v>0</v>
      </c>
      <c r="H897" s="210" t="b">
        <f t="shared" si="7"/>
        <v>1</v>
      </c>
      <c r="I897" s="208" t="b">
        <f t="shared" ref="I897:J897" si="640">FALSE</f>
        <v>0</v>
      </c>
      <c r="J897" s="208" t="b">
        <f t="shared" si="640"/>
        <v>0</v>
      </c>
      <c r="K897" s="214">
        <v>283.0</v>
      </c>
      <c r="L897" s="212" t="str">
        <f t="shared" si="3"/>
        <v>n/a</v>
      </c>
      <c r="M897" s="212" t="str">
        <f t="shared" si="4"/>
        <v>n/a</v>
      </c>
      <c r="N897" s="207" t="str">
        <f t="shared" si="5"/>
        <v>n/a</v>
      </c>
      <c r="O897" s="207">
        <f t="shared" si="6"/>
        <v>0.003533568905</v>
      </c>
    </row>
    <row r="898" ht="15.75" customHeight="1">
      <c r="A898" s="207">
        <v>70.0</v>
      </c>
      <c r="B898" s="6" t="str">
        <f>VLOOKUP($A898, 'Completion rates'!$A:$E, 2, FALSE)</f>
        <v>Opening medium caskets</v>
      </c>
      <c r="C898" s="207">
        <v>12377.0</v>
      </c>
      <c r="D898" s="6" t="str">
        <f>VLOOKUP($C898, 'List of log slots'!$A:$E, 2, FALSE)</f>
        <v>Adamant cane</v>
      </c>
      <c r="E898" s="207">
        <f>VLOOKUP($C898, 'List of log slots'!$A:$E, 5, FALSE)</f>
        <v>4</v>
      </c>
      <c r="F898" s="209" t="b">
        <f>VLOOKUP(C898, 'List of log slots'!$A:$C, 3, FALSE)</f>
        <v>0</v>
      </c>
      <c r="G898" s="209" t="b">
        <f t="shared" si="560"/>
        <v>0</v>
      </c>
      <c r="H898" s="210" t="b">
        <f t="shared" si="7"/>
        <v>1</v>
      </c>
      <c r="I898" s="208" t="b">
        <f t="shared" ref="I898:J898" si="641">FALSE</f>
        <v>0</v>
      </c>
      <c r="J898" s="208" t="b">
        <f t="shared" si="641"/>
        <v>0</v>
      </c>
      <c r="K898" s="214">
        <v>283.0</v>
      </c>
      <c r="L898" s="212" t="str">
        <f t="shared" si="3"/>
        <v>n/a</v>
      </c>
      <c r="M898" s="212" t="str">
        <f t="shared" si="4"/>
        <v>n/a</v>
      </c>
      <c r="N898" s="207" t="str">
        <f t="shared" si="5"/>
        <v>n/a</v>
      </c>
      <c r="O898" s="207">
        <f t="shared" si="6"/>
        <v>0.003533568905</v>
      </c>
    </row>
    <row r="899" ht="15.75" customHeight="1">
      <c r="A899" s="207">
        <v>70.0</v>
      </c>
      <c r="B899" s="6" t="str">
        <f>VLOOKUP($A899, 'Completion rates'!$A:$E, 2, FALSE)</f>
        <v>Opening medium caskets</v>
      </c>
      <c r="C899" s="207">
        <v>20251.0</v>
      </c>
      <c r="D899" s="6" t="str">
        <f>VLOOKUP($C899, 'List of log slots'!$A:$E, 2, FALSE)</f>
        <v>Arceuus banner</v>
      </c>
      <c r="E899" s="207">
        <f>VLOOKUP($C899, 'List of log slots'!$A:$E, 5, FALSE)</f>
        <v>4</v>
      </c>
      <c r="F899" s="209" t="b">
        <f>VLOOKUP(C899, 'List of log slots'!$A:$C, 3, FALSE)</f>
        <v>0</v>
      </c>
      <c r="G899" s="209" t="b">
        <f t="shared" si="560"/>
        <v>0</v>
      </c>
      <c r="H899" s="210" t="b">
        <f t="shared" si="7"/>
        <v>1</v>
      </c>
      <c r="I899" s="208" t="b">
        <f t="shared" ref="I899:J899" si="642">FALSE</f>
        <v>0</v>
      </c>
      <c r="J899" s="208" t="b">
        <f t="shared" si="642"/>
        <v>0</v>
      </c>
      <c r="K899" s="214">
        <v>283.0</v>
      </c>
      <c r="L899" s="212" t="str">
        <f t="shared" si="3"/>
        <v>n/a</v>
      </c>
      <c r="M899" s="212" t="str">
        <f t="shared" si="4"/>
        <v>n/a</v>
      </c>
      <c r="N899" s="207" t="str">
        <f t="shared" si="5"/>
        <v>n/a</v>
      </c>
      <c r="O899" s="207">
        <f t="shared" si="6"/>
        <v>0.003533568905</v>
      </c>
    </row>
    <row r="900" ht="15.75" customHeight="1">
      <c r="A900" s="207">
        <v>70.0</v>
      </c>
      <c r="B900" s="6" t="str">
        <f>VLOOKUP($A900, 'Completion rates'!$A:$E, 2, FALSE)</f>
        <v>Opening medium caskets</v>
      </c>
      <c r="C900" s="207">
        <v>20260.0</v>
      </c>
      <c r="D900" s="6" t="str">
        <f>VLOOKUP($C900, 'List of log slots'!$A:$E, 2, FALSE)</f>
        <v>Piscarilius banner</v>
      </c>
      <c r="E900" s="207">
        <f>VLOOKUP($C900, 'List of log slots'!$A:$E, 5, FALSE)</f>
        <v>4</v>
      </c>
      <c r="F900" s="209" t="b">
        <f>VLOOKUP(C900, 'List of log slots'!$A:$C, 3, FALSE)</f>
        <v>0</v>
      </c>
      <c r="G900" s="209" t="b">
        <f t="shared" si="560"/>
        <v>0</v>
      </c>
      <c r="H900" s="210" t="b">
        <f t="shared" si="7"/>
        <v>1</v>
      </c>
      <c r="I900" s="208" t="b">
        <f t="shared" ref="I900:J900" si="643">FALSE</f>
        <v>0</v>
      </c>
      <c r="J900" s="208" t="b">
        <f t="shared" si="643"/>
        <v>0</v>
      </c>
      <c r="K900" s="214">
        <v>283.0</v>
      </c>
      <c r="L900" s="212" t="str">
        <f t="shared" si="3"/>
        <v>n/a</v>
      </c>
      <c r="M900" s="212" t="str">
        <f t="shared" si="4"/>
        <v>n/a</v>
      </c>
      <c r="N900" s="207" t="str">
        <f t="shared" si="5"/>
        <v>n/a</v>
      </c>
      <c r="O900" s="207">
        <f t="shared" si="6"/>
        <v>0.003533568905</v>
      </c>
    </row>
    <row r="901" ht="15.75" customHeight="1">
      <c r="A901" s="207">
        <v>70.0</v>
      </c>
      <c r="B901" s="6" t="str">
        <f>VLOOKUP($A901, 'Completion rates'!$A:$E, 2, FALSE)</f>
        <v>Opening medium caskets</v>
      </c>
      <c r="C901" s="207">
        <v>20254.0</v>
      </c>
      <c r="D901" s="6" t="str">
        <f>VLOOKUP($C901, 'List of log slots'!$A:$E, 2, FALSE)</f>
        <v>Hosidius banner</v>
      </c>
      <c r="E901" s="207">
        <f>VLOOKUP($C901, 'List of log slots'!$A:$E, 5, FALSE)</f>
        <v>4</v>
      </c>
      <c r="F901" s="210" t="b">
        <f>VLOOKUP(C901, 'List of log slots'!$A:$C, 3, FALSE)</f>
        <v>0</v>
      </c>
      <c r="G901" s="209" t="b">
        <f t="shared" si="560"/>
        <v>0</v>
      </c>
      <c r="H901" s="209" t="b">
        <f t="shared" si="7"/>
        <v>1</v>
      </c>
      <c r="I901" s="208" t="b">
        <f t="shared" ref="I901:J901" si="644">FALSE</f>
        <v>0</v>
      </c>
      <c r="J901" s="208" t="b">
        <f t="shared" si="644"/>
        <v>0</v>
      </c>
      <c r="K901" s="214">
        <v>283.0</v>
      </c>
      <c r="L901" s="212" t="str">
        <f t="shared" si="3"/>
        <v>n/a</v>
      </c>
      <c r="M901" s="212" t="str">
        <f t="shared" si="4"/>
        <v>n/a</v>
      </c>
      <c r="N901" s="207" t="str">
        <f t="shared" si="5"/>
        <v>n/a</v>
      </c>
      <c r="O901" s="207">
        <f t="shared" si="6"/>
        <v>0.003533568905</v>
      </c>
    </row>
    <row r="902" ht="15.75" customHeight="1">
      <c r="A902" s="207">
        <v>70.0</v>
      </c>
      <c r="B902" s="6" t="str">
        <f>VLOOKUP($A902, 'Completion rates'!$A:$E, 2, FALSE)</f>
        <v>Opening medium caskets</v>
      </c>
      <c r="C902" s="207">
        <v>20263.0</v>
      </c>
      <c r="D902" s="6" t="str">
        <f>VLOOKUP($C902, 'List of log slots'!$A:$E, 2, FALSE)</f>
        <v>Shayzien banner</v>
      </c>
      <c r="E902" s="207">
        <f>VLOOKUP($C902, 'List of log slots'!$A:$E, 5, FALSE)</f>
        <v>4</v>
      </c>
      <c r="F902" s="209" t="b">
        <f>VLOOKUP(C902, 'List of log slots'!$A:$C, 3, FALSE)</f>
        <v>0</v>
      </c>
      <c r="G902" s="209" t="b">
        <f t="shared" si="560"/>
        <v>0</v>
      </c>
      <c r="H902" s="210" t="b">
        <f t="shared" si="7"/>
        <v>1</v>
      </c>
      <c r="I902" s="208" t="b">
        <f t="shared" ref="I902:J902" si="645">FALSE</f>
        <v>0</v>
      </c>
      <c r="J902" s="208" t="b">
        <f t="shared" si="645"/>
        <v>0</v>
      </c>
      <c r="K902" s="214">
        <v>283.0</v>
      </c>
      <c r="L902" s="212" t="str">
        <f t="shared" si="3"/>
        <v>n/a</v>
      </c>
      <c r="M902" s="212" t="str">
        <f t="shared" si="4"/>
        <v>n/a</v>
      </c>
      <c r="N902" s="207" t="str">
        <f t="shared" si="5"/>
        <v>n/a</v>
      </c>
      <c r="O902" s="207">
        <f t="shared" si="6"/>
        <v>0.003533568905</v>
      </c>
    </row>
    <row r="903" ht="15.75" customHeight="1">
      <c r="A903" s="207">
        <v>70.0</v>
      </c>
      <c r="B903" s="6" t="str">
        <f>VLOOKUP($A903, 'Completion rates'!$A:$E, 2, FALSE)</f>
        <v>Opening medium caskets</v>
      </c>
      <c r="C903" s="207">
        <v>20257.0</v>
      </c>
      <c r="D903" s="6" t="str">
        <f>VLOOKUP($C903, 'List of log slots'!$A:$E, 2, FALSE)</f>
        <v>Lovakengj banner</v>
      </c>
      <c r="E903" s="207">
        <f>VLOOKUP($C903, 'List of log slots'!$A:$E, 5, FALSE)</f>
        <v>4</v>
      </c>
      <c r="F903" s="210" t="b">
        <f>VLOOKUP(C903, 'List of log slots'!$A:$C, 3, FALSE)</f>
        <v>0</v>
      </c>
      <c r="G903" s="209" t="b">
        <f t="shared" si="560"/>
        <v>0</v>
      </c>
      <c r="H903" s="209" t="b">
        <f t="shared" si="7"/>
        <v>1</v>
      </c>
      <c r="I903" s="208" t="b">
        <f t="shared" ref="I903:J903" si="646">FALSE</f>
        <v>0</v>
      </c>
      <c r="J903" s="208" t="b">
        <f t="shared" si="646"/>
        <v>0</v>
      </c>
      <c r="K903" s="214">
        <v>283.0</v>
      </c>
      <c r="L903" s="212" t="str">
        <f t="shared" si="3"/>
        <v>n/a</v>
      </c>
      <c r="M903" s="212" t="str">
        <f t="shared" si="4"/>
        <v>n/a</v>
      </c>
      <c r="N903" s="207" t="str">
        <f t="shared" si="5"/>
        <v>n/a</v>
      </c>
      <c r="O903" s="207">
        <f t="shared" si="6"/>
        <v>0.003533568905</v>
      </c>
    </row>
    <row r="904" ht="15.75" customHeight="1">
      <c r="A904" s="207">
        <v>70.0</v>
      </c>
      <c r="B904" s="6" t="str">
        <f>VLOOKUP($A904, 'Completion rates'!$A:$E, 2, FALSE)</f>
        <v>Opening medium caskets</v>
      </c>
      <c r="C904" s="207">
        <v>20272.0</v>
      </c>
      <c r="D904" s="6" t="str">
        <f>VLOOKUP($C904, 'List of log slots'!$A:$E, 2, FALSE)</f>
        <v>Cabbage round shield</v>
      </c>
      <c r="E904" s="207">
        <f>VLOOKUP($C904, 'List of log slots'!$A:$E, 5, FALSE)</f>
        <v>4</v>
      </c>
      <c r="F904" s="209" t="b">
        <f>VLOOKUP(C904, 'List of log slots'!$A:$C, 3, FALSE)</f>
        <v>0</v>
      </c>
      <c r="G904" s="209" t="b">
        <f t="shared" si="560"/>
        <v>0</v>
      </c>
      <c r="H904" s="210" t="b">
        <f t="shared" si="7"/>
        <v>1</v>
      </c>
      <c r="I904" s="208" t="b">
        <f t="shared" ref="I904:J904" si="647">FALSE</f>
        <v>0</v>
      </c>
      <c r="J904" s="208" t="b">
        <f t="shared" si="647"/>
        <v>0</v>
      </c>
      <c r="K904" s="214">
        <v>283.0</v>
      </c>
      <c r="L904" s="212" t="str">
        <f t="shared" si="3"/>
        <v>n/a</v>
      </c>
      <c r="M904" s="212" t="str">
        <f t="shared" si="4"/>
        <v>n/a</v>
      </c>
      <c r="N904" s="207" t="str">
        <f t="shared" si="5"/>
        <v>n/a</v>
      </c>
      <c r="O904" s="207">
        <f t="shared" si="6"/>
        <v>0.003533568905</v>
      </c>
    </row>
    <row r="905" ht="15.75" customHeight="1">
      <c r="A905" s="207">
        <v>70.0</v>
      </c>
      <c r="B905" s="6" t="str">
        <f>VLOOKUP($A905, 'Completion rates'!$A:$E, 2, FALSE)</f>
        <v>Opening medium caskets</v>
      </c>
      <c r="C905" s="207">
        <v>20266.0</v>
      </c>
      <c r="D905" s="6" t="str">
        <f>VLOOKUP($C905, 'List of log slots'!$A:$E, 2, FALSE)</f>
        <v>Black unicorn mask</v>
      </c>
      <c r="E905" s="207">
        <f>VLOOKUP($C905, 'List of log slots'!$A:$E, 5, FALSE)</f>
        <v>5</v>
      </c>
      <c r="F905" s="209" t="b">
        <f>VLOOKUP(C905, 'List of log slots'!$A:$C, 3, FALSE)</f>
        <v>0</v>
      </c>
      <c r="G905" s="209" t="b">
        <f t="shared" si="560"/>
        <v>0</v>
      </c>
      <c r="H905" s="210" t="b">
        <f t="shared" si="7"/>
        <v>1</v>
      </c>
      <c r="I905" s="208" t="b">
        <f t="shared" ref="I905:J905" si="648">FALSE</f>
        <v>0</v>
      </c>
      <c r="J905" s="208" t="b">
        <f t="shared" si="648"/>
        <v>0</v>
      </c>
      <c r="K905" s="214">
        <v>283.0</v>
      </c>
      <c r="L905" s="212" t="str">
        <f t="shared" si="3"/>
        <v>n/a</v>
      </c>
      <c r="M905" s="212" t="str">
        <f t="shared" si="4"/>
        <v>n/a</v>
      </c>
      <c r="N905" s="207" t="str">
        <f t="shared" si="5"/>
        <v>n/a</v>
      </c>
      <c r="O905" s="207">
        <f t="shared" si="6"/>
        <v>0.003533568905</v>
      </c>
    </row>
    <row r="906" ht="15.75" customHeight="1">
      <c r="A906" s="207">
        <v>70.0</v>
      </c>
      <c r="B906" s="6" t="str">
        <f>VLOOKUP($A906, 'Completion rates'!$A:$E, 2, FALSE)</f>
        <v>Opening medium caskets</v>
      </c>
      <c r="C906" s="207">
        <v>20269.0</v>
      </c>
      <c r="D906" s="6" t="str">
        <f>VLOOKUP($C906, 'List of log slots'!$A:$E, 2, FALSE)</f>
        <v>White unicorn mask</v>
      </c>
      <c r="E906" s="207">
        <f>VLOOKUP($C906, 'List of log slots'!$A:$E, 5, FALSE)</f>
        <v>5</v>
      </c>
      <c r="F906" s="209" t="b">
        <f>VLOOKUP(C906, 'List of log slots'!$A:$C, 3, FALSE)</f>
        <v>0</v>
      </c>
      <c r="G906" s="209" t="b">
        <f t="shared" si="560"/>
        <v>0</v>
      </c>
      <c r="H906" s="210" t="b">
        <f t="shared" si="7"/>
        <v>1</v>
      </c>
      <c r="I906" s="208" t="b">
        <f t="shared" ref="I906:J906" si="649">FALSE</f>
        <v>0</v>
      </c>
      <c r="J906" s="208" t="b">
        <f t="shared" si="649"/>
        <v>0</v>
      </c>
      <c r="K906" s="214">
        <v>283.0</v>
      </c>
      <c r="L906" s="212" t="str">
        <f t="shared" si="3"/>
        <v>n/a</v>
      </c>
      <c r="M906" s="212" t="str">
        <f t="shared" si="4"/>
        <v>n/a</v>
      </c>
      <c r="N906" s="207" t="str">
        <f t="shared" si="5"/>
        <v>n/a</v>
      </c>
      <c r="O906" s="207">
        <f t="shared" si="6"/>
        <v>0.003533568905</v>
      </c>
    </row>
    <row r="907" ht="15.75" customHeight="1">
      <c r="A907" s="207">
        <v>70.0</v>
      </c>
      <c r="B907" s="6" t="str">
        <f>VLOOKUP($A907, 'Completion rates'!$A:$E, 2, FALSE)</f>
        <v>Opening medium caskets</v>
      </c>
      <c r="C907" s="207">
        <v>12361.0</v>
      </c>
      <c r="D907" s="6" t="str">
        <f>VLOOKUP($C907, 'List of log slots'!$A:$E, 2, FALSE)</f>
        <v>Cat mask</v>
      </c>
      <c r="E907" s="207">
        <f>VLOOKUP($C907, 'List of log slots'!$A:$E, 5, FALSE)</f>
        <v>4</v>
      </c>
      <c r="F907" s="209" t="b">
        <f>VLOOKUP(C907, 'List of log slots'!$A:$C, 3, FALSE)</f>
        <v>0</v>
      </c>
      <c r="G907" s="209" t="b">
        <f t="shared" si="560"/>
        <v>0</v>
      </c>
      <c r="H907" s="210" t="b">
        <f t="shared" si="7"/>
        <v>1</v>
      </c>
      <c r="I907" s="208" t="b">
        <f t="shared" ref="I907:J907" si="650">FALSE</f>
        <v>0</v>
      </c>
      <c r="J907" s="208" t="b">
        <f t="shared" si="650"/>
        <v>0</v>
      </c>
      <c r="K907" s="214">
        <v>283.0</v>
      </c>
      <c r="L907" s="212" t="str">
        <f t="shared" si="3"/>
        <v>n/a</v>
      </c>
      <c r="M907" s="212" t="str">
        <f t="shared" si="4"/>
        <v>n/a</v>
      </c>
      <c r="N907" s="207" t="str">
        <f t="shared" si="5"/>
        <v>n/a</v>
      </c>
      <c r="O907" s="207">
        <f t="shared" si="6"/>
        <v>0.003533568905</v>
      </c>
    </row>
    <row r="908" ht="15.75" customHeight="1">
      <c r="A908" s="207">
        <v>70.0</v>
      </c>
      <c r="B908" s="6" t="str">
        <f>VLOOKUP($A908, 'Completion rates'!$A:$E, 2, FALSE)</f>
        <v>Opening medium caskets</v>
      </c>
      <c r="C908" s="207">
        <v>12428.0</v>
      </c>
      <c r="D908" s="6" t="str">
        <f>VLOOKUP($C908, 'List of log slots'!$A:$E, 2, FALSE)</f>
        <v>Penguin mask</v>
      </c>
      <c r="E908" s="207">
        <f>VLOOKUP($C908, 'List of log slots'!$A:$E, 5, FALSE)</f>
        <v>4</v>
      </c>
      <c r="F908" s="210" t="b">
        <f>VLOOKUP(C908, 'List of log slots'!$A:$C, 3, FALSE)</f>
        <v>0</v>
      </c>
      <c r="G908" s="209" t="b">
        <f t="shared" si="560"/>
        <v>0</v>
      </c>
      <c r="H908" s="209" t="b">
        <f t="shared" si="7"/>
        <v>1</v>
      </c>
      <c r="I908" s="208" t="b">
        <f t="shared" ref="I908:J908" si="651">FALSE</f>
        <v>0</v>
      </c>
      <c r="J908" s="208" t="b">
        <f t="shared" si="651"/>
        <v>0</v>
      </c>
      <c r="K908" s="214">
        <v>283.0</v>
      </c>
      <c r="L908" s="212" t="str">
        <f t="shared" si="3"/>
        <v>n/a</v>
      </c>
      <c r="M908" s="212" t="str">
        <f t="shared" si="4"/>
        <v>n/a</v>
      </c>
      <c r="N908" s="207" t="str">
        <f t="shared" si="5"/>
        <v>n/a</v>
      </c>
      <c r="O908" s="207">
        <f t="shared" si="6"/>
        <v>0.003533568905</v>
      </c>
    </row>
    <row r="909" ht="15.75" customHeight="1">
      <c r="A909" s="207">
        <v>70.0</v>
      </c>
      <c r="B909" s="6" t="str">
        <f>VLOOKUP($A909, 'Completion rates'!$A:$E, 2, FALSE)</f>
        <v>Opening medium caskets</v>
      </c>
      <c r="C909" s="207">
        <v>12359.0</v>
      </c>
      <c r="D909" s="6" t="str">
        <f>VLOOKUP($C909, 'List of log slots'!$A:$E, 2, FALSE)</f>
        <v>Leprechaun hat</v>
      </c>
      <c r="E909" s="207">
        <f>VLOOKUP($C909, 'List of log slots'!$A:$E, 5, FALSE)</f>
        <v>4</v>
      </c>
      <c r="F909" s="210" t="b">
        <f>VLOOKUP(C909, 'List of log slots'!$A:$C, 3, FALSE)</f>
        <v>0</v>
      </c>
      <c r="G909" s="209" t="b">
        <f t="shared" si="560"/>
        <v>0</v>
      </c>
      <c r="H909" s="209" t="b">
        <f t="shared" si="7"/>
        <v>1</v>
      </c>
      <c r="I909" s="208" t="b">
        <f t="shared" ref="I909:J909" si="652">FALSE</f>
        <v>0</v>
      </c>
      <c r="J909" s="208" t="b">
        <f t="shared" si="652"/>
        <v>0</v>
      </c>
      <c r="K909" s="214">
        <v>283.0</v>
      </c>
      <c r="L909" s="212" t="str">
        <f t="shared" si="3"/>
        <v>n/a</v>
      </c>
      <c r="M909" s="212" t="str">
        <f t="shared" si="4"/>
        <v>n/a</v>
      </c>
      <c r="N909" s="207" t="str">
        <f t="shared" si="5"/>
        <v>n/a</v>
      </c>
      <c r="O909" s="207">
        <f t="shared" si="6"/>
        <v>0.003533568905</v>
      </c>
    </row>
    <row r="910" ht="15.75" customHeight="1">
      <c r="A910" s="207">
        <v>70.0</v>
      </c>
      <c r="B910" s="6" t="str">
        <f>VLOOKUP($A910, 'Completion rates'!$A:$E, 2, FALSE)</f>
        <v>Opening medium caskets</v>
      </c>
      <c r="C910" s="207">
        <v>20246.0</v>
      </c>
      <c r="D910" s="6" t="str">
        <f>VLOOKUP($C910, 'List of log slots'!$A:$E, 2, FALSE)</f>
        <v>Black leprechaun hat</v>
      </c>
      <c r="E910" s="207">
        <f>VLOOKUP($C910, 'List of log slots'!$A:$E, 5, FALSE)</f>
        <v>4</v>
      </c>
      <c r="F910" s="210" t="b">
        <f>VLOOKUP(C910, 'List of log slots'!$A:$C, 3, FALSE)</f>
        <v>0</v>
      </c>
      <c r="G910" s="209" t="b">
        <f t="shared" si="560"/>
        <v>0</v>
      </c>
      <c r="H910" s="209" t="b">
        <f t="shared" si="7"/>
        <v>1</v>
      </c>
      <c r="I910" s="208" t="b">
        <f t="shared" ref="I910:J910" si="653">FALSE</f>
        <v>0</v>
      </c>
      <c r="J910" s="208" t="b">
        <f t="shared" si="653"/>
        <v>0</v>
      </c>
      <c r="K910" s="214">
        <v>283.0</v>
      </c>
      <c r="L910" s="212" t="str">
        <f t="shared" si="3"/>
        <v>n/a</v>
      </c>
      <c r="M910" s="212" t="str">
        <f t="shared" si="4"/>
        <v>n/a</v>
      </c>
      <c r="N910" s="207" t="str">
        <f t="shared" si="5"/>
        <v>n/a</v>
      </c>
      <c r="O910" s="207">
        <f t="shared" si="6"/>
        <v>0.003533568905</v>
      </c>
    </row>
    <row r="911" ht="15.75" customHeight="1">
      <c r="A911" s="207">
        <v>70.0</v>
      </c>
      <c r="B911" s="6" t="str">
        <f>VLOOKUP($A911, 'Completion rates'!$A:$E, 2, FALSE)</f>
        <v>Opening medium caskets</v>
      </c>
      <c r="C911" s="207">
        <v>23407.0</v>
      </c>
      <c r="D911" s="6" t="str">
        <f>VLOOKUP($C911, 'List of log slots'!$A:$E, 2, FALSE)</f>
        <v>Wolf mask</v>
      </c>
      <c r="E911" s="207">
        <f>VLOOKUP($C911, 'List of log slots'!$A:$E, 5, FALSE)</f>
        <v>4</v>
      </c>
      <c r="F911" s="209" t="b">
        <f>VLOOKUP(C911, 'List of log slots'!$A:$C, 3, FALSE)</f>
        <v>0</v>
      </c>
      <c r="G911" s="209" t="b">
        <f t="shared" si="560"/>
        <v>0</v>
      </c>
      <c r="H911" s="210" t="b">
        <f t="shared" si="7"/>
        <v>1</v>
      </c>
      <c r="I911" s="208" t="b">
        <f t="shared" ref="I911:J911" si="654">FALSE</f>
        <v>0</v>
      </c>
      <c r="J911" s="208" t="b">
        <f t="shared" si="654"/>
        <v>0</v>
      </c>
      <c r="K911" s="214">
        <v>283.0</v>
      </c>
      <c r="L911" s="212" t="str">
        <f t="shared" si="3"/>
        <v>n/a</v>
      </c>
      <c r="M911" s="212" t="str">
        <f t="shared" si="4"/>
        <v>n/a</v>
      </c>
      <c r="N911" s="207" t="str">
        <f t="shared" si="5"/>
        <v>n/a</v>
      </c>
      <c r="O911" s="207">
        <f t="shared" si="6"/>
        <v>0.003533568905</v>
      </c>
    </row>
    <row r="912" ht="15.75" customHeight="1">
      <c r="A912" s="207">
        <v>70.0</v>
      </c>
      <c r="B912" s="6" t="str">
        <f>VLOOKUP($A912, 'Completion rates'!$A:$E, 2, FALSE)</f>
        <v>Opening medium caskets</v>
      </c>
      <c r="C912" s="207">
        <v>23410.0</v>
      </c>
      <c r="D912" s="6" t="str">
        <f>VLOOKUP($C912, 'List of log slots'!$A:$E, 2, FALSE)</f>
        <v>Wolf cloak</v>
      </c>
      <c r="E912" s="207">
        <f>VLOOKUP($C912, 'List of log slots'!$A:$E, 5, FALSE)</f>
        <v>4</v>
      </c>
      <c r="F912" s="209" t="b">
        <f>VLOOKUP(C912, 'List of log slots'!$A:$C, 3, FALSE)</f>
        <v>0</v>
      </c>
      <c r="G912" s="209" t="b">
        <f t="shared" si="560"/>
        <v>0</v>
      </c>
      <c r="H912" s="210" t="b">
        <f t="shared" si="7"/>
        <v>1</v>
      </c>
      <c r="I912" s="208" t="b">
        <f t="shared" ref="I912:J912" si="655">FALSE</f>
        <v>0</v>
      </c>
      <c r="J912" s="208" t="b">
        <f t="shared" si="655"/>
        <v>0</v>
      </c>
      <c r="K912" s="214">
        <v>283.0</v>
      </c>
      <c r="L912" s="212" t="str">
        <f t="shared" si="3"/>
        <v>n/a</v>
      </c>
      <c r="M912" s="212" t="str">
        <f t="shared" si="4"/>
        <v>n/a</v>
      </c>
      <c r="N912" s="207" t="str">
        <f t="shared" si="5"/>
        <v>n/a</v>
      </c>
      <c r="O912" s="207">
        <f t="shared" si="6"/>
        <v>0.003533568905</v>
      </c>
    </row>
    <row r="913" ht="15.75" customHeight="1">
      <c r="A913" s="207">
        <v>70.0</v>
      </c>
      <c r="B913" s="6" t="str">
        <f>VLOOKUP($A913, 'Completion rates'!$A:$E, 2, FALSE)</f>
        <v>Opening medium caskets</v>
      </c>
      <c r="C913" s="207">
        <v>10416.0</v>
      </c>
      <c r="D913" s="6" t="str">
        <f>VLOOKUP($C913, 'List of log slots'!$A:$E, 2, FALSE)</f>
        <v>Purple elegant shirt</v>
      </c>
      <c r="E913" s="207">
        <f>VLOOKUP($C913, 'List of log slots'!$A:$E, 5, FALSE)</f>
        <v>5</v>
      </c>
      <c r="F913" s="209" t="b">
        <f>VLOOKUP(C913, 'List of log slots'!$A:$C, 3, FALSE)</f>
        <v>0</v>
      </c>
      <c r="G913" s="209" t="b">
        <f t="shared" si="560"/>
        <v>0</v>
      </c>
      <c r="H913" s="210" t="b">
        <f t="shared" si="7"/>
        <v>1</v>
      </c>
      <c r="I913" s="208" t="b">
        <f t="shared" ref="I913:J913" si="656">FALSE</f>
        <v>0</v>
      </c>
      <c r="J913" s="208" t="b">
        <f t="shared" si="656"/>
        <v>0</v>
      </c>
      <c r="K913" s="214">
        <v>566.0</v>
      </c>
      <c r="L913" s="212" t="str">
        <f t="shared" si="3"/>
        <v>n/a</v>
      </c>
      <c r="M913" s="212" t="str">
        <f t="shared" si="4"/>
        <v>n/a</v>
      </c>
      <c r="N913" s="207" t="str">
        <f t="shared" si="5"/>
        <v>n/a</v>
      </c>
      <c r="O913" s="207">
        <f t="shared" si="6"/>
        <v>0.001766784452</v>
      </c>
    </row>
    <row r="914" ht="15.75" customHeight="1">
      <c r="A914" s="207">
        <v>70.0</v>
      </c>
      <c r="B914" s="6" t="str">
        <f>VLOOKUP($A914, 'Completion rates'!$A:$E, 2, FALSE)</f>
        <v>Opening medium caskets</v>
      </c>
      <c r="C914" s="207">
        <v>10436.0</v>
      </c>
      <c r="D914" s="6" t="str">
        <f>VLOOKUP($C914, 'List of log slots'!$A:$E, 2, FALSE)</f>
        <v>Purple elegant blouse</v>
      </c>
      <c r="E914" s="207">
        <f>VLOOKUP($C914, 'List of log slots'!$A:$E, 5, FALSE)</f>
        <v>5</v>
      </c>
      <c r="F914" s="210" t="b">
        <f>VLOOKUP(C914, 'List of log slots'!$A:$C, 3, FALSE)</f>
        <v>0</v>
      </c>
      <c r="G914" s="209" t="b">
        <f t="shared" si="560"/>
        <v>0</v>
      </c>
      <c r="H914" s="209" t="b">
        <f t="shared" si="7"/>
        <v>1</v>
      </c>
      <c r="I914" s="208" t="b">
        <f t="shared" ref="I914:J914" si="657">FALSE</f>
        <v>0</v>
      </c>
      <c r="J914" s="208" t="b">
        <f t="shared" si="657"/>
        <v>0</v>
      </c>
      <c r="K914" s="214">
        <v>566.0</v>
      </c>
      <c r="L914" s="212" t="str">
        <f t="shared" si="3"/>
        <v>n/a</v>
      </c>
      <c r="M914" s="212" t="str">
        <f t="shared" si="4"/>
        <v>n/a</v>
      </c>
      <c r="N914" s="207" t="str">
        <f t="shared" si="5"/>
        <v>n/a</v>
      </c>
      <c r="O914" s="207">
        <f t="shared" si="6"/>
        <v>0.001766784452</v>
      </c>
    </row>
    <row r="915" ht="15.75" customHeight="1">
      <c r="A915" s="207">
        <v>70.0</v>
      </c>
      <c r="B915" s="6" t="str">
        <f>VLOOKUP($A915, 'Completion rates'!$A:$E, 2, FALSE)</f>
        <v>Opening medium caskets</v>
      </c>
      <c r="C915" s="207">
        <v>10418.0</v>
      </c>
      <c r="D915" s="6" t="str">
        <f>VLOOKUP($C915, 'List of log slots'!$A:$E, 2, FALSE)</f>
        <v>Purple elegant legs</v>
      </c>
      <c r="E915" s="207">
        <f>VLOOKUP($C915, 'List of log slots'!$A:$E, 5, FALSE)</f>
        <v>5</v>
      </c>
      <c r="F915" s="209" t="b">
        <f>VLOOKUP(C915, 'List of log slots'!$A:$C, 3, FALSE)</f>
        <v>0</v>
      </c>
      <c r="G915" s="209" t="b">
        <f t="shared" si="560"/>
        <v>0</v>
      </c>
      <c r="H915" s="210" t="b">
        <f t="shared" si="7"/>
        <v>1</v>
      </c>
      <c r="I915" s="208" t="b">
        <f t="shared" ref="I915:J915" si="658">FALSE</f>
        <v>0</v>
      </c>
      <c r="J915" s="208" t="b">
        <f t="shared" si="658"/>
        <v>0</v>
      </c>
      <c r="K915" s="214">
        <v>566.0</v>
      </c>
      <c r="L915" s="212" t="str">
        <f t="shared" si="3"/>
        <v>n/a</v>
      </c>
      <c r="M915" s="212" t="str">
        <f t="shared" si="4"/>
        <v>n/a</v>
      </c>
      <c r="N915" s="207" t="str">
        <f t="shared" si="5"/>
        <v>n/a</v>
      </c>
      <c r="O915" s="207">
        <f t="shared" si="6"/>
        <v>0.001766784452</v>
      </c>
    </row>
    <row r="916" ht="15.75" customHeight="1">
      <c r="A916" s="207">
        <v>70.0</v>
      </c>
      <c r="B916" s="6" t="str">
        <f>VLOOKUP($A916, 'Completion rates'!$A:$E, 2, FALSE)</f>
        <v>Opening medium caskets</v>
      </c>
      <c r="C916" s="207">
        <v>10438.0</v>
      </c>
      <c r="D916" s="6" t="str">
        <f>VLOOKUP($C916, 'List of log slots'!$A:$E, 2, FALSE)</f>
        <v>Purple elegant skirt</v>
      </c>
      <c r="E916" s="207">
        <f>VLOOKUP($C916, 'List of log slots'!$A:$E, 5, FALSE)</f>
        <v>5</v>
      </c>
      <c r="F916" s="209" t="b">
        <f>VLOOKUP(C916, 'List of log slots'!$A:$C, 3, FALSE)</f>
        <v>0</v>
      </c>
      <c r="G916" s="209" t="b">
        <f t="shared" si="560"/>
        <v>0</v>
      </c>
      <c r="H916" s="210" t="b">
        <f t="shared" si="7"/>
        <v>1</v>
      </c>
      <c r="I916" s="208" t="b">
        <f t="shared" ref="I916:J916" si="659">FALSE</f>
        <v>0</v>
      </c>
      <c r="J916" s="208" t="b">
        <f t="shared" si="659"/>
        <v>0</v>
      </c>
      <c r="K916" s="214">
        <v>566.0</v>
      </c>
      <c r="L916" s="212" t="str">
        <f t="shared" si="3"/>
        <v>n/a</v>
      </c>
      <c r="M916" s="212" t="str">
        <f t="shared" si="4"/>
        <v>n/a</v>
      </c>
      <c r="N916" s="207" t="str">
        <f t="shared" si="5"/>
        <v>n/a</v>
      </c>
      <c r="O916" s="207">
        <f t="shared" si="6"/>
        <v>0.001766784452</v>
      </c>
    </row>
    <row r="917" ht="15.75" customHeight="1">
      <c r="A917" s="207">
        <v>70.0</v>
      </c>
      <c r="B917" s="6" t="str">
        <f>VLOOKUP($A917, 'Completion rates'!$A:$E, 2, FALSE)</f>
        <v>Opening medium caskets</v>
      </c>
      <c r="C917" s="207">
        <v>10400.0</v>
      </c>
      <c r="D917" s="6" t="str">
        <f>VLOOKUP($C917, 'List of log slots'!$A:$E, 2, FALSE)</f>
        <v>Black elegant shirt</v>
      </c>
      <c r="E917" s="207">
        <f>VLOOKUP($C917, 'List of log slots'!$A:$E, 5, FALSE)</f>
        <v>5</v>
      </c>
      <c r="F917" s="209" t="b">
        <f>VLOOKUP(C917, 'List of log slots'!$A:$C, 3, FALSE)</f>
        <v>0</v>
      </c>
      <c r="G917" s="209" t="b">
        <f t="shared" si="560"/>
        <v>0</v>
      </c>
      <c r="H917" s="210" t="b">
        <f t="shared" si="7"/>
        <v>1</v>
      </c>
      <c r="I917" s="208" t="b">
        <f t="shared" ref="I917:J917" si="660">FALSE</f>
        <v>0</v>
      </c>
      <c r="J917" s="208" t="b">
        <f t="shared" si="660"/>
        <v>0</v>
      </c>
      <c r="K917" s="214">
        <v>566.0</v>
      </c>
      <c r="L917" s="212" t="str">
        <f t="shared" si="3"/>
        <v>n/a</v>
      </c>
      <c r="M917" s="212" t="str">
        <f t="shared" si="4"/>
        <v>n/a</v>
      </c>
      <c r="N917" s="207" t="str">
        <f t="shared" si="5"/>
        <v>n/a</v>
      </c>
      <c r="O917" s="207">
        <f t="shared" si="6"/>
        <v>0.001766784452</v>
      </c>
    </row>
    <row r="918" ht="15.75" customHeight="1">
      <c r="A918" s="207">
        <v>70.0</v>
      </c>
      <c r="B918" s="6" t="str">
        <f>VLOOKUP($A918, 'Completion rates'!$A:$E, 2, FALSE)</f>
        <v>Opening medium caskets</v>
      </c>
      <c r="C918" s="207">
        <v>10420.0</v>
      </c>
      <c r="D918" s="6" t="str">
        <f>VLOOKUP($C918, 'List of log slots'!$A:$E, 2, FALSE)</f>
        <v>White elegant blouse</v>
      </c>
      <c r="E918" s="207">
        <f>VLOOKUP($C918, 'List of log slots'!$A:$E, 5, FALSE)</f>
        <v>5</v>
      </c>
      <c r="F918" s="209" t="b">
        <f>VLOOKUP(C918, 'List of log slots'!$A:$C, 3, FALSE)</f>
        <v>0</v>
      </c>
      <c r="G918" s="209" t="b">
        <f t="shared" si="560"/>
        <v>0</v>
      </c>
      <c r="H918" s="210" t="b">
        <f t="shared" si="7"/>
        <v>1</v>
      </c>
      <c r="I918" s="208" t="b">
        <f t="shared" ref="I918:J918" si="661">FALSE</f>
        <v>0</v>
      </c>
      <c r="J918" s="208" t="b">
        <f t="shared" si="661"/>
        <v>0</v>
      </c>
      <c r="K918" s="214">
        <v>566.0</v>
      </c>
      <c r="L918" s="212" t="str">
        <f t="shared" si="3"/>
        <v>n/a</v>
      </c>
      <c r="M918" s="212" t="str">
        <f t="shared" si="4"/>
        <v>n/a</v>
      </c>
      <c r="N918" s="207" t="str">
        <f t="shared" si="5"/>
        <v>n/a</v>
      </c>
      <c r="O918" s="207">
        <f t="shared" si="6"/>
        <v>0.001766784452</v>
      </c>
    </row>
    <row r="919" ht="15.75" customHeight="1">
      <c r="A919" s="207">
        <v>70.0</v>
      </c>
      <c r="B919" s="6" t="str">
        <f>VLOOKUP($A919, 'Completion rates'!$A:$E, 2, FALSE)</f>
        <v>Opening medium caskets</v>
      </c>
      <c r="C919" s="207">
        <v>10402.0</v>
      </c>
      <c r="D919" s="6" t="str">
        <f>VLOOKUP($C919, 'List of log slots'!$A:$E, 2, FALSE)</f>
        <v>Black elegant legs</v>
      </c>
      <c r="E919" s="207">
        <f>VLOOKUP($C919, 'List of log slots'!$A:$E, 5, FALSE)</f>
        <v>5</v>
      </c>
      <c r="F919" s="209" t="b">
        <f>VLOOKUP(C919, 'List of log slots'!$A:$C, 3, FALSE)</f>
        <v>0</v>
      </c>
      <c r="G919" s="209" t="b">
        <f t="shared" si="560"/>
        <v>0</v>
      </c>
      <c r="H919" s="210" t="b">
        <f t="shared" si="7"/>
        <v>1</v>
      </c>
      <c r="I919" s="208" t="b">
        <f t="shared" ref="I919:J919" si="662">FALSE</f>
        <v>0</v>
      </c>
      <c r="J919" s="208" t="b">
        <f t="shared" si="662"/>
        <v>0</v>
      </c>
      <c r="K919" s="214">
        <v>566.0</v>
      </c>
      <c r="L919" s="212" t="str">
        <f t="shared" si="3"/>
        <v>n/a</v>
      </c>
      <c r="M919" s="212" t="str">
        <f t="shared" si="4"/>
        <v>n/a</v>
      </c>
      <c r="N919" s="207" t="str">
        <f t="shared" si="5"/>
        <v>n/a</v>
      </c>
      <c r="O919" s="207">
        <f t="shared" si="6"/>
        <v>0.001766784452</v>
      </c>
    </row>
    <row r="920" ht="15.75" customHeight="1">
      <c r="A920" s="207">
        <v>70.0</v>
      </c>
      <c r="B920" s="6" t="str">
        <f>VLOOKUP($A920, 'Completion rates'!$A:$E, 2, FALSE)</f>
        <v>Opening medium caskets</v>
      </c>
      <c r="C920" s="207">
        <v>10422.0</v>
      </c>
      <c r="D920" s="6" t="str">
        <f>VLOOKUP($C920, 'List of log slots'!$A:$E, 2, FALSE)</f>
        <v>White elegant skirt</v>
      </c>
      <c r="E920" s="207">
        <f>VLOOKUP($C920, 'List of log slots'!$A:$E, 5, FALSE)</f>
        <v>5</v>
      </c>
      <c r="F920" s="209" t="b">
        <f>VLOOKUP(C920, 'List of log slots'!$A:$C, 3, FALSE)</f>
        <v>0</v>
      </c>
      <c r="G920" s="209" t="b">
        <f t="shared" si="560"/>
        <v>0</v>
      </c>
      <c r="H920" s="210" t="b">
        <f t="shared" si="7"/>
        <v>1</v>
      </c>
      <c r="I920" s="208" t="b">
        <f t="shared" ref="I920:J920" si="663">FALSE</f>
        <v>0</v>
      </c>
      <c r="J920" s="208" t="b">
        <f t="shared" si="663"/>
        <v>0</v>
      </c>
      <c r="K920" s="214">
        <v>566.0</v>
      </c>
      <c r="L920" s="212" t="str">
        <f t="shared" si="3"/>
        <v>n/a</v>
      </c>
      <c r="M920" s="212" t="str">
        <f t="shared" si="4"/>
        <v>n/a</v>
      </c>
      <c r="N920" s="207" t="str">
        <f t="shared" si="5"/>
        <v>n/a</v>
      </c>
      <c r="O920" s="207">
        <f t="shared" si="6"/>
        <v>0.001766784452</v>
      </c>
    </row>
    <row r="921" ht="15.75" customHeight="1">
      <c r="A921" s="207">
        <v>70.0</v>
      </c>
      <c r="B921" s="6" t="str">
        <f>VLOOKUP($A921, 'Completion rates'!$A:$E, 2, FALSE)</f>
        <v>Opening medium caskets</v>
      </c>
      <c r="C921" s="207">
        <v>12315.0</v>
      </c>
      <c r="D921" s="6" t="str">
        <f>VLOOKUP($C921, 'List of log slots'!$A:$E, 2, FALSE)</f>
        <v>Pink elegant shirt</v>
      </c>
      <c r="E921" s="207">
        <f>VLOOKUP($C921, 'List of log slots'!$A:$E, 5, FALSE)</f>
        <v>5</v>
      </c>
      <c r="F921" s="209" t="b">
        <f>VLOOKUP(C921, 'List of log slots'!$A:$C, 3, FALSE)</f>
        <v>0</v>
      </c>
      <c r="G921" s="209" t="b">
        <f t="shared" si="560"/>
        <v>0</v>
      </c>
      <c r="H921" s="210" t="b">
        <f t="shared" si="7"/>
        <v>1</v>
      </c>
      <c r="I921" s="208" t="b">
        <f t="shared" ref="I921:J921" si="664">FALSE</f>
        <v>0</v>
      </c>
      <c r="J921" s="208" t="b">
        <f t="shared" si="664"/>
        <v>0</v>
      </c>
      <c r="K921" s="214">
        <v>566.0</v>
      </c>
      <c r="L921" s="212" t="str">
        <f t="shared" si="3"/>
        <v>n/a</v>
      </c>
      <c r="M921" s="212" t="str">
        <f t="shared" si="4"/>
        <v>n/a</v>
      </c>
      <c r="N921" s="207" t="str">
        <f t="shared" si="5"/>
        <v>n/a</v>
      </c>
      <c r="O921" s="207">
        <f t="shared" si="6"/>
        <v>0.001766784452</v>
      </c>
    </row>
    <row r="922" ht="15.75" customHeight="1">
      <c r="A922" s="207">
        <v>70.0</v>
      </c>
      <c r="B922" s="6" t="str">
        <f>VLOOKUP($A922, 'Completion rates'!$A:$E, 2, FALSE)</f>
        <v>Opening medium caskets</v>
      </c>
      <c r="C922" s="207">
        <v>12339.0</v>
      </c>
      <c r="D922" s="6" t="str">
        <f>VLOOKUP($C922, 'List of log slots'!$A:$E, 2, FALSE)</f>
        <v>Pink elegant blouse</v>
      </c>
      <c r="E922" s="207">
        <f>VLOOKUP($C922, 'List of log slots'!$A:$E, 5, FALSE)</f>
        <v>5</v>
      </c>
      <c r="F922" s="209" t="b">
        <f>VLOOKUP(C922, 'List of log slots'!$A:$C, 3, FALSE)</f>
        <v>0</v>
      </c>
      <c r="G922" s="209" t="b">
        <f t="shared" si="560"/>
        <v>0</v>
      </c>
      <c r="H922" s="210" t="b">
        <f t="shared" si="7"/>
        <v>1</v>
      </c>
      <c r="I922" s="208" t="b">
        <f t="shared" ref="I922:J922" si="665">FALSE</f>
        <v>0</v>
      </c>
      <c r="J922" s="208" t="b">
        <f t="shared" si="665"/>
        <v>0</v>
      </c>
      <c r="K922" s="214">
        <v>566.0</v>
      </c>
      <c r="L922" s="212" t="str">
        <f t="shared" si="3"/>
        <v>n/a</v>
      </c>
      <c r="M922" s="212" t="str">
        <f t="shared" si="4"/>
        <v>n/a</v>
      </c>
      <c r="N922" s="207" t="str">
        <f t="shared" si="5"/>
        <v>n/a</v>
      </c>
      <c r="O922" s="207">
        <f t="shared" si="6"/>
        <v>0.001766784452</v>
      </c>
    </row>
    <row r="923" ht="15.75" customHeight="1">
      <c r="A923" s="207">
        <v>70.0</v>
      </c>
      <c r="B923" s="6" t="str">
        <f>VLOOKUP($A923, 'Completion rates'!$A:$E, 2, FALSE)</f>
        <v>Opening medium caskets</v>
      </c>
      <c r="C923" s="207">
        <v>12317.0</v>
      </c>
      <c r="D923" s="6" t="str">
        <f>VLOOKUP($C923, 'List of log slots'!$A:$E, 2, FALSE)</f>
        <v>Pink elegant legs</v>
      </c>
      <c r="E923" s="207">
        <f>VLOOKUP($C923, 'List of log slots'!$A:$E, 5, FALSE)</f>
        <v>5</v>
      </c>
      <c r="F923" s="209" t="b">
        <f>VLOOKUP(C923, 'List of log slots'!$A:$C, 3, FALSE)</f>
        <v>0</v>
      </c>
      <c r="G923" s="209" t="b">
        <f t="shared" si="560"/>
        <v>0</v>
      </c>
      <c r="H923" s="210" t="b">
        <f t="shared" si="7"/>
        <v>1</v>
      </c>
      <c r="I923" s="208" t="b">
        <f t="shared" ref="I923:J923" si="666">FALSE</f>
        <v>0</v>
      </c>
      <c r="J923" s="208" t="b">
        <f t="shared" si="666"/>
        <v>0</v>
      </c>
      <c r="K923" s="214">
        <v>566.0</v>
      </c>
      <c r="L923" s="212" t="str">
        <f t="shared" si="3"/>
        <v>n/a</v>
      </c>
      <c r="M923" s="212" t="str">
        <f t="shared" si="4"/>
        <v>n/a</v>
      </c>
      <c r="N923" s="207" t="str">
        <f t="shared" si="5"/>
        <v>n/a</v>
      </c>
      <c r="O923" s="207">
        <f t="shared" si="6"/>
        <v>0.001766784452</v>
      </c>
    </row>
    <row r="924" ht="15.75" customHeight="1">
      <c r="A924" s="207">
        <v>70.0</v>
      </c>
      <c r="B924" s="6" t="str">
        <f>VLOOKUP($A924, 'Completion rates'!$A:$E, 2, FALSE)</f>
        <v>Opening medium caskets</v>
      </c>
      <c r="C924" s="207">
        <v>12341.0</v>
      </c>
      <c r="D924" s="6" t="str">
        <f>VLOOKUP($C924, 'List of log slots'!$A:$E, 2, FALSE)</f>
        <v>Pink elegant skirt</v>
      </c>
      <c r="E924" s="207">
        <f>VLOOKUP($C924, 'List of log slots'!$A:$E, 5, FALSE)</f>
        <v>5</v>
      </c>
      <c r="F924" s="209" t="b">
        <f>VLOOKUP(C924, 'List of log slots'!$A:$C, 3, FALSE)</f>
        <v>0</v>
      </c>
      <c r="G924" s="209" t="b">
        <f t="shared" si="560"/>
        <v>0</v>
      </c>
      <c r="H924" s="210" t="b">
        <f t="shared" si="7"/>
        <v>1</v>
      </c>
      <c r="I924" s="208" t="b">
        <f t="shared" ref="I924:J924" si="667">FALSE</f>
        <v>0</v>
      </c>
      <c r="J924" s="208" t="b">
        <f t="shared" si="667"/>
        <v>0</v>
      </c>
      <c r="K924" s="214">
        <v>566.0</v>
      </c>
      <c r="L924" s="212" t="str">
        <f t="shared" si="3"/>
        <v>n/a</v>
      </c>
      <c r="M924" s="212" t="str">
        <f t="shared" si="4"/>
        <v>n/a</v>
      </c>
      <c r="N924" s="207" t="str">
        <f t="shared" si="5"/>
        <v>n/a</v>
      </c>
      <c r="O924" s="207">
        <f t="shared" si="6"/>
        <v>0.001766784452</v>
      </c>
    </row>
    <row r="925" ht="15.75" customHeight="1">
      <c r="A925" s="207">
        <v>70.0</v>
      </c>
      <c r="B925" s="6" t="str">
        <f>VLOOKUP($A925, 'Completion rates'!$A:$E, 2, FALSE)</f>
        <v>Opening medium caskets</v>
      </c>
      <c r="C925" s="207">
        <v>12347.0</v>
      </c>
      <c r="D925" s="6" t="str">
        <f>VLOOKUP($C925, 'List of log slots'!$A:$E, 2, FALSE)</f>
        <v>Gold elegant shirt</v>
      </c>
      <c r="E925" s="207">
        <f>VLOOKUP($C925, 'List of log slots'!$A:$E, 5, FALSE)</f>
        <v>5</v>
      </c>
      <c r="F925" s="209" t="b">
        <f>VLOOKUP(C925, 'List of log slots'!$A:$C, 3, FALSE)</f>
        <v>0</v>
      </c>
      <c r="G925" s="209" t="b">
        <f t="shared" si="560"/>
        <v>0</v>
      </c>
      <c r="H925" s="210" t="b">
        <f t="shared" si="7"/>
        <v>1</v>
      </c>
      <c r="I925" s="208" t="b">
        <f t="shared" ref="I925:J925" si="668">FALSE</f>
        <v>0</v>
      </c>
      <c r="J925" s="208" t="b">
        <f t="shared" si="668"/>
        <v>0</v>
      </c>
      <c r="K925" s="214">
        <v>566.0</v>
      </c>
      <c r="L925" s="212" t="str">
        <f t="shared" si="3"/>
        <v>n/a</v>
      </c>
      <c r="M925" s="212" t="str">
        <f t="shared" si="4"/>
        <v>n/a</v>
      </c>
      <c r="N925" s="207" t="str">
        <f t="shared" si="5"/>
        <v>n/a</v>
      </c>
      <c r="O925" s="207">
        <f t="shared" si="6"/>
        <v>0.001766784452</v>
      </c>
    </row>
    <row r="926" ht="15.75" customHeight="1">
      <c r="A926" s="207">
        <v>70.0</v>
      </c>
      <c r="B926" s="6" t="str">
        <f>VLOOKUP($A926, 'Completion rates'!$A:$E, 2, FALSE)</f>
        <v>Opening medium caskets</v>
      </c>
      <c r="C926" s="207">
        <v>12343.0</v>
      </c>
      <c r="D926" s="6" t="str">
        <f>VLOOKUP($C926, 'List of log slots'!$A:$E, 2, FALSE)</f>
        <v>Gold elegant blouse</v>
      </c>
      <c r="E926" s="207">
        <f>VLOOKUP($C926, 'List of log slots'!$A:$E, 5, FALSE)</f>
        <v>5</v>
      </c>
      <c r="F926" s="209" t="b">
        <f>VLOOKUP(C926, 'List of log slots'!$A:$C, 3, FALSE)</f>
        <v>0</v>
      </c>
      <c r="G926" s="209" t="b">
        <f t="shared" si="560"/>
        <v>0</v>
      </c>
      <c r="H926" s="210" t="b">
        <f t="shared" si="7"/>
        <v>1</v>
      </c>
      <c r="I926" s="208" t="b">
        <f t="shared" ref="I926:J926" si="669">FALSE</f>
        <v>0</v>
      </c>
      <c r="J926" s="208" t="b">
        <f t="shared" si="669"/>
        <v>0</v>
      </c>
      <c r="K926" s="214">
        <v>566.0</v>
      </c>
      <c r="L926" s="212" t="str">
        <f t="shared" si="3"/>
        <v>n/a</v>
      </c>
      <c r="M926" s="212" t="str">
        <f t="shared" si="4"/>
        <v>n/a</v>
      </c>
      <c r="N926" s="207" t="str">
        <f t="shared" si="5"/>
        <v>n/a</v>
      </c>
      <c r="O926" s="207">
        <f t="shared" si="6"/>
        <v>0.001766784452</v>
      </c>
    </row>
    <row r="927" ht="15.75" customHeight="1">
      <c r="A927" s="207">
        <v>70.0</v>
      </c>
      <c r="B927" s="6" t="str">
        <f>VLOOKUP($A927, 'Completion rates'!$A:$E, 2, FALSE)</f>
        <v>Opening medium caskets</v>
      </c>
      <c r="C927" s="207">
        <v>12349.0</v>
      </c>
      <c r="D927" s="6" t="str">
        <f>VLOOKUP($C927, 'List of log slots'!$A:$E, 2, FALSE)</f>
        <v>Gold elegant legs</v>
      </c>
      <c r="E927" s="207">
        <f>VLOOKUP($C927, 'List of log slots'!$A:$E, 5, FALSE)</f>
        <v>5</v>
      </c>
      <c r="F927" s="209" t="b">
        <f>VLOOKUP(C927, 'List of log slots'!$A:$C, 3, FALSE)</f>
        <v>0</v>
      </c>
      <c r="G927" s="209" t="b">
        <f t="shared" si="560"/>
        <v>0</v>
      </c>
      <c r="H927" s="210" t="b">
        <f t="shared" si="7"/>
        <v>1</v>
      </c>
      <c r="I927" s="208" t="b">
        <f t="shared" ref="I927:J927" si="670">FALSE</f>
        <v>0</v>
      </c>
      <c r="J927" s="208" t="b">
        <f t="shared" si="670"/>
        <v>0</v>
      </c>
      <c r="K927" s="214">
        <v>566.0</v>
      </c>
      <c r="L927" s="212" t="str">
        <f t="shared" si="3"/>
        <v>n/a</v>
      </c>
      <c r="M927" s="212" t="str">
        <f t="shared" si="4"/>
        <v>n/a</v>
      </c>
      <c r="N927" s="207" t="str">
        <f t="shared" si="5"/>
        <v>n/a</v>
      </c>
      <c r="O927" s="207">
        <f t="shared" si="6"/>
        <v>0.001766784452</v>
      </c>
    </row>
    <row r="928" ht="15.75" customHeight="1">
      <c r="A928" s="207">
        <v>70.0</v>
      </c>
      <c r="B928" s="6" t="str">
        <f>VLOOKUP($A928, 'Completion rates'!$A:$E, 2, FALSE)</f>
        <v>Opening medium caskets</v>
      </c>
      <c r="C928" s="207">
        <v>12345.0</v>
      </c>
      <c r="D928" s="6" t="str">
        <f>VLOOKUP($C928, 'List of log slots'!$A:$E, 2, FALSE)</f>
        <v>Gold elegant skirt</v>
      </c>
      <c r="E928" s="207">
        <f>VLOOKUP($C928, 'List of log slots'!$A:$E, 5, FALSE)</f>
        <v>5</v>
      </c>
      <c r="F928" s="209" t="b">
        <f>VLOOKUP(C928, 'List of log slots'!$A:$C, 3, FALSE)</f>
        <v>0</v>
      </c>
      <c r="G928" s="209" t="b">
        <f t="shared" si="560"/>
        <v>0</v>
      </c>
      <c r="H928" s="210" t="b">
        <f t="shared" si="7"/>
        <v>1</v>
      </c>
      <c r="I928" s="208" t="b">
        <f t="shared" ref="I928:J928" si="671">FALSE</f>
        <v>0</v>
      </c>
      <c r="J928" s="208" t="b">
        <f t="shared" si="671"/>
        <v>0</v>
      </c>
      <c r="K928" s="214">
        <v>566.0</v>
      </c>
      <c r="L928" s="212" t="str">
        <f t="shared" si="3"/>
        <v>n/a</v>
      </c>
      <c r="M928" s="212" t="str">
        <f t="shared" si="4"/>
        <v>n/a</v>
      </c>
      <c r="N928" s="207" t="str">
        <f t="shared" si="5"/>
        <v>n/a</v>
      </c>
      <c r="O928" s="207">
        <f t="shared" si="6"/>
        <v>0.001766784452</v>
      </c>
    </row>
    <row r="929" ht="15.75" customHeight="1">
      <c r="A929" s="207">
        <v>70.0</v>
      </c>
      <c r="B929" s="6" t="str">
        <f>VLOOKUP($A929, 'Completion rates'!$A:$E, 2, FALSE)</f>
        <v>Opening medium caskets</v>
      </c>
      <c r="C929" s="207">
        <v>20275.0</v>
      </c>
      <c r="D929" s="6" t="str">
        <f>VLOOKUP($C929, 'List of log slots'!$A:$E, 2, FALSE)</f>
        <v>Gnomish firelighter</v>
      </c>
      <c r="E929" s="207">
        <f>VLOOKUP($C929, 'List of log slots'!$A:$E, 5, FALSE)</f>
        <v>4</v>
      </c>
      <c r="F929" s="210" t="b">
        <f>VLOOKUP(C929, 'List of log slots'!$A:$C, 3, FALSE)</f>
        <v>0</v>
      </c>
      <c r="G929" s="209" t="b">
        <f t="shared" si="560"/>
        <v>0</v>
      </c>
      <c r="H929" s="209" t="b">
        <f t="shared" si="7"/>
        <v>1</v>
      </c>
      <c r="I929" s="208" t="b">
        <f t="shared" ref="I929:J929" si="672">FALSE</f>
        <v>0</v>
      </c>
      <c r="J929" s="208" t="b">
        <f t="shared" si="672"/>
        <v>0</v>
      </c>
      <c r="K929" s="214">
        <v>85.0</v>
      </c>
      <c r="L929" s="212" t="str">
        <f t="shared" si="3"/>
        <v>n/a</v>
      </c>
      <c r="M929" s="212" t="str">
        <f t="shared" si="4"/>
        <v>n/a</v>
      </c>
      <c r="N929" s="207" t="str">
        <f t="shared" si="5"/>
        <v>n/a</v>
      </c>
      <c r="O929" s="207">
        <f t="shared" si="6"/>
        <v>0.01176470588</v>
      </c>
    </row>
    <row r="930" ht="15.75" customHeight="1">
      <c r="A930" s="207">
        <v>70.0</v>
      </c>
      <c r="B930" s="6" t="str">
        <f>VLOOKUP($A930, 'Completion rates'!$A:$E, 2, FALSE)</f>
        <v>Opening medium caskets</v>
      </c>
      <c r="C930" s="207">
        <v>10364.0</v>
      </c>
      <c r="D930" s="6" t="str">
        <f>VLOOKUP($C930, 'List of log slots'!$A:$E, 2, FALSE)</f>
        <v>Strength amulet (t)</v>
      </c>
      <c r="E930" s="207">
        <f>VLOOKUP($C930, 'List of log slots'!$A:$E, 5, FALSE)</f>
        <v>4</v>
      </c>
      <c r="F930" s="210" t="b">
        <f>VLOOKUP(C930, 'List of log slots'!$A:$C, 3, FALSE)</f>
        <v>0</v>
      </c>
      <c r="G930" s="209" t="b">
        <f t="shared" si="560"/>
        <v>0</v>
      </c>
      <c r="H930" s="209" t="b">
        <f t="shared" si="7"/>
        <v>1</v>
      </c>
      <c r="I930" s="208" t="b">
        <f t="shared" ref="I930:J930" si="673">FALSE</f>
        <v>0</v>
      </c>
      <c r="J930" s="208" t="b">
        <f t="shared" si="673"/>
        <v>0</v>
      </c>
      <c r="K930" s="214">
        <v>85.0</v>
      </c>
      <c r="L930" s="212" t="str">
        <f t="shared" si="3"/>
        <v>n/a</v>
      </c>
      <c r="M930" s="212" t="str">
        <f t="shared" si="4"/>
        <v>n/a</v>
      </c>
      <c r="N930" s="207" t="str">
        <f t="shared" si="5"/>
        <v>n/a</v>
      </c>
      <c r="O930" s="207">
        <f t="shared" si="6"/>
        <v>0.01176470588</v>
      </c>
    </row>
    <row r="931" ht="15.75" customHeight="1">
      <c r="A931" s="207">
        <v>70.0</v>
      </c>
      <c r="B931" s="6" t="str">
        <f>VLOOKUP($A931, 'Completion rates'!$A:$E, 2, FALSE)</f>
        <v>Opening medium caskets</v>
      </c>
      <c r="C931" s="207">
        <v>10282.0</v>
      </c>
      <c r="D931" s="6" t="str">
        <f>VLOOKUP($C931, 'List of log slots'!$A:$E, 2, FALSE)</f>
        <v>Yew comp bow</v>
      </c>
      <c r="E931" s="207">
        <f>VLOOKUP($C931, 'List of log slots'!$A:$E, 5, FALSE)</f>
        <v>5</v>
      </c>
      <c r="F931" s="210" t="b">
        <f>VLOOKUP(C931, 'List of log slots'!$A:$C, 3, FALSE)</f>
        <v>0</v>
      </c>
      <c r="G931" s="209" t="b">
        <f t="shared" si="560"/>
        <v>0</v>
      </c>
      <c r="H931" s="209" t="b">
        <f t="shared" si="7"/>
        <v>1</v>
      </c>
      <c r="I931" s="208" t="b">
        <f t="shared" ref="I931:J931" si="674">FALSE</f>
        <v>0</v>
      </c>
      <c r="J931" s="208" t="b">
        <f t="shared" si="674"/>
        <v>0</v>
      </c>
      <c r="K931" s="214">
        <v>85.0</v>
      </c>
      <c r="L931" s="212" t="str">
        <f t="shared" si="3"/>
        <v>n/a</v>
      </c>
      <c r="M931" s="212" t="str">
        <f t="shared" si="4"/>
        <v>n/a</v>
      </c>
      <c r="N931" s="207" t="str">
        <f t="shared" si="5"/>
        <v>n/a</v>
      </c>
      <c r="O931" s="207">
        <f t="shared" si="6"/>
        <v>0.01176470588</v>
      </c>
    </row>
    <row r="932" ht="15.75" customHeight="1">
      <c r="A932" s="207">
        <v>70.0</v>
      </c>
      <c r="B932" s="6" t="str">
        <f>VLOOKUP($A932, 'Completion rates'!$A:$E, 2, FALSE)</f>
        <v>Opening medium caskets</v>
      </c>
      <c r="C932" s="207">
        <v>3827.0</v>
      </c>
      <c r="D932" s="6" t="str">
        <f>VLOOKUP($C932, 'List of log slots'!$A:$E, 2, FALSE)</f>
        <v>Saradomin page 1</v>
      </c>
      <c r="E932" s="207">
        <f>VLOOKUP($C932, 'List of log slots'!$A:$E, 5, FALSE)</f>
        <v>2</v>
      </c>
      <c r="F932" s="210" t="b">
        <f>VLOOKUP(C932, 'List of log slots'!$A:$C, 3, FALSE)</f>
        <v>0</v>
      </c>
      <c r="G932" s="209" t="b">
        <f t="shared" si="560"/>
        <v>0</v>
      </c>
      <c r="H932" s="209" t="b">
        <f t="shared" si="7"/>
        <v>1</v>
      </c>
      <c r="I932" s="208" t="b">
        <f t="shared" ref="I932:J932" si="675">FALSE</f>
        <v>0</v>
      </c>
      <c r="J932" s="208" t="b">
        <f t="shared" si="675"/>
        <v>0</v>
      </c>
      <c r="K932" s="214">
        <v>205.0</v>
      </c>
      <c r="L932" s="212" t="str">
        <f t="shared" si="3"/>
        <v>n/a</v>
      </c>
      <c r="M932" s="212" t="str">
        <f t="shared" si="4"/>
        <v>n/a</v>
      </c>
      <c r="N932" s="207" t="str">
        <f t="shared" si="5"/>
        <v>n/a</v>
      </c>
      <c r="O932" s="207">
        <f t="shared" si="6"/>
        <v>0.00487804878</v>
      </c>
    </row>
    <row r="933" ht="15.75" customHeight="1">
      <c r="A933" s="207">
        <v>70.0</v>
      </c>
      <c r="B933" s="6" t="str">
        <f>VLOOKUP($A933, 'Completion rates'!$A:$E, 2, FALSE)</f>
        <v>Opening medium caskets</v>
      </c>
      <c r="C933" s="207">
        <v>3831.0</v>
      </c>
      <c r="D933" s="6" t="str">
        <f>VLOOKUP($C933, 'List of log slots'!$A:$E, 2, FALSE)</f>
        <v>Zamorak page 1</v>
      </c>
      <c r="E933" s="207">
        <f>VLOOKUP($C933, 'List of log slots'!$A:$E, 5, FALSE)</f>
        <v>2</v>
      </c>
      <c r="F933" s="210" t="b">
        <f>VLOOKUP(C933, 'List of log slots'!$A:$C, 3, FALSE)</f>
        <v>0</v>
      </c>
      <c r="G933" s="209" t="b">
        <f t="shared" si="560"/>
        <v>0</v>
      </c>
      <c r="H933" s="209" t="b">
        <f t="shared" si="7"/>
        <v>1</v>
      </c>
      <c r="I933" s="208" t="b">
        <f t="shared" ref="I933:J933" si="676">FALSE</f>
        <v>0</v>
      </c>
      <c r="J933" s="208" t="b">
        <f t="shared" si="676"/>
        <v>0</v>
      </c>
      <c r="K933" s="214">
        <v>205.0</v>
      </c>
      <c r="L933" s="212" t="str">
        <f t="shared" si="3"/>
        <v>n/a</v>
      </c>
      <c r="M933" s="212" t="str">
        <f t="shared" si="4"/>
        <v>n/a</v>
      </c>
      <c r="N933" s="207" t="str">
        <f t="shared" si="5"/>
        <v>n/a</v>
      </c>
      <c r="O933" s="207">
        <f t="shared" si="6"/>
        <v>0.00487804878</v>
      </c>
    </row>
    <row r="934" ht="15.75" customHeight="1">
      <c r="A934" s="207">
        <v>70.0</v>
      </c>
      <c r="B934" s="6" t="str">
        <f>VLOOKUP($A934, 'Completion rates'!$A:$E, 2, FALSE)</f>
        <v>Opening medium caskets</v>
      </c>
      <c r="C934" s="207">
        <v>3835.0</v>
      </c>
      <c r="D934" s="6" t="str">
        <f>VLOOKUP($C934, 'List of log slots'!$A:$E, 2, FALSE)</f>
        <v>Guthix page 1</v>
      </c>
      <c r="E934" s="207">
        <f>VLOOKUP($C934, 'List of log slots'!$A:$E, 5, FALSE)</f>
        <v>2</v>
      </c>
      <c r="F934" s="210" t="b">
        <f>VLOOKUP(C934, 'List of log slots'!$A:$C, 3, FALSE)</f>
        <v>0</v>
      </c>
      <c r="G934" s="209" t="b">
        <f t="shared" si="560"/>
        <v>0</v>
      </c>
      <c r="H934" s="209" t="b">
        <f t="shared" si="7"/>
        <v>1</v>
      </c>
      <c r="I934" s="208" t="b">
        <f t="shared" ref="I934:J934" si="677">FALSE</f>
        <v>0</v>
      </c>
      <c r="J934" s="208" t="b">
        <f t="shared" si="677"/>
        <v>0</v>
      </c>
      <c r="K934" s="214">
        <v>205.0</v>
      </c>
      <c r="L934" s="212" t="str">
        <f t="shared" si="3"/>
        <v>n/a</v>
      </c>
      <c r="M934" s="212" t="str">
        <f t="shared" si="4"/>
        <v>n/a</v>
      </c>
      <c r="N934" s="207" t="str">
        <f t="shared" si="5"/>
        <v>n/a</v>
      </c>
      <c r="O934" s="207">
        <f t="shared" si="6"/>
        <v>0.00487804878</v>
      </c>
    </row>
    <row r="935" ht="15.75" customHeight="1">
      <c r="A935" s="207">
        <v>70.0</v>
      </c>
      <c r="B935" s="6" t="str">
        <f>VLOOKUP($A935, 'Completion rates'!$A:$E, 2, FALSE)</f>
        <v>Opening medium caskets</v>
      </c>
      <c r="C935" s="207">
        <v>12613.0</v>
      </c>
      <c r="D935" s="6" t="str">
        <f>VLOOKUP($C935, 'List of log slots'!$A:$E, 2, FALSE)</f>
        <v>Bandos page 1</v>
      </c>
      <c r="E935" s="207">
        <f>VLOOKUP($C935, 'List of log slots'!$A:$E, 5, FALSE)</f>
        <v>2</v>
      </c>
      <c r="F935" s="210" t="b">
        <f>VLOOKUP(C935, 'List of log slots'!$A:$C, 3, FALSE)</f>
        <v>0</v>
      </c>
      <c r="G935" s="209" t="b">
        <f t="shared" si="560"/>
        <v>0</v>
      </c>
      <c r="H935" s="209" t="b">
        <f t="shared" si="7"/>
        <v>1</v>
      </c>
      <c r="I935" s="208" t="b">
        <f t="shared" ref="I935:J935" si="678">FALSE</f>
        <v>0</v>
      </c>
      <c r="J935" s="208" t="b">
        <f t="shared" si="678"/>
        <v>0</v>
      </c>
      <c r="K935" s="214">
        <v>205.0</v>
      </c>
      <c r="L935" s="212" t="str">
        <f t="shared" si="3"/>
        <v>n/a</v>
      </c>
      <c r="M935" s="212" t="str">
        <f t="shared" si="4"/>
        <v>n/a</v>
      </c>
      <c r="N935" s="207" t="str">
        <f t="shared" si="5"/>
        <v>n/a</v>
      </c>
      <c r="O935" s="207">
        <f t="shared" si="6"/>
        <v>0.00487804878</v>
      </c>
    </row>
    <row r="936" ht="15.75" customHeight="1">
      <c r="A936" s="207">
        <v>70.0</v>
      </c>
      <c r="B936" s="6" t="str">
        <f>VLOOKUP($A936, 'Completion rates'!$A:$E, 2, FALSE)</f>
        <v>Opening medium caskets</v>
      </c>
      <c r="C936" s="207">
        <v>12617.0</v>
      </c>
      <c r="D936" s="6" t="str">
        <f>VLOOKUP($C936, 'List of log slots'!$A:$E, 2, FALSE)</f>
        <v>Armadyl page 1</v>
      </c>
      <c r="E936" s="207">
        <f>VLOOKUP($C936, 'List of log slots'!$A:$E, 5, FALSE)</f>
        <v>2</v>
      </c>
      <c r="F936" s="210" t="b">
        <f>VLOOKUP(C936, 'List of log slots'!$A:$C, 3, FALSE)</f>
        <v>0</v>
      </c>
      <c r="G936" s="209" t="b">
        <f t="shared" si="560"/>
        <v>0</v>
      </c>
      <c r="H936" s="209" t="b">
        <f t="shared" si="7"/>
        <v>1</v>
      </c>
      <c r="I936" s="208" t="b">
        <f t="shared" ref="I936:J936" si="679">FALSE</f>
        <v>0</v>
      </c>
      <c r="J936" s="208" t="b">
        <f t="shared" si="679"/>
        <v>0</v>
      </c>
      <c r="K936" s="214">
        <v>205.0</v>
      </c>
      <c r="L936" s="212" t="str">
        <f t="shared" si="3"/>
        <v>n/a</v>
      </c>
      <c r="M936" s="212" t="str">
        <f t="shared" si="4"/>
        <v>n/a</v>
      </c>
      <c r="N936" s="207" t="str">
        <f t="shared" si="5"/>
        <v>n/a</v>
      </c>
      <c r="O936" s="207">
        <f t="shared" si="6"/>
        <v>0.00487804878</v>
      </c>
    </row>
    <row r="937" ht="15.75" customHeight="1">
      <c r="A937" s="207">
        <v>70.0</v>
      </c>
      <c r="B937" s="6" t="str">
        <f>VLOOKUP($A937, 'Completion rates'!$A:$E, 2, FALSE)</f>
        <v>Opening medium caskets</v>
      </c>
      <c r="C937" s="207">
        <v>12621.0</v>
      </c>
      <c r="D937" s="6" t="str">
        <f>VLOOKUP($C937, 'List of log slots'!$A:$E, 2, FALSE)</f>
        <v>Ancient page 1</v>
      </c>
      <c r="E937" s="207">
        <f>VLOOKUP($C937, 'List of log slots'!$A:$E, 5, FALSE)</f>
        <v>2</v>
      </c>
      <c r="F937" s="210" t="b">
        <f>VLOOKUP(C937, 'List of log slots'!$A:$C, 3, FALSE)</f>
        <v>0</v>
      </c>
      <c r="G937" s="209" t="b">
        <f t="shared" si="560"/>
        <v>0</v>
      </c>
      <c r="H937" s="209" t="b">
        <f t="shared" si="7"/>
        <v>1</v>
      </c>
      <c r="I937" s="208" t="b">
        <f t="shared" ref="I937:J937" si="680">FALSE</f>
        <v>0</v>
      </c>
      <c r="J937" s="208" t="b">
        <f t="shared" si="680"/>
        <v>0</v>
      </c>
      <c r="K937" s="214">
        <v>205.0</v>
      </c>
      <c r="L937" s="212" t="str">
        <f t="shared" si="3"/>
        <v>n/a</v>
      </c>
      <c r="M937" s="212" t="str">
        <f t="shared" si="4"/>
        <v>n/a</v>
      </c>
      <c r="N937" s="207" t="str">
        <f t="shared" si="5"/>
        <v>n/a</v>
      </c>
      <c r="O937" s="207">
        <f t="shared" si="6"/>
        <v>0.00487804878</v>
      </c>
    </row>
    <row r="938" ht="15.75" customHeight="1">
      <c r="A938" s="207">
        <v>70.0</v>
      </c>
      <c r="B938" s="6" t="str">
        <f>VLOOKUP($A938, 'Completion rates'!$A:$E, 2, FALSE)</f>
        <v>Opening medium caskets</v>
      </c>
      <c r="C938" s="207">
        <v>3828.0</v>
      </c>
      <c r="D938" s="6" t="str">
        <f>VLOOKUP($C938, 'List of log slots'!$A:$E, 2, FALSE)</f>
        <v>Saradomin page 2</v>
      </c>
      <c r="E938" s="207">
        <f>VLOOKUP($C938, 'List of log slots'!$A:$E, 5, FALSE)</f>
        <v>2</v>
      </c>
      <c r="F938" s="210" t="b">
        <f>VLOOKUP(C938, 'List of log slots'!$A:$C, 3, FALSE)</f>
        <v>0</v>
      </c>
      <c r="G938" s="209" t="b">
        <f t="shared" si="560"/>
        <v>0</v>
      </c>
      <c r="H938" s="209" t="b">
        <f t="shared" si="7"/>
        <v>1</v>
      </c>
      <c r="I938" s="208" t="b">
        <f t="shared" ref="I938:J938" si="681">FALSE</f>
        <v>0</v>
      </c>
      <c r="J938" s="208" t="b">
        <f t="shared" si="681"/>
        <v>0</v>
      </c>
      <c r="K938" s="214">
        <v>205.0</v>
      </c>
      <c r="L938" s="212" t="str">
        <f t="shared" si="3"/>
        <v>n/a</v>
      </c>
      <c r="M938" s="212" t="str">
        <f t="shared" si="4"/>
        <v>n/a</v>
      </c>
      <c r="N938" s="207" t="str">
        <f t="shared" si="5"/>
        <v>n/a</v>
      </c>
      <c r="O938" s="207">
        <f t="shared" si="6"/>
        <v>0.00487804878</v>
      </c>
    </row>
    <row r="939" ht="15.75" customHeight="1">
      <c r="A939" s="207">
        <v>70.0</v>
      </c>
      <c r="B939" s="6" t="str">
        <f>VLOOKUP($A939, 'Completion rates'!$A:$E, 2, FALSE)</f>
        <v>Opening medium caskets</v>
      </c>
      <c r="C939" s="207">
        <v>3832.0</v>
      </c>
      <c r="D939" s="6" t="str">
        <f>VLOOKUP($C939, 'List of log slots'!$A:$E, 2, FALSE)</f>
        <v>Zamorak page 2</v>
      </c>
      <c r="E939" s="207">
        <f>VLOOKUP($C939, 'List of log slots'!$A:$E, 5, FALSE)</f>
        <v>2</v>
      </c>
      <c r="F939" s="210" t="b">
        <f>VLOOKUP(C939, 'List of log slots'!$A:$C, 3, FALSE)</f>
        <v>0</v>
      </c>
      <c r="G939" s="209" t="b">
        <f t="shared" si="560"/>
        <v>0</v>
      </c>
      <c r="H939" s="209" t="b">
        <f t="shared" si="7"/>
        <v>1</v>
      </c>
      <c r="I939" s="208" t="b">
        <f t="shared" ref="I939:J939" si="682">FALSE</f>
        <v>0</v>
      </c>
      <c r="J939" s="208" t="b">
        <f t="shared" si="682"/>
        <v>0</v>
      </c>
      <c r="K939" s="214">
        <v>205.0</v>
      </c>
      <c r="L939" s="212" t="str">
        <f t="shared" si="3"/>
        <v>n/a</v>
      </c>
      <c r="M939" s="212" t="str">
        <f t="shared" si="4"/>
        <v>n/a</v>
      </c>
      <c r="N939" s="207" t="str">
        <f t="shared" si="5"/>
        <v>n/a</v>
      </c>
      <c r="O939" s="207">
        <f t="shared" si="6"/>
        <v>0.00487804878</v>
      </c>
    </row>
    <row r="940" ht="15.75" customHeight="1">
      <c r="A940" s="207">
        <v>70.0</v>
      </c>
      <c r="B940" s="6" t="str">
        <f>VLOOKUP($A940, 'Completion rates'!$A:$E, 2, FALSE)</f>
        <v>Opening medium caskets</v>
      </c>
      <c r="C940" s="207">
        <v>3836.0</v>
      </c>
      <c r="D940" s="6" t="str">
        <f>VLOOKUP($C940, 'List of log slots'!$A:$E, 2, FALSE)</f>
        <v>Guthix page 2</v>
      </c>
      <c r="E940" s="207">
        <f>VLOOKUP($C940, 'List of log slots'!$A:$E, 5, FALSE)</f>
        <v>2</v>
      </c>
      <c r="F940" s="209" t="b">
        <f>VLOOKUP(C940, 'List of log slots'!$A:$C, 3, FALSE)</f>
        <v>0</v>
      </c>
      <c r="G940" s="209" t="b">
        <f t="shared" si="560"/>
        <v>0</v>
      </c>
      <c r="H940" s="210" t="b">
        <f t="shared" si="7"/>
        <v>1</v>
      </c>
      <c r="I940" s="208" t="b">
        <f t="shared" ref="I940:J940" si="683">FALSE</f>
        <v>0</v>
      </c>
      <c r="J940" s="208" t="b">
        <f t="shared" si="683"/>
        <v>0</v>
      </c>
      <c r="K940" s="214">
        <v>205.0</v>
      </c>
      <c r="L940" s="212" t="str">
        <f t="shared" si="3"/>
        <v>n/a</v>
      </c>
      <c r="M940" s="212" t="str">
        <f t="shared" si="4"/>
        <v>n/a</v>
      </c>
      <c r="N940" s="207" t="str">
        <f t="shared" si="5"/>
        <v>n/a</v>
      </c>
      <c r="O940" s="207">
        <f t="shared" si="6"/>
        <v>0.00487804878</v>
      </c>
    </row>
    <row r="941" ht="15.75" customHeight="1">
      <c r="A941" s="207">
        <v>70.0</v>
      </c>
      <c r="B941" s="6" t="str">
        <f>VLOOKUP($A941, 'Completion rates'!$A:$E, 2, FALSE)</f>
        <v>Opening medium caskets</v>
      </c>
      <c r="C941" s="207">
        <v>12614.0</v>
      </c>
      <c r="D941" s="6" t="str">
        <f>VLOOKUP($C941, 'List of log slots'!$A:$E, 2, FALSE)</f>
        <v>Bandos page 2</v>
      </c>
      <c r="E941" s="207">
        <f>VLOOKUP($C941, 'List of log slots'!$A:$E, 5, FALSE)</f>
        <v>2</v>
      </c>
      <c r="F941" s="210" t="b">
        <f>VLOOKUP(C941, 'List of log slots'!$A:$C, 3, FALSE)</f>
        <v>0</v>
      </c>
      <c r="G941" s="209" t="b">
        <f t="shared" si="560"/>
        <v>0</v>
      </c>
      <c r="H941" s="209" t="b">
        <f t="shared" si="7"/>
        <v>1</v>
      </c>
      <c r="I941" s="208" t="b">
        <f t="shared" ref="I941:J941" si="684">FALSE</f>
        <v>0</v>
      </c>
      <c r="J941" s="208" t="b">
        <f t="shared" si="684"/>
        <v>0</v>
      </c>
      <c r="K941" s="214">
        <v>205.0</v>
      </c>
      <c r="L941" s="212" t="str">
        <f t="shared" si="3"/>
        <v>n/a</v>
      </c>
      <c r="M941" s="212" t="str">
        <f t="shared" si="4"/>
        <v>n/a</v>
      </c>
      <c r="N941" s="207" t="str">
        <f t="shared" si="5"/>
        <v>n/a</v>
      </c>
      <c r="O941" s="207">
        <f t="shared" si="6"/>
        <v>0.00487804878</v>
      </c>
    </row>
    <row r="942" ht="15.75" customHeight="1">
      <c r="A942" s="207">
        <v>70.0</v>
      </c>
      <c r="B942" s="6" t="str">
        <f>VLOOKUP($A942, 'Completion rates'!$A:$E, 2, FALSE)</f>
        <v>Opening medium caskets</v>
      </c>
      <c r="C942" s="207">
        <v>12618.0</v>
      </c>
      <c r="D942" s="6" t="str">
        <f>VLOOKUP($C942, 'List of log slots'!$A:$E, 2, FALSE)</f>
        <v>Armadyl page 2</v>
      </c>
      <c r="E942" s="207">
        <f>VLOOKUP($C942, 'List of log slots'!$A:$E, 5, FALSE)</f>
        <v>2</v>
      </c>
      <c r="F942" s="210" t="b">
        <f>VLOOKUP(C942, 'List of log slots'!$A:$C, 3, FALSE)</f>
        <v>0</v>
      </c>
      <c r="G942" s="209" t="b">
        <f t="shared" si="560"/>
        <v>0</v>
      </c>
      <c r="H942" s="209" t="b">
        <f t="shared" si="7"/>
        <v>1</v>
      </c>
      <c r="I942" s="208" t="b">
        <f t="shared" ref="I942:J942" si="685">FALSE</f>
        <v>0</v>
      </c>
      <c r="J942" s="208" t="b">
        <f t="shared" si="685"/>
        <v>0</v>
      </c>
      <c r="K942" s="214">
        <v>205.0</v>
      </c>
      <c r="L942" s="212" t="str">
        <f t="shared" si="3"/>
        <v>n/a</v>
      </c>
      <c r="M942" s="212" t="str">
        <f t="shared" si="4"/>
        <v>n/a</v>
      </c>
      <c r="N942" s="207" t="str">
        <f t="shared" si="5"/>
        <v>n/a</v>
      </c>
      <c r="O942" s="207">
        <f t="shared" si="6"/>
        <v>0.00487804878</v>
      </c>
    </row>
    <row r="943" ht="15.75" customHeight="1">
      <c r="A943" s="207">
        <v>70.0</v>
      </c>
      <c r="B943" s="6" t="str">
        <f>VLOOKUP($A943, 'Completion rates'!$A:$E, 2, FALSE)</f>
        <v>Opening medium caskets</v>
      </c>
      <c r="C943" s="207">
        <v>12622.0</v>
      </c>
      <c r="D943" s="6" t="str">
        <f>VLOOKUP($C943, 'List of log slots'!$A:$E, 2, FALSE)</f>
        <v>Ancient page 2</v>
      </c>
      <c r="E943" s="207">
        <f>VLOOKUP($C943, 'List of log slots'!$A:$E, 5, FALSE)</f>
        <v>2</v>
      </c>
      <c r="F943" s="210" t="b">
        <f>VLOOKUP(C943, 'List of log slots'!$A:$C, 3, FALSE)</f>
        <v>0</v>
      </c>
      <c r="G943" s="209" t="b">
        <f t="shared" si="560"/>
        <v>0</v>
      </c>
      <c r="H943" s="209" t="b">
        <f t="shared" si="7"/>
        <v>1</v>
      </c>
      <c r="I943" s="208" t="b">
        <f t="shared" ref="I943:J943" si="686">FALSE</f>
        <v>0</v>
      </c>
      <c r="J943" s="208" t="b">
        <f t="shared" si="686"/>
        <v>0</v>
      </c>
      <c r="K943" s="214">
        <v>205.0</v>
      </c>
      <c r="L943" s="212" t="str">
        <f t="shared" si="3"/>
        <v>n/a</v>
      </c>
      <c r="M943" s="212" t="str">
        <f t="shared" si="4"/>
        <v>n/a</v>
      </c>
      <c r="N943" s="207" t="str">
        <f t="shared" si="5"/>
        <v>n/a</v>
      </c>
      <c r="O943" s="207">
        <f t="shared" si="6"/>
        <v>0.00487804878</v>
      </c>
    </row>
    <row r="944" ht="15.75" customHeight="1">
      <c r="A944" s="207">
        <v>70.0</v>
      </c>
      <c r="B944" s="6" t="str">
        <f>VLOOKUP($A944, 'Completion rates'!$A:$E, 2, FALSE)</f>
        <v>Opening medium caskets</v>
      </c>
      <c r="C944" s="207">
        <v>3829.0</v>
      </c>
      <c r="D944" s="6" t="str">
        <f>VLOOKUP($C944, 'List of log slots'!$A:$E, 2, FALSE)</f>
        <v>Saradomin page 3</v>
      </c>
      <c r="E944" s="207">
        <f>VLOOKUP($C944, 'List of log slots'!$A:$E, 5, FALSE)</f>
        <v>2</v>
      </c>
      <c r="F944" s="210" t="b">
        <f>VLOOKUP(C944, 'List of log slots'!$A:$C, 3, FALSE)</f>
        <v>0</v>
      </c>
      <c r="G944" s="209" t="b">
        <f t="shared" si="560"/>
        <v>0</v>
      </c>
      <c r="H944" s="209" t="b">
        <f t="shared" si="7"/>
        <v>1</v>
      </c>
      <c r="I944" s="208" t="b">
        <f t="shared" ref="I944:J944" si="687">FALSE</f>
        <v>0</v>
      </c>
      <c r="J944" s="208" t="b">
        <f t="shared" si="687"/>
        <v>0</v>
      </c>
      <c r="K944" s="214">
        <v>205.0</v>
      </c>
      <c r="L944" s="212" t="str">
        <f t="shared" si="3"/>
        <v>n/a</v>
      </c>
      <c r="M944" s="212" t="str">
        <f t="shared" si="4"/>
        <v>n/a</v>
      </c>
      <c r="N944" s="207" t="str">
        <f t="shared" si="5"/>
        <v>n/a</v>
      </c>
      <c r="O944" s="207">
        <f t="shared" si="6"/>
        <v>0.00487804878</v>
      </c>
    </row>
    <row r="945" ht="15.75" customHeight="1">
      <c r="A945" s="207">
        <v>70.0</v>
      </c>
      <c r="B945" s="6" t="str">
        <f>VLOOKUP($A945, 'Completion rates'!$A:$E, 2, FALSE)</f>
        <v>Opening medium caskets</v>
      </c>
      <c r="C945" s="207">
        <v>3833.0</v>
      </c>
      <c r="D945" s="6" t="str">
        <f>VLOOKUP($C945, 'List of log slots'!$A:$E, 2, FALSE)</f>
        <v>Zamorak page 3</v>
      </c>
      <c r="E945" s="207">
        <f>VLOOKUP($C945, 'List of log slots'!$A:$E, 5, FALSE)</f>
        <v>2</v>
      </c>
      <c r="F945" s="210" t="b">
        <f>VLOOKUP(C945, 'List of log slots'!$A:$C, 3, FALSE)</f>
        <v>0</v>
      </c>
      <c r="G945" s="209" t="b">
        <f t="shared" si="560"/>
        <v>0</v>
      </c>
      <c r="H945" s="209" t="b">
        <f t="shared" si="7"/>
        <v>1</v>
      </c>
      <c r="I945" s="208" t="b">
        <f t="shared" ref="I945:J945" si="688">FALSE</f>
        <v>0</v>
      </c>
      <c r="J945" s="208" t="b">
        <f t="shared" si="688"/>
        <v>0</v>
      </c>
      <c r="K945" s="214">
        <v>205.0</v>
      </c>
      <c r="L945" s="212" t="str">
        <f t="shared" si="3"/>
        <v>n/a</v>
      </c>
      <c r="M945" s="212" t="str">
        <f t="shared" si="4"/>
        <v>n/a</v>
      </c>
      <c r="N945" s="207" t="str">
        <f t="shared" si="5"/>
        <v>n/a</v>
      </c>
      <c r="O945" s="207">
        <f t="shared" si="6"/>
        <v>0.00487804878</v>
      </c>
    </row>
    <row r="946" ht="15.75" customHeight="1">
      <c r="A946" s="207">
        <v>70.0</v>
      </c>
      <c r="B946" s="6" t="str">
        <f>VLOOKUP($A946, 'Completion rates'!$A:$E, 2, FALSE)</f>
        <v>Opening medium caskets</v>
      </c>
      <c r="C946" s="207">
        <v>3837.0</v>
      </c>
      <c r="D946" s="6" t="str">
        <f>VLOOKUP($C946, 'List of log slots'!$A:$E, 2, FALSE)</f>
        <v>Guthix page 3</v>
      </c>
      <c r="E946" s="207">
        <f>VLOOKUP($C946, 'List of log slots'!$A:$E, 5, FALSE)</f>
        <v>2</v>
      </c>
      <c r="F946" s="210" t="b">
        <f>VLOOKUP(C946, 'List of log slots'!$A:$C, 3, FALSE)</f>
        <v>0</v>
      </c>
      <c r="G946" s="209" t="b">
        <f t="shared" si="560"/>
        <v>0</v>
      </c>
      <c r="H946" s="209" t="b">
        <f t="shared" si="7"/>
        <v>1</v>
      </c>
      <c r="I946" s="208" t="b">
        <f t="shared" ref="I946:J946" si="689">FALSE</f>
        <v>0</v>
      </c>
      <c r="J946" s="208" t="b">
        <f t="shared" si="689"/>
        <v>0</v>
      </c>
      <c r="K946" s="214">
        <v>205.0</v>
      </c>
      <c r="L946" s="212" t="str">
        <f t="shared" si="3"/>
        <v>n/a</v>
      </c>
      <c r="M946" s="212" t="str">
        <f t="shared" si="4"/>
        <v>n/a</v>
      </c>
      <c r="N946" s="207" t="str">
        <f t="shared" si="5"/>
        <v>n/a</v>
      </c>
      <c r="O946" s="207">
        <f t="shared" si="6"/>
        <v>0.00487804878</v>
      </c>
    </row>
    <row r="947" ht="15.75" customHeight="1">
      <c r="A947" s="207">
        <v>70.0</v>
      </c>
      <c r="B947" s="6" t="str">
        <f>VLOOKUP($A947, 'Completion rates'!$A:$E, 2, FALSE)</f>
        <v>Opening medium caskets</v>
      </c>
      <c r="C947" s="207">
        <v>12615.0</v>
      </c>
      <c r="D947" s="6" t="str">
        <f>VLOOKUP($C947, 'List of log slots'!$A:$E, 2, FALSE)</f>
        <v>Bandos page 3</v>
      </c>
      <c r="E947" s="207">
        <f>VLOOKUP($C947, 'List of log slots'!$A:$E, 5, FALSE)</f>
        <v>2</v>
      </c>
      <c r="F947" s="210" t="b">
        <f>VLOOKUP(C947, 'List of log slots'!$A:$C, 3, FALSE)</f>
        <v>0</v>
      </c>
      <c r="G947" s="209" t="b">
        <f t="shared" si="560"/>
        <v>0</v>
      </c>
      <c r="H947" s="209" t="b">
        <f t="shared" si="7"/>
        <v>1</v>
      </c>
      <c r="I947" s="208" t="b">
        <f t="shared" ref="I947:J947" si="690">FALSE</f>
        <v>0</v>
      </c>
      <c r="J947" s="208" t="b">
        <f t="shared" si="690"/>
        <v>0</v>
      </c>
      <c r="K947" s="214">
        <v>205.0</v>
      </c>
      <c r="L947" s="212" t="str">
        <f t="shared" si="3"/>
        <v>n/a</v>
      </c>
      <c r="M947" s="212" t="str">
        <f t="shared" si="4"/>
        <v>n/a</v>
      </c>
      <c r="N947" s="207" t="str">
        <f t="shared" si="5"/>
        <v>n/a</v>
      </c>
      <c r="O947" s="207">
        <f t="shared" si="6"/>
        <v>0.00487804878</v>
      </c>
    </row>
    <row r="948" ht="15.75" customHeight="1">
      <c r="A948" s="207">
        <v>70.0</v>
      </c>
      <c r="B948" s="6" t="str">
        <f>VLOOKUP($A948, 'Completion rates'!$A:$E, 2, FALSE)</f>
        <v>Opening medium caskets</v>
      </c>
      <c r="C948" s="207">
        <v>12619.0</v>
      </c>
      <c r="D948" s="6" t="str">
        <f>VLOOKUP($C948, 'List of log slots'!$A:$E, 2, FALSE)</f>
        <v>Armadyl page 3</v>
      </c>
      <c r="E948" s="207">
        <f>VLOOKUP($C948, 'List of log slots'!$A:$E, 5, FALSE)</f>
        <v>2</v>
      </c>
      <c r="F948" s="210" t="b">
        <f>VLOOKUP(C948, 'List of log slots'!$A:$C, 3, FALSE)</f>
        <v>0</v>
      </c>
      <c r="G948" s="209" t="b">
        <f t="shared" si="560"/>
        <v>0</v>
      </c>
      <c r="H948" s="209" t="b">
        <f t="shared" si="7"/>
        <v>1</v>
      </c>
      <c r="I948" s="208" t="b">
        <f t="shared" ref="I948:J948" si="691">FALSE</f>
        <v>0</v>
      </c>
      <c r="J948" s="208" t="b">
        <f t="shared" si="691"/>
        <v>0</v>
      </c>
      <c r="K948" s="214">
        <v>205.0</v>
      </c>
      <c r="L948" s="212" t="str">
        <f t="shared" si="3"/>
        <v>n/a</v>
      </c>
      <c r="M948" s="212" t="str">
        <f t="shared" si="4"/>
        <v>n/a</v>
      </c>
      <c r="N948" s="207" t="str">
        <f t="shared" si="5"/>
        <v>n/a</v>
      </c>
      <c r="O948" s="207">
        <f t="shared" si="6"/>
        <v>0.00487804878</v>
      </c>
    </row>
    <row r="949" ht="15.75" customHeight="1">
      <c r="A949" s="207">
        <v>70.0</v>
      </c>
      <c r="B949" s="6" t="str">
        <f>VLOOKUP($A949, 'Completion rates'!$A:$E, 2, FALSE)</f>
        <v>Opening medium caskets</v>
      </c>
      <c r="C949" s="207">
        <v>12623.0</v>
      </c>
      <c r="D949" s="6" t="str">
        <f>VLOOKUP($C949, 'List of log slots'!$A:$E, 2, FALSE)</f>
        <v>Ancient page 3</v>
      </c>
      <c r="E949" s="207">
        <f>VLOOKUP($C949, 'List of log slots'!$A:$E, 5, FALSE)</f>
        <v>2</v>
      </c>
      <c r="F949" s="210" t="b">
        <f>VLOOKUP(C949, 'List of log slots'!$A:$C, 3, FALSE)</f>
        <v>0</v>
      </c>
      <c r="G949" s="209" t="b">
        <f t="shared" si="560"/>
        <v>0</v>
      </c>
      <c r="H949" s="209" t="b">
        <f t="shared" si="7"/>
        <v>1</v>
      </c>
      <c r="I949" s="208" t="b">
        <f t="shared" ref="I949:J949" si="692">FALSE</f>
        <v>0</v>
      </c>
      <c r="J949" s="208" t="b">
        <f t="shared" si="692"/>
        <v>0</v>
      </c>
      <c r="K949" s="214">
        <v>205.0</v>
      </c>
      <c r="L949" s="212" t="str">
        <f t="shared" si="3"/>
        <v>n/a</v>
      </c>
      <c r="M949" s="212" t="str">
        <f t="shared" si="4"/>
        <v>n/a</v>
      </c>
      <c r="N949" s="207" t="str">
        <f t="shared" si="5"/>
        <v>n/a</v>
      </c>
      <c r="O949" s="207">
        <f t="shared" si="6"/>
        <v>0.00487804878</v>
      </c>
    </row>
    <row r="950" ht="15.75" customHeight="1">
      <c r="A950" s="207">
        <v>70.0</v>
      </c>
      <c r="B950" s="6" t="str">
        <f>VLOOKUP($A950, 'Completion rates'!$A:$E, 2, FALSE)</f>
        <v>Opening medium caskets</v>
      </c>
      <c r="C950" s="207">
        <v>3830.0</v>
      </c>
      <c r="D950" s="6" t="str">
        <f>VLOOKUP($C950, 'List of log slots'!$A:$E, 2, FALSE)</f>
        <v>Saradomin page 4</v>
      </c>
      <c r="E950" s="207">
        <f>VLOOKUP($C950, 'List of log slots'!$A:$E, 5, FALSE)</f>
        <v>2</v>
      </c>
      <c r="F950" s="210" t="b">
        <f>VLOOKUP(C950, 'List of log slots'!$A:$C, 3, FALSE)</f>
        <v>0</v>
      </c>
      <c r="G950" s="209" t="b">
        <f t="shared" si="560"/>
        <v>0</v>
      </c>
      <c r="H950" s="209" t="b">
        <f t="shared" si="7"/>
        <v>1</v>
      </c>
      <c r="I950" s="208" t="b">
        <f t="shared" ref="I950:J950" si="693">FALSE</f>
        <v>0</v>
      </c>
      <c r="J950" s="208" t="b">
        <f t="shared" si="693"/>
        <v>0</v>
      </c>
      <c r="K950" s="214">
        <v>205.0</v>
      </c>
      <c r="L950" s="212" t="str">
        <f t="shared" si="3"/>
        <v>n/a</v>
      </c>
      <c r="M950" s="212" t="str">
        <f t="shared" si="4"/>
        <v>n/a</v>
      </c>
      <c r="N950" s="207" t="str">
        <f t="shared" si="5"/>
        <v>n/a</v>
      </c>
      <c r="O950" s="207">
        <f t="shared" si="6"/>
        <v>0.00487804878</v>
      </c>
    </row>
    <row r="951" ht="15.75" customHeight="1">
      <c r="A951" s="207">
        <v>70.0</v>
      </c>
      <c r="B951" s="6" t="str">
        <f>VLOOKUP($A951, 'Completion rates'!$A:$E, 2, FALSE)</f>
        <v>Opening medium caskets</v>
      </c>
      <c r="C951" s="207">
        <v>3834.0</v>
      </c>
      <c r="D951" s="6" t="str">
        <f>VLOOKUP($C951, 'List of log slots'!$A:$E, 2, FALSE)</f>
        <v>Zamorak page 4</v>
      </c>
      <c r="E951" s="207">
        <f>VLOOKUP($C951, 'List of log slots'!$A:$E, 5, FALSE)</f>
        <v>2</v>
      </c>
      <c r="F951" s="210" t="b">
        <f>VLOOKUP(C951, 'List of log slots'!$A:$C, 3, FALSE)</f>
        <v>0</v>
      </c>
      <c r="G951" s="209" t="b">
        <f t="shared" si="560"/>
        <v>0</v>
      </c>
      <c r="H951" s="209" t="b">
        <f t="shared" si="7"/>
        <v>1</v>
      </c>
      <c r="I951" s="208" t="b">
        <f t="shared" ref="I951:J951" si="694">FALSE</f>
        <v>0</v>
      </c>
      <c r="J951" s="208" t="b">
        <f t="shared" si="694"/>
        <v>0</v>
      </c>
      <c r="K951" s="214">
        <v>205.0</v>
      </c>
      <c r="L951" s="212" t="str">
        <f t="shared" si="3"/>
        <v>n/a</v>
      </c>
      <c r="M951" s="212" t="str">
        <f t="shared" si="4"/>
        <v>n/a</v>
      </c>
      <c r="N951" s="207" t="str">
        <f t="shared" si="5"/>
        <v>n/a</v>
      </c>
      <c r="O951" s="207">
        <f t="shared" si="6"/>
        <v>0.00487804878</v>
      </c>
    </row>
    <row r="952" ht="15.75" customHeight="1">
      <c r="A952" s="207">
        <v>70.0</v>
      </c>
      <c r="B952" s="6" t="str">
        <f>VLOOKUP($A952, 'Completion rates'!$A:$E, 2, FALSE)</f>
        <v>Opening medium caskets</v>
      </c>
      <c r="C952" s="207">
        <v>3838.0</v>
      </c>
      <c r="D952" s="6" t="str">
        <f>VLOOKUP($C952, 'List of log slots'!$A:$E, 2, FALSE)</f>
        <v>Guthix page 4</v>
      </c>
      <c r="E952" s="207">
        <f>VLOOKUP($C952, 'List of log slots'!$A:$E, 5, FALSE)</f>
        <v>2</v>
      </c>
      <c r="F952" s="209" t="b">
        <f>VLOOKUP(C952, 'List of log slots'!$A:$C, 3, FALSE)</f>
        <v>0</v>
      </c>
      <c r="G952" s="209" t="b">
        <f t="shared" si="560"/>
        <v>0</v>
      </c>
      <c r="H952" s="210" t="b">
        <f t="shared" si="7"/>
        <v>1</v>
      </c>
      <c r="I952" s="208" t="b">
        <f t="shared" ref="I952:J952" si="695">FALSE</f>
        <v>0</v>
      </c>
      <c r="J952" s="208" t="b">
        <f t="shared" si="695"/>
        <v>0</v>
      </c>
      <c r="K952" s="214">
        <v>205.0</v>
      </c>
      <c r="L952" s="212" t="str">
        <f t="shared" si="3"/>
        <v>n/a</v>
      </c>
      <c r="M952" s="212" t="str">
        <f t="shared" si="4"/>
        <v>n/a</v>
      </c>
      <c r="N952" s="207" t="str">
        <f t="shared" si="5"/>
        <v>n/a</v>
      </c>
      <c r="O952" s="207">
        <f t="shared" si="6"/>
        <v>0.00487804878</v>
      </c>
    </row>
    <row r="953" ht="15.75" customHeight="1">
      <c r="A953" s="207">
        <v>70.0</v>
      </c>
      <c r="B953" s="6" t="str">
        <f>VLOOKUP($A953, 'Completion rates'!$A:$E, 2, FALSE)</f>
        <v>Opening medium caskets</v>
      </c>
      <c r="C953" s="207">
        <v>12616.0</v>
      </c>
      <c r="D953" s="6" t="str">
        <f>VLOOKUP($C953, 'List of log slots'!$A:$E, 2, FALSE)</f>
        <v>Bandos page 4</v>
      </c>
      <c r="E953" s="207">
        <f>VLOOKUP($C953, 'List of log slots'!$A:$E, 5, FALSE)</f>
        <v>2</v>
      </c>
      <c r="F953" s="210" t="b">
        <f>VLOOKUP(C953, 'List of log slots'!$A:$C, 3, FALSE)</f>
        <v>0</v>
      </c>
      <c r="G953" s="209" t="b">
        <f t="shared" si="560"/>
        <v>0</v>
      </c>
      <c r="H953" s="209" t="b">
        <f t="shared" si="7"/>
        <v>1</v>
      </c>
      <c r="I953" s="208" t="b">
        <f t="shared" ref="I953:J953" si="696">FALSE</f>
        <v>0</v>
      </c>
      <c r="J953" s="208" t="b">
        <f t="shared" si="696"/>
        <v>0</v>
      </c>
      <c r="K953" s="214">
        <v>205.0</v>
      </c>
      <c r="L953" s="212" t="str">
        <f t="shared" si="3"/>
        <v>n/a</v>
      </c>
      <c r="M953" s="212" t="str">
        <f t="shared" si="4"/>
        <v>n/a</v>
      </c>
      <c r="N953" s="207" t="str">
        <f t="shared" si="5"/>
        <v>n/a</v>
      </c>
      <c r="O953" s="207">
        <f t="shared" si="6"/>
        <v>0.00487804878</v>
      </c>
    </row>
    <row r="954" ht="15.75" customHeight="1">
      <c r="A954" s="207">
        <v>70.0</v>
      </c>
      <c r="B954" s="6" t="str">
        <f>VLOOKUP($A954, 'Completion rates'!$A:$E, 2, FALSE)</f>
        <v>Opening medium caskets</v>
      </c>
      <c r="C954" s="207">
        <v>12620.0</v>
      </c>
      <c r="D954" s="6" t="str">
        <f>VLOOKUP($C954, 'List of log slots'!$A:$E, 2, FALSE)</f>
        <v>Armadyl page 4</v>
      </c>
      <c r="E954" s="207">
        <f>VLOOKUP($C954, 'List of log slots'!$A:$E, 5, FALSE)</f>
        <v>2</v>
      </c>
      <c r="F954" s="210" t="b">
        <f>VLOOKUP(C954, 'List of log slots'!$A:$C, 3, FALSE)</f>
        <v>0</v>
      </c>
      <c r="G954" s="209" t="b">
        <f t="shared" si="560"/>
        <v>0</v>
      </c>
      <c r="H954" s="209" t="b">
        <f t="shared" si="7"/>
        <v>1</v>
      </c>
      <c r="I954" s="208" t="b">
        <f t="shared" ref="I954:J954" si="697">FALSE</f>
        <v>0</v>
      </c>
      <c r="J954" s="208" t="b">
        <f t="shared" si="697"/>
        <v>0</v>
      </c>
      <c r="K954" s="214">
        <v>205.0</v>
      </c>
      <c r="L954" s="212" t="str">
        <f t="shared" si="3"/>
        <v>n/a</v>
      </c>
      <c r="M954" s="212" t="str">
        <f t="shared" si="4"/>
        <v>n/a</v>
      </c>
      <c r="N954" s="207" t="str">
        <f t="shared" si="5"/>
        <v>n/a</v>
      </c>
      <c r="O954" s="207">
        <f t="shared" si="6"/>
        <v>0.00487804878</v>
      </c>
    </row>
    <row r="955" ht="15.75" customHeight="1">
      <c r="A955" s="207">
        <v>70.0</v>
      </c>
      <c r="B955" s="6" t="str">
        <f>VLOOKUP($A955, 'Completion rates'!$A:$E, 2, FALSE)</f>
        <v>Opening medium caskets</v>
      </c>
      <c r="C955" s="207">
        <v>12624.0</v>
      </c>
      <c r="D955" s="6" t="str">
        <f>VLOOKUP($C955, 'List of log slots'!$A:$E, 2, FALSE)</f>
        <v>Ancient page 4</v>
      </c>
      <c r="E955" s="207">
        <f>VLOOKUP($C955, 'List of log slots'!$A:$E, 5, FALSE)</f>
        <v>2</v>
      </c>
      <c r="F955" s="210" t="b">
        <f>VLOOKUP(C955, 'List of log slots'!$A:$C, 3, FALSE)</f>
        <v>0</v>
      </c>
      <c r="G955" s="209" t="b">
        <f t="shared" si="560"/>
        <v>0</v>
      </c>
      <c r="H955" s="209" t="b">
        <f t="shared" si="7"/>
        <v>1</v>
      </c>
      <c r="I955" s="208" t="b">
        <f t="shared" ref="I955:J955" si="698">FALSE</f>
        <v>0</v>
      </c>
      <c r="J955" s="208" t="b">
        <f t="shared" si="698"/>
        <v>0</v>
      </c>
      <c r="K955" s="214">
        <v>205.0</v>
      </c>
      <c r="L955" s="212" t="str">
        <f t="shared" si="3"/>
        <v>n/a</v>
      </c>
      <c r="M955" s="212" t="str">
        <f t="shared" si="4"/>
        <v>n/a</v>
      </c>
      <c r="N955" s="207" t="str">
        <f t="shared" si="5"/>
        <v>n/a</v>
      </c>
      <c r="O955" s="207">
        <f t="shared" si="6"/>
        <v>0.00487804878</v>
      </c>
    </row>
    <row r="956" ht="15.75" customHeight="1">
      <c r="A956" s="207">
        <v>70.0</v>
      </c>
      <c r="B956" s="6" t="str">
        <f>VLOOKUP($A956, 'Completion rates'!$A:$E, 2, FALSE)</f>
        <v>Opening medium caskets</v>
      </c>
      <c r="C956" s="207">
        <v>20220.0</v>
      </c>
      <c r="D956" s="6" t="str">
        <f>VLOOKUP($C956, 'List of log slots'!$A:$E, 2, FALSE)</f>
        <v>Holy blessing</v>
      </c>
      <c r="E956" s="207">
        <f>VLOOKUP($C956, 'List of log slots'!$A:$E, 5, FALSE)</f>
        <v>2</v>
      </c>
      <c r="F956" s="210" t="b">
        <f>VLOOKUP(C956, 'List of log slots'!$A:$C, 3, FALSE)</f>
        <v>0</v>
      </c>
      <c r="G956" s="209" t="b">
        <f t="shared" si="560"/>
        <v>0</v>
      </c>
      <c r="H956" s="209" t="b">
        <f t="shared" si="7"/>
        <v>1</v>
      </c>
      <c r="I956" s="208" t="b">
        <f t="shared" ref="I956:J956" si="699">FALSE</f>
        <v>0</v>
      </c>
      <c r="J956" s="208" t="b">
        <f t="shared" si="699"/>
        <v>0</v>
      </c>
      <c r="K956" s="214">
        <v>171.0</v>
      </c>
      <c r="L956" s="212" t="str">
        <f t="shared" si="3"/>
        <v>n/a</v>
      </c>
      <c r="M956" s="212" t="str">
        <f t="shared" si="4"/>
        <v>n/a</v>
      </c>
      <c r="N956" s="207" t="str">
        <f t="shared" si="5"/>
        <v>n/a</v>
      </c>
      <c r="O956" s="207">
        <f t="shared" si="6"/>
        <v>0.005847953216</v>
      </c>
    </row>
    <row r="957" ht="15.75" customHeight="1">
      <c r="A957" s="207">
        <v>70.0</v>
      </c>
      <c r="B957" s="6" t="str">
        <f>VLOOKUP($A957, 'Completion rates'!$A:$E, 2, FALSE)</f>
        <v>Opening medium caskets</v>
      </c>
      <c r="C957" s="207">
        <v>20223.0</v>
      </c>
      <c r="D957" s="6" t="str">
        <f>VLOOKUP($C957, 'List of log slots'!$A:$E, 2, FALSE)</f>
        <v>Unholy blessing</v>
      </c>
      <c r="E957" s="207">
        <f>VLOOKUP($C957, 'List of log slots'!$A:$E, 5, FALSE)</f>
        <v>2</v>
      </c>
      <c r="F957" s="210" t="b">
        <f>VLOOKUP(C957, 'List of log slots'!$A:$C, 3, FALSE)</f>
        <v>0</v>
      </c>
      <c r="G957" s="209" t="b">
        <f t="shared" si="560"/>
        <v>0</v>
      </c>
      <c r="H957" s="209" t="b">
        <f t="shared" si="7"/>
        <v>1</v>
      </c>
      <c r="I957" s="208" t="b">
        <f t="shared" ref="I957:J957" si="700">FALSE</f>
        <v>0</v>
      </c>
      <c r="J957" s="208" t="b">
        <f t="shared" si="700"/>
        <v>0</v>
      </c>
      <c r="K957" s="214">
        <v>171.0</v>
      </c>
      <c r="L957" s="212" t="str">
        <f t="shared" si="3"/>
        <v>n/a</v>
      </c>
      <c r="M957" s="212" t="str">
        <f t="shared" si="4"/>
        <v>n/a</v>
      </c>
      <c r="N957" s="207" t="str">
        <f t="shared" si="5"/>
        <v>n/a</v>
      </c>
      <c r="O957" s="207">
        <f t="shared" si="6"/>
        <v>0.005847953216</v>
      </c>
    </row>
    <row r="958" ht="15.75" customHeight="1">
      <c r="A958" s="207">
        <v>70.0</v>
      </c>
      <c r="B958" s="6" t="str">
        <f>VLOOKUP($A958, 'Completion rates'!$A:$E, 2, FALSE)</f>
        <v>Opening medium caskets</v>
      </c>
      <c r="C958" s="207">
        <v>20226.0</v>
      </c>
      <c r="D958" s="6" t="str">
        <f>VLOOKUP($C958, 'List of log slots'!$A:$E, 2, FALSE)</f>
        <v>Peaceful blessing</v>
      </c>
      <c r="E958" s="207">
        <f>VLOOKUP($C958, 'List of log slots'!$A:$E, 5, FALSE)</f>
        <v>2</v>
      </c>
      <c r="F958" s="210" t="b">
        <f>VLOOKUP(C958, 'List of log slots'!$A:$C, 3, FALSE)</f>
        <v>0</v>
      </c>
      <c r="G958" s="209" t="b">
        <f t="shared" si="560"/>
        <v>0</v>
      </c>
      <c r="H958" s="209" t="b">
        <f t="shared" si="7"/>
        <v>1</v>
      </c>
      <c r="I958" s="208" t="b">
        <f t="shared" ref="I958:J958" si="701">FALSE</f>
        <v>0</v>
      </c>
      <c r="J958" s="208" t="b">
        <f t="shared" si="701"/>
        <v>0</v>
      </c>
      <c r="K958" s="214">
        <v>171.0</v>
      </c>
      <c r="L958" s="212" t="str">
        <f t="shared" si="3"/>
        <v>n/a</v>
      </c>
      <c r="M958" s="212" t="str">
        <f t="shared" si="4"/>
        <v>n/a</v>
      </c>
      <c r="N958" s="207" t="str">
        <f t="shared" si="5"/>
        <v>n/a</v>
      </c>
      <c r="O958" s="207">
        <f t="shared" si="6"/>
        <v>0.005847953216</v>
      </c>
    </row>
    <row r="959" ht="15.75" customHeight="1">
      <c r="A959" s="207">
        <v>70.0</v>
      </c>
      <c r="B959" s="6" t="str">
        <f>VLOOKUP($A959, 'Completion rates'!$A:$E, 2, FALSE)</f>
        <v>Opening medium caskets</v>
      </c>
      <c r="C959" s="207">
        <v>20232.0</v>
      </c>
      <c r="D959" s="6" t="str">
        <f>VLOOKUP($C959, 'List of log slots'!$A:$E, 2, FALSE)</f>
        <v>War blessing</v>
      </c>
      <c r="E959" s="207">
        <f>VLOOKUP($C959, 'List of log slots'!$A:$E, 5, FALSE)</f>
        <v>2</v>
      </c>
      <c r="F959" s="210" t="b">
        <f>VLOOKUP(C959, 'List of log slots'!$A:$C, 3, FALSE)</f>
        <v>0</v>
      </c>
      <c r="G959" s="209" t="b">
        <f t="shared" si="560"/>
        <v>0</v>
      </c>
      <c r="H959" s="209" t="b">
        <f t="shared" si="7"/>
        <v>1</v>
      </c>
      <c r="I959" s="208" t="b">
        <f t="shared" ref="I959:J959" si="702">FALSE</f>
        <v>0</v>
      </c>
      <c r="J959" s="208" t="b">
        <f t="shared" si="702"/>
        <v>0</v>
      </c>
      <c r="K959" s="214">
        <v>171.0</v>
      </c>
      <c r="L959" s="212" t="str">
        <f t="shared" si="3"/>
        <v>n/a</v>
      </c>
      <c r="M959" s="212" t="str">
        <f t="shared" si="4"/>
        <v>n/a</v>
      </c>
      <c r="N959" s="207" t="str">
        <f t="shared" si="5"/>
        <v>n/a</v>
      </c>
      <c r="O959" s="207">
        <f t="shared" si="6"/>
        <v>0.005847953216</v>
      </c>
    </row>
    <row r="960" ht="15.75" customHeight="1">
      <c r="A960" s="207">
        <v>70.0</v>
      </c>
      <c r="B960" s="6" t="str">
        <f>VLOOKUP($A960, 'Completion rates'!$A:$E, 2, FALSE)</f>
        <v>Opening medium caskets</v>
      </c>
      <c r="C960" s="207">
        <v>20229.0</v>
      </c>
      <c r="D960" s="6" t="str">
        <f>VLOOKUP($C960, 'List of log slots'!$A:$E, 2, FALSE)</f>
        <v>Honourable blessing</v>
      </c>
      <c r="E960" s="207">
        <f>VLOOKUP($C960, 'List of log slots'!$A:$E, 5, FALSE)</f>
        <v>2</v>
      </c>
      <c r="F960" s="210" t="b">
        <f>VLOOKUP(C960, 'List of log slots'!$A:$C, 3, FALSE)</f>
        <v>0</v>
      </c>
      <c r="G960" s="209" t="b">
        <f t="shared" si="560"/>
        <v>0</v>
      </c>
      <c r="H960" s="209" t="b">
        <f t="shared" si="7"/>
        <v>1</v>
      </c>
      <c r="I960" s="208" t="b">
        <f t="shared" ref="I960:J960" si="703">FALSE</f>
        <v>0</v>
      </c>
      <c r="J960" s="208" t="b">
        <f t="shared" si="703"/>
        <v>0</v>
      </c>
      <c r="K960" s="214">
        <v>171.0</v>
      </c>
      <c r="L960" s="212" t="str">
        <f t="shared" si="3"/>
        <v>n/a</v>
      </c>
      <c r="M960" s="212" t="str">
        <f t="shared" si="4"/>
        <v>n/a</v>
      </c>
      <c r="N960" s="207" t="str">
        <f t="shared" si="5"/>
        <v>n/a</v>
      </c>
      <c r="O960" s="207">
        <f t="shared" si="6"/>
        <v>0.005847953216</v>
      </c>
    </row>
    <row r="961" ht="15.75" customHeight="1">
      <c r="A961" s="207">
        <v>70.0</v>
      </c>
      <c r="B961" s="6" t="str">
        <f>VLOOKUP($A961, 'Completion rates'!$A:$E, 2, FALSE)</f>
        <v>Opening medium caskets</v>
      </c>
      <c r="C961" s="207">
        <v>20235.0</v>
      </c>
      <c r="D961" s="6" t="str">
        <f>VLOOKUP($C961, 'List of log slots'!$A:$E, 2, FALSE)</f>
        <v>Ancient blessing</v>
      </c>
      <c r="E961" s="207">
        <f>VLOOKUP($C961, 'List of log slots'!$A:$E, 5, FALSE)</f>
        <v>2</v>
      </c>
      <c r="F961" s="210" t="b">
        <f>VLOOKUP(C961, 'List of log slots'!$A:$C, 3, FALSE)</f>
        <v>0</v>
      </c>
      <c r="G961" s="209" t="b">
        <f t="shared" si="560"/>
        <v>0</v>
      </c>
      <c r="H961" s="209" t="b">
        <f t="shared" si="7"/>
        <v>1</v>
      </c>
      <c r="I961" s="208" t="b">
        <f t="shared" ref="I961:J961" si="704">FALSE</f>
        <v>0</v>
      </c>
      <c r="J961" s="208" t="b">
        <f t="shared" si="704"/>
        <v>0</v>
      </c>
      <c r="K961" s="214">
        <v>171.0</v>
      </c>
      <c r="L961" s="212" t="str">
        <f t="shared" si="3"/>
        <v>n/a</v>
      </c>
      <c r="M961" s="212" t="str">
        <f t="shared" si="4"/>
        <v>n/a</v>
      </c>
      <c r="N961" s="207" t="str">
        <f t="shared" si="5"/>
        <v>n/a</v>
      </c>
      <c r="O961" s="207">
        <f t="shared" si="6"/>
        <v>0.005847953216</v>
      </c>
    </row>
    <row r="962" ht="15.75" customHeight="1">
      <c r="A962" s="207">
        <v>70.0</v>
      </c>
      <c r="B962" s="6" t="str">
        <f>VLOOKUP($A962, 'Completion rates'!$A:$E, 2, FALSE)</f>
        <v>Opening medium caskets</v>
      </c>
      <c r="C962" s="207">
        <v>12402.0</v>
      </c>
      <c r="D962" s="6" t="str">
        <f>VLOOKUP($C962, 'List of log slots'!$A:$E, 2, FALSE)</f>
        <v>Nardah teleport</v>
      </c>
      <c r="E962" s="207">
        <f>VLOOKUP($C962, 'List of log slots'!$A:$E, 5, FALSE)</f>
        <v>2</v>
      </c>
      <c r="F962" s="210" t="b">
        <f>VLOOKUP(C962, 'List of log slots'!$A:$C, 3, FALSE)</f>
        <v>0</v>
      </c>
      <c r="G962" s="209" t="b">
        <f t="shared" si="560"/>
        <v>0</v>
      </c>
      <c r="H962" s="209" t="b">
        <f t="shared" si="7"/>
        <v>1</v>
      </c>
      <c r="I962" s="208" t="b">
        <f t="shared" ref="I962:J962" si="705">FALSE</f>
        <v>0</v>
      </c>
      <c r="J962" s="208" t="b">
        <f t="shared" si="705"/>
        <v>0</v>
      </c>
      <c r="K962" s="214">
        <v>107.0</v>
      </c>
      <c r="L962" s="212" t="str">
        <f t="shared" si="3"/>
        <v>n/a</v>
      </c>
      <c r="M962" s="212" t="str">
        <f t="shared" si="4"/>
        <v>n/a</v>
      </c>
      <c r="N962" s="207" t="str">
        <f t="shared" si="5"/>
        <v>n/a</v>
      </c>
      <c r="O962" s="207">
        <f t="shared" si="6"/>
        <v>0.009345794393</v>
      </c>
    </row>
    <row r="963" ht="15.75" customHeight="1">
      <c r="A963" s="207">
        <v>70.0</v>
      </c>
      <c r="B963" s="6" t="str">
        <f>VLOOKUP($A963, 'Completion rates'!$A:$E, 2, FALSE)</f>
        <v>Opening medium caskets</v>
      </c>
      <c r="C963" s="207">
        <v>12411.0</v>
      </c>
      <c r="D963" s="6" t="str">
        <f>VLOOKUP($C963, 'List of log slots'!$A:$E, 2, FALSE)</f>
        <v>Mos le'harmless teleport</v>
      </c>
      <c r="E963" s="207">
        <f>VLOOKUP($C963, 'List of log slots'!$A:$E, 5, FALSE)</f>
        <v>2</v>
      </c>
      <c r="F963" s="210" t="b">
        <f>VLOOKUP(C963, 'List of log slots'!$A:$C, 3, FALSE)</f>
        <v>0</v>
      </c>
      <c r="G963" s="209" t="b">
        <f t="shared" si="560"/>
        <v>0</v>
      </c>
      <c r="H963" s="209" t="b">
        <f t="shared" si="7"/>
        <v>1</v>
      </c>
      <c r="I963" s="208" t="b">
        <f t="shared" ref="I963:J963" si="706">FALSE</f>
        <v>0</v>
      </c>
      <c r="J963" s="208" t="b">
        <f t="shared" si="706"/>
        <v>0</v>
      </c>
      <c r="K963" s="214">
        <v>107.0</v>
      </c>
      <c r="L963" s="212" t="str">
        <f t="shared" si="3"/>
        <v>n/a</v>
      </c>
      <c r="M963" s="212" t="str">
        <f t="shared" si="4"/>
        <v>n/a</v>
      </c>
      <c r="N963" s="207" t="str">
        <f t="shared" si="5"/>
        <v>n/a</v>
      </c>
      <c r="O963" s="207">
        <f t="shared" si="6"/>
        <v>0.009345794393</v>
      </c>
    </row>
    <row r="964" ht="15.75" customHeight="1">
      <c r="A964" s="207">
        <v>70.0</v>
      </c>
      <c r="B964" s="6" t="str">
        <f>VLOOKUP($A964, 'Completion rates'!$A:$E, 2, FALSE)</f>
        <v>Opening medium caskets</v>
      </c>
      <c r="C964" s="207">
        <v>12406.0</v>
      </c>
      <c r="D964" s="6" t="str">
        <f>VLOOKUP($C964, 'List of log slots'!$A:$E, 2, FALSE)</f>
        <v>Mort'ton teleport</v>
      </c>
      <c r="E964" s="207">
        <f>VLOOKUP($C964, 'List of log slots'!$A:$E, 5, FALSE)</f>
        <v>2</v>
      </c>
      <c r="F964" s="210" t="b">
        <f>VLOOKUP(C964, 'List of log slots'!$A:$C, 3, FALSE)</f>
        <v>0</v>
      </c>
      <c r="G964" s="209" t="b">
        <f t="shared" si="560"/>
        <v>0</v>
      </c>
      <c r="H964" s="209" t="b">
        <f t="shared" si="7"/>
        <v>1</v>
      </c>
      <c r="I964" s="208" t="b">
        <f t="shared" ref="I964:J964" si="707">FALSE</f>
        <v>0</v>
      </c>
      <c r="J964" s="208" t="b">
        <f t="shared" si="707"/>
        <v>0</v>
      </c>
      <c r="K964" s="214">
        <v>107.0</v>
      </c>
      <c r="L964" s="212" t="str">
        <f t="shared" si="3"/>
        <v>n/a</v>
      </c>
      <c r="M964" s="212" t="str">
        <f t="shared" si="4"/>
        <v>n/a</v>
      </c>
      <c r="N964" s="207" t="str">
        <f t="shared" si="5"/>
        <v>n/a</v>
      </c>
      <c r="O964" s="207">
        <f t="shared" si="6"/>
        <v>0.009345794393</v>
      </c>
    </row>
    <row r="965" ht="15.75" customHeight="1">
      <c r="A965" s="207">
        <v>70.0</v>
      </c>
      <c r="B965" s="6" t="str">
        <f>VLOOKUP($A965, 'Completion rates'!$A:$E, 2, FALSE)</f>
        <v>Opening medium caskets</v>
      </c>
      <c r="C965" s="212">
        <v>12404.0</v>
      </c>
      <c r="D965" s="6" t="str">
        <f>VLOOKUP($C965, 'List of log slots'!$A:$E, 2, FALSE)</f>
        <v>Feldip hills teleport</v>
      </c>
      <c r="E965" s="207">
        <f>VLOOKUP($C965, 'List of log slots'!$A:$E, 5, FALSE)</f>
        <v>2</v>
      </c>
      <c r="F965" s="210" t="b">
        <f>VLOOKUP(C965, 'List of log slots'!$A:$C, 3, FALSE)</f>
        <v>0</v>
      </c>
      <c r="G965" s="209" t="b">
        <f t="shared" si="560"/>
        <v>0</v>
      </c>
      <c r="H965" s="209" t="b">
        <f t="shared" si="7"/>
        <v>1</v>
      </c>
      <c r="I965" s="209" t="b">
        <f t="shared" ref="I965:J965" si="708">FALSE</f>
        <v>0</v>
      </c>
      <c r="J965" s="208" t="b">
        <f t="shared" si="708"/>
        <v>0</v>
      </c>
      <c r="K965" s="214">
        <v>107.0</v>
      </c>
      <c r="L965" s="212" t="str">
        <f t="shared" si="3"/>
        <v>n/a</v>
      </c>
      <c r="M965" s="212" t="str">
        <f t="shared" si="4"/>
        <v>n/a</v>
      </c>
      <c r="N965" s="207" t="str">
        <f t="shared" si="5"/>
        <v>n/a</v>
      </c>
      <c r="O965" s="207">
        <f t="shared" si="6"/>
        <v>0.009345794393</v>
      </c>
    </row>
    <row r="966" ht="15.75" customHeight="1">
      <c r="A966" s="207">
        <v>70.0</v>
      </c>
      <c r="B966" s="6" t="str">
        <f>VLOOKUP($A966, 'Completion rates'!$A:$E, 2, FALSE)</f>
        <v>Opening medium caskets</v>
      </c>
      <c r="C966" s="212">
        <v>12405.0</v>
      </c>
      <c r="D966" s="6" t="str">
        <f>VLOOKUP($C966, 'List of log slots'!$A:$E, 2, FALSE)</f>
        <v>Lunar isle teleport</v>
      </c>
      <c r="E966" s="207">
        <f>VLOOKUP($C966, 'List of log slots'!$A:$E, 5, FALSE)</f>
        <v>2</v>
      </c>
      <c r="F966" s="210" t="b">
        <f>VLOOKUP(C966, 'List of log slots'!$A:$C, 3, FALSE)</f>
        <v>0</v>
      </c>
      <c r="G966" s="209" t="b">
        <f t="shared" si="560"/>
        <v>0</v>
      </c>
      <c r="H966" s="209" t="b">
        <f t="shared" si="7"/>
        <v>1</v>
      </c>
      <c r="I966" s="209" t="b">
        <f t="shared" ref="I966:J966" si="709">FALSE</f>
        <v>0</v>
      </c>
      <c r="J966" s="208" t="b">
        <f t="shared" si="709"/>
        <v>0</v>
      </c>
      <c r="K966" s="214">
        <v>107.0</v>
      </c>
      <c r="L966" s="212" t="str">
        <f t="shared" si="3"/>
        <v>n/a</v>
      </c>
      <c r="M966" s="212" t="str">
        <f t="shared" si="4"/>
        <v>n/a</v>
      </c>
      <c r="N966" s="207" t="str">
        <f t="shared" si="5"/>
        <v>n/a</v>
      </c>
      <c r="O966" s="207">
        <f t="shared" si="6"/>
        <v>0.009345794393</v>
      </c>
    </row>
    <row r="967" ht="15.75" customHeight="1">
      <c r="A967" s="207">
        <v>70.0</v>
      </c>
      <c r="B967" s="6" t="str">
        <f>VLOOKUP($A967, 'Completion rates'!$A:$E, 2, FALSE)</f>
        <v>Opening medium caskets</v>
      </c>
      <c r="C967" s="207">
        <v>12403.0</v>
      </c>
      <c r="D967" s="6" t="str">
        <f>VLOOKUP($C967, 'List of log slots'!$A:$E, 2, FALSE)</f>
        <v>Digsite teleport</v>
      </c>
      <c r="E967" s="207">
        <f>VLOOKUP($C967, 'List of log slots'!$A:$E, 5, FALSE)</f>
        <v>2</v>
      </c>
      <c r="F967" s="210" t="b">
        <f>VLOOKUP(C967, 'List of log slots'!$A:$C, 3, FALSE)</f>
        <v>0</v>
      </c>
      <c r="G967" s="209" t="b">
        <f t="shared" si="560"/>
        <v>0</v>
      </c>
      <c r="H967" s="209" t="b">
        <f t="shared" si="7"/>
        <v>1</v>
      </c>
      <c r="I967" s="208" t="b">
        <f t="shared" ref="I967:J967" si="710">FALSE</f>
        <v>0</v>
      </c>
      <c r="J967" s="208" t="b">
        <f t="shared" si="710"/>
        <v>0</v>
      </c>
      <c r="K967" s="214">
        <v>107.0</v>
      </c>
      <c r="L967" s="212" t="str">
        <f t="shared" si="3"/>
        <v>n/a</v>
      </c>
      <c r="M967" s="212" t="str">
        <f t="shared" si="4"/>
        <v>n/a</v>
      </c>
      <c r="N967" s="207" t="str">
        <f t="shared" si="5"/>
        <v>n/a</v>
      </c>
      <c r="O967" s="207">
        <f t="shared" si="6"/>
        <v>0.009345794393</v>
      </c>
    </row>
    <row r="968" ht="15.75" customHeight="1">
      <c r="A968" s="207">
        <v>70.0</v>
      </c>
      <c r="B968" s="6" t="str">
        <f>VLOOKUP($A968, 'Completion rates'!$A:$E, 2, FALSE)</f>
        <v>Opening medium caskets</v>
      </c>
      <c r="C968" s="207">
        <v>12408.0</v>
      </c>
      <c r="D968" s="6" t="str">
        <f>VLOOKUP($C968, 'List of log slots'!$A:$E, 2, FALSE)</f>
        <v>Piscatoris teleport</v>
      </c>
      <c r="E968" s="207">
        <f>VLOOKUP($C968, 'List of log slots'!$A:$E, 5, FALSE)</f>
        <v>2</v>
      </c>
      <c r="F968" s="210" t="b">
        <f>VLOOKUP(C968, 'List of log slots'!$A:$C, 3, FALSE)</f>
        <v>0</v>
      </c>
      <c r="G968" s="209" t="b">
        <f t="shared" si="560"/>
        <v>0</v>
      </c>
      <c r="H968" s="209" t="b">
        <f t="shared" si="7"/>
        <v>1</v>
      </c>
      <c r="I968" s="208" t="b">
        <f t="shared" ref="I968:J968" si="711">FALSE</f>
        <v>0</v>
      </c>
      <c r="J968" s="208" t="b">
        <f t="shared" si="711"/>
        <v>0</v>
      </c>
      <c r="K968" s="214">
        <v>107.0</v>
      </c>
      <c r="L968" s="212" t="str">
        <f t="shared" si="3"/>
        <v>n/a</v>
      </c>
      <c r="M968" s="212" t="str">
        <f t="shared" si="4"/>
        <v>n/a</v>
      </c>
      <c r="N968" s="207" t="str">
        <f t="shared" si="5"/>
        <v>n/a</v>
      </c>
      <c r="O968" s="207">
        <f t="shared" si="6"/>
        <v>0.009345794393</v>
      </c>
    </row>
    <row r="969" ht="15.75" customHeight="1">
      <c r="A969" s="207">
        <v>70.0</v>
      </c>
      <c r="B969" s="6" t="str">
        <f>VLOOKUP($A969, 'Completion rates'!$A:$E, 2, FALSE)</f>
        <v>Opening medium caskets</v>
      </c>
      <c r="C969" s="207">
        <v>12407.0</v>
      </c>
      <c r="D969" s="6" t="str">
        <f>VLOOKUP($C969, 'List of log slots'!$A:$E, 2, FALSE)</f>
        <v>Pest control teleport</v>
      </c>
      <c r="E969" s="207">
        <f>VLOOKUP($C969, 'List of log slots'!$A:$E, 5, FALSE)</f>
        <v>2</v>
      </c>
      <c r="F969" s="210" t="b">
        <f>VLOOKUP(C969, 'List of log slots'!$A:$C, 3, FALSE)</f>
        <v>0</v>
      </c>
      <c r="G969" s="209" t="b">
        <f t="shared" si="560"/>
        <v>0</v>
      </c>
      <c r="H969" s="209" t="b">
        <f t="shared" si="7"/>
        <v>1</v>
      </c>
      <c r="I969" s="208" t="b">
        <f t="shared" ref="I969:J969" si="712">FALSE</f>
        <v>0</v>
      </c>
      <c r="J969" s="208" t="b">
        <f t="shared" si="712"/>
        <v>0</v>
      </c>
      <c r="K969" s="214">
        <v>107.0</v>
      </c>
      <c r="L969" s="212" t="str">
        <f t="shared" si="3"/>
        <v>n/a</v>
      </c>
      <c r="M969" s="212" t="str">
        <f t="shared" si="4"/>
        <v>n/a</v>
      </c>
      <c r="N969" s="207" t="str">
        <f t="shared" si="5"/>
        <v>n/a</v>
      </c>
      <c r="O969" s="207">
        <f t="shared" si="6"/>
        <v>0.009345794393</v>
      </c>
    </row>
    <row r="970" ht="15.75" customHeight="1">
      <c r="A970" s="207">
        <v>70.0</v>
      </c>
      <c r="B970" s="6" t="str">
        <f>VLOOKUP($A970, 'Completion rates'!$A:$E, 2, FALSE)</f>
        <v>Opening medium caskets</v>
      </c>
      <c r="C970" s="207">
        <v>12409.0</v>
      </c>
      <c r="D970" s="6" t="str">
        <f>VLOOKUP($C970, 'List of log slots'!$A:$E, 2, FALSE)</f>
        <v>Tai bwo wannai teleport</v>
      </c>
      <c r="E970" s="207">
        <f>VLOOKUP($C970, 'List of log slots'!$A:$E, 5, FALSE)</f>
        <v>2</v>
      </c>
      <c r="F970" s="210" t="b">
        <f>VLOOKUP(C970, 'List of log slots'!$A:$C, 3, FALSE)</f>
        <v>0</v>
      </c>
      <c r="G970" s="209" t="b">
        <f t="shared" si="560"/>
        <v>0</v>
      </c>
      <c r="H970" s="209" t="b">
        <f t="shared" si="7"/>
        <v>1</v>
      </c>
      <c r="I970" s="208" t="b">
        <f t="shared" ref="I970:J970" si="713">FALSE</f>
        <v>0</v>
      </c>
      <c r="J970" s="208" t="b">
        <f t="shared" si="713"/>
        <v>0</v>
      </c>
      <c r="K970" s="214">
        <v>107.0</v>
      </c>
      <c r="L970" s="212" t="str">
        <f t="shared" si="3"/>
        <v>n/a</v>
      </c>
      <c r="M970" s="212" t="str">
        <f t="shared" si="4"/>
        <v>n/a</v>
      </c>
      <c r="N970" s="207" t="str">
        <f t="shared" si="5"/>
        <v>n/a</v>
      </c>
      <c r="O970" s="207">
        <f t="shared" si="6"/>
        <v>0.009345794393</v>
      </c>
    </row>
    <row r="971" ht="15.75" customHeight="1">
      <c r="A971" s="207">
        <v>70.0</v>
      </c>
      <c r="B971" s="6" t="str">
        <f>VLOOKUP($A971, 'Completion rates'!$A:$E, 2, FALSE)</f>
        <v>Opening medium caskets</v>
      </c>
      <c r="C971" s="207">
        <v>12642.0</v>
      </c>
      <c r="D971" s="6" t="str">
        <f>VLOOKUP($C971, 'List of log slots'!$A:$E, 2, FALSE)</f>
        <v>Lumberyard teleport</v>
      </c>
      <c r="E971" s="207">
        <f>VLOOKUP($C971, 'List of log slots'!$A:$E, 5, FALSE)</f>
        <v>2</v>
      </c>
      <c r="F971" s="210" t="b">
        <f>VLOOKUP(C971, 'List of log slots'!$A:$C, 3, FALSE)</f>
        <v>0</v>
      </c>
      <c r="G971" s="209" t="b">
        <f t="shared" si="560"/>
        <v>0</v>
      </c>
      <c r="H971" s="209" t="b">
        <f t="shared" si="7"/>
        <v>1</v>
      </c>
      <c r="I971" s="208" t="b">
        <f t="shared" ref="I971:J971" si="714">FALSE</f>
        <v>0</v>
      </c>
      <c r="J971" s="208" t="b">
        <f t="shared" si="714"/>
        <v>0</v>
      </c>
      <c r="K971" s="214">
        <v>107.0</v>
      </c>
      <c r="L971" s="212" t="str">
        <f t="shared" si="3"/>
        <v>n/a</v>
      </c>
      <c r="M971" s="212" t="str">
        <f t="shared" si="4"/>
        <v>n/a</v>
      </c>
      <c r="N971" s="207" t="str">
        <f t="shared" si="5"/>
        <v>n/a</v>
      </c>
      <c r="O971" s="207">
        <f t="shared" si="6"/>
        <v>0.009345794393</v>
      </c>
    </row>
    <row r="972" ht="15.75" customHeight="1">
      <c r="A972" s="207">
        <v>70.0</v>
      </c>
      <c r="B972" s="6" t="str">
        <f>VLOOKUP($A972, 'Completion rates'!$A:$E, 2, FALSE)</f>
        <v>Opening medium caskets</v>
      </c>
      <c r="C972" s="207">
        <v>12410.0</v>
      </c>
      <c r="D972" s="6" t="str">
        <f>VLOOKUP($C972, 'List of log slots'!$A:$E, 2, FALSE)</f>
        <v>Iorwerth camp teleport</v>
      </c>
      <c r="E972" s="207">
        <f>VLOOKUP($C972, 'List of log slots'!$A:$E, 5, FALSE)</f>
        <v>2</v>
      </c>
      <c r="F972" s="210" t="b">
        <f>VLOOKUP(C972, 'List of log slots'!$A:$C, 3, FALSE)</f>
        <v>0</v>
      </c>
      <c r="G972" s="209" t="b">
        <f t="shared" si="560"/>
        <v>0</v>
      </c>
      <c r="H972" s="209" t="b">
        <f t="shared" si="7"/>
        <v>1</v>
      </c>
      <c r="I972" s="208" t="b">
        <f t="shared" ref="I972:J972" si="715">FALSE</f>
        <v>0</v>
      </c>
      <c r="J972" s="208" t="b">
        <f t="shared" si="715"/>
        <v>0</v>
      </c>
      <c r="K972" s="214">
        <v>107.0</v>
      </c>
      <c r="L972" s="212" t="str">
        <f t="shared" si="3"/>
        <v>n/a</v>
      </c>
      <c r="M972" s="212" t="str">
        <f t="shared" si="4"/>
        <v>n/a</v>
      </c>
      <c r="N972" s="207" t="str">
        <f t="shared" si="5"/>
        <v>n/a</v>
      </c>
      <c r="O972" s="207">
        <f t="shared" si="6"/>
        <v>0.009345794393</v>
      </c>
    </row>
    <row r="973" ht="15.75" customHeight="1">
      <c r="A973" s="207">
        <v>70.0</v>
      </c>
      <c r="B973" s="6" t="str">
        <f>VLOOKUP($A973, 'Completion rates'!$A:$E, 2, FALSE)</f>
        <v>Opening medium caskets</v>
      </c>
      <c r="C973" s="207">
        <v>21387.0</v>
      </c>
      <c r="D973" s="6" t="str">
        <f>VLOOKUP($C973, 'List of log slots'!$A:$E, 2, FALSE)</f>
        <v>Master scroll book (empty)</v>
      </c>
      <c r="E973" s="207">
        <f>VLOOKUP($C973, 'List of log slots'!$A:$E, 5, FALSE)</f>
        <v>2</v>
      </c>
      <c r="F973" s="210" t="b">
        <f>VLOOKUP(C973, 'List of log slots'!$A:$C, 3, FALSE)</f>
        <v>0</v>
      </c>
      <c r="G973" s="209" t="b">
        <f t="shared" si="560"/>
        <v>0</v>
      </c>
      <c r="H973" s="209" t="b">
        <f t="shared" si="7"/>
        <v>1</v>
      </c>
      <c r="I973" s="208" t="b">
        <f t="shared" ref="I973:J973" si="716">FALSE</f>
        <v>0</v>
      </c>
      <c r="J973" s="208" t="b">
        <f t="shared" si="716"/>
        <v>0</v>
      </c>
      <c r="K973" s="214">
        <v>188.0</v>
      </c>
      <c r="L973" s="212" t="str">
        <f t="shared" si="3"/>
        <v>n/a</v>
      </c>
      <c r="M973" s="212" t="str">
        <f t="shared" si="4"/>
        <v>n/a</v>
      </c>
      <c r="N973" s="207" t="str">
        <f t="shared" si="5"/>
        <v>n/a</v>
      </c>
      <c r="O973" s="207">
        <f t="shared" si="6"/>
        <v>0.005319148936</v>
      </c>
    </row>
    <row r="974" ht="15.75" customHeight="1">
      <c r="A974" s="207">
        <v>70.0</v>
      </c>
      <c r="B974" s="6" t="str">
        <f>VLOOKUP($A974, 'Completion rates'!$A:$E, 2, FALSE)</f>
        <v>Opening medium caskets</v>
      </c>
      <c r="C974" s="207">
        <v>7329.0</v>
      </c>
      <c r="D974" s="6" t="str">
        <f>VLOOKUP($C974, 'List of log slots'!$A:$E, 2, FALSE)</f>
        <v>Red firelighter</v>
      </c>
      <c r="E974" s="207">
        <f>VLOOKUP($C974, 'List of log slots'!$A:$E, 5, FALSE)</f>
        <v>2</v>
      </c>
      <c r="F974" s="210" t="b">
        <f>VLOOKUP(C974, 'List of log slots'!$A:$C, 3, FALSE)</f>
        <v>0</v>
      </c>
      <c r="G974" s="209" t="b">
        <f t="shared" si="560"/>
        <v>0</v>
      </c>
      <c r="H974" s="209" t="b">
        <f t="shared" si="7"/>
        <v>1</v>
      </c>
      <c r="I974" s="208" t="b">
        <f t="shared" ref="I974:J974" si="717">FALSE</f>
        <v>0</v>
      </c>
      <c r="J974" s="208" t="b">
        <f t="shared" si="717"/>
        <v>0</v>
      </c>
      <c r="K974" s="214">
        <v>47.0</v>
      </c>
      <c r="L974" s="212" t="str">
        <f t="shared" si="3"/>
        <v>n/a</v>
      </c>
      <c r="M974" s="212" t="str">
        <f t="shared" si="4"/>
        <v>n/a</v>
      </c>
      <c r="N974" s="207" t="str">
        <f t="shared" si="5"/>
        <v>n/a</v>
      </c>
      <c r="O974" s="207">
        <f t="shared" si="6"/>
        <v>0.02127659574</v>
      </c>
    </row>
    <row r="975" ht="15.75" customHeight="1">
      <c r="A975" s="207">
        <v>70.0</v>
      </c>
      <c r="B975" s="6" t="str">
        <f>VLOOKUP($A975, 'Completion rates'!$A:$E, 2, FALSE)</f>
        <v>Opening medium caskets</v>
      </c>
      <c r="C975" s="207">
        <v>7330.0</v>
      </c>
      <c r="D975" s="6" t="str">
        <f>VLOOKUP($C975, 'List of log slots'!$A:$E, 2, FALSE)</f>
        <v>Green firelighter</v>
      </c>
      <c r="E975" s="207">
        <f>VLOOKUP($C975, 'List of log slots'!$A:$E, 5, FALSE)</f>
        <v>2</v>
      </c>
      <c r="F975" s="210" t="b">
        <f>VLOOKUP(C975, 'List of log slots'!$A:$C, 3, FALSE)</f>
        <v>0</v>
      </c>
      <c r="G975" s="209" t="b">
        <f t="shared" si="560"/>
        <v>0</v>
      </c>
      <c r="H975" s="209" t="b">
        <f t="shared" si="7"/>
        <v>1</v>
      </c>
      <c r="I975" s="208" t="b">
        <f t="shared" ref="I975:J975" si="718">FALSE</f>
        <v>0</v>
      </c>
      <c r="J975" s="208" t="b">
        <f t="shared" si="718"/>
        <v>0</v>
      </c>
      <c r="K975" s="214">
        <v>47.0</v>
      </c>
      <c r="L975" s="212" t="str">
        <f t="shared" si="3"/>
        <v>n/a</v>
      </c>
      <c r="M975" s="212" t="str">
        <f t="shared" si="4"/>
        <v>n/a</v>
      </c>
      <c r="N975" s="207" t="str">
        <f t="shared" si="5"/>
        <v>n/a</v>
      </c>
      <c r="O975" s="207">
        <f t="shared" si="6"/>
        <v>0.02127659574</v>
      </c>
    </row>
    <row r="976" ht="15.75" customHeight="1">
      <c r="A976" s="207">
        <v>70.0</v>
      </c>
      <c r="B976" s="6" t="str">
        <f>VLOOKUP($A976, 'Completion rates'!$A:$E, 2, FALSE)</f>
        <v>Opening medium caskets</v>
      </c>
      <c r="C976" s="207">
        <v>7331.0</v>
      </c>
      <c r="D976" s="6" t="str">
        <f>VLOOKUP($C976, 'List of log slots'!$A:$E, 2, FALSE)</f>
        <v>Blue firelighter</v>
      </c>
      <c r="E976" s="207">
        <f>VLOOKUP($C976, 'List of log slots'!$A:$E, 5, FALSE)</f>
        <v>2</v>
      </c>
      <c r="F976" s="210" t="b">
        <f>VLOOKUP(C976, 'List of log slots'!$A:$C, 3, FALSE)</f>
        <v>0</v>
      </c>
      <c r="G976" s="209" t="b">
        <f t="shared" si="560"/>
        <v>0</v>
      </c>
      <c r="H976" s="209" t="b">
        <f t="shared" si="7"/>
        <v>1</v>
      </c>
      <c r="I976" s="208" t="b">
        <f t="shared" ref="I976:J976" si="719">FALSE</f>
        <v>0</v>
      </c>
      <c r="J976" s="208" t="b">
        <f t="shared" si="719"/>
        <v>0</v>
      </c>
      <c r="K976" s="214">
        <v>47.0</v>
      </c>
      <c r="L976" s="212" t="str">
        <f t="shared" si="3"/>
        <v>n/a</v>
      </c>
      <c r="M976" s="212" t="str">
        <f t="shared" si="4"/>
        <v>n/a</v>
      </c>
      <c r="N976" s="207" t="str">
        <f t="shared" si="5"/>
        <v>n/a</v>
      </c>
      <c r="O976" s="207">
        <f t="shared" si="6"/>
        <v>0.02127659574</v>
      </c>
    </row>
    <row r="977" ht="15.75" customHeight="1">
      <c r="A977" s="207">
        <v>70.0</v>
      </c>
      <c r="B977" s="6" t="str">
        <f>VLOOKUP($A977, 'Completion rates'!$A:$E, 2, FALSE)</f>
        <v>Opening medium caskets</v>
      </c>
      <c r="C977" s="207">
        <v>10326.0</v>
      </c>
      <c r="D977" s="6" t="str">
        <f>VLOOKUP($C977, 'List of log slots'!$A:$E, 2, FALSE)</f>
        <v>Purple firelighter</v>
      </c>
      <c r="E977" s="207">
        <f>VLOOKUP($C977, 'List of log slots'!$A:$E, 5, FALSE)</f>
        <v>2</v>
      </c>
      <c r="F977" s="210" t="b">
        <f>VLOOKUP(C977, 'List of log slots'!$A:$C, 3, FALSE)</f>
        <v>0</v>
      </c>
      <c r="G977" s="209" t="b">
        <f t="shared" si="560"/>
        <v>0</v>
      </c>
      <c r="H977" s="209" t="b">
        <f t="shared" si="7"/>
        <v>1</v>
      </c>
      <c r="I977" s="208" t="b">
        <f t="shared" ref="I977:J977" si="720">FALSE</f>
        <v>0</v>
      </c>
      <c r="J977" s="208" t="b">
        <f t="shared" si="720"/>
        <v>0</v>
      </c>
      <c r="K977" s="214">
        <v>47.0</v>
      </c>
      <c r="L977" s="212" t="str">
        <f t="shared" si="3"/>
        <v>n/a</v>
      </c>
      <c r="M977" s="212" t="str">
        <f t="shared" si="4"/>
        <v>n/a</v>
      </c>
      <c r="N977" s="207" t="str">
        <f t="shared" si="5"/>
        <v>n/a</v>
      </c>
      <c r="O977" s="207">
        <f t="shared" si="6"/>
        <v>0.02127659574</v>
      </c>
    </row>
    <row r="978" ht="15.75" customHeight="1">
      <c r="A978" s="207">
        <v>70.0</v>
      </c>
      <c r="B978" s="6" t="str">
        <f>VLOOKUP($A978, 'Completion rates'!$A:$E, 2, FALSE)</f>
        <v>Opening medium caskets</v>
      </c>
      <c r="C978" s="207">
        <v>10327.0</v>
      </c>
      <c r="D978" s="6" t="str">
        <f>VLOOKUP($C978, 'List of log slots'!$A:$E, 2, FALSE)</f>
        <v>White firelighter</v>
      </c>
      <c r="E978" s="207">
        <f>VLOOKUP($C978, 'List of log slots'!$A:$E, 5, FALSE)</f>
        <v>2</v>
      </c>
      <c r="F978" s="210" t="b">
        <f>VLOOKUP(C978, 'List of log slots'!$A:$C, 3, FALSE)</f>
        <v>0</v>
      </c>
      <c r="G978" s="209" t="b">
        <f t="shared" si="560"/>
        <v>0</v>
      </c>
      <c r="H978" s="209" t="b">
        <f t="shared" si="7"/>
        <v>1</v>
      </c>
      <c r="I978" s="208" t="b">
        <f t="shared" ref="I978:J978" si="721">FALSE</f>
        <v>0</v>
      </c>
      <c r="J978" s="208" t="b">
        <f t="shared" si="721"/>
        <v>0</v>
      </c>
      <c r="K978" s="214">
        <v>47.0</v>
      </c>
      <c r="L978" s="212" t="str">
        <f t="shared" si="3"/>
        <v>n/a</v>
      </c>
      <c r="M978" s="212" t="str">
        <f t="shared" si="4"/>
        <v>n/a</v>
      </c>
      <c r="N978" s="207" t="str">
        <f t="shared" si="5"/>
        <v>n/a</v>
      </c>
      <c r="O978" s="207">
        <f t="shared" si="6"/>
        <v>0.02127659574</v>
      </c>
    </row>
    <row r="979" ht="15.75" customHeight="1">
      <c r="A979" s="207">
        <v>70.0</v>
      </c>
      <c r="B979" s="6" t="str">
        <f>VLOOKUP($A979, 'Completion rates'!$A:$E, 2, FALSE)</f>
        <v>Opening medium caskets</v>
      </c>
      <c r="C979" s="207">
        <v>20238.0</v>
      </c>
      <c r="D979" s="6" t="str">
        <f>VLOOKUP($C979, 'List of log slots'!$A:$E, 2, FALSE)</f>
        <v>Charge dragonstone jewellery scroll</v>
      </c>
      <c r="E979" s="207">
        <f>VLOOKUP($C979, 'List of log slots'!$A:$E, 5, FALSE)</f>
        <v>2</v>
      </c>
      <c r="F979" s="210" t="b">
        <f>VLOOKUP(C979, 'List of log slots'!$A:$C, 3, FALSE)</f>
        <v>0</v>
      </c>
      <c r="G979" s="209" t="b">
        <f t="shared" si="560"/>
        <v>0</v>
      </c>
      <c r="H979" s="209" t="b">
        <f t="shared" si="7"/>
        <v>1</v>
      </c>
      <c r="I979" s="208" t="b">
        <f t="shared" ref="I979:J979" si="722">FALSE</f>
        <v>0</v>
      </c>
      <c r="J979" s="208" t="b">
        <f t="shared" si="722"/>
        <v>0</v>
      </c>
      <c r="K979" s="214">
        <v>107.0</v>
      </c>
      <c r="L979" s="212" t="str">
        <f t="shared" si="3"/>
        <v>n/a</v>
      </c>
      <c r="M979" s="212" t="str">
        <f t="shared" si="4"/>
        <v>n/a</v>
      </c>
      <c r="N979" s="207" t="str">
        <f t="shared" si="5"/>
        <v>n/a</v>
      </c>
      <c r="O979" s="207">
        <f t="shared" si="6"/>
        <v>0.009345794393</v>
      </c>
    </row>
    <row r="980" ht="15.75" customHeight="1">
      <c r="A980" s="207">
        <v>70.0</v>
      </c>
      <c r="B980" s="6" t="str">
        <f>VLOOKUP($A980, 'Completion rates'!$A:$E, 2, FALSE)</f>
        <v>Opening medium caskets</v>
      </c>
      <c r="C980" s="207">
        <v>10476.0</v>
      </c>
      <c r="D980" s="6" t="str">
        <f>VLOOKUP($C980, 'List of log slots'!$A:$E, 2, FALSE)</f>
        <v>Purple sweets</v>
      </c>
      <c r="E980" s="207">
        <f>VLOOKUP($C980, 'List of log slots'!$A:$E, 5, FALSE)</f>
        <v>2</v>
      </c>
      <c r="F980" s="210" t="b">
        <f>VLOOKUP(C980, 'List of log slots'!$A:$C, 3, FALSE)</f>
        <v>0</v>
      </c>
      <c r="G980" s="209" t="b">
        <f t="shared" si="560"/>
        <v>0</v>
      </c>
      <c r="H980" s="209" t="b">
        <f t="shared" si="7"/>
        <v>1</v>
      </c>
      <c r="I980" s="208" t="b">
        <f t="shared" ref="I980:J980" si="723">FALSE</f>
        <v>0</v>
      </c>
      <c r="J980" s="208" t="b">
        <f t="shared" si="723"/>
        <v>0</v>
      </c>
      <c r="K980" s="214">
        <v>6.0</v>
      </c>
      <c r="L980" s="212" t="str">
        <f t="shared" si="3"/>
        <v>n/a</v>
      </c>
      <c r="M980" s="212" t="str">
        <f t="shared" si="4"/>
        <v>n/a</v>
      </c>
      <c r="N980" s="207" t="str">
        <f t="shared" si="5"/>
        <v>n/a</v>
      </c>
      <c r="O980" s="207">
        <f t="shared" si="6"/>
        <v>0.1666666667</v>
      </c>
    </row>
    <row r="981" ht="15.75" customHeight="1">
      <c r="A981" s="207">
        <v>70.0</v>
      </c>
      <c r="B981" s="6" t="str">
        <f>VLOOKUP($A981, 'Completion rates'!$A:$E, 2, FALSE)</f>
        <v>Opening medium caskets</v>
      </c>
      <c r="C981" s="207">
        <v>30910.0</v>
      </c>
      <c r="D981" s="6" t="str">
        <f>VLOOKUP($C981, 'List of log slots'!$A:$E, 2, FALSE)</f>
        <v>Minor medium scroll case</v>
      </c>
      <c r="E981" s="207">
        <f>VLOOKUP($C981, 'List of log slots'!$A:$E, 5, FALSE)</f>
        <v>4</v>
      </c>
      <c r="F981" s="209" t="b">
        <f>VLOOKUP(C981, 'List of log slots'!$A:$C, 3, FALSE)</f>
        <v>0</v>
      </c>
      <c r="G981" s="209" t="b">
        <f t="shared" si="560"/>
        <v>0</v>
      </c>
      <c r="H981" s="210" t="b">
        <f t="shared" si="7"/>
        <v>1</v>
      </c>
      <c r="I981" s="213" t="b">
        <f t="shared" ref="I981:I982" si="724">TRUE</f>
        <v>1</v>
      </c>
      <c r="J981" s="208" t="b">
        <f t="shared" ref="J981:J982" si="725">FALSE</f>
        <v>0</v>
      </c>
      <c r="K981" s="214">
        <v>100.0</v>
      </c>
      <c r="L981" s="212" t="str">
        <f t="shared" si="3"/>
        <v>n/a</v>
      </c>
      <c r="M981" s="212">
        <f t="shared" si="4"/>
        <v>100</v>
      </c>
      <c r="N981" s="207" t="str">
        <f t="shared" si="5"/>
        <v>n/a</v>
      </c>
      <c r="O981" s="207" t="str">
        <f t="shared" si="6"/>
        <v>n/a</v>
      </c>
    </row>
    <row r="982" ht="15.75" customHeight="1">
      <c r="A982" s="207">
        <v>70.0</v>
      </c>
      <c r="B982" s="6" t="str">
        <f>VLOOKUP($A982, 'Completion rates'!$A:$E, 2, FALSE)</f>
        <v>Opening medium caskets</v>
      </c>
      <c r="C982" s="207">
        <v>30912.0</v>
      </c>
      <c r="D982" s="6" t="str">
        <f>VLOOKUP($C982, 'List of log slots'!$A:$E, 2, FALSE)</f>
        <v>Major medium scroll case</v>
      </c>
      <c r="E982" s="207">
        <f>VLOOKUP($C982, 'List of log slots'!$A:$E, 5, FALSE)</f>
        <v>5</v>
      </c>
      <c r="F982" s="209" t="b">
        <f>VLOOKUP(C982, 'List of log slots'!$A:$C, 3, FALSE)</f>
        <v>0</v>
      </c>
      <c r="G982" s="210" t="b">
        <f>TRUE</f>
        <v>1</v>
      </c>
      <c r="H982" s="209" t="b">
        <f t="shared" si="7"/>
        <v>0</v>
      </c>
      <c r="I982" s="213" t="b">
        <f t="shared" si="724"/>
        <v>1</v>
      </c>
      <c r="J982" s="208" t="b">
        <f t="shared" si="725"/>
        <v>0</v>
      </c>
      <c r="K982" s="214">
        <v>150.0</v>
      </c>
      <c r="L982" s="212" t="str">
        <f t="shared" si="3"/>
        <v>n/a</v>
      </c>
      <c r="M982" s="212">
        <f t="shared" si="4"/>
        <v>150</v>
      </c>
      <c r="N982" s="207" t="str">
        <f t="shared" si="5"/>
        <v>n/a</v>
      </c>
      <c r="O982" s="207" t="str">
        <f t="shared" si="6"/>
        <v>n/a</v>
      </c>
    </row>
    <row r="983" ht="15.75" customHeight="1">
      <c r="A983" s="207">
        <v>71.0</v>
      </c>
      <c r="B983" s="6" t="str">
        <f>VLOOKUP($A983, 'Completion rates'!$A:$E, 2, FALSE)</f>
        <v>Opening hard caskets</v>
      </c>
      <c r="C983" s="207">
        <v>2581.0</v>
      </c>
      <c r="D983" s="6" t="str">
        <f>VLOOKUP($C983, 'List of log slots'!$A:$E, 2, FALSE)</f>
        <v>Robin hood hat</v>
      </c>
      <c r="E983" s="207">
        <f>VLOOKUP($C983, 'List of log slots'!$A:$E, 5, FALSE)</f>
        <v>5</v>
      </c>
      <c r="F983" s="209" t="b">
        <f>VLOOKUP(C983, 'List of log slots'!$A:$C, 3, FALSE)</f>
        <v>0</v>
      </c>
      <c r="G983" s="209" t="b">
        <f t="shared" ref="G983:G1190" si="727">FALSE</f>
        <v>0</v>
      </c>
      <c r="H983" s="210" t="b">
        <f t="shared" si="7"/>
        <v>1</v>
      </c>
      <c r="I983" s="208" t="b">
        <f t="shared" ref="I983:J983" si="726">FALSE</f>
        <v>0</v>
      </c>
      <c r="J983" s="208" t="b">
        <f t="shared" si="726"/>
        <v>0</v>
      </c>
      <c r="K983" s="214">
        <v>325.0</v>
      </c>
      <c r="L983" s="212" t="str">
        <f t="shared" si="3"/>
        <v>n/a</v>
      </c>
      <c r="M983" s="212" t="str">
        <f t="shared" si="4"/>
        <v>n/a</v>
      </c>
      <c r="N983" s="207" t="str">
        <f t="shared" si="5"/>
        <v>n/a</v>
      </c>
      <c r="O983" s="207">
        <f t="shared" si="6"/>
        <v>0.003076923077</v>
      </c>
    </row>
    <row r="984" ht="15.75" customHeight="1">
      <c r="A984" s="207">
        <v>71.0</v>
      </c>
      <c r="B984" s="6" t="str">
        <f>VLOOKUP($A984, 'Completion rates'!$A:$E, 2, FALSE)</f>
        <v>Opening hard caskets</v>
      </c>
      <c r="C984" s="207">
        <v>22231.0</v>
      </c>
      <c r="D984" s="6" t="str">
        <f>VLOOKUP($C984, 'List of log slots'!$A:$E, 2, FALSE)</f>
        <v>Dragon boots ornament kit</v>
      </c>
      <c r="E984" s="207">
        <f>VLOOKUP($C984, 'List of log slots'!$A:$E, 5, FALSE)</f>
        <v>5</v>
      </c>
      <c r="F984" s="209" t="b">
        <f>VLOOKUP(C984, 'List of log slots'!$A:$C, 3, FALSE)</f>
        <v>0</v>
      </c>
      <c r="G984" s="209" t="b">
        <f t="shared" si="727"/>
        <v>0</v>
      </c>
      <c r="H984" s="210" t="b">
        <f t="shared" si="7"/>
        <v>1</v>
      </c>
      <c r="I984" s="208" t="b">
        <f t="shared" ref="I984:J984" si="728">FALSE</f>
        <v>0</v>
      </c>
      <c r="J984" s="208" t="b">
        <f t="shared" si="728"/>
        <v>0</v>
      </c>
      <c r="K984" s="214">
        <v>325.0</v>
      </c>
      <c r="L984" s="212" t="str">
        <f t="shared" si="3"/>
        <v>n/a</v>
      </c>
      <c r="M984" s="212" t="str">
        <f t="shared" si="4"/>
        <v>n/a</v>
      </c>
      <c r="N984" s="207" t="str">
        <f t="shared" si="5"/>
        <v>n/a</v>
      </c>
      <c r="O984" s="207">
        <f t="shared" si="6"/>
        <v>0.003076923077</v>
      </c>
    </row>
    <row r="985" ht="15.75" customHeight="1">
      <c r="A985" s="207">
        <v>71.0</v>
      </c>
      <c r="B985" s="6" t="str">
        <f>VLOOKUP($A985, 'Completion rates'!$A:$E, 2, FALSE)</f>
        <v>Opening hard caskets</v>
      </c>
      <c r="C985" s="207">
        <v>23227.0</v>
      </c>
      <c r="D985" s="6" t="str">
        <f>VLOOKUP($C985, 'List of log slots'!$A:$E, 2, FALSE)</f>
        <v>Rune defender ornament kit</v>
      </c>
      <c r="E985" s="207">
        <f>VLOOKUP($C985, 'List of log slots'!$A:$E, 5, FALSE)</f>
        <v>5</v>
      </c>
      <c r="F985" s="209" t="b">
        <f>VLOOKUP(C985, 'List of log slots'!$A:$C, 3, FALSE)</f>
        <v>0</v>
      </c>
      <c r="G985" s="209" t="b">
        <f t="shared" si="727"/>
        <v>0</v>
      </c>
      <c r="H985" s="210" t="b">
        <f t="shared" si="7"/>
        <v>1</v>
      </c>
      <c r="I985" s="208" t="b">
        <f t="shared" ref="I985:J985" si="729">FALSE</f>
        <v>0</v>
      </c>
      <c r="J985" s="208" t="b">
        <f t="shared" si="729"/>
        <v>0</v>
      </c>
      <c r="K985" s="214">
        <v>325.0</v>
      </c>
      <c r="L985" s="212" t="str">
        <f t="shared" si="3"/>
        <v>n/a</v>
      </c>
      <c r="M985" s="212" t="str">
        <f t="shared" si="4"/>
        <v>n/a</v>
      </c>
      <c r="N985" s="207" t="str">
        <f t="shared" si="5"/>
        <v>n/a</v>
      </c>
      <c r="O985" s="207">
        <f t="shared" si="6"/>
        <v>0.003076923077</v>
      </c>
    </row>
    <row r="986" ht="15.75" customHeight="1">
      <c r="A986" s="207">
        <v>71.0</v>
      </c>
      <c r="B986" s="6" t="str">
        <f>VLOOKUP($A986, 'Completion rates'!$A:$E, 2, FALSE)</f>
        <v>Opening hard caskets</v>
      </c>
      <c r="C986" s="207">
        <v>23232.0</v>
      </c>
      <c r="D986" s="6" t="str">
        <f>VLOOKUP($C986, 'List of log slots'!$A:$E, 2, FALSE)</f>
        <v>Tzhaar-ket-om ornament kit</v>
      </c>
      <c r="E986" s="207">
        <f>VLOOKUP($C986, 'List of log slots'!$A:$E, 5, FALSE)</f>
        <v>5</v>
      </c>
      <c r="F986" s="209" t="b">
        <f>VLOOKUP(C986, 'List of log slots'!$A:$C, 3, FALSE)</f>
        <v>0</v>
      </c>
      <c r="G986" s="209" t="b">
        <f t="shared" si="727"/>
        <v>0</v>
      </c>
      <c r="H986" s="210" t="b">
        <f t="shared" si="7"/>
        <v>1</v>
      </c>
      <c r="I986" s="208" t="b">
        <f t="shared" ref="I986:J986" si="730">FALSE</f>
        <v>0</v>
      </c>
      <c r="J986" s="208" t="b">
        <f t="shared" si="730"/>
        <v>0</v>
      </c>
      <c r="K986" s="214">
        <v>325.0</v>
      </c>
      <c r="L986" s="212" t="str">
        <f t="shared" si="3"/>
        <v>n/a</v>
      </c>
      <c r="M986" s="212" t="str">
        <f t="shared" si="4"/>
        <v>n/a</v>
      </c>
      <c r="N986" s="207" t="str">
        <f t="shared" si="5"/>
        <v>n/a</v>
      </c>
      <c r="O986" s="207">
        <f t="shared" si="6"/>
        <v>0.003076923077</v>
      </c>
    </row>
    <row r="987" ht="15.75" customHeight="1">
      <c r="A987" s="207">
        <v>71.0</v>
      </c>
      <c r="B987" s="6" t="str">
        <f>VLOOKUP($A987, 'Completion rates'!$A:$E, 2, FALSE)</f>
        <v>Opening hard caskets</v>
      </c>
      <c r="C987" s="207">
        <v>23237.0</v>
      </c>
      <c r="D987" s="6" t="str">
        <f>VLOOKUP($C987, 'List of log slots'!$A:$E, 2, FALSE)</f>
        <v>Berserker necklace ornament kit</v>
      </c>
      <c r="E987" s="207">
        <f>VLOOKUP($C987, 'List of log slots'!$A:$E, 5, FALSE)</f>
        <v>5</v>
      </c>
      <c r="F987" s="209" t="b">
        <f>VLOOKUP(C987, 'List of log slots'!$A:$C, 3, FALSE)</f>
        <v>0</v>
      </c>
      <c r="G987" s="209" t="b">
        <f t="shared" si="727"/>
        <v>0</v>
      </c>
      <c r="H987" s="210" t="b">
        <f t="shared" si="7"/>
        <v>1</v>
      </c>
      <c r="I987" s="208" t="b">
        <f t="shared" ref="I987:J987" si="731">FALSE</f>
        <v>0</v>
      </c>
      <c r="J987" s="208" t="b">
        <f t="shared" si="731"/>
        <v>0</v>
      </c>
      <c r="K987" s="214">
        <v>325.0</v>
      </c>
      <c r="L987" s="212" t="str">
        <f t="shared" si="3"/>
        <v>n/a</v>
      </c>
      <c r="M987" s="212" t="str">
        <f t="shared" si="4"/>
        <v>n/a</v>
      </c>
      <c r="N987" s="207" t="str">
        <f t="shared" si="5"/>
        <v>n/a</v>
      </c>
      <c r="O987" s="207">
        <f t="shared" si="6"/>
        <v>0.003076923077</v>
      </c>
    </row>
    <row r="988" ht="15.75" customHeight="1">
      <c r="A988" s="207">
        <v>71.0</v>
      </c>
      <c r="B988" s="6" t="str">
        <f>VLOOKUP($A988, 'Completion rates'!$A:$E, 2, FALSE)</f>
        <v>Opening hard caskets</v>
      </c>
      <c r="C988" s="207">
        <v>2627.0</v>
      </c>
      <c r="D988" s="6" t="str">
        <f>VLOOKUP($C988, 'List of log slots'!$A:$E, 2, FALSE)</f>
        <v>Rune full helm (t)</v>
      </c>
      <c r="E988" s="207">
        <f>VLOOKUP($C988, 'List of log slots'!$A:$E, 5, FALSE)</f>
        <v>5</v>
      </c>
      <c r="F988" s="209" t="b">
        <f>VLOOKUP(C988, 'List of log slots'!$A:$C, 3, FALSE)</f>
        <v>0</v>
      </c>
      <c r="G988" s="209" t="b">
        <f t="shared" si="727"/>
        <v>0</v>
      </c>
      <c r="H988" s="210" t="b">
        <f t="shared" si="7"/>
        <v>1</v>
      </c>
      <c r="I988" s="208" t="b">
        <f t="shared" ref="I988:J988" si="732">FALSE</f>
        <v>0</v>
      </c>
      <c r="J988" s="208" t="b">
        <f t="shared" si="732"/>
        <v>0</v>
      </c>
      <c r="K988" s="214">
        <v>325.0</v>
      </c>
      <c r="L988" s="212" t="str">
        <f t="shared" si="3"/>
        <v>n/a</v>
      </c>
      <c r="M988" s="212" t="str">
        <f t="shared" si="4"/>
        <v>n/a</v>
      </c>
      <c r="N988" s="207" t="str">
        <f t="shared" si="5"/>
        <v>n/a</v>
      </c>
      <c r="O988" s="207">
        <f t="shared" si="6"/>
        <v>0.003076923077</v>
      </c>
    </row>
    <row r="989" ht="15.75" customHeight="1">
      <c r="A989" s="207">
        <v>71.0</v>
      </c>
      <c r="B989" s="6" t="str">
        <f>VLOOKUP($A989, 'Completion rates'!$A:$E, 2, FALSE)</f>
        <v>Opening hard caskets</v>
      </c>
      <c r="C989" s="207">
        <v>2623.0</v>
      </c>
      <c r="D989" s="6" t="str">
        <f>VLOOKUP($C989, 'List of log slots'!$A:$E, 2, FALSE)</f>
        <v>Rune platebody (t)</v>
      </c>
      <c r="E989" s="207">
        <f>VLOOKUP($C989, 'List of log slots'!$A:$E, 5, FALSE)</f>
        <v>5</v>
      </c>
      <c r="F989" s="210" t="b">
        <f>VLOOKUP(C989, 'List of log slots'!$A:$C, 3, FALSE)</f>
        <v>0</v>
      </c>
      <c r="G989" s="209" t="b">
        <f t="shared" si="727"/>
        <v>0</v>
      </c>
      <c r="H989" s="209" t="b">
        <f t="shared" si="7"/>
        <v>1</v>
      </c>
      <c r="I989" s="208" t="b">
        <f t="shared" ref="I989:J989" si="733">FALSE</f>
        <v>0</v>
      </c>
      <c r="J989" s="208" t="b">
        <f t="shared" si="733"/>
        <v>0</v>
      </c>
      <c r="K989" s="214">
        <v>325.0</v>
      </c>
      <c r="L989" s="212" t="str">
        <f t="shared" si="3"/>
        <v>n/a</v>
      </c>
      <c r="M989" s="212" t="str">
        <f t="shared" si="4"/>
        <v>n/a</v>
      </c>
      <c r="N989" s="207" t="str">
        <f t="shared" si="5"/>
        <v>n/a</v>
      </c>
      <c r="O989" s="207">
        <f t="shared" si="6"/>
        <v>0.003076923077</v>
      </c>
    </row>
    <row r="990" ht="15.75" customHeight="1">
      <c r="A990" s="207">
        <v>71.0</v>
      </c>
      <c r="B990" s="6" t="str">
        <f>VLOOKUP($A990, 'Completion rates'!$A:$E, 2, FALSE)</f>
        <v>Opening hard caskets</v>
      </c>
      <c r="C990" s="207">
        <v>2625.0</v>
      </c>
      <c r="D990" s="6" t="str">
        <f>VLOOKUP($C990, 'List of log slots'!$A:$E, 2, FALSE)</f>
        <v>Rune platelegs (t)</v>
      </c>
      <c r="E990" s="207">
        <f>VLOOKUP($C990, 'List of log slots'!$A:$E, 5, FALSE)</f>
        <v>5</v>
      </c>
      <c r="F990" s="210" t="b">
        <f>VLOOKUP(C990, 'List of log slots'!$A:$C, 3, FALSE)</f>
        <v>0</v>
      </c>
      <c r="G990" s="209" t="b">
        <f t="shared" si="727"/>
        <v>0</v>
      </c>
      <c r="H990" s="209" t="b">
        <f t="shared" si="7"/>
        <v>1</v>
      </c>
      <c r="I990" s="208" t="b">
        <f t="shared" ref="I990:J990" si="734">FALSE</f>
        <v>0</v>
      </c>
      <c r="J990" s="208" t="b">
        <f t="shared" si="734"/>
        <v>0</v>
      </c>
      <c r="K990" s="214">
        <v>325.0</v>
      </c>
      <c r="L990" s="212" t="str">
        <f t="shared" si="3"/>
        <v>n/a</v>
      </c>
      <c r="M990" s="212" t="str">
        <f t="shared" si="4"/>
        <v>n/a</v>
      </c>
      <c r="N990" s="207" t="str">
        <f t="shared" si="5"/>
        <v>n/a</v>
      </c>
      <c r="O990" s="207">
        <f t="shared" si="6"/>
        <v>0.003076923077</v>
      </c>
    </row>
    <row r="991" ht="15.75" customHeight="1">
      <c r="A991" s="207">
        <v>71.0</v>
      </c>
      <c r="B991" s="6" t="str">
        <f>VLOOKUP($A991, 'Completion rates'!$A:$E, 2, FALSE)</f>
        <v>Opening hard caskets</v>
      </c>
      <c r="C991" s="207">
        <v>3477.0</v>
      </c>
      <c r="D991" s="6" t="str">
        <f>VLOOKUP($C991, 'List of log slots'!$A:$E, 2, FALSE)</f>
        <v>Rune plateskirt (t)</v>
      </c>
      <c r="E991" s="207">
        <f>VLOOKUP($C991, 'List of log slots'!$A:$E, 5, FALSE)</f>
        <v>5</v>
      </c>
      <c r="F991" s="209" t="b">
        <f>VLOOKUP(C991, 'List of log slots'!$A:$C, 3, FALSE)</f>
        <v>0</v>
      </c>
      <c r="G991" s="209" t="b">
        <f t="shared" si="727"/>
        <v>0</v>
      </c>
      <c r="H991" s="210" t="b">
        <f t="shared" si="7"/>
        <v>1</v>
      </c>
      <c r="I991" s="208" t="b">
        <f t="shared" ref="I991:J991" si="735">FALSE</f>
        <v>0</v>
      </c>
      <c r="J991" s="208" t="b">
        <f t="shared" si="735"/>
        <v>0</v>
      </c>
      <c r="K991" s="214">
        <v>325.0</v>
      </c>
      <c r="L991" s="212" t="str">
        <f t="shared" si="3"/>
        <v>n/a</v>
      </c>
      <c r="M991" s="212" t="str">
        <f t="shared" si="4"/>
        <v>n/a</v>
      </c>
      <c r="N991" s="207" t="str">
        <f t="shared" si="5"/>
        <v>n/a</v>
      </c>
      <c r="O991" s="207">
        <f t="shared" si="6"/>
        <v>0.003076923077</v>
      </c>
    </row>
    <row r="992" ht="15.75" customHeight="1">
      <c r="A992" s="207">
        <v>71.0</v>
      </c>
      <c r="B992" s="6" t="str">
        <f>VLOOKUP($A992, 'Completion rates'!$A:$E, 2, FALSE)</f>
        <v>Opening hard caskets</v>
      </c>
      <c r="C992" s="207">
        <v>2629.0</v>
      </c>
      <c r="D992" s="6" t="str">
        <f>VLOOKUP($C992, 'List of log slots'!$A:$E, 2, FALSE)</f>
        <v>Rune kiteshield (t)</v>
      </c>
      <c r="E992" s="207">
        <f>VLOOKUP($C992, 'List of log slots'!$A:$E, 5, FALSE)</f>
        <v>5</v>
      </c>
      <c r="F992" s="209" t="b">
        <f>VLOOKUP(C992, 'List of log slots'!$A:$C, 3, FALSE)</f>
        <v>0</v>
      </c>
      <c r="G992" s="209" t="b">
        <f t="shared" si="727"/>
        <v>0</v>
      </c>
      <c r="H992" s="210" t="b">
        <f t="shared" si="7"/>
        <v>1</v>
      </c>
      <c r="I992" s="208" t="b">
        <f t="shared" ref="I992:J992" si="736">FALSE</f>
        <v>0</v>
      </c>
      <c r="J992" s="208" t="b">
        <f t="shared" si="736"/>
        <v>0</v>
      </c>
      <c r="K992" s="214">
        <v>325.0</v>
      </c>
      <c r="L992" s="212" t="str">
        <f t="shared" si="3"/>
        <v>n/a</v>
      </c>
      <c r="M992" s="212" t="str">
        <f t="shared" si="4"/>
        <v>n/a</v>
      </c>
      <c r="N992" s="207" t="str">
        <f t="shared" si="5"/>
        <v>n/a</v>
      </c>
      <c r="O992" s="207">
        <f t="shared" si="6"/>
        <v>0.003076923077</v>
      </c>
    </row>
    <row r="993" ht="15.75" customHeight="1">
      <c r="A993" s="207">
        <v>71.0</v>
      </c>
      <c r="B993" s="6" t="str">
        <f>VLOOKUP($A993, 'Completion rates'!$A:$E, 2, FALSE)</f>
        <v>Opening hard caskets</v>
      </c>
      <c r="C993" s="207">
        <v>2619.0</v>
      </c>
      <c r="D993" s="6" t="str">
        <f>VLOOKUP($C993, 'List of log slots'!$A:$E, 2, FALSE)</f>
        <v>Rune full helm (g)</v>
      </c>
      <c r="E993" s="207">
        <f>VLOOKUP($C993, 'List of log slots'!$A:$E, 5, FALSE)</f>
        <v>5</v>
      </c>
      <c r="F993" s="210" t="b">
        <f>VLOOKUP(C993, 'List of log slots'!$A:$C, 3, FALSE)</f>
        <v>0</v>
      </c>
      <c r="G993" s="209" t="b">
        <f t="shared" si="727"/>
        <v>0</v>
      </c>
      <c r="H993" s="209" t="b">
        <f t="shared" si="7"/>
        <v>1</v>
      </c>
      <c r="I993" s="208" t="b">
        <f t="shared" ref="I993:J993" si="737">FALSE</f>
        <v>0</v>
      </c>
      <c r="J993" s="208" t="b">
        <f t="shared" si="737"/>
        <v>0</v>
      </c>
      <c r="K993" s="214">
        <v>325.0</v>
      </c>
      <c r="L993" s="212" t="str">
        <f t="shared" si="3"/>
        <v>n/a</v>
      </c>
      <c r="M993" s="212" t="str">
        <f t="shared" si="4"/>
        <v>n/a</v>
      </c>
      <c r="N993" s="207" t="str">
        <f t="shared" si="5"/>
        <v>n/a</v>
      </c>
      <c r="O993" s="207">
        <f t="shared" si="6"/>
        <v>0.003076923077</v>
      </c>
    </row>
    <row r="994" ht="15.75" customHeight="1">
      <c r="A994" s="207">
        <v>71.0</v>
      </c>
      <c r="B994" s="6" t="str">
        <f>VLOOKUP($A994, 'Completion rates'!$A:$E, 2, FALSE)</f>
        <v>Opening hard caskets</v>
      </c>
      <c r="C994" s="207">
        <v>2615.0</v>
      </c>
      <c r="D994" s="6" t="str">
        <f>VLOOKUP($C994, 'List of log slots'!$A:$E, 2, FALSE)</f>
        <v>Rune platebody (g)</v>
      </c>
      <c r="E994" s="207">
        <f>VLOOKUP($C994, 'List of log slots'!$A:$E, 5, FALSE)</f>
        <v>5</v>
      </c>
      <c r="F994" s="209" t="b">
        <f>VLOOKUP(C994, 'List of log slots'!$A:$C, 3, FALSE)</f>
        <v>0</v>
      </c>
      <c r="G994" s="209" t="b">
        <f t="shared" si="727"/>
        <v>0</v>
      </c>
      <c r="H994" s="210" t="b">
        <f t="shared" si="7"/>
        <v>1</v>
      </c>
      <c r="I994" s="208" t="b">
        <f t="shared" ref="I994:J994" si="738">FALSE</f>
        <v>0</v>
      </c>
      <c r="J994" s="208" t="b">
        <f t="shared" si="738"/>
        <v>0</v>
      </c>
      <c r="K994" s="214">
        <v>325.0</v>
      </c>
      <c r="L994" s="212" t="str">
        <f t="shared" si="3"/>
        <v>n/a</v>
      </c>
      <c r="M994" s="212" t="str">
        <f t="shared" si="4"/>
        <v>n/a</v>
      </c>
      <c r="N994" s="207" t="str">
        <f t="shared" si="5"/>
        <v>n/a</v>
      </c>
      <c r="O994" s="207">
        <f t="shared" si="6"/>
        <v>0.003076923077</v>
      </c>
    </row>
    <row r="995" ht="15.75" customHeight="1">
      <c r="A995" s="207">
        <v>71.0</v>
      </c>
      <c r="B995" s="6" t="str">
        <f>VLOOKUP($A995, 'Completion rates'!$A:$E, 2, FALSE)</f>
        <v>Opening hard caskets</v>
      </c>
      <c r="C995" s="207">
        <v>2617.0</v>
      </c>
      <c r="D995" s="6" t="str">
        <f>VLOOKUP($C995, 'List of log slots'!$A:$E, 2, FALSE)</f>
        <v>Rune platelegs (g)</v>
      </c>
      <c r="E995" s="207">
        <f>VLOOKUP($C995, 'List of log slots'!$A:$E, 5, FALSE)</f>
        <v>5</v>
      </c>
      <c r="F995" s="210" t="b">
        <f>VLOOKUP(C995, 'List of log slots'!$A:$C, 3, FALSE)</f>
        <v>0</v>
      </c>
      <c r="G995" s="209" t="b">
        <f t="shared" si="727"/>
        <v>0</v>
      </c>
      <c r="H995" s="209" t="b">
        <f t="shared" si="7"/>
        <v>1</v>
      </c>
      <c r="I995" s="208" t="b">
        <f t="shared" ref="I995:J995" si="739">FALSE</f>
        <v>0</v>
      </c>
      <c r="J995" s="208" t="b">
        <f t="shared" si="739"/>
        <v>0</v>
      </c>
      <c r="K995" s="214">
        <v>325.0</v>
      </c>
      <c r="L995" s="212" t="str">
        <f t="shared" si="3"/>
        <v>n/a</v>
      </c>
      <c r="M995" s="212" t="str">
        <f t="shared" si="4"/>
        <v>n/a</v>
      </c>
      <c r="N995" s="207" t="str">
        <f t="shared" si="5"/>
        <v>n/a</v>
      </c>
      <c r="O995" s="207">
        <f t="shared" si="6"/>
        <v>0.003076923077</v>
      </c>
    </row>
    <row r="996" ht="15.75" customHeight="1">
      <c r="A996" s="207">
        <v>71.0</v>
      </c>
      <c r="B996" s="6" t="str">
        <f>VLOOKUP($A996, 'Completion rates'!$A:$E, 2, FALSE)</f>
        <v>Opening hard caskets</v>
      </c>
      <c r="C996" s="207">
        <v>3476.0</v>
      </c>
      <c r="D996" s="6" t="str">
        <f>VLOOKUP($C996, 'List of log slots'!$A:$E, 2, FALSE)</f>
        <v>Rune plateskirt (g)</v>
      </c>
      <c r="E996" s="207">
        <f>VLOOKUP($C996, 'List of log slots'!$A:$E, 5, FALSE)</f>
        <v>5</v>
      </c>
      <c r="F996" s="209" t="b">
        <f>VLOOKUP(C996, 'List of log slots'!$A:$C, 3, FALSE)</f>
        <v>0</v>
      </c>
      <c r="G996" s="209" t="b">
        <f t="shared" si="727"/>
        <v>0</v>
      </c>
      <c r="H996" s="210" t="b">
        <f t="shared" si="7"/>
        <v>1</v>
      </c>
      <c r="I996" s="208" t="b">
        <f t="shared" ref="I996:J996" si="740">FALSE</f>
        <v>0</v>
      </c>
      <c r="J996" s="208" t="b">
        <f t="shared" si="740"/>
        <v>0</v>
      </c>
      <c r="K996" s="214">
        <v>325.0</v>
      </c>
      <c r="L996" s="212" t="str">
        <f t="shared" si="3"/>
        <v>n/a</v>
      </c>
      <c r="M996" s="212" t="str">
        <f t="shared" si="4"/>
        <v>n/a</v>
      </c>
      <c r="N996" s="207" t="str">
        <f t="shared" si="5"/>
        <v>n/a</v>
      </c>
      <c r="O996" s="207">
        <f t="shared" si="6"/>
        <v>0.003076923077</v>
      </c>
    </row>
    <row r="997" ht="15.75" customHeight="1">
      <c r="A997" s="207">
        <v>71.0</v>
      </c>
      <c r="B997" s="6" t="str">
        <f>VLOOKUP($A997, 'Completion rates'!$A:$E, 2, FALSE)</f>
        <v>Opening hard caskets</v>
      </c>
      <c r="C997" s="207">
        <v>2621.0</v>
      </c>
      <c r="D997" s="6" t="str">
        <f>VLOOKUP($C997, 'List of log slots'!$A:$E, 2, FALSE)</f>
        <v>Rune kiteshield (g)</v>
      </c>
      <c r="E997" s="207">
        <f>VLOOKUP($C997, 'List of log slots'!$A:$E, 5, FALSE)</f>
        <v>5</v>
      </c>
      <c r="F997" s="210" t="b">
        <f>VLOOKUP(C997, 'List of log slots'!$A:$C, 3, FALSE)</f>
        <v>0</v>
      </c>
      <c r="G997" s="209" t="b">
        <f t="shared" si="727"/>
        <v>0</v>
      </c>
      <c r="H997" s="209" t="b">
        <f t="shared" si="7"/>
        <v>1</v>
      </c>
      <c r="I997" s="208" t="b">
        <f t="shared" ref="I997:J997" si="741">FALSE</f>
        <v>0</v>
      </c>
      <c r="J997" s="208" t="b">
        <f t="shared" si="741"/>
        <v>0</v>
      </c>
      <c r="K997" s="214">
        <v>325.0</v>
      </c>
      <c r="L997" s="212" t="str">
        <f t="shared" si="3"/>
        <v>n/a</v>
      </c>
      <c r="M997" s="212" t="str">
        <f t="shared" si="4"/>
        <v>n/a</v>
      </c>
      <c r="N997" s="207" t="str">
        <f t="shared" si="5"/>
        <v>n/a</v>
      </c>
      <c r="O997" s="207">
        <f t="shared" si="6"/>
        <v>0.003076923077</v>
      </c>
    </row>
    <row r="998" ht="15.75" customHeight="1">
      <c r="A998" s="207">
        <v>71.0</v>
      </c>
      <c r="B998" s="6" t="str">
        <f>VLOOKUP($A998, 'Completion rates'!$A:$E, 2, FALSE)</f>
        <v>Opening hard caskets</v>
      </c>
      <c r="C998" s="207">
        <v>2657.0</v>
      </c>
      <c r="D998" s="6" t="str">
        <f>VLOOKUP($C998, 'List of log slots'!$A:$E, 2, FALSE)</f>
        <v>Zamorak full helm</v>
      </c>
      <c r="E998" s="207">
        <f>VLOOKUP($C998, 'List of log slots'!$A:$E, 5, FALSE)</f>
        <v>5</v>
      </c>
      <c r="F998" s="210" t="b">
        <f>VLOOKUP(C998, 'List of log slots'!$A:$C, 3, FALSE)</f>
        <v>0</v>
      </c>
      <c r="G998" s="209" t="b">
        <f t="shared" si="727"/>
        <v>0</v>
      </c>
      <c r="H998" s="209" t="b">
        <f t="shared" si="7"/>
        <v>1</v>
      </c>
      <c r="I998" s="208" t="b">
        <f t="shared" ref="I998:J998" si="742">FALSE</f>
        <v>0</v>
      </c>
      <c r="J998" s="208" t="b">
        <f t="shared" si="742"/>
        <v>0</v>
      </c>
      <c r="K998" s="214">
        <v>325.0</v>
      </c>
      <c r="L998" s="212" t="str">
        <f t="shared" si="3"/>
        <v>n/a</v>
      </c>
      <c r="M998" s="212" t="str">
        <f t="shared" si="4"/>
        <v>n/a</v>
      </c>
      <c r="N998" s="207" t="str">
        <f t="shared" si="5"/>
        <v>n/a</v>
      </c>
      <c r="O998" s="207">
        <f t="shared" si="6"/>
        <v>0.003076923077</v>
      </c>
    </row>
    <row r="999" ht="15.75" customHeight="1">
      <c r="A999" s="207">
        <v>71.0</v>
      </c>
      <c r="B999" s="6" t="str">
        <f>VLOOKUP($A999, 'Completion rates'!$A:$E, 2, FALSE)</f>
        <v>Opening hard caskets</v>
      </c>
      <c r="C999" s="207">
        <v>2653.0</v>
      </c>
      <c r="D999" s="6" t="str">
        <f>VLOOKUP($C999, 'List of log slots'!$A:$E, 2, FALSE)</f>
        <v>Zamorak platebody</v>
      </c>
      <c r="E999" s="207">
        <f>VLOOKUP($C999, 'List of log slots'!$A:$E, 5, FALSE)</f>
        <v>5</v>
      </c>
      <c r="F999" s="210" t="b">
        <f>VLOOKUP(C999, 'List of log slots'!$A:$C, 3, FALSE)</f>
        <v>0</v>
      </c>
      <c r="G999" s="209" t="b">
        <f t="shared" si="727"/>
        <v>0</v>
      </c>
      <c r="H999" s="209" t="b">
        <f t="shared" si="7"/>
        <v>1</v>
      </c>
      <c r="I999" s="208" t="b">
        <f t="shared" ref="I999:J999" si="743">FALSE</f>
        <v>0</v>
      </c>
      <c r="J999" s="208" t="b">
        <f t="shared" si="743"/>
        <v>0</v>
      </c>
      <c r="K999" s="214">
        <v>325.0</v>
      </c>
      <c r="L999" s="212" t="str">
        <f t="shared" si="3"/>
        <v>n/a</v>
      </c>
      <c r="M999" s="212" t="str">
        <f t="shared" si="4"/>
        <v>n/a</v>
      </c>
      <c r="N999" s="207" t="str">
        <f t="shared" si="5"/>
        <v>n/a</v>
      </c>
      <c r="O999" s="207">
        <f t="shared" si="6"/>
        <v>0.003076923077</v>
      </c>
    </row>
    <row r="1000" ht="15.75" customHeight="1">
      <c r="A1000" s="207">
        <v>71.0</v>
      </c>
      <c r="B1000" s="6" t="str">
        <f>VLOOKUP($A1000, 'Completion rates'!$A:$E, 2, FALSE)</f>
        <v>Opening hard caskets</v>
      </c>
      <c r="C1000" s="207">
        <v>2655.0</v>
      </c>
      <c r="D1000" s="6" t="str">
        <f>VLOOKUP($C1000, 'List of log slots'!$A:$E, 2, FALSE)</f>
        <v>Zamorak platelegs</v>
      </c>
      <c r="E1000" s="207">
        <f>VLOOKUP($C1000, 'List of log slots'!$A:$E, 5, FALSE)</f>
        <v>5</v>
      </c>
      <c r="F1000" s="210" t="b">
        <f>VLOOKUP(C1000, 'List of log slots'!$A:$C, 3, FALSE)</f>
        <v>0</v>
      </c>
      <c r="G1000" s="209" t="b">
        <f t="shared" si="727"/>
        <v>0</v>
      </c>
      <c r="H1000" s="209" t="b">
        <f t="shared" si="7"/>
        <v>1</v>
      </c>
      <c r="I1000" s="208" t="b">
        <f t="shared" ref="I1000:J1000" si="744">FALSE</f>
        <v>0</v>
      </c>
      <c r="J1000" s="208" t="b">
        <f t="shared" si="744"/>
        <v>0</v>
      </c>
      <c r="K1000" s="214">
        <v>325.0</v>
      </c>
      <c r="L1000" s="212" t="str">
        <f t="shared" si="3"/>
        <v>n/a</v>
      </c>
      <c r="M1000" s="212" t="str">
        <f t="shared" si="4"/>
        <v>n/a</v>
      </c>
      <c r="N1000" s="207" t="str">
        <f t="shared" si="5"/>
        <v>n/a</v>
      </c>
      <c r="O1000" s="207">
        <f t="shared" si="6"/>
        <v>0.003076923077</v>
      </c>
    </row>
    <row r="1001" ht="15.75" customHeight="1">
      <c r="A1001" s="207">
        <v>71.0</v>
      </c>
      <c r="B1001" s="6" t="str">
        <f>VLOOKUP($A1001, 'Completion rates'!$A:$E, 2, FALSE)</f>
        <v>Opening hard caskets</v>
      </c>
      <c r="C1001" s="207">
        <v>3478.0</v>
      </c>
      <c r="D1001" s="6" t="str">
        <f>VLOOKUP($C1001, 'List of log slots'!$A:$E, 2, FALSE)</f>
        <v>Zamorak plateskirt</v>
      </c>
      <c r="E1001" s="207">
        <f>VLOOKUP($C1001, 'List of log slots'!$A:$E, 5, FALSE)</f>
        <v>5</v>
      </c>
      <c r="F1001" s="209" t="b">
        <f>VLOOKUP(C1001, 'List of log slots'!$A:$C, 3, FALSE)</f>
        <v>0</v>
      </c>
      <c r="G1001" s="209" t="b">
        <f t="shared" si="727"/>
        <v>0</v>
      </c>
      <c r="H1001" s="210" t="b">
        <f t="shared" si="7"/>
        <v>1</v>
      </c>
      <c r="I1001" s="208" t="b">
        <f t="shared" ref="I1001:J1001" si="745">FALSE</f>
        <v>0</v>
      </c>
      <c r="J1001" s="208" t="b">
        <f t="shared" si="745"/>
        <v>0</v>
      </c>
      <c r="K1001" s="214">
        <v>325.0</v>
      </c>
      <c r="L1001" s="212" t="str">
        <f t="shared" si="3"/>
        <v>n/a</v>
      </c>
      <c r="M1001" s="212" t="str">
        <f t="shared" si="4"/>
        <v>n/a</v>
      </c>
      <c r="N1001" s="207" t="str">
        <f t="shared" si="5"/>
        <v>n/a</v>
      </c>
      <c r="O1001" s="207">
        <f t="shared" si="6"/>
        <v>0.003076923077</v>
      </c>
    </row>
    <row r="1002" ht="15.75" customHeight="1">
      <c r="A1002" s="207">
        <v>71.0</v>
      </c>
      <c r="B1002" s="6" t="str">
        <f>VLOOKUP($A1002, 'Completion rates'!$A:$E, 2, FALSE)</f>
        <v>Opening hard caskets</v>
      </c>
      <c r="C1002" s="207">
        <v>2659.0</v>
      </c>
      <c r="D1002" s="6" t="str">
        <f>VLOOKUP($C1002, 'List of log slots'!$A:$E, 2, FALSE)</f>
        <v>Zamorak kiteshield</v>
      </c>
      <c r="E1002" s="207">
        <f>VLOOKUP($C1002, 'List of log slots'!$A:$E, 5, FALSE)</f>
        <v>5</v>
      </c>
      <c r="F1002" s="210" t="b">
        <f>VLOOKUP(C1002, 'List of log slots'!$A:$C, 3, FALSE)</f>
        <v>0</v>
      </c>
      <c r="G1002" s="209" t="b">
        <f t="shared" si="727"/>
        <v>0</v>
      </c>
      <c r="H1002" s="209" t="b">
        <f t="shared" si="7"/>
        <v>1</v>
      </c>
      <c r="I1002" s="208" t="b">
        <f t="shared" ref="I1002:J1002" si="746">FALSE</f>
        <v>0</v>
      </c>
      <c r="J1002" s="208" t="b">
        <f t="shared" si="746"/>
        <v>0</v>
      </c>
      <c r="K1002" s="214">
        <v>325.0</v>
      </c>
      <c r="L1002" s="212" t="str">
        <f t="shared" si="3"/>
        <v>n/a</v>
      </c>
      <c r="M1002" s="212" t="str">
        <f t="shared" si="4"/>
        <v>n/a</v>
      </c>
      <c r="N1002" s="207" t="str">
        <f t="shared" si="5"/>
        <v>n/a</v>
      </c>
      <c r="O1002" s="207">
        <f t="shared" si="6"/>
        <v>0.003076923077</v>
      </c>
    </row>
    <row r="1003" ht="15.75" customHeight="1">
      <c r="A1003" s="207">
        <v>71.0</v>
      </c>
      <c r="B1003" s="6" t="str">
        <f>VLOOKUP($A1003, 'Completion rates'!$A:$E, 2, FALSE)</f>
        <v>Opening hard caskets</v>
      </c>
      <c r="C1003" s="207">
        <v>2673.0</v>
      </c>
      <c r="D1003" s="6" t="str">
        <f>VLOOKUP($C1003, 'List of log slots'!$A:$E, 2, FALSE)</f>
        <v>Guthix full helm</v>
      </c>
      <c r="E1003" s="207">
        <f>VLOOKUP($C1003, 'List of log slots'!$A:$E, 5, FALSE)</f>
        <v>5</v>
      </c>
      <c r="F1003" s="209" t="b">
        <f>VLOOKUP(C1003, 'List of log slots'!$A:$C, 3, FALSE)</f>
        <v>0</v>
      </c>
      <c r="G1003" s="209" t="b">
        <f t="shared" si="727"/>
        <v>0</v>
      </c>
      <c r="H1003" s="210" t="b">
        <f t="shared" si="7"/>
        <v>1</v>
      </c>
      <c r="I1003" s="208" t="b">
        <f t="shared" ref="I1003:J1003" si="747">FALSE</f>
        <v>0</v>
      </c>
      <c r="J1003" s="208" t="b">
        <f t="shared" si="747"/>
        <v>0</v>
      </c>
      <c r="K1003" s="214">
        <v>325.0</v>
      </c>
      <c r="L1003" s="212" t="str">
        <f t="shared" si="3"/>
        <v>n/a</v>
      </c>
      <c r="M1003" s="212" t="str">
        <f t="shared" si="4"/>
        <v>n/a</v>
      </c>
      <c r="N1003" s="207" t="str">
        <f t="shared" si="5"/>
        <v>n/a</v>
      </c>
      <c r="O1003" s="207">
        <f t="shared" si="6"/>
        <v>0.003076923077</v>
      </c>
    </row>
    <row r="1004" ht="15.75" customHeight="1">
      <c r="A1004" s="207">
        <v>71.0</v>
      </c>
      <c r="B1004" s="6" t="str">
        <f>VLOOKUP($A1004, 'Completion rates'!$A:$E, 2, FALSE)</f>
        <v>Opening hard caskets</v>
      </c>
      <c r="C1004" s="207">
        <v>2669.0</v>
      </c>
      <c r="D1004" s="6" t="str">
        <f>VLOOKUP($C1004, 'List of log slots'!$A:$E, 2, FALSE)</f>
        <v>Guthix platebody</v>
      </c>
      <c r="E1004" s="207">
        <f>VLOOKUP($C1004, 'List of log slots'!$A:$E, 5, FALSE)</f>
        <v>5</v>
      </c>
      <c r="F1004" s="210" t="b">
        <f>VLOOKUP(C1004, 'List of log slots'!$A:$C, 3, FALSE)</f>
        <v>0</v>
      </c>
      <c r="G1004" s="209" t="b">
        <f t="shared" si="727"/>
        <v>0</v>
      </c>
      <c r="H1004" s="209" t="b">
        <f t="shared" si="7"/>
        <v>1</v>
      </c>
      <c r="I1004" s="208" t="b">
        <f t="shared" ref="I1004:J1004" si="748">FALSE</f>
        <v>0</v>
      </c>
      <c r="J1004" s="208" t="b">
        <f t="shared" si="748"/>
        <v>0</v>
      </c>
      <c r="K1004" s="214">
        <v>325.0</v>
      </c>
      <c r="L1004" s="212" t="str">
        <f t="shared" si="3"/>
        <v>n/a</v>
      </c>
      <c r="M1004" s="212" t="str">
        <f t="shared" si="4"/>
        <v>n/a</v>
      </c>
      <c r="N1004" s="207" t="str">
        <f t="shared" si="5"/>
        <v>n/a</v>
      </c>
      <c r="O1004" s="207">
        <f t="shared" si="6"/>
        <v>0.003076923077</v>
      </c>
    </row>
    <row r="1005" ht="15.75" customHeight="1">
      <c r="A1005" s="207">
        <v>71.0</v>
      </c>
      <c r="B1005" s="6" t="str">
        <f>VLOOKUP($A1005, 'Completion rates'!$A:$E, 2, FALSE)</f>
        <v>Opening hard caskets</v>
      </c>
      <c r="C1005" s="207">
        <v>2671.0</v>
      </c>
      <c r="D1005" s="6" t="str">
        <f>VLOOKUP($C1005, 'List of log slots'!$A:$E, 2, FALSE)</f>
        <v>Guthix platelegs</v>
      </c>
      <c r="E1005" s="207">
        <f>VLOOKUP($C1005, 'List of log slots'!$A:$E, 5, FALSE)</f>
        <v>5</v>
      </c>
      <c r="F1005" s="209" t="b">
        <f>VLOOKUP(C1005, 'List of log slots'!$A:$C, 3, FALSE)</f>
        <v>0</v>
      </c>
      <c r="G1005" s="209" t="b">
        <f t="shared" si="727"/>
        <v>0</v>
      </c>
      <c r="H1005" s="210" t="b">
        <f t="shared" si="7"/>
        <v>1</v>
      </c>
      <c r="I1005" s="208" t="b">
        <f t="shared" ref="I1005:J1005" si="749">FALSE</f>
        <v>0</v>
      </c>
      <c r="J1005" s="208" t="b">
        <f t="shared" si="749"/>
        <v>0</v>
      </c>
      <c r="K1005" s="214">
        <v>325.0</v>
      </c>
      <c r="L1005" s="212" t="str">
        <f t="shared" si="3"/>
        <v>n/a</v>
      </c>
      <c r="M1005" s="212" t="str">
        <f t="shared" si="4"/>
        <v>n/a</v>
      </c>
      <c r="N1005" s="207" t="str">
        <f t="shared" si="5"/>
        <v>n/a</v>
      </c>
      <c r="O1005" s="207">
        <f t="shared" si="6"/>
        <v>0.003076923077</v>
      </c>
    </row>
    <row r="1006" ht="15.75" customHeight="1">
      <c r="A1006" s="207">
        <v>71.0</v>
      </c>
      <c r="B1006" s="6" t="str">
        <f>VLOOKUP($A1006, 'Completion rates'!$A:$E, 2, FALSE)</f>
        <v>Opening hard caskets</v>
      </c>
      <c r="C1006" s="207">
        <v>3480.0</v>
      </c>
      <c r="D1006" s="6" t="str">
        <f>VLOOKUP($C1006, 'List of log slots'!$A:$E, 2, FALSE)</f>
        <v>Guthix plateskirt</v>
      </c>
      <c r="E1006" s="207">
        <f>VLOOKUP($C1006, 'List of log slots'!$A:$E, 5, FALSE)</f>
        <v>5</v>
      </c>
      <c r="F1006" s="209" t="b">
        <f>VLOOKUP(C1006, 'List of log slots'!$A:$C, 3, FALSE)</f>
        <v>0</v>
      </c>
      <c r="G1006" s="209" t="b">
        <f t="shared" si="727"/>
        <v>0</v>
      </c>
      <c r="H1006" s="210" t="b">
        <f t="shared" si="7"/>
        <v>1</v>
      </c>
      <c r="I1006" s="208" t="b">
        <f t="shared" ref="I1006:J1006" si="750">FALSE</f>
        <v>0</v>
      </c>
      <c r="J1006" s="208" t="b">
        <f t="shared" si="750"/>
        <v>0</v>
      </c>
      <c r="K1006" s="214">
        <v>325.0</v>
      </c>
      <c r="L1006" s="212" t="str">
        <f t="shared" si="3"/>
        <v>n/a</v>
      </c>
      <c r="M1006" s="212" t="str">
        <f t="shared" si="4"/>
        <v>n/a</v>
      </c>
      <c r="N1006" s="207" t="str">
        <f t="shared" si="5"/>
        <v>n/a</v>
      </c>
      <c r="O1006" s="207">
        <f t="shared" si="6"/>
        <v>0.003076923077</v>
      </c>
    </row>
    <row r="1007" ht="15.75" customHeight="1">
      <c r="A1007" s="207">
        <v>71.0</v>
      </c>
      <c r="B1007" s="6" t="str">
        <f>VLOOKUP($A1007, 'Completion rates'!$A:$E, 2, FALSE)</f>
        <v>Opening hard caskets</v>
      </c>
      <c r="C1007" s="207">
        <v>2675.0</v>
      </c>
      <c r="D1007" s="6" t="str">
        <f>VLOOKUP($C1007, 'List of log slots'!$A:$E, 2, FALSE)</f>
        <v>Guthix kiteshield</v>
      </c>
      <c r="E1007" s="207">
        <f>VLOOKUP($C1007, 'List of log slots'!$A:$E, 5, FALSE)</f>
        <v>5</v>
      </c>
      <c r="F1007" s="209" t="b">
        <f>VLOOKUP(C1007, 'List of log slots'!$A:$C, 3, FALSE)</f>
        <v>0</v>
      </c>
      <c r="G1007" s="209" t="b">
        <f t="shared" si="727"/>
        <v>0</v>
      </c>
      <c r="H1007" s="210" t="b">
        <f t="shared" si="7"/>
        <v>1</v>
      </c>
      <c r="I1007" s="208" t="b">
        <f t="shared" ref="I1007:J1007" si="751">FALSE</f>
        <v>0</v>
      </c>
      <c r="J1007" s="208" t="b">
        <f t="shared" si="751"/>
        <v>0</v>
      </c>
      <c r="K1007" s="214">
        <v>325.0</v>
      </c>
      <c r="L1007" s="212" t="str">
        <f t="shared" si="3"/>
        <v>n/a</v>
      </c>
      <c r="M1007" s="212" t="str">
        <f t="shared" si="4"/>
        <v>n/a</v>
      </c>
      <c r="N1007" s="207" t="str">
        <f t="shared" si="5"/>
        <v>n/a</v>
      </c>
      <c r="O1007" s="207">
        <f t="shared" si="6"/>
        <v>0.003076923077</v>
      </c>
    </row>
    <row r="1008" ht="15.75" customHeight="1">
      <c r="A1008" s="207">
        <v>71.0</v>
      </c>
      <c r="B1008" s="6" t="str">
        <f>VLOOKUP($A1008, 'Completion rates'!$A:$E, 2, FALSE)</f>
        <v>Opening hard caskets</v>
      </c>
      <c r="C1008" s="207">
        <v>2665.0</v>
      </c>
      <c r="D1008" s="6" t="str">
        <f>VLOOKUP($C1008, 'List of log slots'!$A:$E, 2, FALSE)</f>
        <v>Saradomin full helm</v>
      </c>
      <c r="E1008" s="207">
        <f>VLOOKUP($C1008, 'List of log slots'!$A:$E, 5, FALSE)</f>
        <v>5</v>
      </c>
      <c r="F1008" s="209" t="b">
        <f>VLOOKUP(C1008, 'List of log slots'!$A:$C, 3, FALSE)</f>
        <v>0</v>
      </c>
      <c r="G1008" s="209" t="b">
        <f t="shared" si="727"/>
        <v>0</v>
      </c>
      <c r="H1008" s="210" t="b">
        <f t="shared" si="7"/>
        <v>1</v>
      </c>
      <c r="I1008" s="208" t="b">
        <f t="shared" ref="I1008:J1008" si="752">FALSE</f>
        <v>0</v>
      </c>
      <c r="J1008" s="208" t="b">
        <f t="shared" si="752"/>
        <v>0</v>
      </c>
      <c r="K1008" s="214">
        <v>325.0</v>
      </c>
      <c r="L1008" s="212" t="str">
        <f t="shared" si="3"/>
        <v>n/a</v>
      </c>
      <c r="M1008" s="212" t="str">
        <f t="shared" si="4"/>
        <v>n/a</v>
      </c>
      <c r="N1008" s="207" t="str">
        <f t="shared" si="5"/>
        <v>n/a</v>
      </c>
      <c r="O1008" s="207">
        <f t="shared" si="6"/>
        <v>0.003076923077</v>
      </c>
    </row>
    <row r="1009" ht="15.75" customHeight="1">
      <c r="A1009" s="207">
        <v>71.0</v>
      </c>
      <c r="B1009" s="6" t="str">
        <f>VLOOKUP($A1009, 'Completion rates'!$A:$E, 2, FALSE)</f>
        <v>Opening hard caskets</v>
      </c>
      <c r="C1009" s="207">
        <v>2661.0</v>
      </c>
      <c r="D1009" s="6" t="str">
        <f>VLOOKUP($C1009, 'List of log slots'!$A:$E, 2, FALSE)</f>
        <v>Saradomin platebody</v>
      </c>
      <c r="E1009" s="207">
        <f>VLOOKUP($C1009, 'List of log slots'!$A:$E, 5, FALSE)</f>
        <v>5</v>
      </c>
      <c r="F1009" s="210" t="b">
        <f>VLOOKUP(C1009, 'List of log slots'!$A:$C, 3, FALSE)</f>
        <v>0</v>
      </c>
      <c r="G1009" s="209" t="b">
        <f t="shared" si="727"/>
        <v>0</v>
      </c>
      <c r="H1009" s="209" t="b">
        <f t="shared" si="7"/>
        <v>1</v>
      </c>
      <c r="I1009" s="208" t="b">
        <f t="shared" ref="I1009:J1009" si="753">FALSE</f>
        <v>0</v>
      </c>
      <c r="J1009" s="208" t="b">
        <f t="shared" si="753"/>
        <v>0</v>
      </c>
      <c r="K1009" s="214">
        <v>325.0</v>
      </c>
      <c r="L1009" s="212" t="str">
        <f t="shared" si="3"/>
        <v>n/a</v>
      </c>
      <c r="M1009" s="212" t="str">
        <f t="shared" si="4"/>
        <v>n/a</v>
      </c>
      <c r="N1009" s="207" t="str">
        <f t="shared" si="5"/>
        <v>n/a</v>
      </c>
      <c r="O1009" s="207">
        <f t="shared" si="6"/>
        <v>0.003076923077</v>
      </c>
    </row>
    <row r="1010" ht="15.75" customHeight="1">
      <c r="A1010" s="207">
        <v>71.0</v>
      </c>
      <c r="B1010" s="6" t="str">
        <f>VLOOKUP($A1010, 'Completion rates'!$A:$E, 2, FALSE)</f>
        <v>Opening hard caskets</v>
      </c>
      <c r="C1010" s="207">
        <v>2663.0</v>
      </c>
      <c r="D1010" s="6" t="str">
        <f>VLOOKUP($C1010, 'List of log slots'!$A:$E, 2, FALSE)</f>
        <v>Saradomin platelegs</v>
      </c>
      <c r="E1010" s="207">
        <f>VLOOKUP($C1010, 'List of log slots'!$A:$E, 5, FALSE)</f>
        <v>5</v>
      </c>
      <c r="F1010" s="209" t="b">
        <f>VLOOKUP(C1010, 'List of log slots'!$A:$C, 3, FALSE)</f>
        <v>0</v>
      </c>
      <c r="G1010" s="209" t="b">
        <f t="shared" si="727"/>
        <v>0</v>
      </c>
      <c r="H1010" s="210" t="b">
        <f t="shared" si="7"/>
        <v>1</v>
      </c>
      <c r="I1010" s="208" t="b">
        <f t="shared" ref="I1010:J1010" si="754">FALSE</f>
        <v>0</v>
      </c>
      <c r="J1010" s="208" t="b">
        <f t="shared" si="754"/>
        <v>0</v>
      </c>
      <c r="K1010" s="214">
        <v>325.0</v>
      </c>
      <c r="L1010" s="212" t="str">
        <f t="shared" si="3"/>
        <v>n/a</v>
      </c>
      <c r="M1010" s="212" t="str">
        <f t="shared" si="4"/>
        <v>n/a</v>
      </c>
      <c r="N1010" s="207" t="str">
        <f t="shared" si="5"/>
        <v>n/a</v>
      </c>
      <c r="O1010" s="207">
        <f t="shared" si="6"/>
        <v>0.003076923077</v>
      </c>
    </row>
    <row r="1011" ht="15.75" customHeight="1">
      <c r="A1011" s="207">
        <v>71.0</v>
      </c>
      <c r="B1011" s="6" t="str">
        <f>VLOOKUP($A1011, 'Completion rates'!$A:$E, 2, FALSE)</f>
        <v>Opening hard caskets</v>
      </c>
      <c r="C1011" s="207">
        <v>3479.0</v>
      </c>
      <c r="D1011" s="6" t="str">
        <f>VLOOKUP($C1011, 'List of log slots'!$A:$E, 2, FALSE)</f>
        <v>Saradomin plateskirt</v>
      </c>
      <c r="E1011" s="207">
        <f>VLOOKUP($C1011, 'List of log slots'!$A:$E, 5, FALSE)</f>
        <v>5</v>
      </c>
      <c r="F1011" s="209" t="b">
        <f>VLOOKUP(C1011, 'List of log slots'!$A:$C, 3, FALSE)</f>
        <v>0</v>
      </c>
      <c r="G1011" s="209" t="b">
        <f t="shared" si="727"/>
        <v>0</v>
      </c>
      <c r="H1011" s="210" t="b">
        <f t="shared" si="7"/>
        <v>1</v>
      </c>
      <c r="I1011" s="208" t="b">
        <f t="shared" ref="I1011:J1011" si="755">FALSE</f>
        <v>0</v>
      </c>
      <c r="J1011" s="208" t="b">
        <f t="shared" si="755"/>
        <v>0</v>
      </c>
      <c r="K1011" s="214">
        <v>325.0</v>
      </c>
      <c r="L1011" s="212" t="str">
        <f t="shared" si="3"/>
        <v>n/a</v>
      </c>
      <c r="M1011" s="212" t="str">
        <f t="shared" si="4"/>
        <v>n/a</v>
      </c>
      <c r="N1011" s="207" t="str">
        <f t="shared" si="5"/>
        <v>n/a</v>
      </c>
      <c r="O1011" s="207">
        <f t="shared" si="6"/>
        <v>0.003076923077</v>
      </c>
    </row>
    <row r="1012" ht="15.75" customHeight="1">
      <c r="A1012" s="207">
        <v>71.0</v>
      </c>
      <c r="B1012" s="6" t="str">
        <f>VLOOKUP($A1012, 'Completion rates'!$A:$E, 2, FALSE)</f>
        <v>Opening hard caskets</v>
      </c>
      <c r="C1012" s="207">
        <v>2667.0</v>
      </c>
      <c r="D1012" s="6" t="str">
        <f>VLOOKUP($C1012, 'List of log slots'!$A:$E, 2, FALSE)</f>
        <v>Saradomin kiteshield</v>
      </c>
      <c r="E1012" s="207">
        <f>VLOOKUP($C1012, 'List of log slots'!$A:$E, 5, FALSE)</f>
        <v>5</v>
      </c>
      <c r="F1012" s="209" t="b">
        <f>VLOOKUP(C1012, 'List of log slots'!$A:$C, 3, FALSE)</f>
        <v>0</v>
      </c>
      <c r="G1012" s="209" t="b">
        <f t="shared" si="727"/>
        <v>0</v>
      </c>
      <c r="H1012" s="210" t="b">
        <f t="shared" si="7"/>
        <v>1</v>
      </c>
      <c r="I1012" s="208" t="b">
        <f t="shared" ref="I1012:J1012" si="756">FALSE</f>
        <v>0</v>
      </c>
      <c r="J1012" s="208" t="b">
        <f t="shared" si="756"/>
        <v>0</v>
      </c>
      <c r="K1012" s="214">
        <v>325.0</v>
      </c>
      <c r="L1012" s="212" t="str">
        <f t="shared" si="3"/>
        <v>n/a</v>
      </c>
      <c r="M1012" s="212" t="str">
        <f t="shared" si="4"/>
        <v>n/a</v>
      </c>
      <c r="N1012" s="207" t="str">
        <f t="shared" si="5"/>
        <v>n/a</v>
      </c>
      <c r="O1012" s="207">
        <f t="shared" si="6"/>
        <v>0.003076923077</v>
      </c>
    </row>
    <row r="1013" ht="15.75" customHeight="1">
      <c r="A1013" s="207">
        <v>71.0</v>
      </c>
      <c r="B1013" s="6" t="str">
        <f>VLOOKUP($A1013, 'Completion rates'!$A:$E, 2, FALSE)</f>
        <v>Opening hard caskets</v>
      </c>
      <c r="C1013" s="207">
        <v>12466.0</v>
      </c>
      <c r="D1013" s="6" t="str">
        <f>VLOOKUP($C1013, 'List of log slots'!$A:$E, 2, FALSE)</f>
        <v>Ancient full helm</v>
      </c>
      <c r="E1013" s="207">
        <f>VLOOKUP($C1013, 'List of log slots'!$A:$E, 5, FALSE)</f>
        <v>5</v>
      </c>
      <c r="F1013" s="209" t="b">
        <f>VLOOKUP(C1013, 'List of log slots'!$A:$C, 3, FALSE)</f>
        <v>0</v>
      </c>
      <c r="G1013" s="209" t="b">
        <f t="shared" si="727"/>
        <v>0</v>
      </c>
      <c r="H1013" s="210" t="b">
        <f t="shared" si="7"/>
        <v>1</v>
      </c>
      <c r="I1013" s="208" t="b">
        <f t="shared" ref="I1013:J1013" si="757">FALSE</f>
        <v>0</v>
      </c>
      <c r="J1013" s="208" t="b">
        <f t="shared" si="757"/>
        <v>0</v>
      </c>
      <c r="K1013" s="214">
        <v>325.0</v>
      </c>
      <c r="L1013" s="212" t="str">
        <f t="shared" si="3"/>
        <v>n/a</v>
      </c>
      <c r="M1013" s="212" t="str">
        <f t="shared" si="4"/>
        <v>n/a</v>
      </c>
      <c r="N1013" s="207" t="str">
        <f t="shared" si="5"/>
        <v>n/a</v>
      </c>
      <c r="O1013" s="207">
        <f t="shared" si="6"/>
        <v>0.003076923077</v>
      </c>
    </row>
    <row r="1014" ht="15.75" customHeight="1">
      <c r="A1014" s="207">
        <v>71.0</v>
      </c>
      <c r="B1014" s="6" t="str">
        <f>VLOOKUP($A1014, 'Completion rates'!$A:$E, 2, FALSE)</f>
        <v>Opening hard caskets</v>
      </c>
      <c r="C1014" s="207">
        <v>12460.0</v>
      </c>
      <c r="D1014" s="6" t="str">
        <f>VLOOKUP($C1014, 'List of log slots'!$A:$E, 2, FALSE)</f>
        <v>Ancient platebody</v>
      </c>
      <c r="E1014" s="207">
        <f>VLOOKUP($C1014, 'List of log slots'!$A:$E, 5, FALSE)</f>
        <v>5</v>
      </c>
      <c r="F1014" s="209" t="b">
        <f>VLOOKUP(C1014, 'List of log slots'!$A:$C, 3, FALSE)</f>
        <v>0</v>
      </c>
      <c r="G1014" s="209" t="b">
        <f t="shared" si="727"/>
        <v>0</v>
      </c>
      <c r="H1014" s="210" t="b">
        <f t="shared" si="7"/>
        <v>1</v>
      </c>
      <c r="I1014" s="208" t="b">
        <f t="shared" ref="I1014:J1014" si="758">FALSE</f>
        <v>0</v>
      </c>
      <c r="J1014" s="208" t="b">
        <f t="shared" si="758"/>
        <v>0</v>
      </c>
      <c r="K1014" s="214">
        <v>325.0</v>
      </c>
      <c r="L1014" s="212" t="str">
        <f t="shared" si="3"/>
        <v>n/a</v>
      </c>
      <c r="M1014" s="212" t="str">
        <f t="shared" si="4"/>
        <v>n/a</v>
      </c>
      <c r="N1014" s="207" t="str">
        <f t="shared" si="5"/>
        <v>n/a</v>
      </c>
      <c r="O1014" s="207">
        <f t="shared" si="6"/>
        <v>0.003076923077</v>
      </c>
    </row>
    <row r="1015" ht="15.75" customHeight="1">
      <c r="A1015" s="207">
        <v>71.0</v>
      </c>
      <c r="B1015" s="6" t="str">
        <f>VLOOKUP($A1015, 'Completion rates'!$A:$E, 2, FALSE)</f>
        <v>Opening hard caskets</v>
      </c>
      <c r="C1015" s="207">
        <v>12462.0</v>
      </c>
      <c r="D1015" s="6" t="str">
        <f>VLOOKUP($C1015, 'List of log slots'!$A:$E, 2, FALSE)</f>
        <v>Ancient platelegs</v>
      </c>
      <c r="E1015" s="207">
        <f>VLOOKUP($C1015, 'List of log slots'!$A:$E, 5, FALSE)</f>
        <v>5</v>
      </c>
      <c r="F1015" s="210" t="b">
        <f>VLOOKUP(C1015, 'List of log slots'!$A:$C, 3, FALSE)</f>
        <v>0</v>
      </c>
      <c r="G1015" s="209" t="b">
        <f t="shared" si="727"/>
        <v>0</v>
      </c>
      <c r="H1015" s="209" t="b">
        <f t="shared" si="7"/>
        <v>1</v>
      </c>
      <c r="I1015" s="208" t="b">
        <f t="shared" ref="I1015:J1015" si="759">FALSE</f>
        <v>0</v>
      </c>
      <c r="J1015" s="208" t="b">
        <f t="shared" si="759"/>
        <v>0</v>
      </c>
      <c r="K1015" s="214">
        <v>325.0</v>
      </c>
      <c r="L1015" s="212" t="str">
        <f t="shared" si="3"/>
        <v>n/a</v>
      </c>
      <c r="M1015" s="212" t="str">
        <f t="shared" si="4"/>
        <v>n/a</v>
      </c>
      <c r="N1015" s="207" t="str">
        <f t="shared" si="5"/>
        <v>n/a</v>
      </c>
      <c r="O1015" s="207">
        <f t="shared" si="6"/>
        <v>0.003076923077</v>
      </c>
    </row>
    <row r="1016" ht="15.75" customHeight="1">
      <c r="A1016" s="207">
        <v>71.0</v>
      </c>
      <c r="B1016" s="6" t="str">
        <f>VLOOKUP($A1016, 'Completion rates'!$A:$E, 2, FALSE)</f>
        <v>Opening hard caskets</v>
      </c>
      <c r="C1016" s="207">
        <v>12464.0</v>
      </c>
      <c r="D1016" s="6" t="str">
        <f>VLOOKUP($C1016, 'List of log slots'!$A:$E, 2, FALSE)</f>
        <v>Ancient plateskirt</v>
      </c>
      <c r="E1016" s="207">
        <f>VLOOKUP($C1016, 'List of log slots'!$A:$E, 5, FALSE)</f>
        <v>5</v>
      </c>
      <c r="F1016" s="209" t="b">
        <f>VLOOKUP(C1016, 'List of log slots'!$A:$C, 3, FALSE)</f>
        <v>0</v>
      </c>
      <c r="G1016" s="209" t="b">
        <f t="shared" si="727"/>
        <v>0</v>
      </c>
      <c r="H1016" s="210" t="b">
        <f t="shared" si="7"/>
        <v>1</v>
      </c>
      <c r="I1016" s="208" t="b">
        <f t="shared" ref="I1016:J1016" si="760">FALSE</f>
        <v>0</v>
      </c>
      <c r="J1016" s="208" t="b">
        <f t="shared" si="760"/>
        <v>0</v>
      </c>
      <c r="K1016" s="214">
        <v>325.0</v>
      </c>
      <c r="L1016" s="212" t="str">
        <f t="shared" si="3"/>
        <v>n/a</v>
      </c>
      <c r="M1016" s="212" t="str">
        <f t="shared" si="4"/>
        <v>n/a</v>
      </c>
      <c r="N1016" s="207" t="str">
        <f t="shared" si="5"/>
        <v>n/a</v>
      </c>
      <c r="O1016" s="207">
        <f t="shared" si="6"/>
        <v>0.003076923077</v>
      </c>
    </row>
    <row r="1017" ht="15.75" customHeight="1">
      <c r="A1017" s="207">
        <v>71.0</v>
      </c>
      <c r="B1017" s="6" t="str">
        <f>VLOOKUP($A1017, 'Completion rates'!$A:$E, 2, FALSE)</f>
        <v>Opening hard caskets</v>
      </c>
      <c r="C1017" s="207">
        <v>12468.0</v>
      </c>
      <c r="D1017" s="6" t="str">
        <f>VLOOKUP($C1017, 'List of log slots'!$A:$E, 2, FALSE)</f>
        <v>Ancient kiteshield</v>
      </c>
      <c r="E1017" s="207">
        <f>VLOOKUP($C1017, 'List of log slots'!$A:$E, 5, FALSE)</f>
        <v>5</v>
      </c>
      <c r="F1017" s="210" t="b">
        <f>VLOOKUP(C1017, 'List of log slots'!$A:$C, 3, FALSE)</f>
        <v>0</v>
      </c>
      <c r="G1017" s="209" t="b">
        <f t="shared" si="727"/>
        <v>0</v>
      </c>
      <c r="H1017" s="209" t="b">
        <f t="shared" si="7"/>
        <v>1</v>
      </c>
      <c r="I1017" s="208" t="b">
        <f t="shared" ref="I1017:J1017" si="761">FALSE</f>
        <v>0</v>
      </c>
      <c r="J1017" s="208" t="b">
        <f t="shared" si="761"/>
        <v>0</v>
      </c>
      <c r="K1017" s="214">
        <v>325.0</v>
      </c>
      <c r="L1017" s="212" t="str">
        <f t="shared" si="3"/>
        <v>n/a</v>
      </c>
      <c r="M1017" s="212" t="str">
        <f t="shared" si="4"/>
        <v>n/a</v>
      </c>
      <c r="N1017" s="207" t="str">
        <f t="shared" si="5"/>
        <v>n/a</v>
      </c>
      <c r="O1017" s="207">
        <f t="shared" si="6"/>
        <v>0.003076923077</v>
      </c>
    </row>
    <row r="1018" ht="15.75" customHeight="1">
      <c r="A1018" s="207">
        <v>71.0</v>
      </c>
      <c r="B1018" s="6" t="str">
        <f>VLOOKUP($A1018, 'Completion rates'!$A:$E, 2, FALSE)</f>
        <v>Opening hard caskets</v>
      </c>
      <c r="C1018" s="207">
        <v>12476.0</v>
      </c>
      <c r="D1018" s="6" t="str">
        <f>VLOOKUP($C1018, 'List of log slots'!$A:$E, 2, FALSE)</f>
        <v>Armadyl full helm</v>
      </c>
      <c r="E1018" s="207">
        <f>VLOOKUP($C1018, 'List of log slots'!$A:$E, 5, FALSE)</f>
        <v>5</v>
      </c>
      <c r="F1018" s="210" t="b">
        <f>VLOOKUP(C1018, 'List of log slots'!$A:$C, 3, FALSE)</f>
        <v>0</v>
      </c>
      <c r="G1018" s="209" t="b">
        <f t="shared" si="727"/>
        <v>0</v>
      </c>
      <c r="H1018" s="209" t="b">
        <f t="shared" si="7"/>
        <v>1</v>
      </c>
      <c r="I1018" s="208" t="b">
        <f t="shared" ref="I1018:J1018" si="762">FALSE</f>
        <v>0</v>
      </c>
      <c r="J1018" s="208" t="b">
        <f t="shared" si="762"/>
        <v>0</v>
      </c>
      <c r="K1018" s="214">
        <v>325.0</v>
      </c>
      <c r="L1018" s="212" t="str">
        <f t="shared" si="3"/>
        <v>n/a</v>
      </c>
      <c r="M1018" s="212" t="str">
        <f t="shared" si="4"/>
        <v>n/a</v>
      </c>
      <c r="N1018" s="207" t="str">
        <f t="shared" si="5"/>
        <v>n/a</v>
      </c>
      <c r="O1018" s="207">
        <f t="shared" si="6"/>
        <v>0.003076923077</v>
      </c>
    </row>
    <row r="1019" ht="15.75" customHeight="1">
      <c r="A1019" s="207">
        <v>71.0</v>
      </c>
      <c r="B1019" s="6" t="str">
        <f>VLOOKUP($A1019, 'Completion rates'!$A:$E, 2, FALSE)</f>
        <v>Opening hard caskets</v>
      </c>
      <c r="C1019" s="207">
        <v>12470.0</v>
      </c>
      <c r="D1019" s="6" t="str">
        <f>VLOOKUP($C1019, 'List of log slots'!$A:$E, 2, FALSE)</f>
        <v>Armadyl platebody</v>
      </c>
      <c r="E1019" s="207">
        <f>VLOOKUP($C1019, 'List of log slots'!$A:$E, 5, FALSE)</f>
        <v>5</v>
      </c>
      <c r="F1019" s="209" t="b">
        <f>VLOOKUP(C1019, 'List of log slots'!$A:$C, 3, FALSE)</f>
        <v>0</v>
      </c>
      <c r="G1019" s="209" t="b">
        <f t="shared" si="727"/>
        <v>0</v>
      </c>
      <c r="H1019" s="210" t="b">
        <f t="shared" si="7"/>
        <v>1</v>
      </c>
      <c r="I1019" s="208" t="b">
        <f t="shared" ref="I1019:J1019" si="763">FALSE</f>
        <v>0</v>
      </c>
      <c r="J1019" s="208" t="b">
        <f t="shared" si="763"/>
        <v>0</v>
      </c>
      <c r="K1019" s="214">
        <v>325.0</v>
      </c>
      <c r="L1019" s="212" t="str">
        <f t="shared" si="3"/>
        <v>n/a</v>
      </c>
      <c r="M1019" s="212" t="str">
        <f t="shared" si="4"/>
        <v>n/a</v>
      </c>
      <c r="N1019" s="207" t="str">
        <f t="shared" si="5"/>
        <v>n/a</v>
      </c>
      <c r="O1019" s="207">
        <f t="shared" si="6"/>
        <v>0.003076923077</v>
      </c>
    </row>
    <row r="1020" ht="15.75" customHeight="1">
      <c r="A1020" s="207">
        <v>71.0</v>
      </c>
      <c r="B1020" s="6" t="str">
        <f>VLOOKUP($A1020, 'Completion rates'!$A:$E, 2, FALSE)</f>
        <v>Opening hard caskets</v>
      </c>
      <c r="C1020" s="207">
        <v>12472.0</v>
      </c>
      <c r="D1020" s="6" t="str">
        <f>VLOOKUP($C1020, 'List of log slots'!$A:$E, 2, FALSE)</f>
        <v>Armadyl platelegs</v>
      </c>
      <c r="E1020" s="207">
        <f>VLOOKUP($C1020, 'List of log slots'!$A:$E, 5, FALSE)</f>
        <v>5</v>
      </c>
      <c r="F1020" s="210" t="b">
        <f>VLOOKUP(C1020, 'List of log slots'!$A:$C, 3, FALSE)</f>
        <v>0</v>
      </c>
      <c r="G1020" s="209" t="b">
        <f t="shared" si="727"/>
        <v>0</v>
      </c>
      <c r="H1020" s="209" t="b">
        <f t="shared" si="7"/>
        <v>1</v>
      </c>
      <c r="I1020" s="208" t="b">
        <f t="shared" ref="I1020:J1020" si="764">FALSE</f>
        <v>0</v>
      </c>
      <c r="J1020" s="208" t="b">
        <f t="shared" si="764"/>
        <v>0</v>
      </c>
      <c r="K1020" s="214">
        <v>325.0</v>
      </c>
      <c r="L1020" s="212" t="str">
        <f t="shared" si="3"/>
        <v>n/a</v>
      </c>
      <c r="M1020" s="212" t="str">
        <f t="shared" si="4"/>
        <v>n/a</v>
      </c>
      <c r="N1020" s="207" t="str">
        <f t="shared" si="5"/>
        <v>n/a</v>
      </c>
      <c r="O1020" s="207">
        <f t="shared" si="6"/>
        <v>0.003076923077</v>
      </c>
    </row>
    <row r="1021" ht="15.75" customHeight="1">
      <c r="A1021" s="207">
        <v>71.0</v>
      </c>
      <c r="B1021" s="6" t="str">
        <f>VLOOKUP($A1021, 'Completion rates'!$A:$E, 2, FALSE)</f>
        <v>Opening hard caskets</v>
      </c>
      <c r="C1021" s="207">
        <v>12474.0</v>
      </c>
      <c r="D1021" s="6" t="str">
        <f>VLOOKUP($C1021, 'List of log slots'!$A:$E, 2, FALSE)</f>
        <v>Armadyl plateskirt</v>
      </c>
      <c r="E1021" s="207">
        <f>VLOOKUP($C1021, 'List of log slots'!$A:$E, 5, FALSE)</f>
        <v>5</v>
      </c>
      <c r="F1021" s="208" t="b">
        <f>VLOOKUP(C1021, 'List of log slots'!$A:$C, 3, FALSE)</f>
        <v>0</v>
      </c>
      <c r="G1021" s="209" t="b">
        <f t="shared" si="727"/>
        <v>0</v>
      </c>
      <c r="H1021" s="210" t="b">
        <f t="shared" si="7"/>
        <v>1</v>
      </c>
      <c r="I1021" s="208" t="b">
        <f t="shared" ref="I1021:J1021" si="765">FALSE</f>
        <v>0</v>
      </c>
      <c r="J1021" s="208" t="b">
        <f t="shared" si="765"/>
        <v>0</v>
      </c>
      <c r="K1021" s="214">
        <v>325.0</v>
      </c>
      <c r="L1021" s="212" t="str">
        <f t="shared" si="3"/>
        <v>n/a</v>
      </c>
      <c r="M1021" s="212" t="str">
        <f t="shared" si="4"/>
        <v>n/a</v>
      </c>
      <c r="N1021" s="207" t="str">
        <f t="shared" si="5"/>
        <v>n/a</v>
      </c>
      <c r="O1021" s="207">
        <f t="shared" si="6"/>
        <v>0.003076923077</v>
      </c>
    </row>
    <row r="1022" ht="15.75" customHeight="1">
      <c r="A1022" s="207">
        <v>71.0</v>
      </c>
      <c r="B1022" s="6" t="str">
        <f>VLOOKUP($A1022, 'Completion rates'!$A:$E, 2, FALSE)</f>
        <v>Opening hard caskets</v>
      </c>
      <c r="C1022" s="207">
        <v>12478.0</v>
      </c>
      <c r="D1022" s="6" t="str">
        <f>VLOOKUP($C1022, 'List of log slots'!$A:$E, 2, FALSE)</f>
        <v>Armadyl kiteshield</v>
      </c>
      <c r="E1022" s="207">
        <f>VLOOKUP($C1022, 'List of log slots'!$A:$E, 5, FALSE)</f>
        <v>5</v>
      </c>
      <c r="F1022" s="208" t="b">
        <f>VLOOKUP(C1022, 'List of log slots'!$A:$C, 3, FALSE)</f>
        <v>0</v>
      </c>
      <c r="G1022" s="209" t="b">
        <f t="shared" si="727"/>
        <v>0</v>
      </c>
      <c r="H1022" s="210" t="b">
        <f t="shared" si="7"/>
        <v>1</v>
      </c>
      <c r="I1022" s="208" t="b">
        <f t="shared" ref="I1022:J1022" si="766">FALSE</f>
        <v>0</v>
      </c>
      <c r="J1022" s="208" t="b">
        <f t="shared" si="766"/>
        <v>0</v>
      </c>
      <c r="K1022" s="214">
        <v>325.0</v>
      </c>
      <c r="L1022" s="212" t="str">
        <f t="shared" si="3"/>
        <v>n/a</v>
      </c>
      <c r="M1022" s="212" t="str">
        <f t="shared" si="4"/>
        <v>n/a</v>
      </c>
      <c r="N1022" s="207" t="str">
        <f t="shared" si="5"/>
        <v>n/a</v>
      </c>
      <c r="O1022" s="207">
        <f t="shared" si="6"/>
        <v>0.003076923077</v>
      </c>
    </row>
    <row r="1023" ht="15.75" customHeight="1">
      <c r="A1023" s="207">
        <v>71.0</v>
      </c>
      <c r="B1023" s="6" t="str">
        <f>VLOOKUP($A1023, 'Completion rates'!$A:$E, 2, FALSE)</f>
        <v>Opening hard caskets</v>
      </c>
      <c r="C1023" s="207">
        <v>12486.0</v>
      </c>
      <c r="D1023" s="6" t="str">
        <f>VLOOKUP($C1023, 'List of log slots'!$A:$E, 2, FALSE)</f>
        <v>Bandos full helm</v>
      </c>
      <c r="E1023" s="207">
        <f>VLOOKUP($C1023, 'List of log slots'!$A:$E, 5, FALSE)</f>
        <v>5</v>
      </c>
      <c r="F1023" s="208" t="b">
        <f>VLOOKUP(C1023, 'List of log slots'!$A:$C, 3, FALSE)</f>
        <v>0</v>
      </c>
      <c r="G1023" s="209" t="b">
        <f t="shared" si="727"/>
        <v>0</v>
      </c>
      <c r="H1023" s="210" t="b">
        <f t="shared" si="7"/>
        <v>1</v>
      </c>
      <c r="I1023" s="208" t="b">
        <f t="shared" ref="I1023:J1023" si="767">FALSE</f>
        <v>0</v>
      </c>
      <c r="J1023" s="208" t="b">
        <f t="shared" si="767"/>
        <v>0</v>
      </c>
      <c r="K1023" s="214">
        <v>325.0</v>
      </c>
      <c r="L1023" s="212" t="str">
        <f t="shared" si="3"/>
        <v>n/a</v>
      </c>
      <c r="M1023" s="212" t="str">
        <f t="shared" si="4"/>
        <v>n/a</v>
      </c>
      <c r="N1023" s="207" t="str">
        <f t="shared" si="5"/>
        <v>n/a</v>
      </c>
      <c r="O1023" s="207">
        <f t="shared" si="6"/>
        <v>0.003076923077</v>
      </c>
    </row>
    <row r="1024" ht="15.75" customHeight="1">
      <c r="A1024" s="207">
        <v>71.0</v>
      </c>
      <c r="B1024" s="6" t="str">
        <f>VLOOKUP($A1024, 'Completion rates'!$A:$E, 2, FALSE)</f>
        <v>Opening hard caskets</v>
      </c>
      <c r="C1024" s="207">
        <v>12480.0</v>
      </c>
      <c r="D1024" s="6" t="str">
        <f>VLOOKUP($C1024, 'List of log slots'!$A:$E, 2, FALSE)</f>
        <v>Bandos platebody</v>
      </c>
      <c r="E1024" s="207">
        <f>VLOOKUP($C1024, 'List of log slots'!$A:$E, 5, FALSE)</f>
        <v>5</v>
      </c>
      <c r="F1024" s="208" t="b">
        <f>VLOOKUP(C1024, 'List of log slots'!$A:$C, 3, FALSE)</f>
        <v>0</v>
      </c>
      <c r="G1024" s="209" t="b">
        <f t="shared" si="727"/>
        <v>0</v>
      </c>
      <c r="H1024" s="210" t="b">
        <f t="shared" si="7"/>
        <v>1</v>
      </c>
      <c r="I1024" s="208" t="b">
        <f t="shared" ref="I1024:J1024" si="768">FALSE</f>
        <v>0</v>
      </c>
      <c r="J1024" s="208" t="b">
        <f t="shared" si="768"/>
        <v>0</v>
      </c>
      <c r="K1024" s="214">
        <v>325.0</v>
      </c>
      <c r="L1024" s="212" t="str">
        <f t="shared" si="3"/>
        <v>n/a</v>
      </c>
      <c r="M1024" s="212" t="str">
        <f t="shared" si="4"/>
        <v>n/a</v>
      </c>
      <c r="N1024" s="207" t="str">
        <f t="shared" si="5"/>
        <v>n/a</v>
      </c>
      <c r="O1024" s="207">
        <f t="shared" si="6"/>
        <v>0.003076923077</v>
      </c>
    </row>
    <row r="1025" ht="15.75" customHeight="1">
      <c r="A1025" s="207">
        <v>71.0</v>
      </c>
      <c r="B1025" s="6" t="str">
        <f>VLOOKUP($A1025, 'Completion rates'!$A:$E, 2, FALSE)</f>
        <v>Opening hard caskets</v>
      </c>
      <c r="C1025" s="207">
        <v>12482.0</v>
      </c>
      <c r="D1025" s="6" t="str">
        <f>VLOOKUP($C1025, 'List of log slots'!$A:$E, 2, FALSE)</f>
        <v>Bandos platelegs</v>
      </c>
      <c r="E1025" s="207">
        <f>VLOOKUP($C1025, 'List of log slots'!$A:$E, 5, FALSE)</f>
        <v>5</v>
      </c>
      <c r="F1025" s="208" t="b">
        <f>VLOOKUP(C1025, 'List of log slots'!$A:$C, 3, FALSE)</f>
        <v>0</v>
      </c>
      <c r="G1025" s="209" t="b">
        <f t="shared" si="727"/>
        <v>0</v>
      </c>
      <c r="H1025" s="210" t="b">
        <f t="shared" si="7"/>
        <v>1</v>
      </c>
      <c r="I1025" s="208" t="b">
        <f t="shared" ref="I1025:J1025" si="769">FALSE</f>
        <v>0</v>
      </c>
      <c r="J1025" s="208" t="b">
        <f t="shared" si="769"/>
        <v>0</v>
      </c>
      <c r="K1025" s="214">
        <v>325.0</v>
      </c>
      <c r="L1025" s="212" t="str">
        <f t="shared" si="3"/>
        <v>n/a</v>
      </c>
      <c r="M1025" s="212" t="str">
        <f t="shared" si="4"/>
        <v>n/a</v>
      </c>
      <c r="N1025" s="207" t="str">
        <f t="shared" si="5"/>
        <v>n/a</v>
      </c>
      <c r="O1025" s="207">
        <f t="shared" si="6"/>
        <v>0.003076923077</v>
      </c>
    </row>
    <row r="1026" ht="15.75" customHeight="1">
      <c r="A1026" s="207">
        <v>71.0</v>
      </c>
      <c r="B1026" s="6" t="str">
        <f>VLOOKUP($A1026, 'Completion rates'!$A:$E, 2, FALSE)</f>
        <v>Opening hard caskets</v>
      </c>
      <c r="C1026" s="207">
        <v>12484.0</v>
      </c>
      <c r="D1026" s="6" t="str">
        <f>VLOOKUP($C1026, 'List of log slots'!$A:$E, 2, FALSE)</f>
        <v>Bandos plateskirt</v>
      </c>
      <c r="E1026" s="207">
        <f>VLOOKUP($C1026, 'List of log slots'!$A:$E, 5, FALSE)</f>
        <v>5</v>
      </c>
      <c r="F1026" s="208" t="b">
        <f>VLOOKUP(C1026, 'List of log slots'!$A:$C, 3, FALSE)</f>
        <v>0</v>
      </c>
      <c r="G1026" s="209" t="b">
        <f t="shared" si="727"/>
        <v>0</v>
      </c>
      <c r="H1026" s="210" t="b">
        <f t="shared" si="7"/>
        <v>1</v>
      </c>
      <c r="I1026" s="208" t="b">
        <f t="shared" ref="I1026:J1026" si="770">FALSE</f>
        <v>0</v>
      </c>
      <c r="J1026" s="208" t="b">
        <f t="shared" si="770"/>
        <v>0</v>
      </c>
      <c r="K1026" s="214">
        <v>325.0</v>
      </c>
      <c r="L1026" s="212" t="str">
        <f t="shared" si="3"/>
        <v>n/a</v>
      </c>
      <c r="M1026" s="212" t="str">
        <f t="shared" si="4"/>
        <v>n/a</v>
      </c>
      <c r="N1026" s="207" t="str">
        <f t="shared" si="5"/>
        <v>n/a</v>
      </c>
      <c r="O1026" s="207">
        <f t="shared" si="6"/>
        <v>0.003076923077</v>
      </c>
    </row>
    <row r="1027" ht="15.75" customHeight="1">
      <c r="A1027" s="207">
        <v>71.0</v>
      </c>
      <c r="B1027" s="6" t="str">
        <f>VLOOKUP($A1027, 'Completion rates'!$A:$E, 2, FALSE)</f>
        <v>Opening hard caskets</v>
      </c>
      <c r="C1027" s="207">
        <v>12488.0</v>
      </c>
      <c r="D1027" s="6" t="str">
        <f>VLOOKUP($C1027, 'List of log slots'!$A:$E, 2, FALSE)</f>
        <v>Bandos kiteshield</v>
      </c>
      <c r="E1027" s="207">
        <f>VLOOKUP($C1027, 'List of log slots'!$A:$E, 5, FALSE)</f>
        <v>5</v>
      </c>
      <c r="F1027" s="208" t="b">
        <f>VLOOKUP(C1027, 'List of log slots'!$A:$C, 3, FALSE)</f>
        <v>0</v>
      </c>
      <c r="G1027" s="209" t="b">
        <f t="shared" si="727"/>
        <v>0</v>
      </c>
      <c r="H1027" s="210" t="b">
        <f t="shared" si="7"/>
        <v>1</v>
      </c>
      <c r="I1027" s="208" t="b">
        <f t="shared" ref="I1027:J1027" si="771">FALSE</f>
        <v>0</v>
      </c>
      <c r="J1027" s="208" t="b">
        <f t="shared" si="771"/>
        <v>0</v>
      </c>
      <c r="K1027" s="214">
        <v>325.0</v>
      </c>
      <c r="L1027" s="212" t="str">
        <f t="shared" si="3"/>
        <v>n/a</v>
      </c>
      <c r="M1027" s="212" t="str">
        <f t="shared" si="4"/>
        <v>n/a</v>
      </c>
      <c r="N1027" s="207" t="str">
        <f t="shared" si="5"/>
        <v>n/a</v>
      </c>
      <c r="O1027" s="207">
        <f t="shared" si="6"/>
        <v>0.003076923077</v>
      </c>
    </row>
    <row r="1028" ht="15.75" customHeight="1">
      <c r="A1028" s="207">
        <v>71.0</v>
      </c>
      <c r="B1028" s="6" t="str">
        <f>VLOOKUP($A1028, 'Completion rates'!$A:$E, 2, FALSE)</f>
        <v>Opening hard caskets</v>
      </c>
      <c r="C1028" s="207">
        <v>7336.0</v>
      </c>
      <c r="D1028" s="6" t="str">
        <f>VLOOKUP($C1028, 'List of log slots'!$A:$E, 2, FALSE)</f>
        <v>Rune shield (h1)</v>
      </c>
      <c r="E1028" s="207">
        <f>VLOOKUP($C1028, 'List of log slots'!$A:$E, 5, FALSE)</f>
        <v>5</v>
      </c>
      <c r="F1028" s="208" t="b">
        <f>VLOOKUP(C1028, 'List of log slots'!$A:$C, 3, FALSE)</f>
        <v>0</v>
      </c>
      <c r="G1028" s="209" t="b">
        <f t="shared" si="727"/>
        <v>0</v>
      </c>
      <c r="H1028" s="210" t="b">
        <f t="shared" si="7"/>
        <v>1</v>
      </c>
      <c r="I1028" s="208" t="b">
        <f t="shared" ref="I1028:J1028" si="772">FALSE</f>
        <v>0</v>
      </c>
      <c r="J1028" s="208" t="b">
        <f t="shared" si="772"/>
        <v>0</v>
      </c>
      <c r="K1028" s="214">
        <v>325.0</v>
      </c>
      <c r="L1028" s="212" t="str">
        <f t="shared" si="3"/>
        <v>n/a</v>
      </c>
      <c r="M1028" s="212" t="str">
        <f t="shared" si="4"/>
        <v>n/a</v>
      </c>
      <c r="N1028" s="207" t="str">
        <f t="shared" si="5"/>
        <v>n/a</v>
      </c>
      <c r="O1028" s="207">
        <f t="shared" si="6"/>
        <v>0.003076923077</v>
      </c>
    </row>
    <row r="1029" ht="15.75" customHeight="1">
      <c r="A1029" s="207">
        <v>71.0</v>
      </c>
      <c r="B1029" s="6" t="str">
        <f>VLOOKUP($A1029, 'Completion rates'!$A:$E, 2, FALSE)</f>
        <v>Opening hard caskets</v>
      </c>
      <c r="C1029" s="207">
        <v>7342.0</v>
      </c>
      <c r="D1029" s="6" t="str">
        <f>VLOOKUP($C1029, 'List of log slots'!$A:$E, 2, FALSE)</f>
        <v>Rune shield (h2)</v>
      </c>
      <c r="E1029" s="207">
        <f>VLOOKUP($C1029, 'List of log slots'!$A:$E, 5, FALSE)</f>
        <v>5</v>
      </c>
      <c r="F1029" s="208" t="b">
        <f>VLOOKUP(C1029, 'List of log slots'!$A:$C, 3, FALSE)</f>
        <v>0</v>
      </c>
      <c r="G1029" s="209" t="b">
        <f t="shared" si="727"/>
        <v>0</v>
      </c>
      <c r="H1029" s="210" t="b">
        <f t="shared" si="7"/>
        <v>1</v>
      </c>
      <c r="I1029" s="208" t="b">
        <f t="shared" ref="I1029:J1029" si="773">FALSE</f>
        <v>0</v>
      </c>
      <c r="J1029" s="208" t="b">
        <f t="shared" si="773"/>
        <v>0</v>
      </c>
      <c r="K1029" s="214">
        <v>325.0</v>
      </c>
      <c r="L1029" s="212" t="str">
        <f t="shared" si="3"/>
        <v>n/a</v>
      </c>
      <c r="M1029" s="212" t="str">
        <f t="shared" si="4"/>
        <v>n/a</v>
      </c>
      <c r="N1029" s="207" t="str">
        <f t="shared" si="5"/>
        <v>n/a</v>
      </c>
      <c r="O1029" s="207">
        <f t="shared" si="6"/>
        <v>0.003076923077</v>
      </c>
    </row>
    <row r="1030" ht="15.75" customHeight="1">
      <c r="A1030" s="207">
        <v>71.0</v>
      </c>
      <c r="B1030" s="6" t="str">
        <f>VLOOKUP($A1030, 'Completion rates'!$A:$E, 2, FALSE)</f>
        <v>Opening hard caskets</v>
      </c>
      <c r="C1030" s="207">
        <v>7348.0</v>
      </c>
      <c r="D1030" s="6" t="str">
        <f>VLOOKUP($C1030, 'List of log slots'!$A:$E, 2, FALSE)</f>
        <v>Rune shield (h3)</v>
      </c>
      <c r="E1030" s="207">
        <f>VLOOKUP($C1030, 'List of log slots'!$A:$E, 5, FALSE)</f>
        <v>5</v>
      </c>
      <c r="F1030" s="208" t="b">
        <f>VLOOKUP(C1030, 'List of log slots'!$A:$C, 3, FALSE)</f>
        <v>0</v>
      </c>
      <c r="G1030" s="209" t="b">
        <f t="shared" si="727"/>
        <v>0</v>
      </c>
      <c r="H1030" s="210" t="b">
        <f t="shared" si="7"/>
        <v>1</v>
      </c>
      <c r="I1030" s="208" t="b">
        <f t="shared" ref="I1030:J1030" si="774">FALSE</f>
        <v>0</v>
      </c>
      <c r="J1030" s="208" t="b">
        <f t="shared" si="774"/>
        <v>0</v>
      </c>
      <c r="K1030" s="214">
        <v>325.0</v>
      </c>
      <c r="L1030" s="212" t="str">
        <f t="shared" si="3"/>
        <v>n/a</v>
      </c>
      <c r="M1030" s="212" t="str">
        <f t="shared" si="4"/>
        <v>n/a</v>
      </c>
      <c r="N1030" s="207" t="str">
        <f t="shared" si="5"/>
        <v>n/a</v>
      </c>
      <c r="O1030" s="207">
        <f t="shared" si="6"/>
        <v>0.003076923077</v>
      </c>
    </row>
    <row r="1031" ht="15.75" customHeight="1">
      <c r="A1031" s="207">
        <v>71.0</v>
      </c>
      <c r="B1031" s="6" t="str">
        <f>VLOOKUP($A1031, 'Completion rates'!$A:$E, 2, FALSE)</f>
        <v>Opening hard caskets</v>
      </c>
      <c r="C1031" s="207">
        <v>7354.0</v>
      </c>
      <c r="D1031" s="6" t="str">
        <f>VLOOKUP($C1031, 'List of log slots'!$A:$E, 2, FALSE)</f>
        <v>Rune shield (h4)</v>
      </c>
      <c r="E1031" s="207">
        <f>VLOOKUP($C1031, 'List of log slots'!$A:$E, 5, FALSE)</f>
        <v>5</v>
      </c>
      <c r="F1031" s="208" t="b">
        <f>VLOOKUP(C1031, 'List of log slots'!$A:$C, 3, FALSE)</f>
        <v>0</v>
      </c>
      <c r="G1031" s="209" t="b">
        <f t="shared" si="727"/>
        <v>0</v>
      </c>
      <c r="H1031" s="210" t="b">
        <f t="shared" si="7"/>
        <v>1</v>
      </c>
      <c r="I1031" s="208" t="b">
        <f t="shared" ref="I1031:J1031" si="775">FALSE</f>
        <v>0</v>
      </c>
      <c r="J1031" s="208" t="b">
        <f t="shared" si="775"/>
        <v>0</v>
      </c>
      <c r="K1031" s="214">
        <v>325.0</v>
      </c>
      <c r="L1031" s="212" t="str">
        <f t="shared" si="3"/>
        <v>n/a</v>
      </c>
      <c r="M1031" s="212" t="str">
        <f t="shared" si="4"/>
        <v>n/a</v>
      </c>
      <c r="N1031" s="207" t="str">
        <f t="shared" si="5"/>
        <v>n/a</v>
      </c>
      <c r="O1031" s="207">
        <f t="shared" si="6"/>
        <v>0.003076923077</v>
      </c>
    </row>
    <row r="1032" ht="15.75" customHeight="1">
      <c r="A1032" s="207">
        <v>71.0</v>
      </c>
      <c r="B1032" s="6" t="str">
        <f>VLOOKUP($A1032, 'Completion rates'!$A:$E, 2, FALSE)</f>
        <v>Opening hard caskets</v>
      </c>
      <c r="C1032" s="207">
        <v>7360.0</v>
      </c>
      <c r="D1032" s="6" t="str">
        <f>VLOOKUP($C1032, 'List of log slots'!$A:$E, 2, FALSE)</f>
        <v>Rune shield (h5)</v>
      </c>
      <c r="E1032" s="207">
        <f>VLOOKUP($C1032, 'List of log slots'!$A:$E, 5, FALSE)</f>
        <v>5</v>
      </c>
      <c r="F1032" s="208" t="b">
        <f>VLOOKUP(C1032, 'List of log slots'!$A:$C, 3, FALSE)</f>
        <v>0</v>
      </c>
      <c r="G1032" s="209" t="b">
        <f t="shared" si="727"/>
        <v>0</v>
      </c>
      <c r="H1032" s="210" t="b">
        <f t="shared" si="7"/>
        <v>1</v>
      </c>
      <c r="I1032" s="208" t="b">
        <f t="shared" ref="I1032:J1032" si="776">FALSE</f>
        <v>0</v>
      </c>
      <c r="J1032" s="208" t="b">
        <f t="shared" si="776"/>
        <v>0</v>
      </c>
      <c r="K1032" s="214">
        <v>325.0</v>
      </c>
      <c r="L1032" s="212" t="str">
        <f t="shared" si="3"/>
        <v>n/a</v>
      </c>
      <c r="M1032" s="212" t="str">
        <f t="shared" si="4"/>
        <v>n/a</v>
      </c>
      <c r="N1032" s="207" t="str">
        <f t="shared" si="5"/>
        <v>n/a</v>
      </c>
      <c r="O1032" s="207">
        <f t="shared" si="6"/>
        <v>0.003076923077</v>
      </c>
    </row>
    <row r="1033" ht="15.75" customHeight="1">
      <c r="A1033" s="207">
        <v>71.0</v>
      </c>
      <c r="B1033" s="6" t="str">
        <f>VLOOKUP($A1033, 'Completion rates'!$A:$E, 2, FALSE)</f>
        <v>Opening hard caskets</v>
      </c>
      <c r="C1033" s="207">
        <v>10286.0</v>
      </c>
      <c r="D1033" s="6" t="str">
        <f>VLOOKUP($C1033, 'List of log slots'!$A:$E, 2, FALSE)</f>
        <v>Rune helm (h1)</v>
      </c>
      <c r="E1033" s="207">
        <f>VLOOKUP($C1033, 'List of log slots'!$A:$E, 5, FALSE)</f>
        <v>5</v>
      </c>
      <c r="F1033" s="213" t="b">
        <f>VLOOKUP(C1033, 'List of log slots'!$A:$C, 3, FALSE)</f>
        <v>0</v>
      </c>
      <c r="G1033" s="209" t="b">
        <f t="shared" si="727"/>
        <v>0</v>
      </c>
      <c r="H1033" s="209" t="b">
        <f t="shared" si="7"/>
        <v>1</v>
      </c>
      <c r="I1033" s="208" t="b">
        <f t="shared" ref="I1033:J1033" si="777">FALSE</f>
        <v>0</v>
      </c>
      <c r="J1033" s="208" t="b">
        <f t="shared" si="777"/>
        <v>0</v>
      </c>
      <c r="K1033" s="214">
        <v>325.0</v>
      </c>
      <c r="L1033" s="212" t="str">
        <f t="shared" si="3"/>
        <v>n/a</v>
      </c>
      <c r="M1033" s="212" t="str">
        <f t="shared" si="4"/>
        <v>n/a</v>
      </c>
      <c r="N1033" s="207" t="str">
        <f t="shared" si="5"/>
        <v>n/a</v>
      </c>
      <c r="O1033" s="207">
        <f t="shared" si="6"/>
        <v>0.003076923077</v>
      </c>
    </row>
    <row r="1034" ht="15.75" customHeight="1">
      <c r="A1034" s="207">
        <v>71.0</v>
      </c>
      <c r="B1034" s="6" t="str">
        <f>VLOOKUP($A1034, 'Completion rates'!$A:$E, 2, FALSE)</f>
        <v>Opening hard caskets</v>
      </c>
      <c r="C1034" s="207">
        <v>10288.0</v>
      </c>
      <c r="D1034" s="6" t="str">
        <f>VLOOKUP($C1034, 'List of log slots'!$A:$E, 2, FALSE)</f>
        <v>Rune helm (h2)</v>
      </c>
      <c r="E1034" s="207">
        <f>VLOOKUP($C1034, 'List of log slots'!$A:$E, 5, FALSE)</f>
        <v>5</v>
      </c>
      <c r="F1034" s="213" t="b">
        <f>VLOOKUP(C1034, 'List of log slots'!$A:$C, 3, FALSE)</f>
        <v>0</v>
      </c>
      <c r="G1034" s="209" t="b">
        <f t="shared" si="727"/>
        <v>0</v>
      </c>
      <c r="H1034" s="209" t="b">
        <f t="shared" si="7"/>
        <v>1</v>
      </c>
      <c r="I1034" s="208" t="b">
        <f t="shared" ref="I1034:J1034" si="778">FALSE</f>
        <v>0</v>
      </c>
      <c r="J1034" s="208" t="b">
        <f t="shared" si="778"/>
        <v>0</v>
      </c>
      <c r="K1034" s="214">
        <v>325.0</v>
      </c>
      <c r="L1034" s="212" t="str">
        <f t="shared" si="3"/>
        <v>n/a</v>
      </c>
      <c r="M1034" s="212" t="str">
        <f t="shared" si="4"/>
        <v>n/a</v>
      </c>
      <c r="N1034" s="207" t="str">
        <f t="shared" si="5"/>
        <v>n/a</v>
      </c>
      <c r="O1034" s="207">
        <f t="shared" si="6"/>
        <v>0.003076923077</v>
      </c>
    </row>
    <row r="1035" ht="15.75" customHeight="1">
      <c r="A1035" s="207">
        <v>71.0</v>
      </c>
      <c r="B1035" s="6" t="str">
        <f>VLOOKUP($A1035, 'Completion rates'!$A:$E, 2, FALSE)</f>
        <v>Opening hard caskets</v>
      </c>
      <c r="C1035" s="207">
        <v>10290.0</v>
      </c>
      <c r="D1035" s="6" t="str">
        <f>VLOOKUP($C1035, 'List of log slots'!$A:$E, 2, FALSE)</f>
        <v>Rune helm (h3)</v>
      </c>
      <c r="E1035" s="207">
        <f>VLOOKUP($C1035, 'List of log slots'!$A:$E, 5, FALSE)</f>
        <v>5</v>
      </c>
      <c r="F1035" s="213" t="b">
        <f>VLOOKUP(C1035, 'List of log slots'!$A:$C, 3, FALSE)</f>
        <v>0</v>
      </c>
      <c r="G1035" s="209" t="b">
        <f t="shared" si="727"/>
        <v>0</v>
      </c>
      <c r="H1035" s="209" t="b">
        <f t="shared" si="7"/>
        <v>1</v>
      </c>
      <c r="I1035" s="208" t="b">
        <f t="shared" ref="I1035:J1035" si="779">FALSE</f>
        <v>0</v>
      </c>
      <c r="J1035" s="208" t="b">
        <f t="shared" si="779"/>
        <v>0</v>
      </c>
      <c r="K1035" s="214">
        <v>325.0</v>
      </c>
      <c r="L1035" s="212" t="str">
        <f t="shared" si="3"/>
        <v>n/a</v>
      </c>
      <c r="M1035" s="212" t="str">
        <f t="shared" si="4"/>
        <v>n/a</v>
      </c>
      <c r="N1035" s="207" t="str">
        <f t="shared" si="5"/>
        <v>n/a</v>
      </c>
      <c r="O1035" s="207">
        <f t="shared" si="6"/>
        <v>0.003076923077</v>
      </c>
    </row>
    <row r="1036" ht="15.75" customHeight="1">
      <c r="A1036" s="207">
        <v>71.0</v>
      </c>
      <c r="B1036" s="6" t="str">
        <f>VLOOKUP($A1036, 'Completion rates'!$A:$E, 2, FALSE)</f>
        <v>Opening hard caskets</v>
      </c>
      <c r="C1036" s="207">
        <v>10292.0</v>
      </c>
      <c r="D1036" s="6" t="str">
        <f>VLOOKUP($C1036, 'List of log slots'!$A:$E, 2, FALSE)</f>
        <v>Rune helm (h4)</v>
      </c>
      <c r="E1036" s="207">
        <f>VLOOKUP($C1036, 'List of log slots'!$A:$E, 5, FALSE)</f>
        <v>5</v>
      </c>
      <c r="F1036" s="208" t="b">
        <f>VLOOKUP(C1036, 'List of log slots'!$A:$C, 3, FALSE)</f>
        <v>0</v>
      </c>
      <c r="G1036" s="209" t="b">
        <f t="shared" si="727"/>
        <v>0</v>
      </c>
      <c r="H1036" s="210" t="b">
        <f t="shared" si="7"/>
        <v>1</v>
      </c>
      <c r="I1036" s="208" t="b">
        <f t="shared" ref="I1036:J1036" si="780">FALSE</f>
        <v>0</v>
      </c>
      <c r="J1036" s="208" t="b">
        <f t="shared" si="780"/>
        <v>0</v>
      </c>
      <c r="K1036" s="214">
        <v>325.0</v>
      </c>
      <c r="L1036" s="212" t="str">
        <f t="shared" si="3"/>
        <v>n/a</v>
      </c>
      <c r="M1036" s="212" t="str">
        <f t="shared" si="4"/>
        <v>n/a</v>
      </c>
      <c r="N1036" s="207" t="str">
        <f t="shared" si="5"/>
        <v>n/a</v>
      </c>
      <c r="O1036" s="207">
        <f t="shared" si="6"/>
        <v>0.003076923077</v>
      </c>
    </row>
    <row r="1037" ht="15.75" customHeight="1">
      <c r="A1037" s="207">
        <v>71.0</v>
      </c>
      <c r="B1037" s="6" t="str">
        <f>VLOOKUP($A1037, 'Completion rates'!$A:$E, 2, FALSE)</f>
        <v>Opening hard caskets</v>
      </c>
      <c r="C1037" s="207">
        <v>10294.0</v>
      </c>
      <c r="D1037" s="6" t="str">
        <f>VLOOKUP($C1037, 'List of log slots'!$A:$E, 2, FALSE)</f>
        <v>Rune helm (h5)</v>
      </c>
      <c r="E1037" s="207">
        <f>VLOOKUP($C1037, 'List of log slots'!$A:$E, 5, FALSE)</f>
        <v>5</v>
      </c>
      <c r="F1037" s="208" t="b">
        <f>VLOOKUP(C1037, 'List of log slots'!$A:$C, 3, FALSE)</f>
        <v>0</v>
      </c>
      <c r="G1037" s="209" t="b">
        <f t="shared" si="727"/>
        <v>0</v>
      </c>
      <c r="H1037" s="210" t="b">
        <f t="shared" si="7"/>
        <v>1</v>
      </c>
      <c r="I1037" s="208" t="b">
        <f t="shared" ref="I1037:J1037" si="781">FALSE</f>
        <v>0</v>
      </c>
      <c r="J1037" s="208" t="b">
        <f t="shared" si="781"/>
        <v>0</v>
      </c>
      <c r="K1037" s="214">
        <v>325.0</v>
      </c>
      <c r="L1037" s="212" t="str">
        <f t="shared" si="3"/>
        <v>n/a</v>
      </c>
      <c r="M1037" s="212" t="str">
        <f t="shared" si="4"/>
        <v>n/a</v>
      </c>
      <c r="N1037" s="207" t="str">
        <f t="shared" si="5"/>
        <v>n/a</v>
      </c>
      <c r="O1037" s="207">
        <f t="shared" si="6"/>
        <v>0.003076923077</v>
      </c>
    </row>
    <row r="1038" ht="15.75" customHeight="1">
      <c r="A1038" s="207">
        <v>71.0</v>
      </c>
      <c r="B1038" s="6" t="str">
        <f>VLOOKUP($A1038, 'Completion rates'!$A:$E, 2, FALSE)</f>
        <v>Opening hard caskets</v>
      </c>
      <c r="C1038" s="207">
        <v>23209.0</v>
      </c>
      <c r="D1038" s="6" t="str">
        <f>VLOOKUP($C1038, 'List of log slots'!$A:$E, 2, FALSE)</f>
        <v>Rune platebody (h1)</v>
      </c>
      <c r="E1038" s="207">
        <f>VLOOKUP($C1038, 'List of log slots'!$A:$E, 5, FALSE)</f>
        <v>6</v>
      </c>
      <c r="F1038" s="208" t="b">
        <f>VLOOKUP(C1038, 'List of log slots'!$A:$C, 3, FALSE)</f>
        <v>0</v>
      </c>
      <c r="G1038" s="209" t="b">
        <f t="shared" si="727"/>
        <v>0</v>
      </c>
      <c r="H1038" s="210" t="b">
        <f t="shared" si="7"/>
        <v>1</v>
      </c>
      <c r="I1038" s="208" t="b">
        <f t="shared" ref="I1038:J1038" si="782">FALSE</f>
        <v>0</v>
      </c>
      <c r="J1038" s="208" t="b">
        <f t="shared" si="782"/>
        <v>0</v>
      </c>
      <c r="K1038" s="214">
        <v>1625.0</v>
      </c>
      <c r="L1038" s="212" t="str">
        <f t="shared" si="3"/>
        <v>n/a</v>
      </c>
      <c r="M1038" s="212" t="str">
        <f t="shared" si="4"/>
        <v>n/a</v>
      </c>
      <c r="N1038" s="207" t="str">
        <f t="shared" si="5"/>
        <v>n/a</v>
      </c>
      <c r="O1038" s="207">
        <f t="shared" si="6"/>
        <v>0.0006153846154</v>
      </c>
    </row>
    <row r="1039" ht="15.75" customHeight="1">
      <c r="A1039" s="207">
        <v>71.0</v>
      </c>
      <c r="B1039" s="6" t="str">
        <f>VLOOKUP($A1039, 'Completion rates'!$A:$E, 2, FALSE)</f>
        <v>Opening hard caskets</v>
      </c>
      <c r="C1039" s="207">
        <v>23212.0</v>
      </c>
      <c r="D1039" s="6" t="str">
        <f>VLOOKUP($C1039, 'List of log slots'!$A:$E, 2, FALSE)</f>
        <v>Rune platebody (h2)</v>
      </c>
      <c r="E1039" s="207">
        <f>VLOOKUP($C1039, 'List of log slots'!$A:$E, 5, FALSE)</f>
        <v>6</v>
      </c>
      <c r="F1039" s="208" t="b">
        <f>VLOOKUP(C1039, 'List of log slots'!$A:$C, 3, FALSE)</f>
        <v>0</v>
      </c>
      <c r="G1039" s="209" t="b">
        <f t="shared" si="727"/>
        <v>0</v>
      </c>
      <c r="H1039" s="210" t="b">
        <f t="shared" si="7"/>
        <v>1</v>
      </c>
      <c r="I1039" s="208" t="b">
        <f t="shared" ref="I1039:J1039" si="783">FALSE</f>
        <v>0</v>
      </c>
      <c r="J1039" s="208" t="b">
        <f t="shared" si="783"/>
        <v>0</v>
      </c>
      <c r="K1039" s="214">
        <v>1625.0</v>
      </c>
      <c r="L1039" s="212" t="str">
        <f t="shared" si="3"/>
        <v>n/a</v>
      </c>
      <c r="M1039" s="212" t="str">
        <f t="shared" si="4"/>
        <v>n/a</v>
      </c>
      <c r="N1039" s="207" t="str">
        <f t="shared" si="5"/>
        <v>n/a</v>
      </c>
      <c r="O1039" s="207">
        <f t="shared" si="6"/>
        <v>0.0006153846154</v>
      </c>
    </row>
    <row r="1040" ht="15.75" customHeight="1">
      <c r="A1040" s="207">
        <v>71.0</v>
      </c>
      <c r="B1040" s="6" t="str">
        <f>VLOOKUP($A1040, 'Completion rates'!$A:$E, 2, FALSE)</f>
        <v>Opening hard caskets</v>
      </c>
      <c r="C1040" s="207">
        <v>23215.0</v>
      </c>
      <c r="D1040" s="6" t="str">
        <f>VLOOKUP($C1040, 'List of log slots'!$A:$E, 2, FALSE)</f>
        <v>Rune platebody (h3)</v>
      </c>
      <c r="E1040" s="207">
        <f>VLOOKUP($C1040, 'List of log slots'!$A:$E, 5, FALSE)</f>
        <v>6</v>
      </c>
      <c r="F1040" s="208" t="b">
        <f>VLOOKUP(C1040, 'List of log slots'!$A:$C, 3, FALSE)</f>
        <v>0</v>
      </c>
      <c r="G1040" s="209" t="b">
        <f t="shared" si="727"/>
        <v>0</v>
      </c>
      <c r="H1040" s="210" t="b">
        <f t="shared" si="7"/>
        <v>1</v>
      </c>
      <c r="I1040" s="208" t="b">
        <f t="shared" ref="I1040:J1040" si="784">FALSE</f>
        <v>0</v>
      </c>
      <c r="J1040" s="208" t="b">
        <f t="shared" si="784"/>
        <v>0</v>
      </c>
      <c r="K1040" s="214">
        <v>1625.0</v>
      </c>
      <c r="L1040" s="212" t="str">
        <f t="shared" si="3"/>
        <v>n/a</v>
      </c>
      <c r="M1040" s="212" t="str">
        <f t="shared" si="4"/>
        <v>n/a</v>
      </c>
      <c r="N1040" s="207" t="str">
        <f t="shared" si="5"/>
        <v>n/a</v>
      </c>
      <c r="O1040" s="207">
        <f t="shared" si="6"/>
        <v>0.0006153846154</v>
      </c>
    </row>
    <row r="1041" ht="15.75" customHeight="1">
      <c r="A1041" s="207">
        <v>71.0</v>
      </c>
      <c r="B1041" s="6" t="str">
        <f>VLOOKUP($A1041, 'Completion rates'!$A:$E, 2, FALSE)</f>
        <v>Opening hard caskets</v>
      </c>
      <c r="C1041" s="207">
        <v>23218.0</v>
      </c>
      <c r="D1041" s="6" t="str">
        <f>VLOOKUP($C1041, 'List of log slots'!$A:$E, 2, FALSE)</f>
        <v>Rune platebody (h4)</v>
      </c>
      <c r="E1041" s="207">
        <f>VLOOKUP($C1041, 'List of log slots'!$A:$E, 5, FALSE)</f>
        <v>6</v>
      </c>
      <c r="F1041" s="208" t="b">
        <f>VLOOKUP(C1041, 'List of log slots'!$A:$C, 3, FALSE)</f>
        <v>0</v>
      </c>
      <c r="G1041" s="209" t="b">
        <f t="shared" si="727"/>
        <v>0</v>
      </c>
      <c r="H1041" s="210" t="b">
        <f t="shared" si="7"/>
        <v>1</v>
      </c>
      <c r="I1041" s="208" t="b">
        <f t="shared" ref="I1041:J1041" si="785">FALSE</f>
        <v>0</v>
      </c>
      <c r="J1041" s="208" t="b">
        <f t="shared" si="785"/>
        <v>0</v>
      </c>
      <c r="K1041" s="214">
        <v>1625.0</v>
      </c>
      <c r="L1041" s="212" t="str">
        <f t="shared" si="3"/>
        <v>n/a</v>
      </c>
      <c r="M1041" s="212" t="str">
        <f t="shared" si="4"/>
        <v>n/a</v>
      </c>
      <c r="N1041" s="207" t="str">
        <f t="shared" si="5"/>
        <v>n/a</v>
      </c>
      <c r="O1041" s="207">
        <f t="shared" si="6"/>
        <v>0.0006153846154</v>
      </c>
    </row>
    <row r="1042" ht="15.75" customHeight="1">
      <c r="A1042" s="207">
        <v>71.0</v>
      </c>
      <c r="B1042" s="6" t="str">
        <f>VLOOKUP($A1042, 'Completion rates'!$A:$E, 2, FALSE)</f>
        <v>Opening hard caskets</v>
      </c>
      <c r="C1042" s="207">
        <v>23221.0</v>
      </c>
      <c r="D1042" s="6" t="str">
        <f>VLOOKUP($C1042, 'List of log slots'!$A:$E, 2, FALSE)</f>
        <v>Rune platebody (h5)</v>
      </c>
      <c r="E1042" s="207">
        <f>VLOOKUP($C1042, 'List of log slots'!$A:$E, 5, FALSE)</f>
        <v>6</v>
      </c>
      <c r="F1042" s="208" t="b">
        <f>VLOOKUP(C1042, 'List of log slots'!$A:$C, 3, FALSE)</f>
        <v>0</v>
      </c>
      <c r="G1042" s="209" t="b">
        <f t="shared" si="727"/>
        <v>0</v>
      </c>
      <c r="H1042" s="210" t="b">
        <f t="shared" si="7"/>
        <v>1</v>
      </c>
      <c r="I1042" s="208" t="b">
        <f t="shared" ref="I1042:J1042" si="786">FALSE</f>
        <v>0</v>
      </c>
      <c r="J1042" s="208" t="b">
        <f t="shared" si="786"/>
        <v>0</v>
      </c>
      <c r="K1042" s="214">
        <v>1625.0</v>
      </c>
      <c r="L1042" s="212" t="str">
        <f t="shared" si="3"/>
        <v>n/a</v>
      </c>
      <c r="M1042" s="212" t="str">
        <f t="shared" si="4"/>
        <v>n/a</v>
      </c>
      <c r="N1042" s="207" t="str">
        <f t="shared" si="5"/>
        <v>n/a</v>
      </c>
      <c r="O1042" s="207">
        <f t="shared" si="6"/>
        <v>0.0006153846154</v>
      </c>
    </row>
    <row r="1043" ht="15.75" customHeight="1">
      <c r="A1043" s="207">
        <v>71.0</v>
      </c>
      <c r="B1043" s="6" t="str">
        <f>VLOOKUP($A1043, 'Completion rates'!$A:$E, 2, FALSE)</f>
        <v>Opening hard caskets</v>
      </c>
      <c r="C1043" s="207">
        <v>10390.0</v>
      </c>
      <c r="D1043" s="6" t="str">
        <f>VLOOKUP($C1043, 'List of log slots'!$A:$E, 2, FALSE)</f>
        <v>Saradomin coif</v>
      </c>
      <c r="E1043" s="207">
        <f>VLOOKUP($C1043, 'List of log slots'!$A:$E, 5, FALSE)</f>
        <v>5</v>
      </c>
      <c r="F1043" s="208" t="b">
        <f>VLOOKUP(C1043, 'List of log slots'!$A:$C, 3, FALSE)</f>
        <v>0</v>
      </c>
      <c r="G1043" s="209" t="b">
        <f t="shared" si="727"/>
        <v>0</v>
      </c>
      <c r="H1043" s="210" t="b">
        <f t="shared" si="7"/>
        <v>1</v>
      </c>
      <c r="I1043" s="208" t="b">
        <f t="shared" ref="I1043:J1043" si="787">FALSE</f>
        <v>0</v>
      </c>
      <c r="J1043" s="208" t="b">
        <f t="shared" si="787"/>
        <v>0</v>
      </c>
      <c r="K1043" s="214">
        <v>325.0</v>
      </c>
      <c r="L1043" s="212" t="str">
        <f t="shared" si="3"/>
        <v>n/a</v>
      </c>
      <c r="M1043" s="212" t="str">
        <f t="shared" si="4"/>
        <v>n/a</v>
      </c>
      <c r="N1043" s="207" t="str">
        <f t="shared" si="5"/>
        <v>n/a</v>
      </c>
      <c r="O1043" s="207">
        <f t="shared" si="6"/>
        <v>0.003076923077</v>
      </c>
    </row>
    <row r="1044" ht="15.75" customHeight="1">
      <c r="A1044" s="207">
        <v>71.0</v>
      </c>
      <c r="B1044" s="6" t="str">
        <f>VLOOKUP($A1044, 'Completion rates'!$A:$E, 2, FALSE)</f>
        <v>Opening hard caskets</v>
      </c>
      <c r="C1044" s="207">
        <v>10386.0</v>
      </c>
      <c r="D1044" s="6" t="str">
        <f>VLOOKUP($C1044, 'List of log slots'!$A:$E, 2, FALSE)</f>
        <v>Saradomin d'hide body</v>
      </c>
      <c r="E1044" s="207">
        <f>VLOOKUP($C1044, 'List of log slots'!$A:$E, 5, FALSE)</f>
        <v>5</v>
      </c>
      <c r="F1044" s="208" t="b">
        <f>VLOOKUP(C1044, 'List of log slots'!$A:$C, 3, FALSE)</f>
        <v>0</v>
      </c>
      <c r="G1044" s="209" t="b">
        <f t="shared" si="727"/>
        <v>0</v>
      </c>
      <c r="H1044" s="210" t="b">
        <f t="shared" si="7"/>
        <v>1</v>
      </c>
      <c r="I1044" s="208" t="b">
        <f t="shared" ref="I1044:J1044" si="788">FALSE</f>
        <v>0</v>
      </c>
      <c r="J1044" s="208" t="b">
        <f t="shared" si="788"/>
        <v>0</v>
      </c>
      <c r="K1044" s="214">
        <v>325.0</v>
      </c>
      <c r="L1044" s="212" t="str">
        <f t="shared" si="3"/>
        <v>n/a</v>
      </c>
      <c r="M1044" s="212" t="str">
        <f t="shared" si="4"/>
        <v>n/a</v>
      </c>
      <c r="N1044" s="207" t="str">
        <f t="shared" si="5"/>
        <v>n/a</v>
      </c>
      <c r="O1044" s="207">
        <f t="shared" si="6"/>
        <v>0.003076923077</v>
      </c>
    </row>
    <row r="1045" ht="15.75" customHeight="1">
      <c r="A1045" s="207">
        <v>71.0</v>
      </c>
      <c r="B1045" s="6" t="str">
        <f>VLOOKUP($A1045, 'Completion rates'!$A:$E, 2, FALSE)</f>
        <v>Opening hard caskets</v>
      </c>
      <c r="C1045" s="207">
        <v>10388.0</v>
      </c>
      <c r="D1045" s="6" t="str">
        <f>VLOOKUP($C1045, 'List of log slots'!$A:$E, 2, FALSE)</f>
        <v>Saradomin chaps</v>
      </c>
      <c r="E1045" s="207">
        <f>VLOOKUP($C1045, 'List of log slots'!$A:$E, 5, FALSE)</f>
        <v>5</v>
      </c>
      <c r="F1045" s="208" t="b">
        <f>VLOOKUP(C1045, 'List of log slots'!$A:$C, 3, FALSE)</f>
        <v>0</v>
      </c>
      <c r="G1045" s="209" t="b">
        <f t="shared" si="727"/>
        <v>0</v>
      </c>
      <c r="H1045" s="210" t="b">
        <f t="shared" si="7"/>
        <v>1</v>
      </c>
      <c r="I1045" s="208" t="b">
        <f t="shared" ref="I1045:J1045" si="789">FALSE</f>
        <v>0</v>
      </c>
      <c r="J1045" s="208" t="b">
        <f t="shared" si="789"/>
        <v>0</v>
      </c>
      <c r="K1045" s="214">
        <v>325.0</v>
      </c>
      <c r="L1045" s="212" t="str">
        <f t="shared" si="3"/>
        <v>n/a</v>
      </c>
      <c r="M1045" s="212" t="str">
        <f t="shared" si="4"/>
        <v>n/a</v>
      </c>
      <c r="N1045" s="207" t="str">
        <f t="shared" si="5"/>
        <v>n/a</v>
      </c>
      <c r="O1045" s="207">
        <f t="shared" si="6"/>
        <v>0.003076923077</v>
      </c>
    </row>
    <row r="1046" ht="15.75" customHeight="1">
      <c r="A1046" s="207">
        <v>71.0</v>
      </c>
      <c r="B1046" s="6" t="str">
        <f>VLOOKUP($A1046, 'Completion rates'!$A:$E, 2, FALSE)</f>
        <v>Opening hard caskets</v>
      </c>
      <c r="C1046" s="207">
        <v>10384.0</v>
      </c>
      <c r="D1046" s="6" t="str">
        <f>VLOOKUP($C1046, 'List of log slots'!$A:$E, 2, FALSE)</f>
        <v>Saradomin bracers</v>
      </c>
      <c r="E1046" s="207">
        <f>VLOOKUP($C1046, 'List of log slots'!$A:$E, 5, FALSE)</f>
        <v>5</v>
      </c>
      <c r="F1046" s="208" t="b">
        <f>VLOOKUP(C1046, 'List of log slots'!$A:$C, 3, FALSE)</f>
        <v>0</v>
      </c>
      <c r="G1046" s="209" t="b">
        <f t="shared" si="727"/>
        <v>0</v>
      </c>
      <c r="H1046" s="210" t="b">
        <f t="shared" si="7"/>
        <v>1</v>
      </c>
      <c r="I1046" s="208" t="b">
        <f t="shared" ref="I1046:J1046" si="790">FALSE</f>
        <v>0</v>
      </c>
      <c r="J1046" s="208" t="b">
        <f t="shared" si="790"/>
        <v>0</v>
      </c>
      <c r="K1046" s="214">
        <v>325.0</v>
      </c>
      <c r="L1046" s="212" t="str">
        <f t="shared" si="3"/>
        <v>n/a</v>
      </c>
      <c r="M1046" s="212" t="str">
        <f t="shared" si="4"/>
        <v>n/a</v>
      </c>
      <c r="N1046" s="207" t="str">
        <f t="shared" si="5"/>
        <v>n/a</v>
      </c>
      <c r="O1046" s="207">
        <f t="shared" si="6"/>
        <v>0.003076923077</v>
      </c>
    </row>
    <row r="1047" ht="15.75" customHeight="1">
      <c r="A1047" s="207">
        <v>71.0</v>
      </c>
      <c r="B1047" s="6" t="str">
        <f>VLOOKUP($A1047, 'Completion rates'!$A:$E, 2, FALSE)</f>
        <v>Opening hard caskets</v>
      </c>
      <c r="C1047" s="207">
        <v>19933.0</v>
      </c>
      <c r="D1047" s="6" t="str">
        <f>VLOOKUP($C1047, 'List of log slots'!$A:$E, 2, FALSE)</f>
        <v>Saradomin d'hide boots</v>
      </c>
      <c r="E1047" s="207">
        <f>VLOOKUP($C1047, 'List of log slots'!$A:$E, 5, FALSE)</f>
        <v>5</v>
      </c>
      <c r="F1047" s="210" t="b">
        <f>VLOOKUP(C1047, 'List of log slots'!$A:$C, 3, FALSE)</f>
        <v>0</v>
      </c>
      <c r="G1047" s="209" t="b">
        <f t="shared" si="727"/>
        <v>0</v>
      </c>
      <c r="H1047" s="209" t="b">
        <f t="shared" si="7"/>
        <v>1</v>
      </c>
      <c r="I1047" s="208" t="b">
        <f t="shared" ref="I1047:J1047" si="791">FALSE</f>
        <v>0</v>
      </c>
      <c r="J1047" s="208" t="b">
        <f t="shared" si="791"/>
        <v>0</v>
      </c>
      <c r="K1047" s="214">
        <v>325.0</v>
      </c>
      <c r="L1047" s="212" t="str">
        <f t="shared" si="3"/>
        <v>n/a</v>
      </c>
      <c r="M1047" s="212" t="str">
        <f t="shared" si="4"/>
        <v>n/a</v>
      </c>
      <c r="N1047" s="207" t="str">
        <f t="shared" si="5"/>
        <v>n/a</v>
      </c>
      <c r="O1047" s="207">
        <f t="shared" si="6"/>
        <v>0.003076923077</v>
      </c>
    </row>
    <row r="1048" ht="15.75" customHeight="1">
      <c r="A1048" s="207">
        <v>71.0</v>
      </c>
      <c r="B1048" s="6" t="str">
        <f>VLOOKUP($A1048, 'Completion rates'!$A:$E, 2, FALSE)</f>
        <v>Opening hard caskets</v>
      </c>
      <c r="C1048" s="207">
        <v>23191.0</v>
      </c>
      <c r="D1048" s="6" t="str">
        <f>VLOOKUP($C1048, 'List of log slots'!$A:$E, 2, FALSE)</f>
        <v>Saradomin d'hide shield</v>
      </c>
      <c r="E1048" s="207">
        <f>VLOOKUP($C1048, 'List of log slots'!$A:$E, 5, FALSE)</f>
        <v>6</v>
      </c>
      <c r="F1048" s="209" t="b">
        <f>VLOOKUP(C1048, 'List of log slots'!$A:$C, 3, FALSE)</f>
        <v>0</v>
      </c>
      <c r="G1048" s="209" t="b">
        <f t="shared" si="727"/>
        <v>0</v>
      </c>
      <c r="H1048" s="210" t="b">
        <f t="shared" si="7"/>
        <v>1</v>
      </c>
      <c r="I1048" s="208" t="b">
        <f t="shared" ref="I1048:J1048" si="792">FALSE</f>
        <v>0</v>
      </c>
      <c r="J1048" s="208" t="b">
        <f t="shared" si="792"/>
        <v>0</v>
      </c>
      <c r="K1048" s="214">
        <v>1950.0</v>
      </c>
      <c r="L1048" s="212" t="str">
        <f t="shared" si="3"/>
        <v>n/a</v>
      </c>
      <c r="M1048" s="212" t="str">
        <f t="shared" si="4"/>
        <v>n/a</v>
      </c>
      <c r="N1048" s="207" t="str">
        <f t="shared" si="5"/>
        <v>n/a</v>
      </c>
      <c r="O1048" s="207">
        <f t="shared" si="6"/>
        <v>0.0005128205128</v>
      </c>
    </row>
    <row r="1049" ht="15.75" customHeight="1">
      <c r="A1049" s="207">
        <v>71.0</v>
      </c>
      <c r="B1049" s="6" t="str">
        <f>VLOOKUP($A1049, 'Completion rates'!$A:$E, 2, FALSE)</f>
        <v>Opening hard caskets</v>
      </c>
      <c r="C1049" s="207">
        <v>10382.0</v>
      </c>
      <c r="D1049" s="6" t="str">
        <f>VLOOKUP($C1049, 'List of log slots'!$A:$E, 2, FALSE)</f>
        <v>Guthix coif</v>
      </c>
      <c r="E1049" s="207">
        <f>VLOOKUP($C1049, 'List of log slots'!$A:$E, 5, FALSE)</f>
        <v>5</v>
      </c>
      <c r="F1049" s="210" t="b">
        <f>VLOOKUP(C1049, 'List of log slots'!$A:$C, 3, FALSE)</f>
        <v>0</v>
      </c>
      <c r="G1049" s="209" t="b">
        <f t="shared" si="727"/>
        <v>0</v>
      </c>
      <c r="H1049" s="209" t="b">
        <f t="shared" si="7"/>
        <v>1</v>
      </c>
      <c r="I1049" s="208" t="b">
        <f t="shared" ref="I1049:J1049" si="793">FALSE</f>
        <v>0</v>
      </c>
      <c r="J1049" s="208" t="b">
        <f t="shared" si="793"/>
        <v>0</v>
      </c>
      <c r="K1049" s="214">
        <v>325.0</v>
      </c>
      <c r="L1049" s="212" t="str">
        <f t="shared" si="3"/>
        <v>n/a</v>
      </c>
      <c r="M1049" s="212" t="str">
        <f t="shared" si="4"/>
        <v>n/a</v>
      </c>
      <c r="N1049" s="207" t="str">
        <f t="shared" si="5"/>
        <v>n/a</v>
      </c>
      <c r="O1049" s="207">
        <f t="shared" si="6"/>
        <v>0.003076923077</v>
      </c>
    </row>
    <row r="1050" ht="15.75" customHeight="1">
      <c r="A1050" s="207">
        <v>71.0</v>
      </c>
      <c r="B1050" s="6" t="str">
        <f>VLOOKUP($A1050, 'Completion rates'!$A:$E, 2, FALSE)</f>
        <v>Opening hard caskets</v>
      </c>
      <c r="C1050" s="207">
        <v>10378.0</v>
      </c>
      <c r="D1050" s="6" t="str">
        <f>VLOOKUP($C1050, 'List of log slots'!$A:$E, 2, FALSE)</f>
        <v>Guthix d'hide body</v>
      </c>
      <c r="E1050" s="207">
        <f>VLOOKUP($C1050, 'List of log slots'!$A:$E, 5, FALSE)</f>
        <v>5</v>
      </c>
      <c r="F1050" s="209" t="b">
        <f>VLOOKUP(C1050, 'List of log slots'!$A:$C, 3, FALSE)</f>
        <v>0</v>
      </c>
      <c r="G1050" s="209" t="b">
        <f t="shared" si="727"/>
        <v>0</v>
      </c>
      <c r="H1050" s="210" t="b">
        <f t="shared" si="7"/>
        <v>1</v>
      </c>
      <c r="I1050" s="208" t="b">
        <f t="shared" ref="I1050:J1050" si="794">FALSE</f>
        <v>0</v>
      </c>
      <c r="J1050" s="208" t="b">
        <f t="shared" si="794"/>
        <v>0</v>
      </c>
      <c r="K1050" s="214">
        <v>325.0</v>
      </c>
      <c r="L1050" s="212" t="str">
        <f t="shared" si="3"/>
        <v>n/a</v>
      </c>
      <c r="M1050" s="212" t="str">
        <f t="shared" si="4"/>
        <v>n/a</v>
      </c>
      <c r="N1050" s="207" t="str">
        <f t="shared" si="5"/>
        <v>n/a</v>
      </c>
      <c r="O1050" s="207">
        <f t="shared" si="6"/>
        <v>0.003076923077</v>
      </c>
    </row>
    <row r="1051" ht="15.75" customHeight="1">
      <c r="A1051" s="207">
        <v>71.0</v>
      </c>
      <c r="B1051" s="6" t="str">
        <f>VLOOKUP($A1051, 'Completion rates'!$A:$E, 2, FALSE)</f>
        <v>Opening hard caskets</v>
      </c>
      <c r="C1051" s="207">
        <v>10380.0</v>
      </c>
      <c r="D1051" s="6" t="str">
        <f>VLOOKUP($C1051, 'List of log slots'!$A:$E, 2, FALSE)</f>
        <v>Guthix chaps</v>
      </c>
      <c r="E1051" s="207">
        <f>VLOOKUP($C1051, 'List of log slots'!$A:$E, 5, FALSE)</f>
        <v>5</v>
      </c>
      <c r="F1051" s="209" t="b">
        <f>VLOOKUP(C1051, 'List of log slots'!$A:$C, 3, FALSE)</f>
        <v>0</v>
      </c>
      <c r="G1051" s="209" t="b">
        <f t="shared" si="727"/>
        <v>0</v>
      </c>
      <c r="H1051" s="210" t="b">
        <f t="shared" si="7"/>
        <v>1</v>
      </c>
      <c r="I1051" s="208" t="b">
        <f t="shared" ref="I1051:J1051" si="795">FALSE</f>
        <v>0</v>
      </c>
      <c r="J1051" s="208" t="b">
        <f t="shared" si="795"/>
        <v>0</v>
      </c>
      <c r="K1051" s="214">
        <v>325.0</v>
      </c>
      <c r="L1051" s="212" t="str">
        <f t="shared" si="3"/>
        <v>n/a</v>
      </c>
      <c r="M1051" s="212" t="str">
        <f t="shared" si="4"/>
        <v>n/a</v>
      </c>
      <c r="N1051" s="207" t="str">
        <f t="shared" si="5"/>
        <v>n/a</v>
      </c>
      <c r="O1051" s="207">
        <f t="shared" si="6"/>
        <v>0.003076923077</v>
      </c>
    </row>
    <row r="1052" ht="15.75" customHeight="1">
      <c r="A1052" s="207">
        <v>71.0</v>
      </c>
      <c r="B1052" s="6" t="str">
        <f>VLOOKUP($A1052, 'Completion rates'!$A:$E, 2, FALSE)</f>
        <v>Opening hard caskets</v>
      </c>
      <c r="C1052" s="207">
        <v>10376.0</v>
      </c>
      <c r="D1052" s="6" t="str">
        <f>VLOOKUP($C1052, 'List of log slots'!$A:$E, 2, FALSE)</f>
        <v>Guthix bracers</v>
      </c>
      <c r="E1052" s="207">
        <f>VLOOKUP($C1052, 'List of log slots'!$A:$E, 5, FALSE)</f>
        <v>5</v>
      </c>
      <c r="F1052" s="209" t="b">
        <f>VLOOKUP(C1052, 'List of log slots'!$A:$C, 3, FALSE)</f>
        <v>0</v>
      </c>
      <c r="G1052" s="209" t="b">
        <f t="shared" si="727"/>
        <v>0</v>
      </c>
      <c r="H1052" s="210" t="b">
        <f t="shared" si="7"/>
        <v>1</v>
      </c>
      <c r="I1052" s="208" t="b">
        <f t="shared" ref="I1052:J1052" si="796">FALSE</f>
        <v>0</v>
      </c>
      <c r="J1052" s="208" t="b">
        <f t="shared" si="796"/>
        <v>0</v>
      </c>
      <c r="K1052" s="214">
        <v>325.0</v>
      </c>
      <c r="L1052" s="212" t="str">
        <f t="shared" si="3"/>
        <v>n/a</v>
      </c>
      <c r="M1052" s="212" t="str">
        <f t="shared" si="4"/>
        <v>n/a</v>
      </c>
      <c r="N1052" s="207" t="str">
        <f t="shared" si="5"/>
        <v>n/a</v>
      </c>
      <c r="O1052" s="207">
        <f t="shared" si="6"/>
        <v>0.003076923077</v>
      </c>
    </row>
    <row r="1053" ht="15.75" customHeight="1">
      <c r="A1053" s="207">
        <v>71.0</v>
      </c>
      <c r="B1053" s="6" t="str">
        <f>VLOOKUP($A1053, 'Completion rates'!$A:$E, 2, FALSE)</f>
        <v>Opening hard caskets</v>
      </c>
      <c r="C1053" s="207">
        <v>19927.0</v>
      </c>
      <c r="D1053" s="6" t="str">
        <f>VLOOKUP($C1053, 'List of log slots'!$A:$E, 2, FALSE)</f>
        <v>Guthix d'hide boots</v>
      </c>
      <c r="E1053" s="207">
        <f>VLOOKUP($C1053, 'List of log slots'!$A:$E, 5, FALSE)</f>
        <v>5</v>
      </c>
      <c r="F1053" s="209" t="b">
        <f>VLOOKUP(C1053, 'List of log slots'!$A:$C, 3, FALSE)</f>
        <v>0</v>
      </c>
      <c r="G1053" s="209" t="b">
        <f t="shared" si="727"/>
        <v>0</v>
      </c>
      <c r="H1053" s="210" t="b">
        <f t="shared" si="7"/>
        <v>1</v>
      </c>
      <c r="I1053" s="208" t="b">
        <f t="shared" ref="I1053:J1053" si="797">FALSE</f>
        <v>0</v>
      </c>
      <c r="J1053" s="208" t="b">
        <f t="shared" si="797"/>
        <v>0</v>
      </c>
      <c r="K1053" s="214">
        <v>325.0</v>
      </c>
      <c r="L1053" s="212" t="str">
        <f t="shared" si="3"/>
        <v>n/a</v>
      </c>
      <c r="M1053" s="212" t="str">
        <f t="shared" si="4"/>
        <v>n/a</v>
      </c>
      <c r="N1053" s="207" t="str">
        <f t="shared" si="5"/>
        <v>n/a</v>
      </c>
      <c r="O1053" s="207">
        <f t="shared" si="6"/>
        <v>0.003076923077</v>
      </c>
    </row>
    <row r="1054" ht="15.75" customHeight="1">
      <c r="A1054" s="207">
        <v>71.0</v>
      </c>
      <c r="B1054" s="6" t="str">
        <f>VLOOKUP($A1054, 'Completion rates'!$A:$E, 2, FALSE)</f>
        <v>Opening hard caskets</v>
      </c>
      <c r="C1054" s="207">
        <v>23188.0</v>
      </c>
      <c r="D1054" s="6" t="str">
        <f>VLOOKUP($C1054, 'List of log slots'!$A:$E, 2, FALSE)</f>
        <v>Guthix d'hide shield</v>
      </c>
      <c r="E1054" s="207">
        <f>VLOOKUP($C1054, 'List of log slots'!$A:$E, 5, FALSE)</f>
        <v>6</v>
      </c>
      <c r="F1054" s="209" t="b">
        <f>VLOOKUP(C1054, 'List of log slots'!$A:$C, 3, FALSE)</f>
        <v>0</v>
      </c>
      <c r="G1054" s="209" t="b">
        <f t="shared" si="727"/>
        <v>0</v>
      </c>
      <c r="H1054" s="210" t="b">
        <f t="shared" si="7"/>
        <v>1</v>
      </c>
      <c r="I1054" s="208" t="b">
        <f t="shared" ref="I1054:J1054" si="798">FALSE</f>
        <v>0</v>
      </c>
      <c r="J1054" s="208" t="b">
        <f t="shared" si="798"/>
        <v>0</v>
      </c>
      <c r="K1054" s="214">
        <v>1950.0</v>
      </c>
      <c r="L1054" s="212" t="str">
        <f t="shared" si="3"/>
        <v>n/a</v>
      </c>
      <c r="M1054" s="212" t="str">
        <f t="shared" si="4"/>
        <v>n/a</v>
      </c>
      <c r="N1054" s="207" t="str">
        <f t="shared" si="5"/>
        <v>n/a</v>
      </c>
      <c r="O1054" s="207">
        <f t="shared" si="6"/>
        <v>0.0005128205128</v>
      </c>
    </row>
    <row r="1055" ht="15.75" customHeight="1">
      <c r="A1055" s="207">
        <v>71.0</v>
      </c>
      <c r="B1055" s="6" t="str">
        <f>VLOOKUP($A1055, 'Completion rates'!$A:$E, 2, FALSE)</f>
        <v>Opening hard caskets</v>
      </c>
      <c r="C1055" s="207">
        <v>10374.0</v>
      </c>
      <c r="D1055" s="6" t="str">
        <f>VLOOKUP($C1055, 'List of log slots'!$A:$E, 2, FALSE)</f>
        <v>Zamorak coif</v>
      </c>
      <c r="E1055" s="207">
        <f>VLOOKUP($C1055, 'List of log slots'!$A:$E, 5, FALSE)</f>
        <v>5</v>
      </c>
      <c r="F1055" s="209" t="b">
        <f>VLOOKUP(C1055, 'List of log slots'!$A:$C, 3, FALSE)</f>
        <v>0</v>
      </c>
      <c r="G1055" s="209" t="b">
        <f t="shared" si="727"/>
        <v>0</v>
      </c>
      <c r="H1055" s="210" t="b">
        <f t="shared" si="7"/>
        <v>1</v>
      </c>
      <c r="I1055" s="208" t="b">
        <f t="shared" ref="I1055:J1055" si="799">FALSE</f>
        <v>0</v>
      </c>
      <c r="J1055" s="208" t="b">
        <f t="shared" si="799"/>
        <v>0</v>
      </c>
      <c r="K1055" s="214">
        <v>325.0</v>
      </c>
      <c r="L1055" s="212" t="str">
        <f t="shared" si="3"/>
        <v>n/a</v>
      </c>
      <c r="M1055" s="212" t="str">
        <f t="shared" si="4"/>
        <v>n/a</v>
      </c>
      <c r="N1055" s="207" t="str">
        <f t="shared" si="5"/>
        <v>n/a</v>
      </c>
      <c r="O1055" s="207">
        <f t="shared" si="6"/>
        <v>0.003076923077</v>
      </c>
    </row>
    <row r="1056" ht="15.75" customHeight="1">
      <c r="A1056" s="207">
        <v>71.0</v>
      </c>
      <c r="B1056" s="6" t="str">
        <f>VLOOKUP($A1056, 'Completion rates'!$A:$E, 2, FALSE)</f>
        <v>Opening hard caskets</v>
      </c>
      <c r="C1056" s="207">
        <v>10370.0</v>
      </c>
      <c r="D1056" s="6" t="str">
        <f>VLOOKUP($C1056, 'List of log slots'!$A:$E, 2, FALSE)</f>
        <v>Zamorak d'hide body</v>
      </c>
      <c r="E1056" s="207">
        <f>VLOOKUP($C1056, 'List of log slots'!$A:$E, 5, FALSE)</f>
        <v>5</v>
      </c>
      <c r="F1056" s="209" t="b">
        <f>VLOOKUP(C1056, 'List of log slots'!$A:$C, 3, FALSE)</f>
        <v>0</v>
      </c>
      <c r="G1056" s="209" t="b">
        <f t="shared" si="727"/>
        <v>0</v>
      </c>
      <c r="H1056" s="210" t="b">
        <f t="shared" si="7"/>
        <v>1</v>
      </c>
      <c r="I1056" s="208" t="b">
        <f t="shared" ref="I1056:J1056" si="800">FALSE</f>
        <v>0</v>
      </c>
      <c r="J1056" s="208" t="b">
        <f t="shared" si="800"/>
        <v>0</v>
      </c>
      <c r="K1056" s="214">
        <v>325.0</v>
      </c>
      <c r="L1056" s="212" t="str">
        <f t="shared" si="3"/>
        <v>n/a</v>
      </c>
      <c r="M1056" s="212" t="str">
        <f t="shared" si="4"/>
        <v>n/a</v>
      </c>
      <c r="N1056" s="207" t="str">
        <f t="shared" si="5"/>
        <v>n/a</v>
      </c>
      <c r="O1056" s="207">
        <f t="shared" si="6"/>
        <v>0.003076923077</v>
      </c>
    </row>
    <row r="1057" ht="15.75" customHeight="1">
      <c r="A1057" s="207">
        <v>71.0</v>
      </c>
      <c r="B1057" s="6" t="str">
        <f>VLOOKUP($A1057, 'Completion rates'!$A:$E, 2, FALSE)</f>
        <v>Opening hard caskets</v>
      </c>
      <c r="C1057" s="207">
        <v>10372.0</v>
      </c>
      <c r="D1057" s="6" t="str">
        <f>VLOOKUP($C1057, 'List of log slots'!$A:$E, 2, FALSE)</f>
        <v>Zamorak chaps</v>
      </c>
      <c r="E1057" s="207">
        <f>VLOOKUP($C1057, 'List of log slots'!$A:$E, 5, FALSE)</f>
        <v>5</v>
      </c>
      <c r="F1057" s="209" t="b">
        <f>VLOOKUP(C1057, 'List of log slots'!$A:$C, 3, FALSE)</f>
        <v>0</v>
      </c>
      <c r="G1057" s="209" t="b">
        <f t="shared" si="727"/>
        <v>0</v>
      </c>
      <c r="H1057" s="210" t="b">
        <f t="shared" si="7"/>
        <v>1</v>
      </c>
      <c r="I1057" s="208" t="b">
        <f t="shared" ref="I1057:J1057" si="801">FALSE</f>
        <v>0</v>
      </c>
      <c r="J1057" s="208" t="b">
        <f t="shared" si="801"/>
        <v>0</v>
      </c>
      <c r="K1057" s="214">
        <v>325.0</v>
      </c>
      <c r="L1057" s="212" t="str">
        <f t="shared" si="3"/>
        <v>n/a</v>
      </c>
      <c r="M1057" s="212" t="str">
        <f t="shared" si="4"/>
        <v>n/a</v>
      </c>
      <c r="N1057" s="207" t="str">
        <f t="shared" si="5"/>
        <v>n/a</v>
      </c>
      <c r="O1057" s="207">
        <f t="shared" si="6"/>
        <v>0.003076923077</v>
      </c>
    </row>
    <row r="1058" ht="15.75" customHeight="1">
      <c r="A1058" s="207">
        <v>71.0</v>
      </c>
      <c r="B1058" s="6" t="str">
        <f>VLOOKUP($A1058, 'Completion rates'!$A:$E, 2, FALSE)</f>
        <v>Opening hard caskets</v>
      </c>
      <c r="C1058" s="207">
        <v>10368.0</v>
      </c>
      <c r="D1058" s="6" t="str">
        <f>VLOOKUP($C1058, 'List of log slots'!$A:$E, 2, FALSE)</f>
        <v>Zamorak bracers</v>
      </c>
      <c r="E1058" s="207">
        <f>VLOOKUP($C1058, 'List of log slots'!$A:$E, 5, FALSE)</f>
        <v>5</v>
      </c>
      <c r="F1058" s="210" t="b">
        <f>VLOOKUP(C1058, 'List of log slots'!$A:$C, 3, FALSE)</f>
        <v>0</v>
      </c>
      <c r="G1058" s="209" t="b">
        <f t="shared" si="727"/>
        <v>0</v>
      </c>
      <c r="H1058" s="209" t="b">
        <f t="shared" si="7"/>
        <v>1</v>
      </c>
      <c r="I1058" s="208" t="b">
        <f t="shared" ref="I1058:J1058" si="802">FALSE</f>
        <v>0</v>
      </c>
      <c r="J1058" s="208" t="b">
        <f t="shared" si="802"/>
        <v>0</v>
      </c>
      <c r="K1058" s="214">
        <v>325.0</v>
      </c>
      <c r="L1058" s="212" t="str">
        <f t="shared" si="3"/>
        <v>n/a</v>
      </c>
      <c r="M1058" s="212" t="str">
        <f t="shared" si="4"/>
        <v>n/a</v>
      </c>
      <c r="N1058" s="207" t="str">
        <f t="shared" si="5"/>
        <v>n/a</v>
      </c>
      <c r="O1058" s="207">
        <f t="shared" si="6"/>
        <v>0.003076923077</v>
      </c>
    </row>
    <row r="1059" ht="15.75" customHeight="1">
      <c r="A1059" s="207">
        <v>71.0</v>
      </c>
      <c r="B1059" s="6" t="str">
        <f>VLOOKUP($A1059, 'Completion rates'!$A:$E, 2, FALSE)</f>
        <v>Opening hard caskets</v>
      </c>
      <c r="C1059" s="207">
        <v>19936.0</v>
      </c>
      <c r="D1059" s="6" t="str">
        <f>VLOOKUP($C1059, 'List of log slots'!$A:$E, 2, FALSE)</f>
        <v>Zamorak d'hide boots</v>
      </c>
      <c r="E1059" s="207">
        <f>VLOOKUP($C1059, 'List of log slots'!$A:$E, 5, FALSE)</f>
        <v>5</v>
      </c>
      <c r="F1059" s="210" t="b">
        <f>VLOOKUP(C1059, 'List of log slots'!$A:$C, 3, FALSE)</f>
        <v>0</v>
      </c>
      <c r="G1059" s="209" t="b">
        <f t="shared" si="727"/>
        <v>0</v>
      </c>
      <c r="H1059" s="209" t="b">
        <f t="shared" si="7"/>
        <v>1</v>
      </c>
      <c r="I1059" s="208" t="b">
        <f t="shared" ref="I1059:J1059" si="803">FALSE</f>
        <v>0</v>
      </c>
      <c r="J1059" s="208" t="b">
        <f t="shared" si="803"/>
        <v>0</v>
      </c>
      <c r="K1059" s="214">
        <v>325.0</v>
      </c>
      <c r="L1059" s="212" t="str">
        <f t="shared" si="3"/>
        <v>n/a</v>
      </c>
      <c r="M1059" s="212" t="str">
        <f t="shared" si="4"/>
        <v>n/a</v>
      </c>
      <c r="N1059" s="207" t="str">
        <f t="shared" si="5"/>
        <v>n/a</v>
      </c>
      <c r="O1059" s="207">
        <f t="shared" si="6"/>
        <v>0.003076923077</v>
      </c>
    </row>
    <row r="1060" ht="15.75" customHeight="1">
      <c r="A1060" s="207">
        <v>71.0</v>
      </c>
      <c r="B1060" s="6" t="str">
        <f>VLOOKUP($A1060, 'Completion rates'!$A:$E, 2, FALSE)</f>
        <v>Opening hard caskets</v>
      </c>
      <c r="C1060" s="207">
        <v>23194.0</v>
      </c>
      <c r="D1060" s="6" t="str">
        <f>VLOOKUP($C1060, 'List of log slots'!$A:$E, 2, FALSE)</f>
        <v>Zamorak d'hide shield</v>
      </c>
      <c r="E1060" s="207">
        <f>VLOOKUP($C1060, 'List of log slots'!$A:$E, 5, FALSE)</f>
        <v>6</v>
      </c>
      <c r="F1060" s="209" t="b">
        <f>VLOOKUP(C1060, 'List of log slots'!$A:$C, 3, FALSE)</f>
        <v>0</v>
      </c>
      <c r="G1060" s="209" t="b">
        <f t="shared" si="727"/>
        <v>0</v>
      </c>
      <c r="H1060" s="210" t="b">
        <f t="shared" si="7"/>
        <v>1</v>
      </c>
      <c r="I1060" s="208" t="b">
        <f t="shared" ref="I1060:J1060" si="804">FALSE</f>
        <v>0</v>
      </c>
      <c r="J1060" s="208" t="b">
        <f t="shared" si="804"/>
        <v>0</v>
      </c>
      <c r="K1060" s="214">
        <v>1950.0</v>
      </c>
      <c r="L1060" s="212" t="str">
        <f t="shared" si="3"/>
        <v>n/a</v>
      </c>
      <c r="M1060" s="212" t="str">
        <f t="shared" si="4"/>
        <v>n/a</v>
      </c>
      <c r="N1060" s="207" t="str">
        <f t="shared" si="5"/>
        <v>n/a</v>
      </c>
      <c r="O1060" s="207">
        <f t="shared" si="6"/>
        <v>0.0005128205128</v>
      </c>
    </row>
    <row r="1061" ht="15.75" customHeight="1">
      <c r="A1061" s="207">
        <v>71.0</v>
      </c>
      <c r="B1061" s="6" t="str">
        <f>VLOOKUP($A1061, 'Completion rates'!$A:$E, 2, FALSE)</f>
        <v>Opening hard caskets</v>
      </c>
      <c r="C1061" s="207">
        <v>12504.0</v>
      </c>
      <c r="D1061" s="6" t="str">
        <f>VLOOKUP($C1061, 'List of log slots'!$A:$E, 2, FALSE)</f>
        <v>Bandos coif</v>
      </c>
      <c r="E1061" s="207">
        <f>VLOOKUP($C1061, 'List of log slots'!$A:$E, 5, FALSE)</f>
        <v>5</v>
      </c>
      <c r="F1061" s="210" t="b">
        <f>VLOOKUP(C1061, 'List of log slots'!$A:$C, 3, FALSE)</f>
        <v>0</v>
      </c>
      <c r="G1061" s="209" t="b">
        <f t="shared" si="727"/>
        <v>0</v>
      </c>
      <c r="H1061" s="209" t="b">
        <f t="shared" si="7"/>
        <v>1</v>
      </c>
      <c r="I1061" s="208" t="b">
        <f t="shared" ref="I1061:J1061" si="805">FALSE</f>
        <v>0</v>
      </c>
      <c r="J1061" s="208" t="b">
        <f t="shared" si="805"/>
        <v>0</v>
      </c>
      <c r="K1061" s="214">
        <v>325.0</v>
      </c>
      <c r="L1061" s="212" t="str">
        <f t="shared" si="3"/>
        <v>n/a</v>
      </c>
      <c r="M1061" s="212" t="str">
        <f t="shared" si="4"/>
        <v>n/a</v>
      </c>
      <c r="N1061" s="207" t="str">
        <f t="shared" si="5"/>
        <v>n/a</v>
      </c>
      <c r="O1061" s="207">
        <f t="shared" si="6"/>
        <v>0.003076923077</v>
      </c>
    </row>
    <row r="1062" ht="15.75" customHeight="1">
      <c r="A1062" s="207">
        <v>71.0</v>
      </c>
      <c r="B1062" s="6" t="str">
        <f>VLOOKUP($A1062, 'Completion rates'!$A:$E, 2, FALSE)</f>
        <v>Opening hard caskets</v>
      </c>
      <c r="C1062" s="207">
        <v>12500.0</v>
      </c>
      <c r="D1062" s="6" t="str">
        <f>VLOOKUP($C1062, 'List of log slots'!$A:$E, 2, FALSE)</f>
        <v>Bandos d'hide body</v>
      </c>
      <c r="E1062" s="207">
        <f>VLOOKUP($C1062, 'List of log slots'!$A:$E, 5, FALSE)</f>
        <v>5</v>
      </c>
      <c r="F1062" s="209" t="b">
        <f>VLOOKUP(C1062, 'List of log slots'!$A:$C, 3, FALSE)</f>
        <v>0</v>
      </c>
      <c r="G1062" s="209" t="b">
        <f t="shared" si="727"/>
        <v>0</v>
      </c>
      <c r="H1062" s="210" t="b">
        <f t="shared" si="7"/>
        <v>1</v>
      </c>
      <c r="I1062" s="208" t="b">
        <f t="shared" ref="I1062:J1062" si="806">FALSE</f>
        <v>0</v>
      </c>
      <c r="J1062" s="208" t="b">
        <f t="shared" si="806"/>
        <v>0</v>
      </c>
      <c r="K1062" s="214">
        <v>325.0</v>
      </c>
      <c r="L1062" s="212" t="str">
        <f t="shared" si="3"/>
        <v>n/a</v>
      </c>
      <c r="M1062" s="212" t="str">
        <f t="shared" si="4"/>
        <v>n/a</v>
      </c>
      <c r="N1062" s="207" t="str">
        <f t="shared" si="5"/>
        <v>n/a</v>
      </c>
      <c r="O1062" s="207">
        <f t="shared" si="6"/>
        <v>0.003076923077</v>
      </c>
    </row>
    <row r="1063" ht="15.75" customHeight="1">
      <c r="A1063" s="207">
        <v>71.0</v>
      </c>
      <c r="B1063" s="6" t="str">
        <f>VLOOKUP($A1063, 'Completion rates'!$A:$E, 2, FALSE)</f>
        <v>Opening hard caskets</v>
      </c>
      <c r="C1063" s="207">
        <v>12502.0</v>
      </c>
      <c r="D1063" s="6" t="str">
        <f>VLOOKUP($C1063, 'List of log slots'!$A:$E, 2, FALSE)</f>
        <v>Bandos chaps</v>
      </c>
      <c r="E1063" s="207">
        <f>VLOOKUP($C1063, 'List of log slots'!$A:$E, 5, FALSE)</f>
        <v>5</v>
      </c>
      <c r="F1063" s="209" t="b">
        <f>VLOOKUP(C1063, 'List of log slots'!$A:$C, 3, FALSE)</f>
        <v>0</v>
      </c>
      <c r="G1063" s="209" t="b">
        <f t="shared" si="727"/>
        <v>0</v>
      </c>
      <c r="H1063" s="210" t="b">
        <f t="shared" si="7"/>
        <v>1</v>
      </c>
      <c r="I1063" s="208" t="b">
        <f t="shared" ref="I1063:J1063" si="807">FALSE</f>
        <v>0</v>
      </c>
      <c r="J1063" s="208" t="b">
        <f t="shared" si="807"/>
        <v>0</v>
      </c>
      <c r="K1063" s="214">
        <v>325.0</v>
      </c>
      <c r="L1063" s="212" t="str">
        <f t="shared" si="3"/>
        <v>n/a</v>
      </c>
      <c r="M1063" s="212" t="str">
        <f t="shared" si="4"/>
        <v>n/a</v>
      </c>
      <c r="N1063" s="207" t="str">
        <f t="shared" si="5"/>
        <v>n/a</v>
      </c>
      <c r="O1063" s="207">
        <f t="shared" si="6"/>
        <v>0.003076923077</v>
      </c>
    </row>
    <row r="1064" ht="15.75" customHeight="1">
      <c r="A1064" s="207">
        <v>71.0</v>
      </c>
      <c r="B1064" s="6" t="str">
        <f>VLOOKUP($A1064, 'Completion rates'!$A:$E, 2, FALSE)</f>
        <v>Opening hard caskets</v>
      </c>
      <c r="C1064" s="207">
        <v>12498.0</v>
      </c>
      <c r="D1064" s="6" t="str">
        <f>VLOOKUP($C1064, 'List of log slots'!$A:$E, 2, FALSE)</f>
        <v>Bandos bracers</v>
      </c>
      <c r="E1064" s="207">
        <f>VLOOKUP($C1064, 'List of log slots'!$A:$E, 5, FALSE)</f>
        <v>5</v>
      </c>
      <c r="F1064" s="210" t="b">
        <f>VLOOKUP(C1064, 'List of log slots'!$A:$C, 3, FALSE)</f>
        <v>0</v>
      </c>
      <c r="G1064" s="209" t="b">
        <f t="shared" si="727"/>
        <v>0</v>
      </c>
      <c r="H1064" s="209" t="b">
        <f t="shared" si="7"/>
        <v>1</v>
      </c>
      <c r="I1064" s="208" t="b">
        <f t="shared" ref="I1064:J1064" si="808">FALSE</f>
        <v>0</v>
      </c>
      <c r="J1064" s="208" t="b">
        <f t="shared" si="808"/>
        <v>0</v>
      </c>
      <c r="K1064" s="214">
        <v>325.0</v>
      </c>
      <c r="L1064" s="212" t="str">
        <f t="shared" si="3"/>
        <v>n/a</v>
      </c>
      <c r="M1064" s="212" t="str">
        <f t="shared" si="4"/>
        <v>n/a</v>
      </c>
      <c r="N1064" s="207" t="str">
        <f t="shared" si="5"/>
        <v>n/a</v>
      </c>
      <c r="O1064" s="207">
        <f t="shared" si="6"/>
        <v>0.003076923077</v>
      </c>
    </row>
    <row r="1065" ht="15.75" customHeight="1">
      <c r="A1065" s="207">
        <v>71.0</v>
      </c>
      <c r="B1065" s="6" t="str">
        <f>VLOOKUP($A1065, 'Completion rates'!$A:$E, 2, FALSE)</f>
        <v>Opening hard caskets</v>
      </c>
      <c r="C1065" s="207">
        <v>19924.0</v>
      </c>
      <c r="D1065" s="6" t="str">
        <f>VLOOKUP($C1065, 'List of log slots'!$A:$E, 2, FALSE)</f>
        <v>Bandos d'hide boots</v>
      </c>
      <c r="E1065" s="207">
        <f>VLOOKUP($C1065, 'List of log slots'!$A:$E, 5, FALSE)</f>
        <v>5</v>
      </c>
      <c r="F1065" s="209" t="b">
        <f>VLOOKUP(C1065, 'List of log slots'!$A:$C, 3, FALSE)</f>
        <v>0</v>
      </c>
      <c r="G1065" s="209" t="b">
        <f t="shared" si="727"/>
        <v>0</v>
      </c>
      <c r="H1065" s="210" t="b">
        <f t="shared" si="7"/>
        <v>1</v>
      </c>
      <c r="I1065" s="208" t="b">
        <f t="shared" ref="I1065:J1065" si="809">FALSE</f>
        <v>0</v>
      </c>
      <c r="J1065" s="208" t="b">
        <f t="shared" si="809"/>
        <v>0</v>
      </c>
      <c r="K1065" s="214">
        <v>325.0</v>
      </c>
      <c r="L1065" s="212" t="str">
        <f t="shared" si="3"/>
        <v>n/a</v>
      </c>
      <c r="M1065" s="212" t="str">
        <f t="shared" si="4"/>
        <v>n/a</v>
      </c>
      <c r="N1065" s="207" t="str">
        <f t="shared" si="5"/>
        <v>n/a</v>
      </c>
      <c r="O1065" s="207">
        <f t="shared" si="6"/>
        <v>0.003076923077</v>
      </c>
    </row>
    <row r="1066" ht="15.75" customHeight="1">
      <c r="A1066" s="207">
        <v>71.0</v>
      </c>
      <c r="B1066" s="6" t="str">
        <f>VLOOKUP($A1066, 'Completion rates'!$A:$E, 2, FALSE)</f>
        <v>Opening hard caskets</v>
      </c>
      <c r="C1066" s="207">
        <v>23203.0</v>
      </c>
      <c r="D1066" s="6" t="str">
        <f>VLOOKUP($C1066, 'List of log slots'!$A:$E, 2, FALSE)</f>
        <v>Bandos d'hide shield</v>
      </c>
      <c r="E1066" s="207">
        <f>VLOOKUP($C1066, 'List of log slots'!$A:$E, 5, FALSE)</f>
        <v>6</v>
      </c>
      <c r="F1066" s="209" t="b">
        <f>VLOOKUP(C1066, 'List of log slots'!$A:$C, 3, FALSE)</f>
        <v>0</v>
      </c>
      <c r="G1066" s="209" t="b">
        <f t="shared" si="727"/>
        <v>0</v>
      </c>
      <c r="H1066" s="210" t="b">
        <f t="shared" si="7"/>
        <v>1</v>
      </c>
      <c r="I1066" s="208" t="b">
        <f t="shared" ref="I1066:J1066" si="810">FALSE</f>
        <v>0</v>
      </c>
      <c r="J1066" s="208" t="b">
        <f t="shared" si="810"/>
        <v>0</v>
      </c>
      <c r="K1066" s="214">
        <v>1950.0</v>
      </c>
      <c r="L1066" s="212" t="str">
        <f t="shared" si="3"/>
        <v>n/a</v>
      </c>
      <c r="M1066" s="212" t="str">
        <f t="shared" si="4"/>
        <v>n/a</v>
      </c>
      <c r="N1066" s="207" t="str">
        <f t="shared" si="5"/>
        <v>n/a</v>
      </c>
      <c r="O1066" s="207">
        <f t="shared" si="6"/>
        <v>0.0005128205128</v>
      </c>
    </row>
    <row r="1067" ht="15.75" customHeight="1">
      <c r="A1067" s="207">
        <v>71.0</v>
      </c>
      <c r="B1067" s="6" t="str">
        <f>VLOOKUP($A1067, 'Completion rates'!$A:$E, 2, FALSE)</f>
        <v>Opening hard caskets</v>
      </c>
      <c r="C1067" s="207">
        <v>12512.0</v>
      </c>
      <c r="D1067" s="6" t="str">
        <f>VLOOKUP($C1067, 'List of log slots'!$A:$E, 2, FALSE)</f>
        <v>Armadyl coif</v>
      </c>
      <c r="E1067" s="207">
        <f>VLOOKUP($C1067, 'List of log slots'!$A:$E, 5, FALSE)</f>
        <v>5</v>
      </c>
      <c r="F1067" s="209" t="b">
        <f>VLOOKUP(C1067, 'List of log slots'!$A:$C, 3, FALSE)</f>
        <v>0</v>
      </c>
      <c r="G1067" s="209" t="b">
        <f t="shared" si="727"/>
        <v>0</v>
      </c>
      <c r="H1067" s="210" t="b">
        <f t="shared" si="7"/>
        <v>1</v>
      </c>
      <c r="I1067" s="208" t="b">
        <f t="shared" ref="I1067:J1067" si="811">FALSE</f>
        <v>0</v>
      </c>
      <c r="J1067" s="208" t="b">
        <f t="shared" si="811"/>
        <v>0</v>
      </c>
      <c r="K1067" s="214">
        <v>325.0</v>
      </c>
      <c r="L1067" s="212" t="str">
        <f t="shared" si="3"/>
        <v>n/a</v>
      </c>
      <c r="M1067" s="212" t="str">
        <f t="shared" si="4"/>
        <v>n/a</v>
      </c>
      <c r="N1067" s="207" t="str">
        <f t="shared" si="5"/>
        <v>n/a</v>
      </c>
      <c r="O1067" s="207">
        <f t="shared" si="6"/>
        <v>0.003076923077</v>
      </c>
    </row>
    <row r="1068" ht="15.75" customHeight="1">
      <c r="A1068" s="207">
        <v>71.0</v>
      </c>
      <c r="B1068" s="6" t="str">
        <f>VLOOKUP($A1068, 'Completion rates'!$A:$E, 2, FALSE)</f>
        <v>Opening hard caskets</v>
      </c>
      <c r="C1068" s="207">
        <v>12508.0</v>
      </c>
      <c r="D1068" s="6" t="str">
        <f>VLOOKUP($C1068, 'List of log slots'!$A:$E, 2, FALSE)</f>
        <v>Armadyl d'hide body</v>
      </c>
      <c r="E1068" s="207">
        <f>VLOOKUP($C1068, 'List of log slots'!$A:$E, 5, FALSE)</f>
        <v>5</v>
      </c>
      <c r="F1068" s="209" t="b">
        <f>VLOOKUP(C1068, 'List of log slots'!$A:$C, 3, FALSE)</f>
        <v>0</v>
      </c>
      <c r="G1068" s="209" t="b">
        <f t="shared" si="727"/>
        <v>0</v>
      </c>
      <c r="H1068" s="210" t="b">
        <f t="shared" si="7"/>
        <v>1</v>
      </c>
      <c r="I1068" s="208" t="b">
        <f t="shared" ref="I1068:J1068" si="812">FALSE</f>
        <v>0</v>
      </c>
      <c r="J1068" s="208" t="b">
        <f t="shared" si="812"/>
        <v>0</v>
      </c>
      <c r="K1068" s="214">
        <v>325.0</v>
      </c>
      <c r="L1068" s="212" t="str">
        <f t="shared" si="3"/>
        <v>n/a</v>
      </c>
      <c r="M1068" s="212" t="str">
        <f t="shared" si="4"/>
        <v>n/a</v>
      </c>
      <c r="N1068" s="207" t="str">
        <f t="shared" si="5"/>
        <v>n/a</v>
      </c>
      <c r="O1068" s="207">
        <f t="shared" si="6"/>
        <v>0.003076923077</v>
      </c>
    </row>
    <row r="1069" ht="15.75" customHeight="1">
      <c r="A1069" s="207">
        <v>71.0</v>
      </c>
      <c r="B1069" s="6" t="str">
        <f>VLOOKUP($A1069, 'Completion rates'!$A:$E, 2, FALSE)</f>
        <v>Opening hard caskets</v>
      </c>
      <c r="C1069" s="207">
        <v>12510.0</v>
      </c>
      <c r="D1069" s="6" t="str">
        <f>VLOOKUP($C1069, 'List of log slots'!$A:$E, 2, FALSE)</f>
        <v>Armadyl chaps</v>
      </c>
      <c r="E1069" s="207">
        <f>VLOOKUP($C1069, 'List of log slots'!$A:$E, 5, FALSE)</f>
        <v>5</v>
      </c>
      <c r="F1069" s="210" t="b">
        <f>VLOOKUP(C1069, 'List of log slots'!$A:$C, 3, FALSE)</f>
        <v>0</v>
      </c>
      <c r="G1069" s="209" t="b">
        <f t="shared" si="727"/>
        <v>0</v>
      </c>
      <c r="H1069" s="209" t="b">
        <f t="shared" si="7"/>
        <v>1</v>
      </c>
      <c r="I1069" s="208" t="b">
        <f t="shared" ref="I1069:J1069" si="813">FALSE</f>
        <v>0</v>
      </c>
      <c r="J1069" s="208" t="b">
        <f t="shared" si="813"/>
        <v>0</v>
      </c>
      <c r="K1069" s="214">
        <v>325.0</v>
      </c>
      <c r="L1069" s="212" t="str">
        <f t="shared" si="3"/>
        <v>n/a</v>
      </c>
      <c r="M1069" s="212" t="str">
        <f t="shared" si="4"/>
        <v>n/a</v>
      </c>
      <c r="N1069" s="207" t="str">
        <f t="shared" si="5"/>
        <v>n/a</v>
      </c>
      <c r="O1069" s="207">
        <f t="shared" si="6"/>
        <v>0.003076923077</v>
      </c>
    </row>
    <row r="1070" ht="15.75" customHeight="1">
      <c r="A1070" s="207">
        <v>71.0</v>
      </c>
      <c r="B1070" s="6" t="str">
        <f>VLOOKUP($A1070, 'Completion rates'!$A:$E, 2, FALSE)</f>
        <v>Opening hard caskets</v>
      </c>
      <c r="C1070" s="207">
        <v>12506.0</v>
      </c>
      <c r="D1070" s="6" t="str">
        <f>VLOOKUP($C1070, 'List of log slots'!$A:$E, 2, FALSE)</f>
        <v>Armadyl bracers</v>
      </c>
      <c r="E1070" s="207">
        <f>VLOOKUP($C1070, 'List of log slots'!$A:$E, 5, FALSE)</f>
        <v>5</v>
      </c>
      <c r="F1070" s="210" t="b">
        <f>VLOOKUP(C1070, 'List of log slots'!$A:$C, 3, FALSE)</f>
        <v>0</v>
      </c>
      <c r="G1070" s="209" t="b">
        <f t="shared" si="727"/>
        <v>0</v>
      </c>
      <c r="H1070" s="209" t="b">
        <f t="shared" si="7"/>
        <v>1</v>
      </c>
      <c r="I1070" s="208" t="b">
        <f t="shared" ref="I1070:J1070" si="814">FALSE</f>
        <v>0</v>
      </c>
      <c r="J1070" s="208" t="b">
        <f t="shared" si="814"/>
        <v>0</v>
      </c>
      <c r="K1070" s="214">
        <v>325.0</v>
      </c>
      <c r="L1070" s="212" t="str">
        <f t="shared" si="3"/>
        <v>n/a</v>
      </c>
      <c r="M1070" s="212" t="str">
        <f t="shared" si="4"/>
        <v>n/a</v>
      </c>
      <c r="N1070" s="207" t="str">
        <f t="shared" si="5"/>
        <v>n/a</v>
      </c>
      <c r="O1070" s="207">
        <f t="shared" si="6"/>
        <v>0.003076923077</v>
      </c>
    </row>
    <row r="1071" ht="15.75" customHeight="1">
      <c r="A1071" s="207">
        <v>71.0</v>
      </c>
      <c r="B1071" s="6" t="str">
        <f>VLOOKUP($A1071, 'Completion rates'!$A:$E, 2, FALSE)</f>
        <v>Opening hard caskets</v>
      </c>
      <c r="C1071" s="207">
        <v>19930.0</v>
      </c>
      <c r="D1071" s="6" t="str">
        <f>VLOOKUP($C1071, 'List of log slots'!$A:$E, 2, FALSE)</f>
        <v>Armadyl d'hide boots</v>
      </c>
      <c r="E1071" s="207">
        <f>VLOOKUP($C1071, 'List of log slots'!$A:$E, 5, FALSE)</f>
        <v>5</v>
      </c>
      <c r="F1071" s="209" t="b">
        <f>VLOOKUP(C1071, 'List of log slots'!$A:$C, 3, FALSE)</f>
        <v>0</v>
      </c>
      <c r="G1071" s="209" t="b">
        <f t="shared" si="727"/>
        <v>0</v>
      </c>
      <c r="H1071" s="210" t="b">
        <f t="shared" si="7"/>
        <v>1</v>
      </c>
      <c r="I1071" s="208" t="b">
        <f t="shared" ref="I1071:J1071" si="815">FALSE</f>
        <v>0</v>
      </c>
      <c r="J1071" s="208" t="b">
        <f t="shared" si="815"/>
        <v>0</v>
      </c>
      <c r="K1071" s="214">
        <v>325.0</v>
      </c>
      <c r="L1071" s="212" t="str">
        <f t="shared" si="3"/>
        <v>n/a</v>
      </c>
      <c r="M1071" s="212" t="str">
        <f t="shared" si="4"/>
        <v>n/a</v>
      </c>
      <c r="N1071" s="207" t="str">
        <f t="shared" si="5"/>
        <v>n/a</v>
      </c>
      <c r="O1071" s="207">
        <f t="shared" si="6"/>
        <v>0.003076923077</v>
      </c>
    </row>
    <row r="1072" ht="15.75" customHeight="1">
      <c r="A1072" s="207">
        <v>71.0</v>
      </c>
      <c r="B1072" s="6" t="str">
        <f>VLOOKUP($A1072, 'Completion rates'!$A:$E, 2, FALSE)</f>
        <v>Opening hard caskets</v>
      </c>
      <c r="C1072" s="207">
        <v>23200.0</v>
      </c>
      <c r="D1072" s="6" t="str">
        <f>VLOOKUP($C1072, 'List of log slots'!$A:$E, 2, FALSE)</f>
        <v>Armadyl d'hide shield</v>
      </c>
      <c r="E1072" s="207">
        <f>VLOOKUP($C1072, 'List of log slots'!$A:$E, 5, FALSE)</f>
        <v>6</v>
      </c>
      <c r="F1072" s="209" t="b">
        <f>VLOOKUP(C1072, 'List of log slots'!$A:$C, 3, FALSE)</f>
        <v>0</v>
      </c>
      <c r="G1072" s="209" t="b">
        <f t="shared" si="727"/>
        <v>0</v>
      </c>
      <c r="H1072" s="210" t="b">
        <f t="shared" si="7"/>
        <v>1</v>
      </c>
      <c r="I1072" s="208" t="b">
        <f t="shared" ref="I1072:J1072" si="816">FALSE</f>
        <v>0</v>
      </c>
      <c r="J1072" s="208" t="b">
        <f t="shared" si="816"/>
        <v>0</v>
      </c>
      <c r="K1072" s="214">
        <v>1950.0</v>
      </c>
      <c r="L1072" s="212" t="str">
        <f t="shared" si="3"/>
        <v>n/a</v>
      </c>
      <c r="M1072" s="212" t="str">
        <f t="shared" si="4"/>
        <v>n/a</v>
      </c>
      <c r="N1072" s="207" t="str">
        <f t="shared" si="5"/>
        <v>n/a</v>
      </c>
      <c r="O1072" s="207">
        <f t="shared" si="6"/>
        <v>0.0005128205128</v>
      </c>
    </row>
    <row r="1073" ht="15.75" customHeight="1">
      <c r="A1073" s="207">
        <v>71.0</v>
      </c>
      <c r="B1073" s="6" t="str">
        <f>VLOOKUP($A1073, 'Completion rates'!$A:$E, 2, FALSE)</f>
        <v>Opening hard caskets</v>
      </c>
      <c r="C1073" s="207">
        <v>12496.0</v>
      </c>
      <c r="D1073" s="6" t="str">
        <f>VLOOKUP($C1073, 'List of log slots'!$A:$E, 2, FALSE)</f>
        <v>Ancient coif</v>
      </c>
      <c r="E1073" s="207">
        <f>VLOOKUP($C1073, 'List of log slots'!$A:$E, 5, FALSE)</f>
        <v>5</v>
      </c>
      <c r="F1073" s="209" t="b">
        <f>VLOOKUP(C1073, 'List of log slots'!$A:$C, 3, FALSE)</f>
        <v>0</v>
      </c>
      <c r="G1073" s="209" t="b">
        <f t="shared" si="727"/>
        <v>0</v>
      </c>
      <c r="H1073" s="210" t="b">
        <f t="shared" si="7"/>
        <v>1</v>
      </c>
      <c r="I1073" s="208" t="b">
        <f t="shared" ref="I1073:J1073" si="817">FALSE</f>
        <v>0</v>
      </c>
      <c r="J1073" s="208" t="b">
        <f t="shared" si="817"/>
        <v>0</v>
      </c>
      <c r="K1073" s="214">
        <v>325.0</v>
      </c>
      <c r="L1073" s="212" t="str">
        <f t="shared" si="3"/>
        <v>n/a</v>
      </c>
      <c r="M1073" s="212" t="str">
        <f t="shared" si="4"/>
        <v>n/a</v>
      </c>
      <c r="N1073" s="207" t="str">
        <f t="shared" si="5"/>
        <v>n/a</v>
      </c>
      <c r="O1073" s="207">
        <f t="shared" si="6"/>
        <v>0.003076923077</v>
      </c>
    </row>
    <row r="1074" ht="15.75" customHeight="1">
      <c r="A1074" s="207">
        <v>71.0</v>
      </c>
      <c r="B1074" s="6" t="str">
        <f>VLOOKUP($A1074, 'Completion rates'!$A:$E, 2, FALSE)</f>
        <v>Opening hard caskets</v>
      </c>
      <c r="C1074" s="207">
        <v>12492.0</v>
      </c>
      <c r="D1074" s="6" t="str">
        <f>VLOOKUP($C1074, 'List of log slots'!$A:$E, 2, FALSE)</f>
        <v>Ancient d'hide body</v>
      </c>
      <c r="E1074" s="207">
        <f>VLOOKUP($C1074, 'List of log slots'!$A:$E, 5, FALSE)</f>
        <v>5</v>
      </c>
      <c r="F1074" s="209" t="b">
        <f>VLOOKUP(C1074, 'List of log slots'!$A:$C, 3, FALSE)</f>
        <v>0</v>
      </c>
      <c r="G1074" s="209" t="b">
        <f t="shared" si="727"/>
        <v>0</v>
      </c>
      <c r="H1074" s="210" t="b">
        <f t="shared" si="7"/>
        <v>1</v>
      </c>
      <c r="I1074" s="208" t="b">
        <f t="shared" ref="I1074:J1074" si="818">FALSE</f>
        <v>0</v>
      </c>
      <c r="J1074" s="208" t="b">
        <f t="shared" si="818"/>
        <v>0</v>
      </c>
      <c r="K1074" s="214">
        <v>325.0</v>
      </c>
      <c r="L1074" s="212" t="str">
        <f t="shared" si="3"/>
        <v>n/a</v>
      </c>
      <c r="M1074" s="212" t="str">
        <f t="shared" si="4"/>
        <v>n/a</v>
      </c>
      <c r="N1074" s="207" t="str">
        <f t="shared" si="5"/>
        <v>n/a</v>
      </c>
      <c r="O1074" s="207">
        <f t="shared" si="6"/>
        <v>0.003076923077</v>
      </c>
    </row>
    <row r="1075" ht="15.75" customHeight="1">
      <c r="A1075" s="207">
        <v>71.0</v>
      </c>
      <c r="B1075" s="6" t="str">
        <f>VLOOKUP($A1075, 'Completion rates'!$A:$E, 2, FALSE)</f>
        <v>Opening hard caskets</v>
      </c>
      <c r="C1075" s="207">
        <v>12494.0</v>
      </c>
      <c r="D1075" s="6" t="str">
        <f>VLOOKUP($C1075, 'List of log slots'!$A:$E, 2, FALSE)</f>
        <v>Ancient chaps</v>
      </c>
      <c r="E1075" s="207">
        <f>VLOOKUP($C1075, 'List of log slots'!$A:$E, 5, FALSE)</f>
        <v>5</v>
      </c>
      <c r="F1075" s="210" t="b">
        <f>VLOOKUP(C1075, 'List of log slots'!$A:$C, 3, FALSE)</f>
        <v>0</v>
      </c>
      <c r="G1075" s="209" t="b">
        <f t="shared" si="727"/>
        <v>0</v>
      </c>
      <c r="H1075" s="209" t="b">
        <f t="shared" si="7"/>
        <v>1</v>
      </c>
      <c r="I1075" s="208" t="b">
        <f t="shared" ref="I1075:J1075" si="819">FALSE</f>
        <v>0</v>
      </c>
      <c r="J1075" s="208" t="b">
        <f t="shared" si="819"/>
        <v>0</v>
      </c>
      <c r="K1075" s="214">
        <v>325.0</v>
      </c>
      <c r="L1075" s="212" t="str">
        <f t="shared" si="3"/>
        <v>n/a</v>
      </c>
      <c r="M1075" s="212" t="str">
        <f t="shared" si="4"/>
        <v>n/a</v>
      </c>
      <c r="N1075" s="207" t="str">
        <f t="shared" si="5"/>
        <v>n/a</v>
      </c>
      <c r="O1075" s="207">
        <f t="shared" si="6"/>
        <v>0.003076923077</v>
      </c>
    </row>
    <row r="1076" ht="15.75" customHeight="1">
      <c r="A1076" s="207">
        <v>71.0</v>
      </c>
      <c r="B1076" s="6" t="str">
        <f>VLOOKUP($A1076, 'Completion rates'!$A:$E, 2, FALSE)</f>
        <v>Opening hard caskets</v>
      </c>
      <c r="C1076" s="207">
        <v>12490.0</v>
      </c>
      <c r="D1076" s="6" t="str">
        <f>VLOOKUP($C1076, 'List of log slots'!$A:$E, 2, FALSE)</f>
        <v>Ancient bracers</v>
      </c>
      <c r="E1076" s="207">
        <f>VLOOKUP($C1076, 'List of log slots'!$A:$E, 5, FALSE)</f>
        <v>5</v>
      </c>
      <c r="F1076" s="210" t="b">
        <f>VLOOKUP(C1076, 'List of log slots'!$A:$C, 3, FALSE)</f>
        <v>0</v>
      </c>
      <c r="G1076" s="209" t="b">
        <f t="shared" si="727"/>
        <v>0</v>
      </c>
      <c r="H1076" s="209" t="b">
        <f t="shared" si="7"/>
        <v>1</v>
      </c>
      <c r="I1076" s="208" t="b">
        <f t="shared" ref="I1076:J1076" si="820">FALSE</f>
        <v>0</v>
      </c>
      <c r="J1076" s="208" t="b">
        <f t="shared" si="820"/>
        <v>0</v>
      </c>
      <c r="K1076" s="214">
        <v>325.0</v>
      </c>
      <c r="L1076" s="212" t="str">
        <f t="shared" si="3"/>
        <v>n/a</v>
      </c>
      <c r="M1076" s="212" t="str">
        <f t="shared" si="4"/>
        <v>n/a</v>
      </c>
      <c r="N1076" s="207" t="str">
        <f t="shared" si="5"/>
        <v>n/a</v>
      </c>
      <c r="O1076" s="207">
        <f t="shared" si="6"/>
        <v>0.003076923077</v>
      </c>
    </row>
    <row r="1077" ht="15.75" customHeight="1">
      <c r="A1077" s="207">
        <v>71.0</v>
      </c>
      <c r="B1077" s="6" t="str">
        <f>VLOOKUP($A1077, 'Completion rates'!$A:$E, 2, FALSE)</f>
        <v>Opening hard caskets</v>
      </c>
      <c r="C1077" s="207">
        <v>19921.0</v>
      </c>
      <c r="D1077" s="6" t="str">
        <f>VLOOKUP($C1077, 'List of log slots'!$A:$E, 2, FALSE)</f>
        <v>Ancient d'hide boots</v>
      </c>
      <c r="E1077" s="207">
        <f>VLOOKUP($C1077, 'List of log slots'!$A:$E, 5, FALSE)</f>
        <v>5</v>
      </c>
      <c r="F1077" s="209" t="b">
        <f>VLOOKUP(C1077, 'List of log slots'!$A:$C, 3, FALSE)</f>
        <v>0</v>
      </c>
      <c r="G1077" s="209" t="b">
        <f t="shared" si="727"/>
        <v>0</v>
      </c>
      <c r="H1077" s="210" t="b">
        <f t="shared" si="7"/>
        <v>1</v>
      </c>
      <c r="I1077" s="208" t="b">
        <f t="shared" ref="I1077:J1077" si="821">FALSE</f>
        <v>0</v>
      </c>
      <c r="J1077" s="208" t="b">
        <f t="shared" si="821"/>
        <v>0</v>
      </c>
      <c r="K1077" s="214">
        <v>325.0</v>
      </c>
      <c r="L1077" s="212" t="str">
        <f t="shared" si="3"/>
        <v>n/a</v>
      </c>
      <c r="M1077" s="212" t="str">
        <f t="shared" si="4"/>
        <v>n/a</v>
      </c>
      <c r="N1077" s="207" t="str">
        <f t="shared" si="5"/>
        <v>n/a</v>
      </c>
      <c r="O1077" s="207">
        <f t="shared" si="6"/>
        <v>0.003076923077</v>
      </c>
    </row>
    <row r="1078" ht="15.75" customHeight="1">
      <c r="A1078" s="207">
        <v>71.0</v>
      </c>
      <c r="B1078" s="6" t="str">
        <f>VLOOKUP($A1078, 'Completion rates'!$A:$E, 2, FALSE)</f>
        <v>Opening hard caskets</v>
      </c>
      <c r="C1078" s="207">
        <v>23197.0</v>
      </c>
      <c r="D1078" s="6" t="str">
        <f>VLOOKUP($C1078, 'List of log slots'!$A:$E, 2, FALSE)</f>
        <v>Ancient d'hide shield</v>
      </c>
      <c r="E1078" s="207">
        <f>VLOOKUP($C1078, 'List of log slots'!$A:$E, 5, FALSE)</f>
        <v>6</v>
      </c>
      <c r="F1078" s="209" t="b">
        <f>VLOOKUP(C1078, 'List of log slots'!$A:$C, 3, FALSE)</f>
        <v>0</v>
      </c>
      <c r="G1078" s="209" t="b">
        <f t="shared" si="727"/>
        <v>0</v>
      </c>
      <c r="H1078" s="210" t="b">
        <f t="shared" si="7"/>
        <v>1</v>
      </c>
      <c r="I1078" s="208" t="b">
        <f t="shared" ref="I1078:J1078" si="822">FALSE</f>
        <v>0</v>
      </c>
      <c r="J1078" s="208" t="b">
        <f t="shared" si="822"/>
        <v>0</v>
      </c>
      <c r="K1078" s="214">
        <v>1950.0</v>
      </c>
      <c r="L1078" s="212" t="str">
        <f t="shared" si="3"/>
        <v>n/a</v>
      </c>
      <c r="M1078" s="212" t="str">
        <f t="shared" si="4"/>
        <v>n/a</v>
      </c>
      <c r="N1078" s="207" t="str">
        <f t="shared" si="5"/>
        <v>n/a</v>
      </c>
      <c r="O1078" s="207">
        <f t="shared" si="6"/>
        <v>0.0005128205128</v>
      </c>
    </row>
    <row r="1079" ht="15.75" customHeight="1">
      <c r="A1079" s="207">
        <v>71.0</v>
      </c>
      <c r="B1079" s="6" t="str">
        <f>VLOOKUP($A1079, 'Completion rates'!$A:$E, 2, FALSE)</f>
        <v>Opening hard caskets</v>
      </c>
      <c r="C1079" s="207">
        <v>12331.0</v>
      </c>
      <c r="D1079" s="6" t="str">
        <f>VLOOKUP($C1079, 'List of log slots'!$A:$E, 2, FALSE)</f>
        <v>Red d'hide body (t)</v>
      </c>
      <c r="E1079" s="207">
        <f>VLOOKUP($C1079, 'List of log slots'!$A:$E, 5, FALSE)</f>
        <v>5</v>
      </c>
      <c r="F1079" s="209" t="b">
        <f>VLOOKUP(C1079, 'List of log slots'!$A:$C, 3, FALSE)</f>
        <v>0</v>
      </c>
      <c r="G1079" s="209" t="b">
        <f t="shared" si="727"/>
        <v>0</v>
      </c>
      <c r="H1079" s="210" t="b">
        <f t="shared" si="7"/>
        <v>1</v>
      </c>
      <c r="I1079" s="208" t="b">
        <f t="shared" ref="I1079:J1079" si="823">FALSE</f>
        <v>0</v>
      </c>
      <c r="J1079" s="208" t="b">
        <f t="shared" si="823"/>
        <v>0</v>
      </c>
      <c r="K1079" s="214">
        <v>325.0</v>
      </c>
      <c r="L1079" s="212" t="str">
        <f t="shared" si="3"/>
        <v>n/a</v>
      </c>
      <c r="M1079" s="212" t="str">
        <f t="shared" si="4"/>
        <v>n/a</v>
      </c>
      <c r="N1079" s="207" t="str">
        <f t="shared" si="5"/>
        <v>n/a</v>
      </c>
      <c r="O1079" s="207">
        <f t="shared" si="6"/>
        <v>0.003076923077</v>
      </c>
    </row>
    <row r="1080" ht="15.75" customHeight="1">
      <c r="A1080" s="207">
        <v>71.0</v>
      </c>
      <c r="B1080" s="6" t="str">
        <f>VLOOKUP($A1080, 'Completion rates'!$A:$E, 2, FALSE)</f>
        <v>Opening hard caskets</v>
      </c>
      <c r="C1080" s="207">
        <v>12333.0</v>
      </c>
      <c r="D1080" s="6" t="str">
        <f>VLOOKUP($C1080, 'List of log slots'!$A:$E, 2, FALSE)</f>
        <v>Red d'hide chaps (t)</v>
      </c>
      <c r="E1080" s="207">
        <f>VLOOKUP($C1080, 'List of log slots'!$A:$E, 5, FALSE)</f>
        <v>5</v>
      </c>
      <c r="F1080" s="210" t="b">
        <f>VLOOKUP(C1080, 'List of log slots'!$A:$C, 3, FALSE)</f>
        <v>0</v>
      </c>
      <c r="G1080" s="209" t="b">
        <f t="shared" si="727"/>
        <v>0</v>
      </c>
      <c r="H1080" s="209" t="b">
        <f t="shared" si="7"/>
        <v>1</v>
      </c>
      <c r="I1080" s="208" t="b">
        <f t="shared" ref="I1080:J1080" si="824">FALSE</f>
        <v>0</v>
      </c>
      <c r="J1080" s="208" t="b">
        <f t="shared" si="824"/>
        <v>0</v>
      </c>
      <c r="K1080" s="214">
        <v>325.0</v>
      </c>
      <c r="L1080" s="212" t="str">
        <f t="shared" si="3"/>
        <v>n/a</v>
      </c>
      <c r="M1080" s="212" t="str">
        <f t="shared" si="4"/>
        <v>n/a</v>
      </c>
      <c r="N1080" s="207" t="str">
        <f t="shared" si="5"/>
        <v>n/a</v>
      </c>
      <c r="O1080" s="207">
        <f t="shared" si="6"/>
        <v>0.003076923077</v>
      </c>
    </row>
    <row r="1081" ht="15.75" customHeight="1">
      <c r="A1081" s="207">
        <v>71.0</v>
      </c>
      <c r="B1081" s="6" t="str">
        <f>VLOOKUP($A1081, 'Completion rates'!$A:$E, 2, FALSE)</f>
        <v>Opening hard caskets</v>
      </c>
      <c r="C1081" s="207">
        <v>12327.0</v>
      </c>
      <c r="D1081" s="6" t="str">
        <f>VLOOKUP($C1081, 'List of log slots'!$A:$E, 2, FALSE)</f>
        <v>Red d'hide body (g)</v>
      </c>
      <c r="E1081" s="207">
        <f>VLOOKUP($C1081, 'List of log slots'!$A:$E, 5, FALSE)</f>
        <v>5</v>
      </c>
      <c r="F1081" s="209" t="b">
        <f>VLOOKUP(C1081, 'List of log slots'!$A:$C, 3, FALSE)</f>
        <v>0</v>
      </c>
      <c r="G1081" s="209" t="b">
        <f t="shared" si="727"/>
        <v>0</v>
      </c>
      <c r="H1081" s="210" t="b">
        <f t="shared" si="7"/>
        <v>1</v>
      </c>
      <c r="I1081" s="208" t="b">
        <f t="shared" ref="I1081:J1081" si="825">FALSE</f>
        <v>0</v>
      </c>
      <c r="J1081" s="208" t="b">
        <f t="shared" si="825"/>
        <v>0</v>
      </c>
      <c r="K1081" s="214">
        <v>325.0</v>
      </c>
      <c r="L1081" s="212" t="str">
        <f t="shared" si="3"/>
        <v>n/a</v>
      </c>
      <c r="M1081" s="212" t="str">
        <f t="shared" si="4"/>
        <v>n/a</v>
      </c>
      <c r="N1081" s="207" t="str">
        <f t="shared" si="5"/>
        <v>n/a</v>
      </c>
      <c r="O1081" s="207">
        <f t="shared" si="6"/>
        <v>0.003076923077</v>
      </c>
    </row>
    <row r="1082" ht="15.75" customHeight="1">
      <c r="A1082" s="207">
        <v>71.0</v>
      </c>
      <c r="B1082" s="6" t="str">
        <f>VLOOKUP($A1082, 'Completion rates'!$A:$E, 2, FALSE)</f>
        <v>Opening hard caskets</v>
      </c>
      <c r="C1082" s="207">
        <v>12329.0</v>
      </c>
      <c r="D1082" s="6" t="str">
        <f>VLOOKUP($C1082, 'List of log slots'!$A:$E, 2, FALSE)</f>
        <v>Red d'hide chaps (g)</v>
      </c>
      <c r="E1082" s="207">
        <f>VLOOKUP($C1082, 'List of log slots'!$A:$E, 5, FALSE)</f>
        <v>5</v>
      </c>
      <c r="F1082" s="209" t="b">
        <f>VLOOKUP(C1082, 'List of log slots'!$A:$C, 3, FALSE)</f>
        <v>0</v>
      </c>
      <c r="G1082" s="209" t="b">
        <f t="shared" si="727"/>
        <v>0</v>
      </c>
      <c r="H1082" s="210" t="b">
        <f t="shared" si="7"/>
        <v>1</v>
      </c>
      <c r="I1082" s="208" t="b">
        <f t="shared" ref="I1082:J1082" si="826">FALSE</f>
        <v>0</v>
      </c>
      <c r="J1082" s="208" t="b">
        <f t="shared" si="826"/>
        <v>0</v>
      </c>
      <c r="K1082" s="214">
        <v>325.0</v>
      </c>
      <c r="L1082" s="212" t="str">
        <f t="shared" si="3"/>
        <v>n/a</v>
      </c>
      <c r="M1082" s="212" t="str">
        <f t="shared" si="4"/>
        <v>n/a</v>
      </c>
      <c r="N1082" s="207" t="str">
        <f t="shared" si="5"/>
        <v>n/a</v>
      </c>
      <c r="O1082" s="207">
        <f t="shared" si="6"/>
        <v>0.003076923077</v>
      </c>
    </row>
    <row r="1083" ht="15.75" customHeight="1">
      <c r="A1083" s="207">
        <v>71.0</v>
      </c>
      <c r="B1083" s="6" t="str">
        <f>VLOOKUP($A1083, 'Completion rates'!$A:$E, 2, FALSE)</f>
        <v>Opening hard caskets</v>
      </c>
      <c r="C1083" s="207">
        <v>7376.0</v>
      </c>
      <c r="D1083" s="6" t="str">
        <f>VLOOKUP($C1083, 'List of log slots'!$A:$E, 2, FALSE)</f>
        <v>Blue d'hide body (t)</v>
      </c>
      <c r="E1083" s="207">
        <f>VLOOKUP($C1083, 'List of log slots'!$A:$E, 5, FALSE)</f>
        <v>5</v>
      </c>
      <c r="F1083" s="210" t="b">
        <f>VLOOKUP(C1083, 'List of log slots'!$A:$C, 3, FALSE)</f>
        <v>0</v>
      </c>
      <c r="G1083" s="209" t="b">
        <f t="shared" si="727"/>
        <v>0</v>
      </c>
      <c r="H1083" s="209" t="b">
        <f t="shared" si="7"/>
        <v>1</v>
      </c>
      <c r="I1083" s="208" t="b">
        <f t="shared" ref="I1083:J1083" si="827">FALSE</f>
        <v>0</v>
      </c>
      <c r="J1083" s="208" t="b">
        <f t="shared" si="827"/>
        <v>0</v>
      </c>
      <c r="K1083" s="214">
        <v>325.0</v>
      </c>
      <c r="L1083" s="212" t="str">
        <f t="shared" si="3"/>
        <v>n/a</v>
      </c>
      <c r="M1083" s="212" t="str">
        <f t="shared" si="4"/>
        <v>n/a</v>
      </c>
      <c r="N1083" s="207" t="str">
        <f t="shared" si="5"/>
        <v>n/a</v>
      </c>
      <c r="O1083" s="207">
        <f t="shared" si="6"/>
        <v>0.003076923077</v>
      </c>
    </row>
    <row r="1084" ht="15.75" customHeight="1">
      <c r="A1084" s="207">
        <v>71.0</v>
      </c>
      <c r="B1084" s="6" t="str">
        <f>VLOOKUP($A1084, 'Completion rates'!$A:$E, 2, FALSE)</f>
        <v>Opening hard caskets</v>
      </c>
      <c r="C1084" s="207">
        <v>7384.0</v>
      </c>
      <c r="D1084" s="6" t="str">
        <f>VLOOKUP($C1084, 'List of log slots'!$A:$E, 2, FALSE)</f>
        <v>Blue d'hide chaps (t)</v>
      </c>
      <c r="E1084" s="207">
        <f>VLOOKUP($C1084, 'List of log slots'!$A:$E, 5, FALSE)</f>
        <v>5</v>
      </c>
      <c r="F1084" s="210" t="b">
        <f>VLOOKUP(C1084, 'List of log slots'!$A:$C, 3, FALSE)</f>
        <v>0</v>
      </c>
      <c r="G1084" s="209" t="b">
        <f t="shared" si="727"/>
        <v>0</v>
      </c>
      <c r="H1084" s="209" t="b">
        <f t="shared" si="7"/>
        <v>1</v>
      </c>
      <c r="I1084" s="208" t="b">
        <f t="shared" ref="I1084:J1084" si="828">FALSE</f>
        <v>0</v>
      </c>
      <c r="J1084" s="208" t="b">
        <f t="shared" si="828"/>
        <v>0</v>
      </c>
      <c r="K1084" s="214">
        <v>325.0</v>
      </c>
      <c r="L1084" s="212" t="str">
        <f t="shared" si="3"/>
        <v>n/a</v>
      </c>
      <c r="M1084" s="212" t="str">
        <f t="shared" si="4"/>
        <v>n/a</v>
      </c>
      <c r="N1084" s="207" t="str">
        <f t="shared" si="5"/>
        <v>n/a</v>
      </c>
      <c r="O1084" s="207">
        <f t="shared" si="6"/>
        <v>0.003076923077</v>
      </c>
    </row>
    <row r="1085" ht="15.75" customHeight="1">
      <c r="A1085" s="207">
        <v>71.0</v>
      </c>
      <c r="B1085" s="6" t="str">
        <f>VLOOKUP($A1085, 'Completion rates'!$A:$E, 2, FALSE)</f>
        <v>Opening hard caskets</v>
      </c>
      <c r="C1085" s="207">
        <v>7374.0</v>
      </c>
      <c r="D1085" s="6" t="str">
        <f>VLOOKUP($C1085, 'List of log slots'!$A:$E, 2, FALSE)</f>
        <v>Blue d'hide body (g)</v>
      </c>
      <c r="E1085" s="207">
        <f>VLOOKUP($C1085, 'List of log slots'!$A:$E, 5, FALSE)</f>
        <v>5</v>
      </c>
      <c r="F1085" s="209" t="b">
        <f>VLOOKUP(C1085, 'List of log slots'!$A:$C, 3, FALSE)</f>
        <v>0</v>
      </c>
      <c r="G1085" s="209" t="b">
        <f t="shared" si="727"/>
        <v>0</v>
      </c>
      <c r="H1085" s="210" t="b">
        <f t="shared" si="7"/>
        <v>1</v>
      </c>
      <c r="I1085" s="208" t="b">
        <f t="shared" ref="I1085:J1085" si="829">FALSE</f>
        <v>0</v>
      </c>
      <c r="J1085" s="208" t="b">
        <f t="shared" si="829"/>
        <v>0</v>
      </c>
      <c r="K1085" s="214">
        <v>325.0</v>
      </c>
      <c r="L1085" s="212" t="str">
        <f t="shared" si="3"/>
        <v>n/a</v>
      </c>
      <c r="M1085" s="212" t="str">
        <f t="shared" si="4"/>
        <v>n/a</v>
      </c>
      <c r="N1085" s="207" t="str">
        <f t="shared" si="5"/>
        <v>n/a</v>
      </c>
      <c r="O1085" s="207">
        <f t="shared" si="6"/>
        <v>0.003076923077</v>
      </c>
    </row>
    <row r="1086" ht="15.75" customHeight="1">
      <c r="A1086" s="207">
        <v>71.0</v>
      </c>
      <c r="B1086" s="6" t="str">
        <f>VLOOKUP($A1086, 'Completion rates'!$A:$E, 2, FALSE)</f>
        <v>Opening hard caskets</v>
      </c>
      <c r="C1086" s="207">
        <v>7382.0</v>
      </c>
      <c r="D1086" s="6" t="str">
        <f>VLOOKUP($C1086, 'List of log slots'!$A:$E, 2, FALSE)</f>
        <v>Blue d'hide chaps (g)</v>
      </c>
      <c r="E1086" s="207">
        <f>VLOOKUP($C1086, 'List of log slots'!$A:$E, 5, FALSE)</f>
        <v>5</v>
      </c>
      <c r="F1086" s="209" t="b">
        <f>VLOOKUP(C1086, 'List of log slots'!$A:$C, 3, FALSE)</f>
        <v>0</v>
      </c>
      <c r="G1086" s="209" t="b">
        <f t="shared" si="727"/>
        <v>0</v>
      </c>
      <c r="H1086" s="210" t="b">
        <f t="shared" si="7"/>
        <v>1</v>
      </c>
      <c r="I1086" s="208" t="b">
        <f t="shared" ref="I1086:J1086" si="830">FALSE</f>
        <v>0</v>
      </c>
      <c r="J1086" s="208" t="b">
        <f t="shared" si="830"/>
        <v>0</v>
      </c>
      <c r="K1086" s="214">
        <v>325.0</v>
      </c>
      <c r="L1086" s="212" t="str">
        <f t="shared" si="3"/>
        <v>n/a</v>
      </c>
      <c r="M1086" s="212" t="str">
        <f t="shared" si="4"/>
        <v>n/a</v>
      </c>
      <c r="N1086" s="207" t="str">
        <f t="shared" si="5"/>
        <v>n/a</v>
      </c>
      <c r="O1086" s="207">
        <f t="shared" si="6"/>
        <v>0.003076923077</v>
      </c>
    </row>
    <row r="1087" ht="15.75" customHeight="1">
      <c r="A1087" s="207">
        <v>71.0</v>
      </c>
      <c r="B1087" s="6" t="str">
        <f>VLOOKUP($A1087, 'Completion rates'!$A:$E, 2, FALSE)</f>
        <v>Opening hard caskets</v>
      </c>
      <c r="C1087" s="207">
        <v>7400.0</v>
      </c>
      <c r="D1087" s="6" t="str">
        <f>VLOOKUP($C1087, 'List of log slots'!$A:$E, 2, FALSE)</f>
        <v>Enchanted hat</v>
      </c>
      <c r="E1087" s="207">
        <f>VLOOKUP($C1087, 'List of log slots'!$A:$E, 5, FALSE)</f>
        <v>5</v>
      </c>
      <c r="F1087" s="209" t="b">
        <f>VLOOKUP(C1087, 'List of log slots'!$A:$C, 3, FALSE)</f>
        <v>0</v>
      </c>
      <c r="G1087" s="209" t="b">
        <f t="shared" si="727"/>
        <v>0</v>
      </c>
      <c r="H1087" s="210" t="b">
        <f t="shared" si="7"/>
        <v>1</v>
      </c>
      <c r="I1087" s="208" t="b">
        <f t="shared" ref="I1087:J1087" si="831">FALSE</f>
        <v>0</v>
      </c>
      <c r="J1087" s="208" t="b">
        <f t="shared" si="831"/>
        <v>0</v>
      </c>
      <c r="K1087" s="214">
        <v>325.0</v>
      </c>
      <c r="L1087" s="212" t="str">
        <f t="shared" si="3"/>
        <v>n/a</v>
      </c>
      <c r="M1087" s="212" t="str">
        <f t="shared" si="4"/>
        <v>n/a</v>
      </c>
      <c r="N1087" s="207" t="str">
        <f t="shared" si="5"/>
        <v>n/a</v>
      </c>
      <c r="O1087" s="207">
        <f t="shared" si="6"/>
        <v>0.003076923077</v>
      </c>
    </row>
    <row r="1088" ht="15.75" customHeight="1">
      <c r="A1088" s="207">
        <v>71.0</v>
      </c>
      <c r="B1088" s="6" t="str">
        <f>VLOOKUP($A1088, 'Completion rates'!$A:$E, 2, FALSE)</f>
        <v>Opening hard caskets</v>
      </c>
      <c r="C1088" s="207">
        <v>7399.0</v>
      </c>
      <c r="D1088" s="6" t="str">
        <f>VLOOKUP($C1088, 'List of log slots'!$A:$E, 2, FALSE)</f>
        <v>Enchanted top</v>
      </c>
      <c r="E1088" s="207">
        <f>VLOOKUP($C1088, 'List of log slots'!$A:$E, 5, FALSE)</f>
        <v>5</v>
      </c>
      <c r="F1088" s="210" t="b">
        <f>VLOOKUP(C1088, 'List of log slots'!$A:$C, 3, FALSE)</f>
        <v>0</v>
      </c>
      <c r="G1088" s="209" t="b">
        <f t="shared" si="727"/>
        <v>0</v>
      </c>
      <c r="H1088" s="209" t="b">
        <f t="shared" si="7"/>
        <v>1</v>
      </c>
      <c r="I1088" s="208" t="b">
        <f t="shared" ref="I1088:J1088" si="832">FALSE</f>
        <v>0</v>
      </c>
      <c r="J1088" s="208" t="b">
        <f t="shared" si="832"/>
        <v>0</v>
      </c>
      <c r="K1088" s="214">
        <v>325.0</v>
      </c>
      <c r="L1088" s="212" t="str">
        <f t="shared" si="3"/>
        <v>n/a</v>
      </c>
      <c r="M1088" s="212" t="str">
        <f t="shared" si="4"/>
        <v>n/a</v>
      </c>
      <c r="N1088" s="207" t="str">
        <f t="shared" si="5"/>
        <v>n/a</v>
      </c>
      <c r="O1088" s="207">
        <f t="shared" si="6"/>
        <v>0.003076923077</v>
      </c>
    </row>
    <row r="1089" ht="15.75" customHeight="1">
      <c r="A1089" s="207">
        <v>71.0</v>
      </c>
      <c r="B1089" s="6" t="str">
        <f>VLOOKUP($A1089, 'Completion rates'!$A:$E, 2, FALSE)</f>
        <v>Opening hard caskets</v>
      </c>
      <c r="C1089" s="207">
        <v>7398.0</v>
      </c>
      <c r="D1089" s="6" t="str">
        <f>VLOOKUP($C1089, 'List of log slots'!$A:$E, 2, FALSE)</f>
        <v>Enchanted robe</v>
      </c>
      <c r="E1089" s="207">
        <f>VLOOKUP($C1089, 'List of log slots'!$A:$E, 5, FALSE)</f>
        <v>5</v>
      </c>
      <c r="F1089" s="209" t="b">
        <f>VLOOKUP(C1089, 'List of log slots'!$A:$C, 3, FALSE)</f>
        <v>0</v>
      </c>
      <c r="G1089" s="209" t="b">
        <f t="shared" si="727"/>
        <v>0</v>
      </c>
      <c r="H1089" s="210" t="b">
        <f t="shared" si="7"/>
        <v>1</v>
      </c>
      <c r="I1089" s="208" t="b">
        <f t="shared" ref="I1089:J1089" si="833">FALSE</f>
        <v>0</v>
      </c>
      <c r="J1089" s="208" t="b">
        <f t="shared" si="833"/>
        <v>0</v>
      </c>
      <c r="K1089" s="214">
        <v>325.0</v>
      </c>
      <c r="L1089" s="212" t="str">
        <f t="shared" si="3"/>
        <v>n/a</v>
      </c>
      <c r="M1089" s="212" t="str">
        <f t="shared" si="4"/>
        <v>n/a</v>
      </c>
      <c r="N1089" s="207" t="str">
        <f t="shared" si="5"/>
        <v>n/a</v>
      </c>
      <c r="O1089" s="207">
        <f t="shared" si="6"/>
        <v>0.003076923077</v>
      </c>
    </row>
    <row r="1090" ht="15.75" customHeight="1">
      <c r="A1090" s="207">
        <v>71.0</v>
      </c>
      <c r="B1090" s="6" t="str">
        <f>VLOOKUP($A1090, 'Completion rates'!$A:$E, 2, FALSE)</f>
        <v>Opening hard caskets</v>
      </c>
      <c r="C1090" s="207">
        <v>10470.0</v>
      </c>
      <c r="D1090" s="6" t="str">
        <f>VLOOKUP($C1090, 'List of log slots'!$A:$E, 2, FALSE)</f>
        <v>Saradomin stole</v>
      </c>
      <c r="E1090" s="207">
        <f>VLOOKUP($C1090, 'List of log slots'!$A:$E, 5, FALSE)</f>
        <v>5</v>
      </c>
      <c r="F1090" s="210" t="b">
        <f>VLOOKUP(C1090, 'List of log slots'!$A:$C, 3, FALSE)</f>
        <v>0</v>
      </c>
      <c r="G1090" s="209" t="b">
        <f t="shared" si="727"/>
        <v>0</v>
      </c>
      <c r="H1090" s="209" t="b">
        <f t="shared" si="7"/>
        <v>1</v>
      </c>
      <c r="I1090" s="208" t="b">
        <f t="shared" ref="I1090:J1090" si="834">FALSE</f>
        <v>0</v>
      </c>
      <c r="J1090" s="208" t="b">
        <f t="shared" si="834"/>
        <v>0</v>
      </c>
      <c r="K1090" s="214">
        <v>325.0</v>
      </c>
      <c r="L1090" s="212" t="str">
        <f t="shared" si="3"/>
        <v>n/a</v>
      </c>
      <c r="M1090" s="212" t="str">
        <f t="shared" si="4"/>
        <v>n/a</v>
      </c>
      <c r="N1090" s="207" t="str">
        <f t="shared" si="5"/>
        <v>n/a</v>
      </c>
      <c r="O1090" s="207">
        <f t="shared" si="6"/>
        <v>0.003076923077</v>
      </c>
    </row>
    <row r="1091" ht="15.75" customHeight="1">
      <c r="A1091" s="207">
        <v>71.0</v>
      </c>
      <c r="B1091" s="6" t="str">
        <f>VLOOKUP($A1091, 'Completion rates'!$A:$E, 2, FALSE)</f>
        <v>Opening hard caskets</v>
      </c>
      <c r="C1091" s="207">
        <v>10440.0</v>
      </c>
      <c r="D1091" s="6" t="str">
        <f>VLOOKUP($C1091, 'List of log slots'!$A:$E, 2, FALSE)</f>
        <v>Saradomin crozier</v>
      </c>
      <c r="E1091" s="207">
        <f>VLOOKUP($C1091, 'List of log slots'!$A:$E, 5, FALSE)</f>
        <v>5</v>
      </c>
      <c r="F1091" s="209" t="b">
        <f>VLOOKUP(C1091, 'List of log slots'!$A:$C, 3, FALSE)</f>
        <v>0</v>
      </c>
      <c r="G1091" s="209" t="b">
        <f t="shared" si="727"/>
        <v>0</v>
      </c>
      <c r="H1091" s="210" t="b">
        <f t="shared" si="7"/>
        <v>1</v>
      </c>
      <c r="I1091" s="208" t="b">
        <f t="shared" ref="I1091:J1091" si="835">FALSE</f>
        <v>0</v>
      </c>
      <c r="J1091" s="208" t="b">
        <f t="shared" si="835"/>
        <v>0</v>
      </c>
      <c r="K1091" s="214">
        <v>325.0</v>
      </c>
      <c r="L1091" s="212" t="str">
        <f t="shared" si="3"/>
        <v>n/a</v>
      </c>
      <c r="M1091" s="212" t="str">
        <f t="shared" si="4"/>
        <v>n/a</v>
      </c>
      <c r="N1091" s="207" t="str">
        <f t="shared" si="5"/>
        <v>n/a</v>
      </c>
      <c r="O1091" s="207">
        <f t="shared" si="6"/>
        <v>0.003076923077</v>
      </c>
    </row>
    <row r="1092" ht="15.75" customHeight="1">
      <c r="A1092" s="207">
        <v>71.0</v>
      </c>
      <c r="B1092" s="6" t="str">
        <f>VLOOKUP($A1092, 'Completion rates'!$A:$E, 2, FALSE)</f>
        <v>Opening hard caskets</v>
      </c>
      <c r="C1092" s="207">
        <v>10472.0</v>
      </c>
      <c r="D1092" s="6" t="str">
        <f>VLOOKUP($C1092, 'List of log slots'!$A:$E, 2, FALSE)</f>
        <v>Guthix stole</v>
      </c>
      <c r="E1092" s="207">
        <f>VLOOKUP($C1092, 'List of log slots'!$A:$E, 5, FALSE)</f>
        <v>5</v>
      </c>
      <c r="F1092" s="209" t="b">
        <f>VLOOKUP(C1092, 'List of log slots'!$A:$C, 3, FALSE)</f>
        <v>0</v>
      </c>
      <c r="G1092" s="209" t="b">
        <f t="shared" si="727"/>
        <v>0</v>
      </c>
      <c r="H1092" s="210" t="b">
        <f t="shared" si="7"/>
        <v>1</v>
      </c>
      <c r="I1092" s="208" t="b">
        <f t="shared" ref="I1092:J1092" si="836">FALSE</f>
        <v>0</v>
      </c>
      <c r="J1092" s="208" t="b">
        <f t="shared" si="836"/>
        <v>0</v>
      </c>
      <c r="K1092" s="214">
        <v>325.0</v>
      </c>
      <c r="L1092" s="212" t="str">
        <f t="shared" si="3"/>
        <v>n/a</v>
      </c>
      <c r="M1092" s="212" t="str">
        <f t="shared" si="4"/>
        <v>n/a</v>
      </c>
      <c r="N1092" s="207" t="str">
        <f t="shared" si="5"/>
        <v>n/a</v>
      </c>
      <c r="O1092" s="207">
        <f t="shared" si="6"/>
        <v>0.003076923077</v>
      </c>
    </row>
    <row r="1093" ht="15.75" customHeight="1">
      <c r="A1093" s="207">
        <v>71.0</v>
      </c>
      <c r="B1093" s="6" t="str">
        <f>VLOOKUP($A1093, 'Completion rates'!$A:$E, 2, FALSE)</f>
        <v>Opening hard caskets</v>
      </c>
      <c r="C1093" s="207">
        <v>10442.0</v>
      </c>
      <c r="D1093" s="6" t="str">
        <f>VLOOKUP($C1093, 'List of log slots'!$A:$E, 2, FALSE)</f>
        <v>Guthix crozier</v>
      </c>
      <c r="E1093" s="207">
        <f>VLOOKUP($C1093, 'List of log slots'!$A:$E, 5, FALSE)</f>
        <v>5</v>
      </c>
      <c r="F1093" s="210" t="b">
        <f>VLOOKUP(C1093, 'List of log slots'!$A:$C, 3, FALSE)</f>
        <v>0</v>
      </c>
      <c r="G1093" s="209" t="b">
        <f t="shared" si="727"/>
        <v>0</v>
      </c>
      <c r="H1093" s="209" t="b">
        <f t="shared" si="7"/>
        <v>1</v>
      </c>
      <c r="I1093" s="208" t="b">
        <f t="shared" ref="I1093:J1093" si="837">FALSE</f>
        <v>0</v>
      </c>
      <c r="J1093" s="208" t="b">
        <f t="shared" si="837"/>
        <v>0</v>
      </c>
      <c r="K1093" s="214">
        <v>325.0</v>
      </c>
      <c r="L1093" s="212" t="str">
        <f t="shared" si="3"/>
        <v>n/a</v>
      </c>
      <c r="M1093" s="212" t="str">
        <f t="shared" si="4"/>
        <v>n/a</v>
      </c>
      <c r="N1093" s="207" t="str">
        <f t="shared" si="5"/>
        <v>n/a</v>
      </c>
      <c r="O1093" s="207">
        <f t="shared" si="6"/>
        <v>0.003076923077</v>
      </c>
    </row>
    <row r="1094" ht="15.75" customHeight="1">
      <c r="A1094" s="207">
        <v>71.0</v>
      </c>
      <c r="B1094" s="6" t="str">
        <f>VLOOKUP($A1094, 'Completion rates'!$A:$E, 2, FALSE)</f>
        <v>Opening hard caskets</v>
      </c>
      <c r="C1094" s="207">
        <v>10474.0</v>
      </c>
      <c r="D1094" s="6" t="str">
        <f>VLOOKUP($C1094, 'List of log slots'!$A:$E, 2, FALSE)</f>
        <v>Zamorak stole</v>
      </c>
      <c r="E1094" s="207">
        <f>VLOOKUP($C1094, 'List of log slots'!$A:$E, 5, FALSE)</f>
        <v>5</v>
      </c>
      <c r="F1094" s="213" t="b">
        <f>VLOOKUP(C1094, 'List of log slots'!$A:$C, 3, FALSE)</f>
        <v>0</v>
      </c>
      <c r="G1094" s="209" t="b">
        <f t="shared" si="727"/>
        <v>0</v>
      </c>
      <c r="H1094" s="209" t="b">
        <f t="shared" si="7"/>
        <v>1</v>
      </c>
      <c r="I1094" s="208" t="b">
        <f t="shared" ref="I1094:J1094" si="838">FALSE</f>
        <v>0</v>
      </c>
      <c r="J1094" s="208" t="b">
        <f t="shared" si="838"/>
        <v>0</v>
      </c>
      <c r="K1094" s="214">
        <v>325.0</v>
      </c>
      <c r="L1094" s="212" t="str">
        <f t="shared" si="3"/>
        <v>n/a</v>
      </c>
      <c r="M1094" s="212" t="str">
        <f t="shared" si="4"/>
        <v>n/a</v>
      </c>
      <c r="N1094" s="207" t="str">
        <f t="shared" si="5"/>
        <v>n/a</v>
      </c>
      <c r="O1094" s="207">
        <f t="shared" si="6"/>
        <v>0.003076923077</v>
      </c>
    </row>
    <row r="1095" ht="15.75" customHeight="1">
      <c r="A1095" s="207">
        <v>71.0</v>
      </c>
      <c r="B1095" s="6" t="str">
        <f>VLOOKUP($A1095, 'Completion rates'!$A:$E, 2, FALSE)</f>
        <v>Opening hard caskets</v>
      </c>
      <c r="C1095" s="207">
        <v>10444.0</v>
      </c>
      <c r="D1095" s="6" t="str">
        <f>VLOOKUP($C1095, 'List of log slots'!$A:$E, 2, FALSE)</f>
        <v>Zamorak crozier</v>
      </c>
      <c r="E1095" s="207">
        <f>VLOOKUP($C1095, 'List of log slots'!$A:$E, 5, FALSE)</f>
        <v>5</v>
      </c>
      <c r="F1095" s="208" t="b">
        <f>VLOOKUP(C1095, 'List of log slots'!$A:$C, 3, FALSE)</f>
        <v>0</v>
      </c>
      <c r="G1095" s="209" t="b">
        <f t="shared" si="727"/>
        <v>0</v>
      </c>
      <c r="H1095" s="210" t="b">
        <f t="shared" si="7"/>
        <v>1</v>
      </c>
      <c r="I1095" s="208" t="b">
        <f t="shared" ref="I1095:J1095" si="839">FALSE</f>
        <v>0</v>
      </c>
      <c r="J1095" s="208" t="b">
        <f t="shared" si="839"/>
        <v>0</v>
      </c>
      <c r="K1095" s="214">
        <v>325.0</v>
      </c>
      <c r="L1095" s="212" t="str">
        <f t="shared" si="3"/>
        <v>n/a</v>
      </c>
      <c r="M1095" s="212" t="str">
        <f t="shared" si="4"/>
        <v>n/a</v>
      </c>
      <c r="N1095" s="207" t="str">
        <f t="shared" si="5"/>
        <v>n/a</v>
      </c>
      <c r="O1095" s="207">
        <f t="shared" si="6"/>
        <v>0.003076923077</v>
      </c>
    </row>
    <row r="1096" ht="15.75" customHeight="1">
      <c r="A1096" s="207">
        <v>71.0</v>
      </c>
      <c r="B1096" s="6" t="str">
        <f>VLOOKUP($A1096, 'Completion rates'!$A:$E, 2, FALSE)</f>
        <v>Opening hard caskets</v>
      </c>
      <c r="C1096" s="207">
        <v>19912.0</v>
      </c>
      <c r="D1096" s="6" t="str">
        <f>VLOOKUP($C1096, 'List of log slots'!$A:$E, 2, FALSE)</f>
        <v>Zombie head</v>
      </c>
      <c r="E1096" s="207">
        <f>VLOOKUP($C1096, 'List of log slots'!$A:$E, 5, FALSE)</f>
        <v>5</v>
      </c>
      <c r="F1096" s="209" t="b">
        <f>VLOOKUP(C1096, 'List of log slots'!$A:$C, 3, FALSE)</f>
        <v>0</v>
      </c>
      <c r="G1096" s="209" t="b">
        <f t="shared" si="727"/>
        <v>0</v>
      </c>
      <c r="H1096" s="210" t="b">
        <f t="shared" si="7"/>
        <v>1</v>
      </c>
      <c r="I1096" s="208" t="b">
        <f t="shared" ref="I1096:J1096" si="840">FALSE</f>
        <v>0</v>
      </c>
      <c r="J1096" s="208" t="b">
        <f t="shared" si="840"/>
        <v>0</v>
      </c>
      <c r="K1096" s="211">
        <v>325.0</v>
      </c>
      <c r="L1096" s="207" t="str">
        <f t="shared" si="3"/>
        <v>n/a</v>
      </c>
      <c r="M1096" s="212" t="str">
        <f t="shared" si="4"/>
        <v>n/a</v>
      </c>
      <c r="N1096" s="207" t="str">
        <f t="shared" si="5"/>
        <v>n/a</v>
      </c>
      <c r="O1096" s="207">
        <f t="shared" si="6"/>
        <v>0.003076923077</v>
      </c>
    </row>
    <row r="1097" ht="15.75" customHeight="1">
      <c r="A1097" s="207">
        <v>71.0</v>
      </c>
      <c r="B1097" s="6" t="str">
        <f>VLOOKUP($A1097, 'Completion rates'!$A:$E, 2, FALSE)</f>
        <v>Opening hard caskets</v>
      </c>
      <c r="C1097" s="207">
        <v>19915.0</v>
      </c>
      <c r="D1097" s="6" t="str">
        <f>VLOOKUP($C1097, 'List of log slots'!$A:$E, 2, FALSE)</f>
        <v>Cyclops head</v>
      </c>
      <c r="E1097" s="207">
        <f>VLOOKUP($C1097, 'List of log slots'!$A:$E, 5, FALSE)</f>
        <v>5</v>
      </c>
      <c r="F1097" s="209" t="b">
        <f>VLOOKUP(C1097, 'List of log slots'!$A:$C, 3, FALSE)</f>
        <v>0</v>
      </c>
      <c r="G1097" s="209" t="b">
        <f t="shared" si="727"/>
        <v>0</v>
      </c>
      <c r="H1097" s="210" t="b">
        <f t="shared" si="7"/>
        <v>1</v>
      </c>
      <c r="I1097" s="208" t="b">
        <f t="shared" ref="I1097:J1097" si="841">FALSE</f>
        <v>0</v>
      </c>
      <c r="J1097" s="208" t="b">
        <f t="shared" si="841"/>
        <v>0</v>
      </c>
      <c r="K1097" s="211">
        <v>325.0</v>
      </c>
      <c r="L1097" s="207" t="str">
        <f t="shared" si="3"/>
        <v>n/a</v>
      </c>
      <c r="M1097" s="212" t="str">
        <f t="shared" si="4"/>
        <v>n/a</v>
      </c>
      <c r="N1097" s="207" t="str">
        <f t="shared" si="5"/>
        <v>n/a</v>
      </c>
      <c r="O1097" s="207">
        <f t="shared" si="6"/>
        <v>0.003076923077</v>
      </c>
    </row>
    <row r="1098" ht="15.75" customHeight="1">
      <c r="A1098" s="207">
        <v>71.0</v>
      </c>
      <c r="B1098" s="6" t="str">
        <f>VLOOKUP($A1098, 'Completion rates'!$A:$E, 2, FALSE)</f>
        <v>Opening hard caskets</v>
      </c>
      <c r="C1098" s="207">
        <v>2651.0</v>
      </c>
      <c r="D1098" s="6" t="str">
        <f>VLOOKUP($C1098, 'List of log slots'!$A:$E, 2, FALSE)</f>
        <v>Pirate's hat</v>
      </c>
      <c r="E1098" s="207">
        <f>VLOOKUP($C1098, 'List of log slots'!$A:$E, 5, FALSE)</f>
        <v>5</v>
      </c>
      <c r="F1098" s="209" t="b">
        <f>VLOOKUP(C1098, 'List of log slots'!$A:$C, 3, FALSE)</f>
        <v>0</v>
      </c>
      <c r="G1098" s="209" t="b">
        <f t="shared" si="727"/>
        <v>0</v>
      </c>
      <c r="H1098" s="210" t="b">
        <f t="shared" si="7"/>
        <v>1</v>
      </c>
      <c r="I1098" s="208" t="b">
        <f t="shared" ref="I1098:J1098" si="842">FALSE</f>
        <v>0</v>
      </c>
      <c r="J1098" s="208" t="b">
        <f t="shared" si="842"/>
        <v>0</v>
      </c>
      <c r="K1098" s="211">
        <v>325.0</v>
      </c>
      <c r="L1098" s="207" t="str">
        <f t="shared" si="3"/>
        <v>n/a</v>
      </c>
      <c r="M1098" s="212" t="str">
        <f t="shared" si="4"/>
        <v>n/a</v>
      </c>
      <c r="N1098" s="207" t="str">
        <f t="shared" si="5"/>
        <v>n/a</v>
      </c>
      <c r="O1098" s="207">
        <f t="shared" si="6"/>
        <v>0.003076923077</v>
      </c>
    </row>
    <row r="1099" ht="15.75" customHeight="1">
      <c r="A1099" s="207">
        <v>71.0</v>
      </c>
      <c r="B1099" s="6" t="str">
        <f>VLOOKUP($A1099, 'Completion rates'!$A:$E, 2, FALSE)</f>
        <v>Opening hard caskets</v>
      </c>
      <c r="C1099" s="207">
        <v>12323.0</v>
      </c>
      <c r="D1099" s="6" t="str">
        <f>VLOOKUP($C1099, 'List of log slots'!$A:$E, 2, FALSE)</f>
        <v>Red cavalier</v>
      </c>
      <c r="E1099" s="207">
        <f>VLOOKUP($C1099, 'List of log slots'!$A:$E, 5, FALSE)</f>
        <v>5</v>
      </c>
      <c r="F1099" s="209" t="b">
        <f>VLOOKUP(C1099, 'List of log slots'!$A:$C, 3, FALSE)</f>
        <v>0</v>
      </c>
      <c r="G1099" s="209" t="b">
        <f t="shared" si="727"/>
        <v>0</v>
      </c>
      <c r="H1099" s="210" t="b">
        <f t="shared" si="7"/>
        <v>1</v>
      </c>
      <c r="I1099" s="208" t="b">
        <f t="shared" ref="I1099:J1099" si="843">FALSE</f>
        <v>0</v>
      </c>
      <c r="J1099" s="208" t="b">
        <f t="shared" si="843"/>
        <v>0</v>
      </c>
      <c r="K1099" s="211">
        <v>325.0</v>
      </c>
      <c r="L1099" s="207" t="str">
        <f t="shared" si="3"/>
        <v>n/a</v>
      </c>
      <c r="M1099" s="212" t="str">
        <f t="shared" si="4"/>
        <v>n/a</v>
      </c>
      <c r="N1099" s="207" t="str">
        <f t="shared" si="5"/>
        <v>n/a</v>
      </c>
      <c r="O1099" s="207">
        <f t="shared" si="6"/>
        <v>0.003076923077</v>
      </c>
    </row>
    <row r="1100" ht="15.75" customHeight="1">
      <c r="A1100" s="207">
        <v>71.0</v>
      </c>
      <c r="B1100" s="6" t="str">
        <f>VLOOKUP($A1100, 'Completion rates'!$A:$E, 2, FALSE)</f>
        <v>Opening hard caskets</v>
      </c>
      <c r="C1100" s="207">
        <v>12321.0</v>
      </c>
      <c r="D1100" s="6" t="str">
        <f>VLOOKUP($C1100, 'List of log slots'!$A:$E, 2, FALSE)</f>
        <v>White cavalier</v>
      </c>
      <c r="E1100" s="207">
        <f>VLOOKUP($C1100, 'List of log slots'!$A:$E, 5, FALSE)</f>
        <v>5</v>
      </c>
      <c r="F1100" s="209" t="b">
        <f>VLOOKUP(C1100, 'List of log slots'!$A:$C, 3, FALSE)</f>
        <v>0</v>
      </c>
      <c r="G1100" s="209" t="b">
        <f t="shared" si="727"/>
        <v>0</v>
      </c>
      <c r="H1100" s="210" t="b">
        <f t="shared" si="7"/>
        <v>1</v>
      </c>
      <c r="I1100" s="208" t="b">
        <f t="shared" ref="I1100:J1100" si="844">FALSE</f>
        <v>0</v>
      </c>
      <c r="J1100" s="208" t="b">
        <f t="shared" si="844"/>
        <v>0</v>
      </c>
      <c r="K1100" s="211">
        <v>325.0</v>
      </c>
      <c r="L1100" s="207" t="str">
        <f t="shared" si="3"/>
        <v>n/a</v>
      </c>
      <c r="M1100" s="212" t="str">
        <f t="shared" si="4"/>
        <v>n/a</v>
      </c>
      <c r="N1100" s="207" t="str">
        <f t="shared" si="5"/>
        <v>n/a</v>
      </c>
      <c r="O1100" s="207">
        <f t="shared" si="6"/>
        <v>0.003076923077</v>
      </c>
    </row>
    <row r="1101" ht="15.75" customHeight="1">
      <c r="A1101" s="207">
        <v>71.0</v>
      </c>
      <c r="B1101" s="6" t="str">
        <f>VLOOKUP($A1101, 'Completion rates'!$A:$E, 2, FALSE)</f>
        <v>Opening hard caskets</v>
      </c>
      <c r="C1101" s="207">
        <v>12325.0</v>
      </c>
      <c r="D1101" s="6" t="str">
        <f>VLOOKUP($C1101, 'List of log slots'!$A:$E, 2, FALSE)</f>
        <v>Navy cavalier</v>
      </c>
      <c r="E1101" s="207">
        <f>VLOOKUP($C1101, 'List of log slots'!$A:$E, 5, FALSE)</f>
        <v>5</v>
      </c>
      <c r="F1101" s="209" t="b">
        <f>VLOOKUP(C1101, 'List of log slots'!$A:$C, 3, FALSE)</f>
        <v>0</v>
      </c>
      <c r="G1101" s="209" t="b">
        <f t="shared" si="727"/>
        <v>0</v>
      </c>
      <c r="H1101" s="210" t="b">
        <f t="shared" si="7"/>
        <v>1</v>
      </c>
      <c r="I1101" s="208" t="b">
        <f t="shared" ref="I1101:J1101" si="845">FALSE</f>
        <v>0</v>
      </c>
      <c r="J1101" s="208" t="b">
        <f t="shared" si="845"/>
        <v>0</v>
      </c>
      <c r="K1101" s="211">
        <v>325.0</v>
      </c>
      <c r="L1101" s="207" t="str">
        <f t="shared" si="3"/>
        <v>n/a</v>
      </c>
      <c r="M1101" s="212" t="str">
        <f t="shared" si="4"/>
        <v>n/a</v>
      </c>
      <c r="N1101" s="207" t="str">
        <f t="shared" si="5"/>
        <v>n/a</v>
      </c>
      <c r="O1101" s="207">
        <f t="shared" si="6"/>
        <v>0.003076923077</v>
      </c>
    </row>
    <row r="1102" ht="15.75" customHeight="1">
      <c r="A1102" s="207">
        <v>71.0</v>
      </c>
      <c r="B1102" s="6" t="str">
        <f>VLOOKUP($A1102, 'Completion rates'!$A:$E, 2, FALSE)</f>
        <v>Opening hard caskets</v>
      </c>
      <c r="C1102" s="207">
        <v>2639.0</v>
      </c>
      <c r="D1102" s="6" t="str">
        <f>VLOOKUP($C1102, 'List of log slots'!$A:$E, 2, FALSE)</f>
        <v>Tan cavalier</v>
      </c>
      <c r="E1102" s="207">
        <f>VLOOKUP($C1102, 'List of log slots'!$A:$E, 5, FALSE)</f>
        <v>5</v>
      </c>
      <c r="F1102" s="209" t="b">
        <f>VLOOKUP(C1102, 'List of log slots'!$A:$C, 3, FALSE)</f>
        <v>0</v>
      </c>
      <c r="G1102" s="209" t="b">
        <f t="shared" si="727"/>
        <v>0</v>
      </c>
      <c r="H1102" s="210" t="b">
        <f t="shared" si="7"/>
        <v>1</v>
      </c>
      <c r="I1102" s="208" t="b">
        <f t="shared" ref="I1102:J1102" si="846">FALSE</f>
        <v>0</v>
      </c>
      <c r="J1102" s="208" t="b">
        <f t="shared" si="846"/>
        <v>0</v>
      </c>
      <c r="K1102" s="211">
        <v>325.0</v>
      </c>
      <c r="L1102" s="207" t="str">
        <f t="shared" si="3"/>
        <v>n/a</v>
      </c>
      <c r="M1102" s="212" t="str">
        <f t="shared" si="4"/>
        <v>n/a</v>
      </c>
      <c r="N1102" s="207" t="str">
        <f t="shared" si="5"/>
        <v>n/a</v>
      </c>
      <c r="O1102" s="207">
        <f t="shared" si="6"/>
        <v>0.003076923077</v>
      </c>
    </row>
    <row r="1103" ht="15.75" customHeight="1">
      <c r="A1103" s="207">
        <v>71.0</v>
      </c>
      <c r="B1103" s="6" t="str">
        <f>VLOOKUP($A1103, 'Completion rates'!$A:$E, 2, FALSE)</f>
        <v>Opening hard caskets</v>
      </c>
      <c r="C1103" s="207">
        <v>2641.0</v>
      </c>
      <c r="D1103" s="6" t="str">
        <f>VLOOKUP($C1103, 'List of log slots'!$A:$E, 2, FALSE)</f>
        <v>Dark cavalier</v>
      </c>
      <c r="E1103" s="207">
        <f>VLOOKUP($C1103, 'List of log slots'!$A:$E, 5, FALSE)</f>
        <v>5</v>
      </c>
      <c r="F1103" s="210" t="b">
        <f>VLOOKUP(C1103, 'List of log slots'!$A:$C, 3, FALSE)</f>
        <v>0</v>
      </c>
      <c r="G1103" s="209" t="b">
        <f t="shared" si="727"/>
        <v>0</v>
      </c>
      <c r="H1103" s="209" t="b">
        <f t="shared" si="7"/>
        <v>1</v>
      </c>
      <c r="I1103" s="208" t="b">
        <f t="shared" ref="I1103:J1103" si="847">FALSE</f>
        <v>0</v>
      </c>
      <c r="J1103" s="208" t="b">
        <f t="shared" si="847"/>
        <v>0</v>
      </c>
      <c r="K1103" s="211">
        <v>325.0</v>
      </c>
      <c r="L1103" s="207" t="str">
        <f t="shared" si="3"/>
        <v>n/a</v>
      </c>
      <c r="M1103" s="212" t="str">
        <f t="shared" si="4"/>
        <v>n/a</v>
      </c>
      <c r="N1103" s="207" t="str">
        <f t="shared" si="5"/>
        <v>n/a</v>
      </c>
      <c r="O1103" s="207">
        <f t="shared" si="6"/>
        <v>0.003076923077</v>
      </c>
    </row>
    <row r="1104" ht="15.75" customHeight="1">
      <c r="A1104" s="207">
        <v>71.0</v>
      </c>
      <c r="B1104" s="6" t="str">
        <f>VLOOKUP($A1104, 'Completion rates'!$A:$E, 2, FALSE)</f>
        <v>Opening hard caskets</v>
      </c>
      <c r="C1104" s="207">
        <v>2643.0</v>
      </c>
      <c r="D1104" s="6" t="str">
        <f>VLOOKUP($C1104, 'List of log slots'!$A:$E, 2, FALSE)</f>
        <v>Black cavalier</v>
      </c>
      <c r="E1104" s="207">
        <f>VLOOKUP($C1104, 'List of log slots'!$A:$E, 5, FALSE)</f>
        <v>5</v>
      </c>
      <c r="F1104" s="209" t="b">
        <f>VLOOKUP(C1104, 'List of log slots'!$A:$C, 3, FALSE)</f>
        <v>0</v>
      </c>
      <c r="G1104" s="209" t="b">
        <f t="shared" si="727"/>
        <v>0</v>
      </c>
      <c r="H1104" s="210" t="b">
        <f t="shared" si="7"/>
        <v>1</v>
      </c>
      <c r="I1104" s="208" t="b">
        <f t="shared" ref="I1104:J1104" si="848">FALSE</f>
        <v>0</v>
      </c>
      <c r="J1104" s="208" t="b">
        <f t="shared" si="848"/>
        <v>0</v>
      </c>
      <c r="K1104" s="211">
        <v>325.0</v>
      </c>
      <c r="L1104" s="207" t="str">
        <f t="shared" si="3"/>
        <v>n/a</v>
      </c>
      <c r="M1104" s="212" t="str">
        <f t="shared" si="4"/>
        <v>n/a</v>
      </c>
      <c r="N1104" s="207" t="str">
        <f t="shared" si="5"/>
        <v>n/a</v>
      </c>
      <c r="O1104" s="207">
        <f t="shared" si="6"/>
        <v>0.003076923077</v>
      </c>
    </row>
    <row r="1105" ht="15.75" customHeight="1">
      <c r="A1105" s="207">
        <v>71.0</v>
      </c>
      <c r="B1105" s="6" t="str">
        <f>VLOOKUP($A1105, 'Completion rates'!$A:$E, 2, FALSE)</f>
        <v>Opening hard caskets</v>
      </c>
      <c r="C1105" s="207">
        <v>12516.0</v>
      </c>
      <c r="D1105" s="6" t="str">
        <f>VLOOKUP($C1105, 'List of log slots'!$A:$E, 2, FALSE)</f>
        <v>Pith helmet</v>
      </c>
      <c r="E1105" s="207">
        <f>VLOOKUP($C1105, 'List of log slots'!$A:$E, 5, FALSE)</f>
        <v>5</v>
      </c>
      <c r="F1105" s="210" t="b">
        <f>VLOOKUP(C1105, 'List of log slots'!$A:$C, 3, FALSE)</f>
        <v>0</v>
      </c>
      <c r="G1105" s="209" t="b">
        <f t="shared" si="727"/>
        <v>0</v>
      </c>
      <c r="H1105" s="209" t="b">
        <f t="shared" si="7"/>
        <v>1</v>
      </c>
      <c r="I1105" s="208" t="b">
        <f t="shared" ref="I1105:J1105" si="849">FALSE</f>
        <v>0</v>
      </c>
      <c r="J1105" s="208" t="b">
        <f t="shared" si="849"/>
        <v>0</v>
      </c>
      <c r="K1105" s="211">
        <v>325.0</v>
      </c>
      <c r="L1105" s="207" t="str">
        <f t="shared" si="3"/>
        <v>n/a</v>
      </c>
      <c r="M1105" s="212" t="str">
        <f t="shared" si="4"/>
        <v>n/a</v>
      </c>
      <c r="N1105" s="207" t="str">
        <f t="shared" si="5"/>
        <v>n/a</v>
      </c>
      <c r="O1105" s="207">
        <f t="shared" si="6"/>
        <v>0.003076923077</v>
      </c>
    </row>
    <row r="1106" ht="15.75" customHeight="1">
      <c r="A1106" s="207">
        <v>71.0</v>
      </c>
      <c r="B1106" s="6" t="str">
        <f>VLOOKUP($A1106, 'Completion rates'!$A:$E, 2, FALSE)</f>
        <v>Opening hard caskets</v>
      </c>
      <c r="C1106" s="207">
        <v>12514.0</v>
      </c>
      <c r="D1106" s="6" t="str">
        <f>VLOOKUP($C1106, 'List of log slots'!$A:$E, 2, FALSE)</f>
        <v>Explorer backpack</v>
      </c>
      <c r="E1106" s="207">
        <f>VLOOKUP($C1106, 'List of log slots'!$A:$E, 5, FALSE)</f>
        <v>5</v>
      </c>
      <c r="F1106" s="209" t="b">
        <f>VLOOKUP(C1106, 'List of log slots'!$A:$C, 3, FALSE)</f>
        <v>0</v>
      </c>
      <c r="G1106" s="209" t="b">
        <f t="shared" si="727"/>
        <v>0</v>
      </c>
      <c r="H1106" s="210" t="b">
        <f t="shared" si="7"/>
        <v>1</v>
      </c>
      <c r="I1106" s="208" t="b">
        <f t="shared" ref="I1106:J1106" si="850">FALSE</f>
        <v>0</v>
      </c>
      <c r="J1106" s="208" t="b">
        <f t="shared" si="850"/>
        <v>0</v>
      </c>
      <c r="K1106" s="211">
        <v>325.0</v>
      </c>
      <c r="L1106" s="207" t="str">
        <f t="shared" si="3"/>
        <v>n/a</v>
      </c>
      <c r="M1106" s="212" t="str">
        <f t="shared" si="4"/>
        <v>n/a</v>
      </c>
      <c r="N1106" s="207" t="str">
        <f t="shared" si="5"/>
        <v>n/a</v>
      </c>
      <c r="O1106" s="207">
        <f t="shared" si="6"/>
        <v>0.003076923077</v>
      </c>
    </row>
    <row r="1107" ht="15.75" customHeight="1">
      <c r="A1107" s="207">
        <v>71.0</v>
      </c>
      <c r="B1107" s="6" t="str">
        <f>VLOOKUP($A1107, 'Completion rates'!$A:$E, 2, FALSE)</f>
        <v>Opening hard caskets</v>
      </c>
      <c r="C1107" s="207">
        <v>23224.0</v>
      </c>
      <c r="D1107" s="6" t="str">
        <f>VLOOKUP($C1107, 'List of log slots'!$A:$E, 2, FALSE)</f>
        <v>Thieving bag</v>
      </c>
      <c r="E1107" s="207">
        <f>VLOOKUP($C1107, 'List of log slots'!$A:$E, 5, FALSE)</f>
        <v>5</v>
      </c>
      <c r="F1107" s="209" t="b">
        <f>VLOOKUP(C1107, 'List of log slots'!$A:$C, 3, FALSE)</f>
        <v>0</v>
      </c>
      <c r="G1107" s="209" t="b">
        <f t="shared" si="727"/>
        <v>0</v>
      </c>
      <c r="H1107" s="210" t="b">
        <f t="shared" si="7"/>
        <v>1</v>
      </c>
      <c r="I1107" s="208" t="b">
        <f t="shared" ref="I1107:J1107" si="851">FALSE</f>
        <v>0</v>
      </c>
      <c r="J1107" s="208" t="b">
        <f t="shared" si="851"/>
        <v>0</v>
      </c>
      <c r="K1107" s="211">
        <v>325.0</v>
      </c>
      <c r="L1107" s="207" t="str">
        <f t="shared" si="3"/>
        <v>n/a</v>
      </c>
      <c r="M1107" s="212" t="str">
        <f t="shared" si="4"/>
        <v>n/a</v>
      </c>
      <c r="N1107" s="207" t="str">
        <f t="shared" si="5"/>
        <v>n/a</v>
      </c>
      <c r="O1107" s="207">
        <f t="shared" si="6"/>
        <v>0.003076923077</v>
      </c>
    </row>
    <row r="1108" ht="15.75" customHeight="1">
      <c r="A1108" s="207">
        <v>71.0</v>
      </c>
      <c r="B1108" s="6" t="str">
        <f>VLOOKUP($A1108, 'Completion rates'!$A:$E, 2, FALSE)</f>
        <v>Opening hard caskets</v>
      </c>
      <c r="C1108" s="207">
        <v>12518.0</v>
      </c>
      <c r="D1108" s="6" t="str">
        <f>VLOOKUP($C1108, 'List of log slots'!$A:$E, 2, FALSE)</f>
        <v>Green dragon mask</v>
      </c>
      <c r="E1108" s="207">
        <f>VLOOKUP($C1108, 'List of log slots'!$A:$E, 5, FALSE)</f>
        <v>5</v>
      </c>
      <c r="F1108" s="209" t="b">
        <f>VLOOKUP(C1108, 'List of log slots'!$A:$C, 3, FALSE)</f>
        <v>0</v>
      </c>
      <c r="G1108" s="209" t="b">
        <f t="shared" si="727"/>
        <v>0</v>
      </c>
      <c r="H1108" s="210" t="b">
        <f t="shared" si="7"/>
        <v>1</v>
      </c>
      <c r="I1108" s="208" t="b">
        <f t="shared" ref="I1108:J1108" si="852">FALSE</f>
        <v>0</v>
      </c>
      <c r="J1108" s="208" t="b">
        <f t="shared" si="852"/>
        <v>0</v>
      </c>
      <c r="K1108" s="211">
        <v>325.0</v>
      </c>
      <c r="L1108" s="207" t="str">
        <f t="shared" si="3"/>
        <v>n/a</v>
      </c>
      <c r="M1108" s="212" t="str">
        <f t="shared" si="4"/>
        <v>n/a</v>
      </c>
      <c r="N1108" s="207" t="str">
        <f t="shared" si="5"/>
        <v>n/a</v>
      </c>
      <c r="O1108" s="207">
        <f t="shared" si="6"/>
        <v>0.003076923077</v>
      </c>
    </row>
    <row r="1109" ht="15.75" customHeight="1">
      <c r="A1109" s="207">
        <v>71.0</v>
      </c>
      <c r="B1109" s="6" t="str">
        <f>VLOOKUP($A1109, 'Completion rates'!$A:$E, 2, FALSE)</f>
        <v>Opening hard caskets</v>
      </c>
      <c r="C1109" s="207">
        <v>12520.0</v>
      </c>
      <c r="D1109" s="6" t="str">
        <f>VLOOKUP($C1109, 'List of log slots'!$A:$E, 2, FALSE)</f>
        <v>Blue dragon mask</v>
      </c>
      <c r="E1109" s="207">
        <f>VLOOKUP($C1109, 'List of log slots'!$A:$E, 5, FALSE)</f>
        <v>5</v>
      </c>
      <c r="F1109" s="210" t="b">
        <f>VLOOKUP(C1109, 'List of log slots'!$A:$C, 3, FALSE)</f>
        <v>0</v>
      </c>
      <c r="G1109" s="209" t="b">
        <f t="shared" si="727"/>
        <v>0</v>
      </c>
      <c r="H1109" s="209" t="b">
        <f t="shared" si="7"/>
        <v>1</v>
      </c>
      <c r="I1109" s="208" t="b">
        <f t="shared" ref="I1109:J1109" si="853">FALSE</f>
        <v>0</v>
      </c>
      <c r="J1109" s="208" t="b">
        <f t="shared" si="853"/>
        <v>0</v>
      </c>
      <c r="K1109" s="211">
        <v>325.0</v>
      </c>
      <c r="L1109" s="207" t="str">
        <f t="shared" si="3"/>
        <v>n/a</v>
      </c>
      <c r="M1109" s="212" t="str">
        <f t="shared" si="4"/>
        <v>n/a</v>
      </c>
      <c r="N1109" s="207" t="str">
        <f t="shared" si="5"/>
        <v>n/a</v>
      </c>
      <c r="O1109" s="207">
        <f t="shared" si="6"/>
        <v>0.003076923077</v>
      </c>
    </row>
    <row r="1110" ht="15.75" customHeight="1">
      <c r="A1110" s="207">
        <v>71.0</v>
      </c>
      <c r="B1110" s="6" t="str">
        <f>VLOOKUP($A1110, 'Completion rates'!$A:$E, 2, FALSE)</f>
        <v>Opening hard caskets</v>
      </c>
      <c r="C1110" s="207">
        <v>12522.0</v>
      </c>
      <c r="D1110" s="6" t="str">
        <f>VLOOKUP($C1110, 'List of log slots'!$A:$E, 2, FALSE)</f>
        <v>Red dragon mask</v>
      </c>
      <c r="E1110" s="207">
        <f>VLOOKUP($C1110, 'List of log slots'!$A:$E, 5, FALSE)</f>
        <v>5</v>
      </c>
      <c r="F1110" s="210" t="b">
        <f>VLOOKUP(C1110, 'List of log slots'!$A:$C, 3, FALSE)</f>
        <v>0</v>
      </c>
      <c r="G1110" s="209" t="b">
        <f t="shared" si="727"/>
        <v>0</v>
      </c>
      <c r="H1110" s="209" t="b">
        <f t="shared" si="7"/>
        <v>1</v>
      </c>
      <c r="I1110" s="208" t="b">
        <f t="shared" ref="I1110:J1110" si="854">FALSE</f>
        <v>0</v>
      </c>
      <c r="J1110" s="208" t="b">
        <f t="shared" si="854"/>
        <v>0</v>
      </c>
      <c r="K1110" s="211">
        <v>325.0</v>
      </c>
      <c r="L1110" s="207" t="str">
        <f t="shared" si="3"/>
        <v>n/a</v>
      </c>
      <c r="M1110" s="212" t="str">
        <f t="shared" si="4"/>
        <v>n/a</v>
      </c>
      <c r="N1110" s="207" t="str">
        <f t="shared" si="5"/>
        <v>n/a</v>
      </c>
      <c r="O1110" s="207">
        <f t="shared" si="6"/>
        <v>0.003076923077</v>
      </c>
    </row>
    <row r="1111" ht="15.75" customHeight="1">
      <c r="A1111" s="207">
        <v>71.0</v>
      </c>
      <c r="B1111" s="6" t="str">
        <f>VLOOKUP($A1111, 'Completion rates'!$A:$E, 2, FALSE)</f>
        <v>Opening hard caskets</v>
      </c>
      <c r="C1111" s="207">
        <v>12524.0</v>
      </c>
      <c r="D1111" s="6" t="str">
        <f>VLOOKUP($C1111, 'List of log slots'!$A:$E, 2, FALSE)</f>
        <v>Black dragon mask</v>
      </c>
      <c r="E1111" s="207">
        <f>VLOOKUP($C1111, 'List of log slots'!$A:$E, 5, FALSE)</f>
        <v>5</v>
      </c>
      <c r="F1111" s="210" t="b">
        <f>VLOOKUP(C1111, 'List of log slots'!$A:$C, 3, FALSE)</f>
        <v>0</v>
      </c>
      <c r="G1111" s="209" t="b">
        <f t="shared" si="727"/>
        <v>0</v>
      </c>
      <c r="H1111" s="209" t="b">
        <f t="shared" si="7"/>
        <v>1</v>
      </c>
      <c r="I1111" s="208" t="b">
        <f t="shared" ref="I1111:J1111" si="855">FALSE</f>
        <v>0</v>
      </c>
      <c r="J1111" s="208" t="b">
        <f t="shared" si="855"/>
        <v>0</v>
      </c>
      <c r="K1111" s="211">
        <v>325.0</v>
      </c>
      <c r="L1111" s="207" t="str">
        <f t="shared" si="3"/>
        <v>n/a</v>
      </c>
      <c r="M1111" s="212" t="str">
        <f t="shared" si="4"/>
        <v>n/a</v>
      </c>
      <c r="N1111" s="207" t="str">
        <f t="shared" si="5"/>
        <v>n/a</v>
      </c>
      <c r="O1111" s="207">
        <f t="shared" si="6"/>
        <v>0.003076923077</v>
      </c>
    </row>
    <row r="1112" ht="15.75" customHeight="1">
      <c r="A1112" s="207">
        <v>71.0</v>
      </c>
      <c r="B1112" s="6" t="str">
        <f>VLOOKUP($A1112, 'Completion rates'!$A:$E, 2, FALSE)</f>
        <v>Opening hard caskets</v>
      </c>
      <c r="C1112" s="207">
        <v>19918.0</v>
      </c>
      <c r="D1112" s="6" t="str">
        <f>VLOOKUP($C1112, 'List of log slots'!$A:$E, 2, FALSE)</f>
        <v>Nunchaku</v>
      </c>
      <c r="E1112" s="207">
        <f>VLOOKUP($C1112, 'List of log slots'!$A:$E, 5, FALSE)</f>
        <v>5</v>
      </c>
      <c r="F1112" s="209" t="b">
        <f>VLOOKUP(C1112, 'List of log slots'!$A:$C, 3, FALSE)</f>
        <v>0</v>
      </c>
      <c r="G1112" s="209" t="b">
        <f t="shared" si="727"/>
        <v>0</v>
      </c>
      <c r="H1112" s="210" t="b">
        <f t="shared" si="7"/>
        <v>1</v>
      </c>
      <c r="I1112" s="208" t="b">
        <f t="shared" ref="I1112:J1112" si="856">FALSE</f>
        <v>0</v>
      </c>
      <c r="J1112" s="208" t="b">
        <f t="shared" si="856"/>
        <v>0</v>
      </c>
      <c r="K1112" s="211">
        <v>325.0</v>
      </c>
      <c r="L1112" s="207" t="str">
        <f t="shared" si="3"/>
        <v>n/a</v>
      </c>
      <c r="M1112" s="212" t="str">
        <f t="shared" si="4"/>
        <v>n/a</v>
      </c>
      <c r="N1112" s="207" t="str">
        <f t="shared" si="5"/>
        <v>n/a</v>
      </c>
      <c r="O1112" s="207">
        <f t="shared" si="6"/>
        <v>0.003076923077</v>
      </c>
    </row>
    <row r="1113" ht="15.75" customHeight="1">
      <c r="A1113" s="207">
        <v>71.0</v>
      </c>
      <c r="B1113" s="6" t="str">
        <f>VLOOKUP($A1113, 'Completion rates'!$A:$E, 2, FALSE)</f>
        <v>Opening hard caskets</v>
      </c>
      <c r="C1113" s="207">
        <v>23206.0</v>
      </c>
      <c r="D1113" s="6" t="str">
        <f>VLOOKUP($C1113, 'List of log slots'!$A:$E, 2, FALSE)</f>
        <v>Dual sai</v>
      </c>
      <c r="E1113" s="207">
        <f>VLOOKUP($C1113, 'List of log slots'!$A:$E, 5, FALSE)</f>
        <v>5</v>
      </c>
      <c r="F1113" s="209" t="b">
        <f>VLOOKUP(C1113, 'List of log slots'!$A:$C, 3, FALSE)</f>
        <v>0</v>
      </c>
      <c r="G1113" s="209" t="b">
        <f t="shared" si="727"/>
        <v>0</v>
      </c>
      <c r="H1113" s="210" t="b">
        <f t="shared" si="7"/>
        <v>1</v>
      </c>
      <c r="I1113" s="208" t="b">
        <f t="shared" ref="I1113:J1113" si="857">FALSE</f>
        <v>0</v>
      </c>
      <c r="J1113" s="208" t="b">
        <f t="shared" si="857"/>
        <v>0</v>
      </c>
      <c r="K1113" s="211">
        <v>325.0</v>
      </c>
      <c r="L1113" s="207" t="str">
        <f t="shared" si="3"/>
        <v>n/a</v>
      </c>
      <c r="M1113" s="212" t="str">
        <f t="shared" si="4"/>
        <v>n/a</v>
      </c>
      <c r="N1113" s="207" t="str">
        <f t="shared" si="5"/>
        <v>n/a</v>
      </c>
      <c r="O1113" s="207">
        <f t="shared" si="6"/>
        <v>0.003076923077</v>
      </c>
    </row>
    <row r="1114" ht="15.75" customHeight="1">
      <c r="A1114" s="207">
        <v>71.0</v>
      </c>
      <c r="B1114" s="6" t="str">
        <f>VLOOKUP($A1114, 'Completion rates'!$A:$E, 2, FALSE)</f>
        <v>Opening hard caskets</v>
      </c>
      <c r="C1114" s="207">
        <v>12379.0</v>
      </c>
      <c r="D1114" s="6" t="str">
        <f>VLOOKUP($C1114, 'List of log slots'!$A:$E, 2, FALSE)</f>
        <v>Rune cane</v>
      </c>
      <c r="E1114" s="207">
        <f>VLOOKUP($C1114, 'List of log slots'!$A:$E, 5, FALSE)</f>
        <v>5</v>
      </c>
      <c r="F1114" s="209" t="b">
        <f>VLOOKUP(C1114, 'List of log slots'!$A:$C, 3, FALSE)</f>
        <v>0</v>
      </c>
      <c r="G1114" s="209" t="b">
        <f t="shared" si="727"/>
        <v>0</v>
      </c>
      <c r="H1114" s="210" t="b">
        <f t="shared" si="7"/>
        <v>1</v>
      </c>
      <c r="I1114" s="208" t="b">
        <f t="shared" ref="I1114:J1114" si="858">FALSE</f>
        <v>0</v>
      </c>
      <c r="J1114" s="208" t="b">
        <f t="shared" si="858"/>
        <v>0</v>
      </c>
      <c r="K1114" s="211">
        <v>325.0</v>
      </c>
      <c r="L1114" s="207" t="str">
        <f t="shared" si="3"/>
        <v>n/a</v>
      </c>
      <c r="M1114" s="212" t="str">
        <f t="shared" si="4"/>
        <v>n/a</v>
      </c>
      <c r="N1114" s="207" t="str">
        <f t="shared" si="5"/>
        <v>n/a</v>
      </c>
      <c r="O1114" s="207">
        <f t="shared" si="6"/>
        <v>0.003076923077</v>
      </c>
    </row>
    <row r="1115" ht="15.75" customHeight="1">
      <c r="A1115" s="207">
        <v>71.0</v>
      </c>
      <c r="B1115" s="6" t="str">
        <f>VLOOKUP($A1115, 'Completion rates'!$A:$E, 2, FALSE)</f>
        <v>Opening hard caskets</v>
      </c>
      <c r="C1115" s="207">
        <v>10354.0</v>
      </c>
      <c r="D1115" s="6" t="str">
        <f>VLOOKUP($C1115, 'List of log slots'!$A:$E, 2, FALSE)</f>
        <v>Amulet of glory (t4)</v>
      </c>
      <c r="E1115" s="207">
        <f>VLOOKUP($C1115, 'List of log slots'!$A:$E, 5, FALSE)</f>
        <v>5</v>
      </c>
      <c r="F1115" s="210" t="b">
        <f>VLOOKUP(C1115, 'List of log slots'!$A:$C, 3, FALSE)</f>
        <v>0</v>
      </c>
      <c r="G1115" s="209" t="b">
        <f t="shared" si="727"/>
        <v>0</v>
      </c>
      <c r="H1115" s="209" t="b">
        <f t="shared" si="7"/>
        <v>1</v>
      </c>
      <c r="I1115" s="208" t="b">
        <f t="shared" ref="I1115:J1115" si="859">FALSE</f>
        <v>0</v>
      </c>
      <c r="J1115" s="208" t="b">
        <f t="shared" si="859"/>
        <v>0</v>
      </c>
      <c r="K1115" s="211">
        <v>325.0</v>
      </c>
      <c r="L1115" s="207" t="str">
        <f t="shared" si="3"/>
        <v>n/a</v>
      </c>
      <c r="M1115" s="212" t="str">
        <f t="shared" si="4"/>
        <v>n/a</v>
      </c>
      <c r="N1115" s="207" t="str">
        <f t="shared" si="5"/>
        <v>n/a</v>
      </c>
      <c r="O1115" s="207">
        <f t="shared" si="6"/>
        <v>0.003076923077</v>
      </c>
    </row>
    <row r="1116" ht="15.75" customHeight="1">
      <c r="A1116" s="207">
        <v>71.0</v>
      </c>
      <c r="B1116" s="6" t="str">
        <f>VLOOKUP($A1116, 'Completion rates'!$A:$E, 2, FALSE)</f>
        <v>Opening hard caskets</v>
      </c>
      <c r="C1116" s="207">
        <v>10284.0</v>
      </c>
      <c r="D1116" s="6" t="str">
        <f>VLOOKUP($C1116, 'List of log slots'!$A:$E, 2, FALSE)</f>
        <v>Magic comp bow</v>
      </c>
      <c r="E1116" s="207">
        <f>VLOOKUP($C1116, 'List of log slots'!$A:$E, 5, FALSE)</f>
        <v>5</v>
      </c>
      <c r="F1116" s="210" t="b">
        <f>VLOOKUP(C1116, 'List of log slots'!$A:$C, 3, FALSE)</f>
        <v>0</v>
      </c>
      <c r="G1116" s="209" t="b">
        <f t="shared" si="727"/>
        <v>0</v>
      </c>
      <c r="H1116" s="209" t="b">
        <f t="shared" si="7"/>
        <v>1</v>
      </c>
      <c r="I1116" s="208" t="b">
        <f t="shared" ref="I1116:J1116" si="860">FALSE</f>
        <v>0</v>
      </c>
      <c r="J1116" s="208" t="b">
        <f t="shared" si="860"/>
        <v>0</v>
      </c>
      <c r="K1116" s="211">
        <v>54.0</v>
      </c>
      <c r="L1116" s="207" t="str">
        <f t="shared" si="3"/>
        <v>n/a</v>
      </c>
      <c r="M1116" s="212" t="str">
        <f t="shared" si="4"/>
        <v>n/a</v>
      </c>
      <c r="N1116" s="207" t="str">
        <f t="shared" si="5"/>
        <v>n/a</v>
      </c>
      <c r="O1116" s="207">
        <f t="shared" si="6"/>
        <v>0.01851851852</v>
      </c>
    </row>
    <row r="1117" ht="15.75" customHeight="1">
      <c r="A1117" s="207">
        <v>71.0</v>
      </c>
      <c r="B1117" s="6" t="str">
        <f>VLOOKUP($A1117, 'Completion rates'!$A:$E, 2, FALSE)</f>
        <v>Opening hard caskets</v>
      </c>
      <c r="C1117" s="207">
        <v>10334.0</v>
      </c>
      <c r="D1117" s="6" t="str">
        <f>VLOOKUP($C1117, 'List of log slots'!$A:$E, 2, FALSE)</f>
        <v>3rd age range coif</v>
      </c>
      <c r="E1117" s="207">
        <f>VLOOKUP($C1117, 'List of log slots'!$A:$E, 5, FALSE)</f>
        <v>10</v>
      </c>
      <c r="F1117" s="209" t="b">
        <f>VLOOKUP(C1117, 'List of log slots'!$A:$C, 3, FALSE)</f>
        <v>0</v>
      </c>
      <c r="G1117" s="209" t="b">
        <f t="shared" si="727"/>
        <v>0</v>
      </c>
      <c r="H1117" s="210" t="b">
        <f t="shared" si="7"/>
        <v>1</v>
      </c>
      <c r="I1117" s="208" t="b">
        <f t="shared" ref="I1117:J1117" si="861">FALSE</f>
        <v>0</v>
      </c>
      <c r="J1117" s="208" t="b">
        <f t="shared" si="861"/>
        <v>0</v>
      </c>
      <c r="K1117" s="211">
        <v>42250.0</v>
      </c>
      <c r="L1117" s="207" t="str">
        <f t="shared" si="3"/>
        <v>n/a</v>
      </c>
      <c r="M1117" s="212" t="str">
        <f t="shared" si="4"/>
        <v>n/a</v>
      </c>
      <c r="N1117" s="207" t="str">
        <f t="shared" si="5"/>
        <v>n/a</v>
      </c>
      <c r="O1117" s="207">
        <f t="shared" si="6"/>
        <v>0.00002366863905</v>
      </c>
    </row>
    <row r="1118" ht="15.75" customHeight="1">
      <c r="A1118" s="207">
        <v>71.0</v>
      </c>
      <c r="B1118" s="6" t="str">
        <f>VLOOKUP($A1118, 'Completion rates'!$A:$E, 2, FALSE)</f>
        <v>Opening hard caskets</v>
      </c>
      <c r="C1118" s="207">
        <v>10330.0</v>
      </c>
      <c r="D1118" s="6" t="str">
        <f>VLOOKUP($C1118, 'List of log slots'!$A:$E, 2, FALSE)</f>
        <v>3rd age range top</v>
      </c>
      <c r="E1118" s="207">
        <f>VLOOKUP($C1118, 'List of log slots'!$A:$E, 5, FALSE)</f>
        <v>10</v>
      </c>
      <c r="F1118" s="209" t="b">
        <f>VLOOKUP(C1118, 'List of log slots'!$A:$C, 3, FALSE)</f>
        <v>0</v>
      </c>
      <c r="G1118" s="209" t="b">
        <f t="shared" si="727"/>
        <v>0</v>
      </c>
      <c r="H1118" s="210" t="b">
        <f t="shared" si="7"/>
        <v>1</v>
      </c>
      <c r="I1118" s="208" t="b">
        <f t="shared" ref="I1118:J1118" si="862">FALSE</f>
        <v>0</v>
      </c>
      <c r="J1118" s="208" t="b">
        <f t="shared" si="862"/>
        <v>0</v>
      </c>
      <c r="K1118" s="211">
        <v>42250.0</v>
      </c>
      <c r="L1118" s="207" t="str">
        <f t="shared" si="3"/>
        <v>n/a</v>
      </c>
      <c r="M1118" s="212" t="str">
        <f t="shared" si="4"/>
        <v>n/a</v>
      </c>
      <c r="N1118" s="207" t="str">
        <f t="shared" si="5"/>
        <v>n/a</v>
      </c>
      <c r="O1118" s="207">
        <f t="shared" si="6"/>
        <v>0.00002366863905</v>
      </c>
    </row>
    <row r="1119" ht="15.75" customHeight="1">
      <c r="A1119" s="207">
        <v>71.0</v>
      </c>
      <c r="B1119" s="6" t="str">
        <f>VLOOKUP($A1119, 'Completion rates'!$A:$E, 2, FALSE)</f>
        <v>Opening hard caskets</v>
      </c>
      <c r="C1119" s="207">
        <v>10332.0</v>
      </c>
      <c r="D1119" s="6" t="str">
        <f>VLOOKUP($C1119, 'List of log slots'!$A:$E, 2, FALSE)</f>
        <v>3rd age range legs</v>
      </c>
      <c r="E1119" s="207">
        <f>VLOOKUP($C1119, 'List of log slots'!$A:$E, 5, FALSE)</f>
        <v>10</v>
      </c>
      <c r="F1119" s="209" t="b">
        <f>VLOOKUP(C1119, 'List of log slots'!$A:$C, 3, FALSE)</f>
        <v>0</v>
      </c>
      <c r="G1119" s="209" t="b">
        <f t="shared" si="727"/>
        <v>0</v>
      </c>
      <c r="H1119" s="210" t="b">
        <f t="shared" si="7"/>
        <v>1</v>
      </c>
      <c r="I1119" s="208" t="b">
        <f t="shared" ref="I1119:J1119" si="863">FALSE</f>
        <v>0</v>
      </c>
      <c r="J1119" s="208" t="b">
        <f t="shared" si="863"/>
        <v>0</v>
      </c>
      <c r="K1119" s="211">
        <v>42250.0</v>
      </c>
      <c r="L1119" s="207" t="str">
        <f t="shared" si="3"/>
        <v>n/a</v>
      </c>
      <c r="M1119" s="212" t="str">
        <f t="shared" si="4"/>
        <v>n/a</v>
      </c>
      <c r="N1119" s="207" t="str">
        <f t="shared" si="5"/>
        <v>n/a</v>
      </c>
      <c r="O1119" s="207">
        <f t="shared" si="6"/>
        <v>0.00002366863905</v>
      </c>
    </row>
    <row r="1120" ht="15.75" customHeight="1">
      <c r="A1120" s="207">
        <v>71.0</v>
      </c>
      <c r="B1120" s="6" t="str">
        <f>VLOOKUP($A1120, 'Completion rates'!$A:$E, 2, FALSE)</f>
        <v>Opening hard caskets</v>
      </c>
      <c r="C1120" s="207">
        <v>10336.0</v>
      </c>
      <c r="D1120" s="6" t="str">
        <f>VLOOKUP($C1120, 'List of log slots'!$A:$E, 2, FALSE)</f>
        <v>3rd age vambraces</v>
      </c>
      <c r="E1120" s="207">
        <f>VLOOKUP($C1120, 'List of log slots'!$A:$E, 5, FALSE)</f>
        <v>10</v>
      </c>
      <c r="F1120" s="209" t="b">
        <f>VLOOKUP(C1120, 'List of log slots'!$A:$C, 3, FALSE)</f>
        <v>0</v>
      </c>
      <c r="G1120" s="209" t="b">
        <f t="shared" si="727"/>
        <v>0</v>
      </c>
      <c r="H1120" s="210" t="b">
        <f t="shared" si="7"/>
        <v>1</v>
      </c>
      <c r="I1120" s="208" t="b">
        <f t="shared" ref="I1120:J1120" si="864">FALSE</f>
        <v>0</v>
      </c>
      <c r="J1120" s="208" t="b">
        <f t="shared" si="864"/>
        <v>0</v>
      </c>
      <c r="K1120" s="211">
        <v>42250.0</v>
      </c>
      <c r="L1120" s="207" t="str">
        <f t="shared" si="3"/>
        <v>n/a</v>
      </c>
      <c r="M1120" s="212" t="str">
        <f t="shared" si="4"/>
        <v>n/a</v>
      </c>
      <c r="N1120" s="207" t="str">
        <f t="shared" si="5"/>
        <v>n/a</v>
      </c>
      <c r="O1120" s="207">
        <f t="shared" si="6"/>
        <v>0.00002366863905</v>
      </c>
    </row>
    <row r="1121" ht="15.75" customHeight="1">
      <c r="A1121" s="207">
        <v>71.0</v>
      </c>
      <c r="B1121" s="6" t="str">
        <f>VLOOKUP($A1121, 'Completion rates'!$A:$E, 2, FALSE)</f>
        <v>Opening hard caskets</v>
      </c>
      <c r="C1121" s="207">
        <v>10338.0</v>
      </c>
      <c r="D1121" s="6" t="str">
        <f>VLOOKUP($C1121, 'List of log slots'!$A:$E, 2, FALSE)</f>
        <v>3rd age robe top</v>
      </c>
      <c r="E1121" s="207">
        <f>VLOOKUP($C1121, 'List of log slots'!$A:$E, 5, FALSE)</f>
        <v>10</v>
      </c>
      <c r="F1121" s="209" t="b">
        <f>VLOOKUP(C1121, 'List of log slots'!$A:$C, 3, FALSE)</f>
        <v>0</v>
      </c>
      <c r="G1121" s="209" t="b">
        <f t="shared" si="727"/>
        <v>0</v>
      </c>
      <c r="H1121" s="210" t="b">
        <f t="shared" si="7"/>
        <v>1</v>
      </c>
      <c r="I1121" s="208" t="b">
        <f t="shared" ref="I1121:J1121" si="865">FALSE</f>
        <v>0</v>
      </c>
      <c r="J1121" s="208" t="b">
        <f t="shared" si="865"/>
        <v>0</v>
      </c>
      <c r="K1121" s="211">
        <v>42250.0</v>
      </c>
      <c r="L1121" s="207" t="str">
        <f t="shared" si="3"/>
        <v>n/a</v>
      </c>
      <c r="M1121" s="212" t="str">
        <f t="shared" si="4"/>
        <v>n/a</v>
      </c>
      <c r="N1121" s="207" t="str">
        <f t="shared" si="5"/>
        <v>n/a</v>
      </c>
      <c r="O1121" s="207">
        <f t="shared" si="6"/>
        <v>0.00002366863905</v>
      </c>
    </row>
    <row r="1122" ht="15.75" customHeight="1">
      <c r="A1122" s="207">
        <v>71.0</v>
      </c>
      <c r="B1122" s="6" t="str">
        <f>VLOOKUP($A1122, 'Completion rates'!$A:$E, 2, FALSE)</f>
        <v>Opening hard caskets</v>
      </c>
      <c r="C1122" s="207">
        <v>10340.0</v>
      </c>
      <c r="D1122" s="6" t="str">
        <f>VLOOKUP($C1122, 'List of log slots'!$A:$E, 2, FALSE)</f>
        <v>3rd age robe</v>
      </c>
      <c r="E1122" s="207">
        <f>VLOOKUP($C1122, 'List of log slots'!$A:$E, 5, FALSE)</f>
        <v>10</v>
      </c>
      <c r="F1122" s="209" t="b">
        <f>VLOOKUP(C1122, 'List of log slots'!$A:$C, 3, FALSE)</f>
        <v>0</v>
      </c>
      <c r="G1122" s="209" t="b">
        <f t="shared" si="727"/>
        <v>0</v>
      </c>
      <c r="H1122" s="210" t="b">
        <f t="shared" si="7"/>
        <v>1</v>
      </c>
      <c r="I1122" s="208" t="b">
        <f t="shared" ref="I1122:J1122" si="866">FALSE</f>
        <v>0</v>
      </c>
      <c r="J1122" s="208" t="b">
        <f t="shared" si="866"/>
        <v>0</v>
      </c>
      <c r="K1122" s="211">
        <v>42250.0</v>
      </c>
      <c r="L1122" s="207" t="str">
        <f t="shared" si="3"/>
        <v>n/a</v>
      </c>
      <c r="M1122" s="212" t="str">
        <f t="shared" si="4"/>
        <v>n/a</v>
      </c>
      <c r="N1122" s="207" t="str">
        <f t="shared" si="5"/>
        <v>n/a</v>
      </c>
      <c r="O1122" s="207">
        <f t="shared" si="6"/>
        <v>0.00002366863905</v>
      </c>
    </row>
    <row r="1123" ht="15.75" customHeight="1">
      <c r="A1123" s="207">
        <v>71.0</v>
      </c>
      <c r="B1123" s="6" t="str">
        <f>VLOOKUP($A1123, 'Completion rates'!$A:$E, 2, FALSE)</f>
        <v>Opening hard caskets</v>
      </c>
      <c r="C1123" s="207">
        <v>10342.0</v>
      </c>
      <c r="D1123" s="6" t="str">
        <f>VLOOKUP($C1123, 'List of log slots'!$A:$E, 2, FALSE)</f>
        <v>3rd age mage hat</v>
      </c>
      <c r="E1123" s="207">
        <f>VLOOKUP($C1123, 'List of log slots'!$A:$E, 5, FALSE)</f>
        <v>10</v>
      </c>
      <c r="F1123" s="209" t="b">
        <f>VLOOKUP(C1123, 'List of log slots'!$A:$C, 3, FALSE)</f>
        <v>0</v>
      </c>
      <c r="G1123" s="209" t="b">
        <f t="shared" si="727"/>
        <v>0</v>
      </c>
      <c r="H1123" s="210" t="b">
        <f t="shared" si="7"/>
        <v>1</v>
      </c>
      <c r="I1123" s="208" t="b">
        <f t="shared" ref="I1123:J1123" si="867">FALSE</f>
        <v>0</v>
      </c>
      <c r="J1123" s="208" t="b">
        <f t="shared" si="867"/>
        <v>0</v>
      </c>
      <c r="K1123" s="211">
        <v>42250.0</v>
      </c>
      <c r="L1123" s="207" t="str">
        <f t="shared" si="3"/>
        <v>n/a</v>
      </c>
      <c r="M1123" s="212" t="str">
        <f t="shared" si="4"/>
        <v>n/a</v>
      </c>
      <c r="N1123" s="207" t="str">
        <f t="shared" si="5"/>
        <v>n/a</v>
      </c>
      <c r="O1123" s="207">
        <f t="shared" si="6"/>
        <v>0.00002366863905</v>
      </c>
    </row>
    <row r="1124" ht="15.75" customHeight="1">
      <c r="A1124" s="207">
        <v>71.0</v>
      </c>
      <c r="B1124" s="6" t="str">
        <f>VLOOKUP($A1124, 'Completion rates'!$A:$E, 2, FALSE)</f>
        <v>Opening hard caskets</v>
      </c>
      <c r="C1124" s="207">
        <v>10344.0</v>
      </c>
      <c r="D1124" s="6" t="str">
        <f>VLOOKUP($C1124, 'List of log slots'!$A:$E, 2, FALSE)</f>
        <v>3rd age amulet</v>
      </c>
      <c r="E1124" s="207">
        <f>VLOOKUP($C1124, 'List of log slots'!$A:$E, 5, FALSE)</f>
        <v>10</v>
      </c>
      <c r="F1124" s="209" t="b">
        <f>VLOOKUP(C1124, 'List of log slots'!$A:$C, 3, FALSE)</f>
        <v>0</v>
      </c>
      <c r="G1124" s="209" t="b">
        <f t="shared" si="727"/>
        <v>0</v>
      </c>
      <c r="H1124" s="210" t="b">
        <f t="shared" si="7"/>
        <v>1</v>
      </c>
      <c r="I1124" s="208" t="b">
        <f t="shared" ref="I1124:J1124" si="868">FALSE</f>
        <v>0</v>
      </c>
      <c r="J1124" s="208" t="b">
        <f t="shared" si="868"/>
        <v>0</v>
      </c>
      <c r="K1124" s="211">
        <v>42250.0</v>
      </c>
      <c r="L1124" s="207" t="str">
        <f t="shared" si="3"/>
        <v>n/a</v>
      </c>
      <c r="M1124" s="212" t="str">
        <f t="shared" si="4"/>
        <v>n/a</v>
      </c>
      <c r="N1124" s="207" t="str">
        <f t="shared" si="5"/>
        <v>n/a</v>
      </c>
      <c r="O1124" s="207">
        <f t="shared" si="6"/>
        <v>0.00002366863905</v>
      </c>
    </row>
    <row r="1125" ht="15.75" customHeight="1">
      <c r="A1125" s="207">
        <v>71.0</v>
      </c>
      <c r="B1125" s="6" t="str">
        <f>VLOOKUP($A1125, 'Completion rates'!$A:$E, 2, FALSE)</f>
        <v>Opening hard caskets</v>
      </c>
      <c r="C1125" s="207">
        <v>23242.0</v>
      </c>
      <c r="D1125" s="6" t="str">
        <f>VLOOKUP($C1125, 'List of log slots'!$A:$E, 2, FALSE)</f>
        <v>3rd age plateskirt</v>
      </c>
      <c r="E1125" s="207">
        <f>VLOOKUP($C1125, 'List of log slots'!$A:$E, 5, FALSE)</f>
        <v>10</v>
      </c>
      <c r="F1125" s="209" t="b">
        <f>VLOOKUP(C1125, 'List of log slots'!$A:$C, 3, FALSE)</f>
        <v>0</v>
      </c>
      <c r="G1125" s="209" t="b">
        <f t="shared" si="727"/>
        <v>0</v>
      </c>
      <c r="H1125" s="210" t="b">
        <f t="shared" si="7"/>
        <v>1</v>
      </c>
      <c r="I1125" s="208" t="b">
        <f t="shared" ref="I1125:J1125" si="869">FALSE</f>
        <v>0</v>
      </c>
      <c r="J1125" s="208" t="b">
        <f t="shared" si="869"/>
        <v>0</v>
      </c>
      <c r="K1125" s="211">
        <v>42250.0</v>
      </c>
      <c r="L1125" s="207" t="str">
        <f t="shared" si="3"/>
        <v>n/a</v>
      </c>
      <c r="M1125" s="212" t="str">
        <f t="shared" si="4"/>
        <v>n/a</v>
      </c>
      <c r="N1125" s="207" t="str">
        <f t="shared" si="5"/>
        <v>n/a</v>
      </c>
      <c r="O1125" s="207">
        <f t="shared" si="6"/>
        <v>0.00002366863905</v>
      </c>
    </row>
    <row r="1126" ht="15.75" customHeight="1">
      <c r="A1126" s="207">
        <v>71.0</v>
      </c>
      <c r="B1126" s="6" t="str">
        <f>VLOOKUP($A1126, 'Completion rates'!$A:$E, 2, FALSE)</f>
        <v>Opening hard caskets</v>
      </c>
      <c r="C1126" s="207">
        <v>10346.0</v>
      </c>
      <c r="D1126" s="6" t="str">
        <f>VLOOKUP($C1126, 'List of log slots'!$A:$E, 2, FALSE)</f>
        <v>3rd age platelegs</v>
      </c>
      <c r="E1126" s="207">
        <f>VLOOKUP($C1126, 'List of log slots'!$A:$E, 5, FALSE)</f>
        <v>10</v>
      </c>
      <c r="F1126" s="209" t="b">
        <f>VLOOKUP(C1126, 'List of log slots'!$A:$C, 3, FALSE)</f>
        <v>0</v>
      </c>
      <c r="G1126" s="209" t="b">
        <f t="shared" si="727"/>
        <v>0</v>
      </c>
      <c r="H1126" s="210" t="b">
        <f t="shared" si="7"/>
        <v>1</v>
      </c>
      <c r="I1126" s="208" t="b">
        <f t="shared" ref="I1126:J1126" si="870">FALSE</f>
        <v>0</v>
      </c>
      <c r="J1126" s="208" t="b">
        <f t="shared" si="870"/>
        <v>0</v>
      </c>
      <c r="K1126" s="211">
        <v>42250.0</v>
      </c>
      <c r="L1126" s="207" t="str">
        <f t="shared" si="3"/>
        <v>n/a</v>
      </c>
      <c r="M1126" s="212" t="str">
        <f t="shared" si="4"/>
        <v>n/a</v>
      </c>
      <c r="N1126" s="207" t="str">
        <f t="shared" si="5"/>
        <v>n/a</v>
      </c>
      <c r="O1126" s="207">
        <f t="shared" si="6"/>
        <v>0.00002366863905</v>
      </c>
    </row>
    <row r="1127" ht="15.75" customHeight="1">
      <c r="A1127" s="207">
        <v>71.0</v>
      </c>
      <c r="B1127" s="6" t="str">
        <f>VLOOKUP($A1127, 'Completion rates'!$A:$E, 2, FALSE)</f>
        <v>Opening hard caskets</v>
      </c>
      <c r="C1127" s="207">
        <v>10348.0</v>
      </c>
      <c r="D1127" s="6" t="str">
        <f>VLOOKUP($C1127, 'List of log slots'!$A:$E, 2, FALSE)</f>
        <v>3rd age platebody</v>
      </c>
      <c r="E1127" s="207">
        <f>VLOOKUP($C1127, 'List of log slots'!$A:$E, 5, FALSE)</f>
        <v>10</v>
      </c>
      <c r="F1127" s="209" t="b">
        <f>VLOOKUP(C1127, 'List of log slots'!$A:$C, 3, FALSE)</f>
        <v>0</v>
      </c>
      <c r="G1127" s="209" t="b">
        <f t="shared" si="727"/>
        <v>0</v>
      </c>
      <c r="H1127" s="210" t="b">
        <f t="shared" si="7"/>
        <v>1</v>
      </c>
      <c r="I1127" s="208" t="b">
        <f t="shared" ref="I1127:J1127" si="871">FALSE</f>
        <v>0</v>
      </c>
      <c r="J1127" s="208" t="b">
        <f t="shared" si="871"/>
        <v>0</v>
      </c>
      <c r="K1127" s="211">
        <v>42250.0</v>
      </c>
      <c r="L1127" s="207" t="str">
        <f t="shared" si="3"/>
        <v>n/a</v>
      </c>
      <c r="M1127" s="212" t="str">
        <f t="shared" si="4"/>
        <v>n/a</v>
      </c>
      <c r="N1127" s="207" t="str">
        <f t="shared" si="5"/>
        <v>n/a</v>
      </c>
      <c r="O1127" s="207">
        <f t="shared" si="6"/>
        <v>0.00002366863905</v>
      </c>
    </row>
    <row r="1128" ht="15.75" customHeight="1">
      <c r="A1128" s="207">
        <v>71.0</v>
      </c>
      <c r="B1128" s="6" t="str">
        <f>VLOOKUP($A1128, 'Completion rates'!$A:$E, 2, FALSE)</f>
        <v>Opening hard caskets</v>
      </c>
      <c r="C1128" s="207">
        <v>10350.0</v>
      </c>
      <c r="D1128" s="6" t="str">
        <f>VLOOKUP($C1128, 'List of log slots'!$A:$E, 2, FALSE)</f>
        <v>3rd age full helmet</v>
      </c>
      <c r="E1128" s="207">
        <f>VLOOKUP($C1128, 'List of log slots'!$A:$E, 5, FALSE)</f>
        <v>10</v>
      </c>
      <c r="F1128" s="209" t="b">
        <f>VLOOKUP(C1128, 'List of log slots'!$A:$C, 3, FALSE)</f>
        <v>0</v>
      </c>
      <c r="G1128" s="209" t="b">
        <f t="shared" si="727"/>
        <v>0</v>
      </c>
      <c r="H1128" s="210" t="b">
        <f t="shared" si="7"/>
        <v>1</v>
      </c>
      <c r="I1128" s="208" t="b">
        <f t="shared" ref="I1128:J1128" si="872">FALSE</f>
        <v>0</v>
      </c>
      <c r="J1128" s="208" t="b">
        <f t="shared" si="872"/>
        <v>0</v>
      </c>
      <c r="K1128" s="211">
        <v>42250.0</v>
      </c>
      <c r="L1128" s="207" t="str">
        <f t="shared" si="3"/>
        <v>n/a</v>
      </c>
      <c r="M1128" s="212" t="str">
        <f t="shared" si="4"/>
        <v>n/a</v>
      </c>
      <c r="N1128" s="207" t="str">
        <f t="shared" si="5"/>
        <v>n/a</v>
      </c>
      <c r="O1128" s="207">
        <f t="shared" si="6"/>
        <v>0.00002366863905</v>
      </c>
    </row>
    <row r="1129" ht="15.75" customHeight="1">
      <c r="A1129" s="207">
        <v>71.0</v>
      </c>
      <c r="B1129" s="6" t="str">
        <f>VLOOKUP($A1129, 'Completion rates'!$A:$E, 2, FALSE)</f>
        <v>Opening hard caskets</v>
      </c>
      <c r="C1129" s="207">
        <v>10352.0</v>
      </c>
      <c r="D1129" s="6" t="str">
        <f>VLOOKUP($C1129, 'List of log slots'!$A:$E, 2, FALSE)</f>
        <v>3rd age kiteshield</v>
      </c>
      <c r="E1129" s="207">
        <f>VLOOKUP($C1129, 'List of log slots'!$A:$E, 5, FALSE)</f>
        <v>10</v>
      </c>
      <c r="F1129" s="209" t="b">
        <f>VLOOKUP(C1129, 'List of log slots'!$A:$C, 3, FALSE)</f>
        <v>0</v>
      </c>
      <c r="G1129" s="209" t="b">
        <f t="shared" si="727"/>
        <v>0</v>
      </c>
      <c r="H1129" s="210" t="b">
        <f t="shared" si="7"/>
        <v>1</v>
      </c>
      <c r="I1129" s="208" t="b">
        <f t="shared" ref="I1129:J1129" si="873">FALSE</f>
        <v>0</v>
      </c>
      <c r="J1129" s="208" t="b">
        <f t="shared" si="873"/>
        <v>0</v>
      </c>
      <c r="K1129" s="211">
        <v>42250.0</v>
      </c>
      <c r="L1129" s="207" t="str">
        <f t="shared" si="3"/>
        <v>n/a</v>
      </c>
      <c r="M1129" s="212" t="str">
        <f t="shared" si="4"/>
        <v>n/a</v>
      </c>
      <c r="N1129" s="207" t="str">
        <f t="shared" si="5"/>
        <v>n/a</v>
      </c>
      <c r="O1129" s="207">
        <f t="shared" si="6"/>
        <v>0.00002366863905</v>
      </c>
    </row>
    <row r="1130" ht="15.75" customHeight="1">
      <c r="A1130" s="207">
        <v>71.0</v>
      </c>
      <c r="B1130" s="6" t="str">
        <f>VLOOKUP($A1130, 'Completion rates'!$A:$E, 2, FALSE)</f>
        <v>Opening hard caskets</v>
      </c>
      <c r="C1130" s="207">
        <v>3481.0</v>
      </c>
      <c r="D1130" s="6" t="str">
        <f>VLOOKUP($C1130, 'List of log slots'!$A:$E, 2, FALSE)</f>
        <v>Gilded platebody</v>
      </c>
      <c r="E1130" s="207">
        <f>VLOOKUP($C1130, 'List of log slots'!$A:$E, 5, FALSE)</f>
        <v>9</v>
      </c>
      <c r="F1130" s="209" t="b">
        <f>VLOOKUP(C1130, 'List of log slots'!$A:$C, 3, FALSE)</f>
        <v>0</v>
      </c>
      <c r="G1130" s="209" t="b">
        <f t="shared" si="727"/>
        <v>0</v>
      </c>
      <c r="H1130" s="210" t="b">
        <f t="shared" si="7"/>
        <v>1</v>
      </c>
      <c r="I1130" s="208" t="b">
        <f t="shared" ref="I1130:J1130" si="874">FALSE</f>
        <v>0</v>
      </c>
      <c r="J1130" s="208" t="b">
        <f t="shared" si="874"/>
        <v>0</v>
      </c>
      <c r="K1130" s="211">
        <v>7150.0</v>
      </c>
      <c r="L1130" s="207" t="str">
        <f t="shared" si="3"/>
        <v>n/a</v>
      </c>
      <c r="M1130" s="212" t="str">
        <f t="shared" si="4"/>
        <v>n/a</v>
      </c>
      <c r="N1130" s="207" t="str">
        <f t="shared" si="5"/>
        <v>n/a</v>
      </c>
      <c r="O1130" s="207">
        <f t="shared" si="6"/>
        <v>0.0001398601399</v>
      </c>
    </row>
    <row r="1131" ht="15.75" customHeight="1">
      <c r="A1131" s="207">
        <v>71.0</v>
      </c>
      <c r="B1131" s="6" t="str">
        <f>VLOOKUP($A1131, 'Completion rates'!$A:$E, 2, FALSE)</f>
        <v>Opening hard caskets</v>
      </c>
      <c r="C1131" s="207">
        <v>3483.0</v>
      </c>
      <c r="D1131" s="6" t="str">
        <f>VLOOKUP($C1131, 'List of log slots'!$A:$E, 2, FALSE)</f>
        <v>Gilded platelegs</v>
      </c>
      <c r="E1131" s="207">
        <f>VLOOKUP($C1131, 'List of log slots'!$A:$E, 5, FALSE)</f>
        <v>9</v>
      </c>
      <c r="F1131" s="210" t="b">
        <f>VLOOKUP(C1131, 'List of log slots'!$A:$C, 3, FALSE)</f>
        <v>0</v>
      </c>
      <c r="G1131" s="209" t="b">
        <f t="shared" si="727"/>
        <v>0</v>
      </c>
      <c r="H1131" s="209" t="b">
        <f t="shared" si="7"/>
        <v>1</v>
      </c>
      <c r="I1131" s="208" t="b">
        <f t="shared" ref="I1131:J1131" si="875">FALSE</f>
        <v>0</v>
      </c>
      <c r="J1131" s="208" t="b">
        <f t="shared" si="875"/>
        <v>0</v>
      </c>
      <c r="K1131" s="211">
        <v>7150.0</v>
      </c>
      <c r="L1131" s="207" t="str">
        <f t="shared" si="3"/>
        <v>n/a</v>
      </c>
      <c r="M1131" s="212" t="str">
        <f t="shared" si="4"/>
        <v>n/a</v>
      </c>
      <c r="N1131" s="207" t="str">
        <f t="shared" si="5"/>
        <v>n/a</v>
      </c>
      <c r="O1131" s="207">
        <f t="shared" si="6"/>
        <v>0.0001398601399</v>
      </c>
    </row>
    <row r="1132" ht="15.75" customHeight="1">
      <c r="A1132" s="207">
        <v>71.0</v>
      </c>
      <c r="B1132" s="6" t="str">
        <f>VLOOKUP($A1132, 'Completion rates'!$A:$E, 2, FALSE)</f>
        <v>Opening hard caskets</v>
      </c>
      <c r="C1132" s="207">
        <v>3485.0</v>
      </c>
      <c r="D1132" s="6" t="str">
        <f>VLOOKUP($C1132, 'List of log slots'!$A:$E, 2, FALSE)</f>
        <v>Gilded plateskirt</v>
      </c>
      <c r="E1132" s="207">
        <f>VLOOKUP($C1132, 'List of log slots'!$A:$E, 5, FALSE)</f>
        <v>9</v>
      </c>
      <c r="F1132" s="209" t="b">
        <f>VLOOKUP(C1132, 'List of log slots'!$A:$C, 3, FALSE)</f>
        <v>0</v>
      </c>
      <c r="G1132" s="209" t="b">
        <f t="shared" si="727"/>
        <v>0</v>
      </c>
      <c r="H1132" s="210" t="b">
        <f t="shared" si="7"/>
        <v>1</v>
      </c>
      <c r="I1132" s="208" t="b">
        <f t="shared" ref="I1132:J1132" si="876">FALSE</f>
        <v>0</v>
      </c>
      <c r="J1132" s="208" t="b">
        <f t="shared" si="876"/>
        <v>0</v>
      </c>
      <c r="K1132" s="211">
        <v>7150.0</v>
      </c>
      <c r="L1132" s="207" t="str">
        <f t="shared" si="3"/>
        <v>n/a</v>
      </c>
      <c r="M1132" s="212" t="str">
        <f t="shared" si="4"/>
        <v>n/a</v>
      </c>
      <c r="N1132" s="207" t="str">
        <f t="shared" si="5"/>
        <v>n/a</v>
      </c>
      <c r="O1132" s="207">
        <f t="shared" si="6"/>
        <v>0.0001398601399</v>
      </c>
    </row>
    <row r="1133" ht="15.75" customHeight="1">
      <c r="A1133" s="207">
        <v>71.0</v>
      </c>
      <c r="B1133" s="6" t="str">
        <f>VLOOKUP($A1133, 'Completion rates'!$A:$E, 2, FALSE)</f>
        <v>Opening hard caskets</v>
      </c>
      <c r="C1133" s="207">
        <v>3486.0</v>
      </c>
      <c r="D1133" s="6" t="str">
        <f>VLOOKUP($C1133, 'List of log slots'!$A:$E, 2, FALSE)</f>
        <v>Gilded full helm</v>
      </c>
      <c r="E1133" s="207">
        <f>VLOOKUP($C1133, 'List of log slots'!$A:$E, 5, FALSE)</f>
        <v>9</v>
      </c>
      <c r="F1133" s="209" t="b">
        <f>VLOOKUP(C1133, 'List of log slots'!$A:$C, 3, FALSE)</f>
        <v>0</v>
      </c>
      <c r="G1133" s="209" t="b">
        <f t="shared" si="727"/>
        <v>0</v>
      </c>
      <c r="H1133" s="210" t="b">
        <f t="shared" si="7"/>
        <v>1</v>
      </c>
      <c r="I1133" s="208" t="b">
        <f t="shared" ref="I1133:J1133" si="877">FALSE</f>
        <v>0</v>
      </c>
      <c r="J1133" s="208" t="b">
        <f t="shared" si="877"/>
        <v>0</v>
      </c>
      <c r="K1133" s="211">
        <v>7150.0</v>
      </c>
      <c r="L1133" s="207" t="str">
        <f t="shared" si="3"/>
        <v>n/a</v>
      </c>
      <c r="M1133" s="212" t="str">
        <f t="shared" si="4"/>
        <v>n/a</v>
      </c>
      <c r="N1133" s="207" t="str">
        <f t="shared" si="5"/>
        <v>n/a</v>
      </c>
      <c r="O1133" s="207">
        <f t="shared" si="6"/>
        <v>0.0001398601399</v>
      </c>
    </row>
    <row r="1134" ht="15.75" customHeight="1">
      <c r="A1134" s="207">
        <v>71.0</v>
      </c>
      <c r="B1134" s="6" t="str">
        <f>VLOOKUP($A1134, 'Completion rates'!$A:$E, 2, FALSE)</f>
        <v>Opening hard caskets</v>
      </c>
      <c r="C1134" s="207">
        <v>3488.0</v>
      </c>
      <c r="D1134" s="6" t="str">
        <f>VLOOKUP($C1134, 'List of log slots'!$A:$E, 2, FALSE)</f>
        <v>Gilded kiteshield</v>
      </c>
      <c r="E1134" s="207">
        <f>VLOOKUP($C1134, 'List of log slots'!$A:$E, 5, FALSE)</f>
        <v>9</v>
      </c>
      <c r="F1134" s="209" t="b">
        <f>VLOOKUP(C1134, 'List of log slots'!$A:$C, 3, FALSE)</f>
        <v>0</v>
      </c>
      <c r="G1134" s="209" t="b">
        <f t="shared" si="727"/>
        <v>0</v>
      </c>
      <c r="H1134" s="210" t="b">
        <f t="shared" si="7"/>
        <v>1</v>
      </c>
      <c r="I1134" s="208" t="b">
        <f t="shared" ref="I1134:J1134" si="878">FALSE</f>
        <v>0</v>
      </c>
      <c r="J1134" s="208" t="b">
        <f t="shared" si="878"/>
        <v>0</v>
      </c>
      <c r="K1134" s="211">
        <v>7150.0</v>
      </c>
      <c r="L1134" s="207" t="str">
        <f t="shared" si="3"/>
        <v>n/a</v>
      </c>
      <c r="M1134" s="212" t="str">
        <f t="shared" si="4"/>
        <v>n/a</v>
      </c>
      <c r="N1134" s="207" t="str">
        <f t="shared" si="5"/>
        <v>n/a</v>
      </c>
      <c r="O1134" s="207">
        <f t="shared" si="6"/>
        <v>0.0001398601399</v>
      </c>
    </row>
    <row r="1135" ht="15.75" customHeight="1">
      <c r="A1135" s="207">
        <v>71.0</v>
      </c>
      <c r="B1135" s="6" t="str">
        <f>VLOOKUP($A1135, 'Completion rates'!$A:$E, 2, FALSE)</f>
        <v>Opening hard caskets</v>
      </c>
      <c r="C1135" s="207">
        <v>20146.0</v>
      </c>
      <c r="D1135" s="6" t="str">
        <f>VLOOKUP($C1135, 'List of log slots'!$A:$E, 2, FALSE)</f>
        <v>Gilded med helm</v>
      </c>
      <c r="E1135" s="207">
        <f>VLOOKUP($C1135, 'List of log slots'!$A:$E, 5, FALSE)</f>
        <v>9</v>
      </c>
      <c r="F1135" s="209" t="b">
        <f>VLOOKUP(C1135, 'List of log slots'!$A:$C, 3, FALSE)</f>
        <v>0</v>
      </c>
      <c r="G1135" s="209" t="b">
        <f t="shared" si="727"/>
        <v>0</v>
      </c>
      <c r="H1135" s="210" t="b">
        <f t="shared" si="7"/>
        <v>1</v>
      </c>
      <c r="I1135" s="208" t="b">
        <f t="shared" ref="I1135:J1135" si="879">FALSE</f>
        <v>0</v>
      </c>
      <c r="J1135" s="208" t="b">
        <f t="shared" si="879"/>
        <v>0</v>
      </c>
      <c r="K1135" s="211">
        <v>7150.0</v>
      </c>
      <c r="L1135" s="207" t="str">
        <f t="shared" si="3"/>
        <v>n/a</v>
      </c>
      <c r="M1135" s="212" t="str">
        <f t="shared" si="4"/>
        <v>n/a</v>
      </c>
      <c r="N1135" s="207" t="str">
        <f t="shared" si="5"/>
        <v>n/a</v>
      </c>
      <c r="O1135" s="207">
        <f t="shared" si="6"/>
        <v>0.0001398601399</v>
      </c>
    </row>
    <row r="1136" ht="15.75" customHeight="1">
      <c r="A1136" s="207">
        <v>71.0</v>
      </c>
      <c r="B1136" s="6" t="str">
        <f>VLOOKUP($A1136, 'Completion rates'!$A:$E, 2, FALSE)</f>
        <v>Opening hard caskets</v>
      </c>
      <c r="C1136" s="207">
        <v>20149.0</v>
      </c>
      <c r="D1136" s="6" t="str">
        <f>VLOOKUP($C1136, 'List of log slots'!$A:$E, 2, FALSE)</f>
        <v>Gilded chainbody</v>
      </c>
      <c r="E1136" s="207">
        <f>VLOOKUP($C1136, 'List of log slots'!$A:$E, 5, FALSE)</f>
        <v>9</v>
      </c>
      <c r="F1136" s="209" t="b">
        <f>VLOOKUP(C1136, 'List of log slots'!$A:$C, 3, FALSE)</f>
        <v>0</v>
      </c>
      <c r="G1136" s="209" t="b">
        <f t="shared" si="727"/>
        <v>0</v>
      </c>
      <c r="H1136" s="210" t="b">
        <f t="shared" si="7"/>
        <v>1</v>
      </c>
      <c r="I1136" s="208" t="b">
        <f t="shared" ref="I1136:J1136" si="880">FALSE</f>
        <v>0</v>
      </c>
      <c r="J1136" s="208" t="b">
        <f t="shared" si="880"/>
        <v>0</v>
      </c>
      <c r="K1136" s="211">
        <v>7150.0</v>
      </c>
      <c r="L1136" s="207" t="str">
        <f t="shared" si="3"/>
        <v>n/a</v>
      </c>
      <c r="M1136" s="212" t="str">
        <f t="shared" si="4"/>
        <v>n/a</v>
      </c>
      <c r="N1136" s="207" t="str">
        <f t="shared" si="5"/>
        <v>n/a</v>
      </c>
      <c r="O1136" s="207">
        <f t="shared" si="6"/>
        <v>0.0001398601399</v>
      </c>
    </row>
    <row r="1137" ht="15.75" customHeight="1">
      <c r="A1137" s="207">
        <v>71.0</v>
      </c>
      <c r="B1137" s="6" t="str">
        <f>VLOOKUP($A1137, 'Completion rates'!$A:$E, 2, FALSE)</f>
        <v>Opening hard caskets</v>
      </c>
      <c r="C1137" s="207">
        <v>20152.0</v>
      </c>
      <c r="D1137" s="6" t="str">
        <f>VLOOKUP($C1137, 'List of log slots'!$A:$E, 2, FALSE)</f>
        <v>Gilded sq shield</v>
      </c>
      <c r="E1137" s="207">
        <f>VLOOKUP($C1137, 'List of log slots'!$A:$E, 5, FALSE)</f>
        <v>9</v>
      </c>
      <c r="F1137" s="209" t="b">
        <f>VLOOKUP(C1137, 'List of log slots'!$A:$C, 3, FALSE)</f>
        <v>0</v>
      </c>
      <c r="G1137" s="209" t="b">
        <f t="shared" si="727"/>
        <v>0</v>
      </c>
      <c r="H1137" s="210" t="b">
        <f t="shared" si="7"/>
        <v>1</v>
      </c>
      <c r="I1137" s="208" t="b">
        <f t="shared" ref="I1137:J1137" si="881">FALSE</f>
        <v>0</v>
      </c>
      <c r="J1137" s="208" t="b">
        <f t="shared" si="881"/>
        <v>0</v>
      </c>
      <c r="K1137" s="211">
        <v>7150.0</v>
      </c>
      <c r="L1137" s="207" t="str">
        <f t="shared" si="3"/>
        <v>n/a</v>
      </c>
      <c r="M1137" s="212" t="str">
        <f t="shared" si="4"/>
        <v>n/a</v>
      </c>
      <c r="N1137" s="207" t="str">
        <f t="shared" si="5"/>
        <v>n/a</v>
      </c>
      <c r="O1137" s="207">
        <f t="shared" si="6"/>
        <v>0.0001398601399</v>
      </c>
    </row>
    <row r="1138" ht="15.75" customHeight="1">
      <c r="A1138" s="207">
        <v>71.0</v>
      </c>
      <c r="B1138" s="6" t="str">
        <f>VLOOKUP($A1138, 'Completion rates'!$A:$E, 2, FALSE)</f>
        <v>Opening hard caskets</v>
      </c>
      <c r="C1138" s="207">
        <v>20155.0</v>
      </c>
      <c r="D1138" s="6" t="str">
        <f>VLOOKUP($C1138, 'List of log slots'!$A:$E, 2, FALSE)</f>
        <v>Gilded 2h sword</v>
      </c>
      <c r="E1138" s="207">
        <f>VLOOKUP($C1138, 'List of log slots'!$A:$E, 5, FALSE)</f>
        <v>9</v>
      </c>
      <c r="F1138" s="209" t="b">
        <f>VLOOKUP(C1138, 'List of log slots'!$A:$C, 3, FALSE)</f>
        <v>0</v>
      </c>
      <c r="G1138" s="209" t="b">
        <f t="shared" si="727"/>
        <v>0</v>
      </c>
      <c r="H1138" s="210" t="b">
        <f t="shared" si="7"/>
        <v>1</v>
      </c>
      <c r="I1138" s="208" t="b">
        <f t="shared" ref="I1138:J1138" si="882">FALSE</f>
        <v>0</v>
      </c>
      <c r="J1138" s="208" t="b">
        <f t="shared" si="882"/>
        <v>0</v>
      </c>
      <c r="K1138" s="211">
        <v>7150.0</v>
      </c>
      <c r="L1138" s="207" t="str">
        <f t="shared" si="3"/>
        <v>n/a</v>
      </c>
      <c r="M1138" s="212" t="str">
        <f t="shared" si="4"/>
        <v>n/a</v>
      </c>
      <c r="N1138" s="207" t="str">
        <f t="shared" si="5"/>
        <v>n/a</v>
      </c>
      <c r="O1138" s="207">
        <f t="shared" si="6"/>
        <v>0.0001398601399</v>
      </c>
    </row>
    <row r="1139" ht="15.75" customHeight="1">
      <c r="A1139" s="207">
        <v>71.0</v>
      </c>
      <c r="B1139" s="6" t="str">
        <f>VLOOKUP($A1139, 'Completion rates'!$A:$E, 2, FALSE)</f>
        <v>Opening hard caskets</v>
      </c>
      <c r="C1139" s="207">
        <v>20158.0</v>
      </c>
      <c r="D1139" s="6" t="str">
        <f>VLOOKUP($C1139, 'List of log slots'!$A:$E, 2, FALSE)</f>
        <v>Gilded spear</v>
      </c>
      <c r="E1139" s="207">
        <f>VLOOKUP($C1139, 'List of log slots'!$A:$E, 5, FALSE)</f>
        <v>9</v>
      </c>
      <c r="F1139" s="209" t="b">
        <f>VLOOKUP(C1139, 'List of log slots'!$A:$C, 3, FALSE)</f>
        <v>0</v>
      </c>
      <c r="G1139" s="209" t="b">
        <f t="shared" si="727"/>
        <v>0</v>
      </c>
      <c r="H1139" s="210" t="b">
        <f t="shared" si="7"/>
        <v>1</v>
      </c>
      <c r="I1139" s="208" t="b">
        <f t="shared" ref="I1139:J1139" si="883">FALSE</f>
        <v>0</v>
      </c>
      <c r="J1139" s="208" t="b">
        <f t="shared" si="883"/>
        <v>0</v>
      </c>
      <c r="K1139" s="211">
        <v>7150.0</v>
      </c>
      <c r="L1139" s="207" t="str">
        <f t="shared" si="3"/>
        <v>n/a</v>
      </c>
      <c r="M1139" s="212" t="str">
        <f t="shared" si="4"/>
        <v>n/a</v>
      </c>
      <c r="N1139" s="207" t="str">
        <f t="shared" si="5"/>
        <v>n/a</v>
      </c>
      <c r="O1139" s="207">
        <f t="shared" si="6"/>
        <v>0.0001398601399</v>
      </c>
    </row>
    <row r="1140" ht="15.75" customHeight="1">
      <c r="A1140" s="207">
        <v>71.0</v>
      </c>
      <c r="B1140" s="6" t="str">
        <f>VLOOKUP($A1140, 'Completion rates'!$A:$E, 2, FALSE)</f>
        <v>Opening hard caskets</v>
      </c>
      <c r="C1140" s="207">
        <v>20161.0</v>
      </c>
      <c r="D1140" s="6" t="str">
        <f>VLOOKUP($C1140, 'List of log slots'!$A:$E, 2, FALSE)</f>
        <v>Gilded hasta</v>
      </c>
      <c r="E1140" s="207">
        <f>VLOOKUP($C1140, 'List of log slots'!$A:$E, 5, FALSE)</f>
        <v>9</v>
      </c>
      <c r="F1140" s="210" t="b">
        <f>VLOOKUP(C1140, 'List of log slots'!$A:$C, 3, FALSE)</f>
        <v>0</v>
      </c>
      <c r="G1140" s="209" t="b">
        <f t="shared" si="727"/>
        <v>0</v>
      </c>
      <c r="H1140" s="209" t="b">
        <f t="shared" si="7"/>
        <v>1</v>
      </c>
      <c r="I1140" s="208" t="b">
        <f t="shared" ref="I1140:J1140" si="884">FALSE</f>
        <v>0</v>
      </c>
      <c r="J1140" s="208" t="b">
        <f t="shared" si="884"/>
        <v>0</v>
      </c>
      <c r="K1140" s="211">
        <v>7150.0</v>
      </c>
      <c r="L1140" s="207" t="str">
        <f t="shared" si="3"/>
        <v>n/a</v>
      </c>
      <c r="M1140" s="212" t="str">
        <f t="shared" si="4"/>
        <v>n/a</v>
      </c>
      <c r="N1140" s="207" t="str">
        <f t="shared" si="5"/>
        <v>n/a</v>
      </c>
      <c r="O1140" s="207">
        <f t="shared" si="6"/>
        <v>0.0001398601399</v>
      </c>
    </row>
    <row r="1141" ht="15.75" customHeight="1">
      <c r="A1141" s="207">
        <v>71.0</v>
      </c>
      <c r="B1141" s="6" t="str">
        <f>VLOOKUP($A1141, 'Completion rates'!$A:$E, 2, FALSE)</f>
        <v>Opening hard caskets</v>
      </c>
      <c r="C1141" s="207">
        <v>3827.0</v>
      </c>
      <c r="D1141" s="6" t="str">
        <f>VLOOKUP($C1141, 'List of log slots'!$A:$E, 2, FALSE)</f>
        <v>Saradomin page 1</v>
      </c>
      <c r="E1141" s="207">
        <f>VLOOKUP($C1141, 'List of log slots'!$A:$E, 5, FALSE)</f>
        <v>2</v>
      </c>
      <c r="F1141" s="210" t="b">
        <f>VLOOKUP(C1141, 'List of log slots'!$A:$C, 3, FALSE)</f>
        <v>0</v>
      </c>
      <c r="G1141" s="209" t="b">
        <f t="shared" si="727"/>
        <v>0</v>
      </c>
      <c r="H1141" s="209" t="b">
        <f t="shared" si="7"/>
        <v>1</v>
      </c>
      <c r="I1141" s="208" t="b">
        <f t="shared" ref="I1141:J1141" si="885">FALSE</f>
        <v>0</v>
      </c>
      <c r="J1141" s="208" t="b">
        <f t="shared" si="885"/>
        <v>0</v>
      </c>
      <c r="K1141" s="211">
        <v>130.0</v>
      </c>
      <c r="L1141" s="207" t="str">
        <f t="shared" si="3"/>
        <v>n/a</v>
      </c>
      <c r="M1141" s="212" t="str">
        <f t="shared" si="4"/>
        <v>n/a</v>
      </c>
      <c r="N1141" s="207" t="str">
        <f t="shared" si="5"/>
        <v>n/a</v>
      </c>
      <c r="O1141" s="207">
        <f t="shared" si="6"/>
        <v>0.007692307692</v>
      </c>
    </row>
    <row r="1142" ht="15.75" customHeight="1">
      <c r="A1142" s="207">
        <v>71.0</v>
      </c>
      <c r="B1142" s="6" t="str">
        <f>VLOOKUP($A1142, 'Completion rates'!$A:$E, 2, FALSE)</f>
        <v>Opening hard caskets</v>
      </c>
      <c r="C1142" s="207">
        <v>3831.0</v>
      </c>
      <c r="D1142" s="6" t="str">
        <f>VLOOKUP($C1142, 'List of log slots'!$A:$E, 2, FALSE)</f>
        <v>Zamorak page 1</v>
      </c>
      <c r="E1142" s="207">
        <f>VLOOKUP($C1142, 'List of log slots'!$A:$E, 5, FALSE)</f>
        <v>2</v>
      </c>
      <c r="F1142" s="210" t="b">
        <f>VLOOKUP(C1142, 'List of log slots'!$A:$C, 3, FALSE)</f>
        <v>0</v>
      </c>
      <c r="G1142" s="209" t="b">
        <f t="shared" si="727"/>
        <v>0</v>
      </c>
      <c r="H1142" s="209" t="b">
        <f t="shared" si="7"/>
        <v>1</v>
      </c>
      <c r="I1142" s="208" t="b">
        <f t="shared" ref="I1142:J1142" si="886">FALSE</f>
        <v>0</v>
      </c>
      <c r="J1142" s="208" t="b">
        <f t="shared" si="886"/>
        <v>0</v>
      </c>
      <c r="K1142" s="211">
        <v>130.0</v>
      </c>
      <c r="L1142" s="207" t="str">
        <f t="shared" si="3"/>
        <v>n/a</v>
      </c>
      <c r="M1142" s="212" t="str">
        <f t="shared" si="4"/>
        <v>n/a</v>
      </c>
      <c r="N1142" s="207" t="str">
        <f t="shared" si="5"/>
        <v>n/a</v>
      </c>
      <c r="O1142" s="207">
        <f t="shared" si="6"/>
        <v>0.007692307692</v>
      </c>
    </row>
    <row r="1143" ht="15.75" customHeight="1">
      <c r="A1143" s="207">
        <v>71.0</v>
      </c>
      <c r="B1143" s="6" t="str">
        <f>VLOOKUP($A1143, 'Completion rates'!$A:$E, 2, FALSE)</f>
        <v>Opening hard caskets</v>
      </c>
      <c r="C1143" s="207">
        <v>3835.0</v>
      </c>
      <c r="D1143" s="6" t="str">
        <f>VLOOKUP($C1143, 'List of log slots'!$A:$E, 2, FALSE)</f>
        <v>Guthix page 1</v>
      </c>
      <c r="E1143" s="207">
        <f>VLOOKUP($C1143, 'List of log slots'!$A:$E, 5, FALSE)</f>
        <v>2</v>
      </c>
      <c r="F1143" s="210" t="b">
        <f>VLOOKUP(C1143, 'List of log slots'!$A:$C, 3, FALSE)</f>
        <v>0</v>
      </c>
      <c r="G1143" s="209" t="b">
        <f t="shared" si="727"/>
        <v>0</v>
      </c>
      <c r="H1143" s="209" t="b">
        <f t="shared" si="7"/>
        <v>1</v>
      </c>
      <c r="I1143" s="208" t="b">
        <f t="shared" ref="I1143:J1143" si="887">FALSE</f>
        <v>0</v>
      </c>
      <c r="J1143" s="208" t="b">
        <f t="shared" si="887"/>
        <v>0</v>
      </c>
      <c r="K1143" s="211">
        <v>130.0</v>
      </c>
      <c r="L1143" s="207" t="str">
        <f t="shared" si="3"/>
        <v>n/a</v>
      </c>
      <c r="M1143" s="212" t="str">
        <f t="shared" si="4"/>
        <v>n/a</v>
      </c>
      <c r="N1143" s="207" t="str">
        <f t="shared" si="5"/>
        <v>n/a</v>
      </c>
      <c r="O1143" s="207">
        <f t="shared" si="6"/>
        <v>0.007692307692</v>
      </c>
    </row>
    <row r="1144" ht="15.75" customHeight="1">
      <c r="A1144" s="207">
        <v>71.0</v>
      </c>
      <c r="B1144" s="6" t="str">
        <f>VLOOKUP($A1144, 'Completion rates'!$A:$E, 2, FALSE)</f>
        <v>Opening hard caskets</v>
      </c>
      <c r="C1144" s="207">
        <v>12613.0</v>
      </c>
      <c r="D1144" s="6" t="str">
        <f>VLOOKUP($C1144, 'List of log slots'!$A:$E, 2, FALSE)</f>
        <v>Bandos page 1</v>
      </c>
      <c r="E1144" s="207">
        <f>VLOOKUP($C1144, 'List of log slots'!$A:$E, 5, FALSE)</f>
        <v>2</v>
      </c>
      <c r="F1144" s="210" t="b">
        <f>VLOOKUP(C1144, 'List of log slots'!$A:$C, 3, FALSE)</f>
        <v>0</v>
      </c>
      <c r="G1144" s="209" t="b">
        <f t="shared" si="727"/>
        <v>0</v>
      </c>
      <c r="H1144" s="209" t="b">
        <f t="shared" si="7"/>
        <v>1</v>
      </c>
      <c r="I1144" s="208" t="b">
        <f t="shared" ref="I1144:J1144" si="888">FALSE</f>
        <v>0</v>
      </c>
      <c r="J1144" s="208" t="b">
        <f t="shared" si="888"/>
        <v>0</v>
      </c>
      <c r="K1144" s="211">
        <v>130.0</v>
      </c>
      <c r="L1144" s="207" t="str">
        <f t="shared" si="3"/>
        <v>n/a</v>
      </c>
      <c r="M1144" s="212" t="str">
        <f t="shared" si="4"/>
        <v>n/a</v>
      </c>
      <c r="N1144" s="207" t="str">
        <f t="shared" si="5"/>
        <v>n/a</v>
      </c>
      <c r="O1144" s="207">
        <f t="shared" si="6"/>
        <v>0.007692307692</v>
      </c>
    </row>
    <row r="1145" ht="15.75" customHeight="1">
      <c r="A1145" s="207">
        <v>71.0</v>
      </c>
      <c r="B1145" s="6" t="str">
        <f>VLOOKUP($A1145, 'Completion rates'!$A:$E, 2, FALSE)</f>
        <v>Opening hard caskets</v>
      </c>
      <c r="C1145" s="207">
        <v>12617.0</v>
      </c>
      <c r="D1145" s="6" t="str">
        <f>VLOOKUP($C1145, 'List of log slots'!$A:$E, 2, FALSE)</f>
        <v>Armadyl page 1</v>
      </c>
      <c r="E1145" s="207">
        <f>VLOOKUP($C1145, 'List of log slots'!$A:$E, 5, FALSE)</f>
        <v>2</v>
      </c>
      <c r="F1145" s="210" t="b">
        <f>VLOOKUP(C1145, 'List of log slots'!$A:$C, 3, FALSE)</f>
        <v>0</v>
      </c>
      <c r="G1145" s="209" t="b">
        <f t="shared" si="727"/>
        <v>0</v>
      </c>
      <c r="H1145" s="209" t="b">
        <f t="shared" si="7"/>
        <v>1</v>
      </c>
      <c r="I1145" s="208" t="b">
        <f t="shared" ref="I1145:J1145" si="889">FALSE</f>
        <v>0</v>
      </c>
      <c r="J1145" s="208" t="b">
        <f t="shared" si="889"/>
        <v>0</v>
      </c>
      <c r="K1145" s="211">
        <v>130.0</v>
      </c>
      <c r="L1145" s="207" t="str">
        <f t="shared" si="3"/>
        <v>n/a</v>
      </c>
      <c r="M1145" s="212" t="str">
        <f t="shared" si="4"/>
        <v>n/a</v>
      </c>
      <c r="N1145" s="207" t="str">
        <f t="shared" si="5"/>
        <v>n/a</v>
      </c>
      <c r="O1145" s="207">
        <f t="shared" si="6"/>
        <v>0.007692307692</v>
      </c>
    </row>
    <row r="1146" ht="15.75" customHeight="1">
      <c r="A1146" s="207">
        <v>71.0</v>
      </c>
      <c r="B1146" s="6" t="str">
        <f>VLOOKUP($A1146, 'Completion rates'!$A:$E, 2, FALSE)</f>
        <v>Opening hard caskets</v>
      </c>
      <c r="C1146" s="207">
        <v>12621.0</v>
      </c>
      <c r="D1146" s="6" t="str">
        <f>VLOOKUP($C1146, 'List of log slots'!$A:$E, 2, FALSE)</f>
        <v>Ancient page 1</v>
      </c>
      <c r="E1146" s="207">
        <f>VLOOKUP($C1146, 'List of log slots'!$A:$E, 5, FALSE)</f>
        <v>2</v>
      </c>
      <c r="F1146" s="210" t="b">
        <f>VLOOKUP(C1146, 'List of log slots'!$A:$C, 3, FALSE)</f>
        <v>0</v>
      </c>
      <c r="G1146" s="209" t="b">
        <f t="shared" si="727"/>
        <v>0</v>
      </c>
      <c r="H1146" s="209" t="b">
        <f t="shared" si="7"/>
        <v>1</v>
      </c>
      <c r="I1146" s="208" t="b">
        <f t="shared" ref="I1146:J1146" si="890">FALSE</f>
        <v>0</v>
      </c>
      <c r="J1146" s="208" t="b">
        <f t="shared" si="890"/>
        <v>0</v>
      </c>
      <c r="K1146" s="211">
        <v>130.0</v>
      </c>
      <c r="L1146" s="207" t="str">
        <f t="shared" si="3"/>
        <v>n/a</v>
      </c>
      <c r="M1146" s="212" t="str">
        <f t="shared" si="4"/>
        <v>n/a</v>
      </c>
      <c r="N1146" s="207" t="str">
        <f t="shared" si="5"/>
        <v>n/a</v>
      </c>
      <c r="O1146" s="207">
        <f t="shared" si="6"/>
        <v>0.007692307692</v>
      </c>
    </row>
    <row r="1147" ht="15.75" customHeight="1">
      <c r="A1147" s="207">
        <v>71.0</v>
      </c>
      <c r="B1147" s="6" t="str">
        <f>VLOOKUP($A1147, 'Completion rates'!$A:$E, 2, FALSE)</f>
        <v>Opening hard caskets</v>
      </c>
      <c r="C1147" s="207">
        <v>3828.0</v>
      </c>
      <c r="D1147" s="6" t="str">
        <f>VLOOKUP($C1147, 'List of log slots'!$A:$E, 2, FALSE)</f>
        <v>Saradomin page 2</v>
      </c>
      <c r="E1147" s="207">
        <f>VLOOKUP($C1147, 'List of log slots'!$A:$E, 5, FALSE)</f>
        <v>2</v>
      </c>
      <c r="F1147" s="210" t="b">
        <f>VLOOKUP(C1147, 'List of log slots'!$A:$C, 3, FALSE)</f>
        <v>0</v>
      </c>
      <c r="G1147" s="209" t="b">
        <f t="shared" si="727"/>
        <v>0</v>
      </c>
      <c r="H1147" s="209" t="b">
        <f t="shared" si="7"/>
        <v>1</v>
      </c>
      <c r="I1147" s="208" t="b">
        <f t="shared" ref="I1147:J1147" si="891">FALSE</f>
        <v>0</v>
      </c>
      <c r="J1147" s="208" t="b">
        <f t="shared" si="891"/>
        <v>0</v>
      </c>
      <c r="K1147" s="211">
        <v>130.0</v>
      </c>
      <c r="L1147" s="207" t="str">
        <f t="shared" si="3"/>
        <v>n/a</v>
      </c>
      <c r="M1147" s="212" t="str">
        <f t="shared" si="4"/>
        <v>n/a</v>
      </c>
      <c r="N1147" s="207" t="str">
        <f t="shared" si="5"/>
        <v>n/a</v>
      </c>
      <c r="O1147" s="207">
        <f t="shared" si="6"/>
        <v>0.007692307692</v>
      </c>
    </row>
    <row r="1148" ht="15.75" customHeight="1">
      <c r="A1148" s="207">
        <v>71.0</v>
      </c>
      <c r="B1148" s="6" t="str">
        <f>VLOOKUP($A1148, 'Completion rates'!$A:$E, 2, FALSE)</f>
        <v>Opening hard caskets</v>
      </c>
      <c r="C1148" s="207">
        <v>3832.0</v>
      </c>
      <c r="D1148" s="6" t="str">
        <f>VLOOKUP($C1148, 'List of log slots'!$A:$E, 2, FALSE)</f>
        <v>Zamorak page 2</v>
      </c>
      <c r="E1148" s="207">
        <f>VLOOKUP($C1148, 'List of log slots'!$A:$E, 5, FALSE)</f>
        <v>2</v>
      </c>
      <c r="F1148" s="210" t="b">
        <f>VLOOKUP(C1148, 'List of log slots'!$A:$C, 3, FALSE)</f>
        <v>0</v>
      </c>
      <c r="G1148" s="209" t="b">
        <f t="shared" si="727"/>
        <v>0</v>
      </c>
      <c r="H1148" s="209" t="b">
        <f t="shared" si="7"/>
        <v>1</v>
      </c>
      <c r="I1148" s="208" t="b">
        <f t="shared" ref="I1148:J1148" si="892">FALSE</f>
        <v>0</v>
      </c>
      <c r="J1148" s="208" t="b">
        <f t="shared" si="892"/>
        <v>0</v>
      </c>
      <c r="K1148" s="211">
        <v>130.0</v>
      </c>
      <c r="L1148" s="207" t="str">
        <f t="shared" si="3"/>
        <v>n/a</v>
      </c>
      <c r="M1148" s="212" t="str">
        <f t="shared" si="4"/>
        <v>n/a</v>
      </c>
      <c r="N1148" s="207" t="str">
        <f t="shared" si="5"/>
        <v>n/a</v>
      </c>
      <c r="O1148" s="207">
        <f t="shared" si="6"/>
        <v>0.007692307692</v>
      </c>
    </row>
    <row r="1149" ht="15.75" customHeight="1">
      <c r="A1149" s="207">
        <v>71.0</v>
      </c>
      <c r="B1149" s="6" t="str">
        <f>VLOOKUP($A1149, 'Completion rates'!$A:$E, 2, FALSE)</f>
        <v>Opening hard caskets</v>
      </c>
      <c r="C1149" s="207">
        <v>3836.0</v>
      </c>
      <c r="D1149" s="6" t="str">
        <f>VLOOKUP($C1149, 'List of log slots'!$A:$E, 2, FALSE)</f>
        <v>Guthix page 2</v>
      </c>
      <c r="E1149" s="207">
        <f>VLOOKUP($C1149, 'List of log slots'!$A:$E, 5, FALSE)</f>
        <v>2</v>
      </c>
      <c r="F1149" s="209" t="b">
        <f>VLOOKUP(C1149, 'List of log slots'!$A:$C, 3, FALSE)</f>
        <v>0</v>
      </c>
      <c r="G1149" s="209" t="b">
        <f t="shared" si="727"/>
        <v>0</v>
      </c>
      <c r="H1149" s="210" t="b">
        <f t="shared" si="7"/>
        <v>1</v>
      </c>
      <c r="I1149" s="208" t="b">
        <f t="shared" ref="I1149:J1149" si="893">FALSE</f>
        <v>0</v>
      </c>
      <c r="J1149" s="208" t="b">
        <f t="shared" si="893"/>
        <v>0</v>
      </c>
      <c r="K1149" s="211">
        <v>130.0</v>
      </c>
      <c r="L1149" s="207" t="str">
        <f t="shared" si="3"/>
        <v>n/a</v>
      </c>
      <c r="M1149" s="212" t="str">
        <f t="shared" si="4"/>
        <v>n/a</v>
      </c>
      <c r="N1149" s="207" t="str">
        <f t="shared" si="5"/>
        <v>n/a</v>
      </c>
      <c r="O1149" s="207">
        <f t="shared" si="6"/>
        <v>0.007692307692</v>
      </c>
    </row>
    <row r="1150" ht="15.75" customHeight="1">
      <c r="A1150" s="207">
        <v>71.0</v>
      </c>
      <c r="B1150" s="6" t="str">
        <f>VLOOKUP($A1150, 'Completion rates'!$A:$E, 2, FALSE)</f>
        <v>Opening hard caskets</v>
      </c>
      <c r="C1150" s="207">
        <v>12614.0</v>
      </c>
      <c r="D1150" s="6" t="str">
        <f>VLOOKUP($C1150, 'List of log slots'!$A:$E, 2, FALSE)</f>
        <v>Bandos page 2</v>
      </c>
      <c r="E1150" s="207">
        <f>VLOOKUP($C1150, 'List of log slots'!$A:$E, 5, FALSE)</f>
        <v>2</v>
      </c>
      <c r="F1150" s="210" t="b">
        <f>VLOOKUP(C1150, 'List of log slots'!$A:$C, 3, FALSE)</f>
        <v>0</v>
      </c>
      <c r="G1150" s="209" t="b">
        <f t="shared" si="727"/>
        <v>0</v>
      </c>
      <c r="H1150" s="209" t="b">
        <f t="shared" si="7"/>
        <v>1</v>
      </c>
      <c r="I1150" s="208" t="b">
        <f t="shared" ref="I1150:J1150" si="894">FALSE</f>
        <v>0</v>
      </c>
      <c r="J1150" s="208" t="b">
        <f t="shared" si="894"/>
        <v>0</v>
      </c>
      <c r="K1150" s="211">
        <v>130.0</v>
      </c>
      <c r="L1150" s="207" t="str">
        <f t="shared" si="3"/>
        <v>n/a</v>
      </c>
      <c r="M1150" s="212" t="str">
        <f t="shared" si="4"/>
        <v>n/a</v>
      </c>
      <c r="N1150" s="207" t="str">
        <f t="shared" si="5"/>
        <v>n/a</v>
      </c>
      <c r="O1150" s="207">
        <f t="shared" si="6"/>
        <v>0.007692307692</v>
      </c>
    </row>
    <row r="1151" ht="15.75" customHeight="1">
      <c r="A1151" s="207">
        <v>71.0</v>
      </c>
      <c r="B1151" s="6" t="str">
        <f>VLOOKUP($A1151, 'Completion rates'!$A:$E, 2, FALSE)</f>
        <v>Opening hard caskets</v>
      </c>
      <c r="C1151" s="207">
        <v>12618.0</v>
      </c>
      <c r="D1151" s="6" t="str">
        <f>VLOOKUP($C1151, 'List of log slots'!$A:$E, 2, FALSE)</f>
        <v>Armadyl page 2</v>
      </c>
      <c r="E1151" s="207">
        <f>VLOOKUP($C1151, 'List of log slots'!$A:$E, 5, FALSE)</f>
        <v>2</v>
      </c>
      <c r="F1151" s="210" t="b">
        <f>VLOOKUP(C1151, 'List of log slots'!$A:$C, 3, FALSE)</f>
        <v>0</v>
      </c>
      <c r="G1151" s="209" t="b">
        <f t="shared" si="727"/>
        <v>0</v>
      </c>
      <c r="H1151" s="209" t="b">
        <f t="shared" si="7"/>
        <v>1</v>
      </c>
      <c r="I1151" s="208" t="b">
        <f t="shared" ref="I1151:J1151" si="895">FALSE</f>
        <v>0</v>
      </c>
      <c r="J1151" s="208" t="b">
        <f t="shared" si="895"/>
        <v>0</v>
      </c>
      <c r="K1151" s="211">
        <v>130.0</v>
      </c>
      <c r="L1151" s="207" t="str">
        <f t="shared" si="3"/>
        <v>n/a</v>
      </c>
      <c r="M1151" s="212" t="str">
        <f t="shared" si="4"/>
        <v>n/a</v>
      </c>
      <c r="N1151" s="207" t="str">
        <f t="shared" si="5"/>
        <v>n/a</v>
      </c>
      <c r="O1151" s="207">
        <f t="shared" si="6"/>
        <v>0.007692307692</v>
      </c>
    </row>
    <row r="1152" ht="15.75" customHeight="1">
      <c r="A1152" s="207">
        <v>71.0</v>
      </c>
      <c r="B1152" s="6" t="str">
        <f>VLOOKUP($A1152, 'Completion rates'!$A:$E, 2, FALSE)</f>
        <v>Opening hard caskets</v>
      </c>
      <c r="C1152" s="207">
        <v>12622.0</v>
      </c>
      <c r="D1152" s="6" t="str">
        <f>VLOOKUP($C1152, 'List of log slots'!$A:$E, 2, FALSE)</f>
        <v>Ancient page 2</v>
      </c>
      <c r="E1152" s="207">
        <f>VLOOKUP($C1152, 'List of log slots'!$A:$E, 5, FALSE)</f>
        <v>2</v>
      </c>
      <c r="F1152" s="210" t="b">
        <f>VLOOKUP(C1152, 'List of log slots'!$A:$C, 3, FALSE)</f>
        <v>0</v>
      </c>
      <c r="G1152" s="209" t="b">
        <f t="shared" si="727"/>
        <v>0</v>
      </c>
      <c r="H1152" s="209" t="b">
        <f t="shared" si="7"/>
        <v>1</v>
      </c>
      <c r="I1152" s="208" t="b">
        <f t="shared" ref="I1152:J1152" si="896">FALSE</f>
        <v>0</v>
      </c>
      <c r="J1152" s="208" t="b">
        <f t="shared" si="896"/>
        <v>0</v>
      </c>
      <c r="K1152" s="211">
        <v>130.0</v>
      </c>
      <c r="L1152" s="207" t="str">
        <f t="shared" si="3"/>
        <v>n/a</v>
      </c>
      <c r="M1152" s="212" t="str">
        <f t="shared" si="4"/>
        <v>n/a</v>
      </c>
      <c r="N1152" s="207" t="str">
        <f t="shared" si="5"/>
        <v>n/a</v>
      </c>
      <c r="O1152" s="207">
        <f t="shared" si="6"/>
        <v>0.007692307692</v>
      </c>
    </row>
    <row r="1153" ht="15.75" customHeight="1">
      <c r="A1153" s="207">
        <v>71.0</v>
      </c>
      <c r="B1153" s="6" t="str">
        <f>VLOOKUP($A1153, 'Completion rates'!$A:$E, 2, FALSE)</f>
        <v>Opening hard caskets</v>
      </c>
      <c r="C1153" s="207">
        <v>3829.0</v>
      </c>
      <c r="D1153" s="6" t="str">
        <f>VLOOKUP($C1153, 'List of log slots'!$A:$E, 2, FALSE)</f>
        <v>Saradomin page 3</v>
      </c>
      <c r="E1153" s="207">
        <f>VLOOKUP($C1153, 'List of log slots'!$A:$E, 5, FALSE)</f>
        <v>2</v>
      </c>
      <c r="F1153" s="213" t="b">
        <f>VLOOKUP(C1153, 'List of log slots'!$A:$C, 3, FALSE)</f>
        <v>0</v>
      </c>
      <c r="G1153" s="209" t="b">
        <f t="shared" si="727"/>
        <v>0</v>
      </c>
      <c r="H1153" s="209" t="b">
        <f t="shared" si="7"/>
        <v>1</v>
      </c>
      <c r="I1153" s="208" t="b">
        <f t="shared" ref="I1153:J1153" si="897">FALSE</f>
        <v>0</v>
      </c>
      <c r="J1153" s="208" t="b">
        <f t="shared" si="897"/>
        <v>0</v>
      </c>
      <c r="K1153" s="211">
        <v>130.0</v>
      </c>
      <c r="L1153" s="207" t="str">
        <f t="shared" si="3"/>
        <v>n/a</v>
      </c>
      <c r="M1153" s="212" t="str">
        <f t="shared" si="4"/>
        <v>n/a</v>
      </c>
      <c r="N1153" s="207" t="str">
        <f t="shared" si="5"/>
        <v>n/a</v>
      </c>
      <c r="O1153" s="207">
        <f t="shared" si="6"/>
        <v>0.007692307692</v>
      </c>
    </row>
    <row r="1154" ht="15.75" customHeight="1">
      <c r="A1154" s="207">
        <v>71.0</v>
      </c>
      <c r="B1154" s="6" t="str">
        <f>VLOOKUP($A1154, 'Completion rates'!$A:$E, 2, FALSE)</f>
        <v>Opening hard caskets</v>
      </c>
      <c r="C1154" s="207">
        <v>3833.0</v>
      </c>
      <c r="D1154" s="6" t="str">
        <f>VLOOKUP($C1154, 'List of log slots'!$A:$E, 2, FALSE)</f>
        <v>Zamorak page 3</v>
      </c>
      <c r="E1154" s="207">
        <f>VLOOKUP($C1154, 'List of log slots'!$A:$E, 5, FALSE)</f>
        <v>2</v>
      </c>
      <c r="F1154" s="213" t="b">
        <f>VLOOKUP(C1154, 'List of log slots'!$A:$C, 3, FALSE)</f>
        <v>0</v>
      </c>
      <c r="G1154" s="209" t="b">
        <f t="shared" si="727"/>
        <v>0</v>
      </c>
      <c r="H1154" s="209" t="b">
        <f t="shared" si="7"/>
        <v>1</v>
      </c>
      <c r="I1154" s="208" t="b">
        <f t="shared" ref="I1154:J1154" si="898">FALSE</f>
        <v>0</v>
      </c>
      <c r="J1154" s="208" t="b">
        <f t="shared" si="898"/>
        <v>0</v>
      </c>
      <c r="K1154" s="211">
        <v>130.0</v>
      </c>
      <c r="L1154" s="207" t="str">
        <f t="shared" si="3"/>
        <v>n/a</v>
      </c>
      <c r="M1154" s="212" t="str">
        <f t="shared" si="4"/>
        <v>n/a</v>
      </c>
      <c r="N1154" s="207" t="str">
        <f t="shared" si="5"/>
        <v>n/a</v>
      </c>
      <c r="O1154" s="207">
        <f t="shared" si="6"/>
        <v>0.007692307692</v>
      </c>
    </row>
    <row r="1155" ht="15.75" customHeight="1">
      <c r="A1155" s="207">
        <v>71.0</v>
      </c>
      <c r="B1155" s="6" t="str">
        <f>VLOOKUP($A1155, 'Completion rates'!$A:$E, 2, FALSE)</f>
        <v>Opening hard caskets</v>
      </c>
      <c r="C1155" s="207">
        <v>3837.0</v>
      </c>
      <c r="D1155" s="6" t="str">
        <f>VLOOKUP($C1155, 'List of log slots'!$A:$E, 2, FALSE)</f>
        <v>Guthix page 3</v>
      </c>
      <c r="E1155" s="207">
        <f>VLOOKUP($C1155, 'List of log slots'!$A:$E, 5, FALSE)</f>
        <v>2</v>
      </c>
      <c r="F1155" s="213" t="b">
        <f>VLOOKUP(C1155, 'List of log slots'!$A:$C, 3, FALSE)</f>
        <v>0</v>
      </c>
      <c r="G1155" s="209" t="b">
        <f t="shared" si="727"/>
        <v>0</v>
      </c>
      <c r="H1155" s="209" t="b">
        <f t="shared" si="7"/>
        <v>1</v>
      </c>
      <c r="I1155" s="208" t="b">
        <f t="shared" ref="I1155:J1155" si="899">FALSE</f>
        <v>0</v>
      </c>
      <c r="J1155" s="208" t="b">
        <f t="shared" si="899"/>
        <v>0</v>
      </c>
      <c r="K1155" s="211">
        <v>130.0</v>
      </c>
      <c r="L1155" s="207" t="str">
        <f t="shared" si="3"/>
        <v>n/a</v>
      </c>
      <c r="M1155" s="212" t="str">
        <f t="shared" si="4"/>
        <v>n/a</v>
      </c>
      <c r="N1155" s="207" t="str">
        <f t="shared" si="5"/>
        <v>n/a</v>
      </c>
      <c r="O1155" s="207">
        <f t="shared" si="6"/>
        <v>0.007692307692</v>
      </c>
    </row>
    <row r="1156" ht="15.75" customHeight="1">
      <c r="A1156" s="207">
        <v>71.0</v>
      </c>
      <c r="B1156" s="6" t="str">
        <f>VLOOKUP($A1156, 'Completion rates'!$A:$E, 2, FALSE)</f>
        <v>Opening hard caskets</v>
      </c>
      <c r="C1156" s="207">
        <v>12615.0</v>
      </c>
      <c r="D1156" s="6" t="str">
        <f>VLOOKUP($C1156, 'List of log slots'!$A:$E, 2, FALSE)</f>
        <v>Bandos page 3</v>
      </c>
      <c r="E1156" s="207">
        <f>VLOOKUP($C1156, 'List of log slots'!$A:$E, 5, FALSE)</f>
        <v>2</v>
      </c>
      <c r="F1156" s="213" t="b">
        <f>VLOOKUP(C1156, 'List of log slots'!$A:$C, 3, FALSE)</f>
        <v>0</v>
      </c>
      <c r="G1156" s="209" t="b">
        <f t="shared" si="727"/>
        <v>0</v>
      </c>
      <c r="H1156" s="209" t="b">
        <f t="shared" si="7"/>
        <v>1</v>
      </c>
      <c r="I1156" s="208" t="b">
        <f t="shared" ref="I1156:J1156" si="900">FALSE</f>
        <v>0</v>
      </c>
      <c r="J1156" s="208" t="b">
        <f t="shared" si="900"/>
        <v>0</v>
      </c>
      <c r="K1156" s="211">
        <v>130.0</v>
      </c>
      <c r="L1156" s="207" t="str">
        <f t="shared" si="3"/>
        <v>n/a</v>
      </c>
      <c r="M1156" s="212" t="str">
        <f t="shared" si="4"/>
        <v>n/a</v>
      </c>
      <c r="N1156" s="207" t="str">
        <f t="shared" si="5"/>
        <v>n/a</v>
      </c>
      <c r="O1156" s="207">
        <f t="shared" si="6"/>
        <v>0.007692307692</v>
      </c>
    </row>
    <row r="1157" ht="15.75" customHeight="1">
      <c r="A1157" s="207">
        <v>71.0</v>
      </c>
      <c r="B1157" s="6" t="str">
        <f>VLOOKUP($A1157, 'Completion rates'!$A:$E, 2, FALSE)</f>
        <v>Opening hard caskets</v>
      </c>
      <c r="C1157" s="207">
        <v>12619.0</v>
      </c>
      <c r="D1157" s="6" t="str">
        <f>VLOOKUP($C1157, 'List of log slots'!$A:$E, 2, FALSE)</f>
        <v>Armadyl page 3</v>
      </c>
      <c r="E1157" s="207">
        <f>VLOOKUP($C1157, 'List of log slots'!$A:$E, 5, FALSE)</f>
        <v>2</v>
      </c>
      <c r="F1157" s="213" t="b">
        <f>VLOOKUP(C1157, 'List of log slots'!$A:$C, 3, FALSE)</f>
        <v>0</v>
      </c>
      <c r="G1157" s="209" t="b">
        <f t="shared" si="727"/>
        <v>0</v>
      </c>
      <c r="H1157" s="209" t="b">
        <f t="shared" si="7"/>
        <v>1</v>
      </c>
      <c r="I1157" s="208" t="b">
        <f t="shared" ref="I1157:J1157" si="901">FALSE</f>
        <v>0</v>
      </c>
      <c r="J1157" s="208" t="b">
        <f t="shared" si="901"/>
        <v>0</v>
      </c>
      <c r="K1157" s="211">
        <v>130.0</v>
      </c>
      <c r="L1157" s="207" t="str">
        <f t="shared" si="3"/>
        <v>n/a</v>
      </c>
      <c r="M1157" s="212" t="str">
        <f t="shared" si="4"/>
        <v>n/a</v>
      </c>
      <c r="N1157" s="207" t="str">
        <f t="shared" si="5"/>
        <v>n/a</v>
      </c>
      <c r="O1157" s="207">
        <f t="shared" si="6"/>
        <v>0.007692307692</v>
      </c>
    </row>
    <row r="1158" ht="15.75" customHeight="1">
      <c r="A1158" s="207">
        <v>71.0</v>
      </c>
      <c r="B1158" s="6" t="str">
        <f>VLOOKUP($A1158, 'Completion rates'!$A:$E, 2, FALSE)</f>
        <v>Opening hard caskets</v>
      </c>
      <c r="C1158" s="207">
        <v>12623.0</v>
      </c>
      <c r="D1158" s="6" t="str">
        <f>VLOOKUP($C1158, 'List of log slots'!$A:$E, 2, FALSE)</f>
        <v>Ancient page 3</v>
      </c>
      <c r="E1158" s="207">
        <f>VLOOKUP($C1158, 'List of log slots'!$A:$E, 5, FALSE)</f>
        <v>2</v>
      </c>
      <c r="F1158" s="213" t="b">
        <f>VLOOKUP(C1158, 'List of log slots'!$A:$C, 3, FALSE)</f>
        <v>0</v>
      </c>
      <c r="G1158" s="209" t="b">
        <f t="shared" si="727"/>
        <v>0</v>
      </c>
      <c r="H1158" s="209" t="b">
        <f t="shared" si="7"/>
        <v>1</v>
      </c>
      <c r="I1158" s="208" t="b">
        <f t="shared" ref="I1158:J1158" si="902">FALSE</f>
        <v>0</v>
      </c>
      <c r="J1158" s="208" t="b">
        <f t="shared" si="902"/>
        <v>0</v>
      </c>
      <c r="K1158" s="211">
        <v>130.0</v>
      </c>
      <c r="L1158" s="207" t="str">
        <f t="shared" si="3"/>
        <v>n/a</v>
      </c>
      <c r="M1158" s="212" t="str">
        <f t="shared" si="4"/>
        <v>n/a</v>
      </c>
      <c r="N1158" s="207" t="str">
        <f t="shared" si="5"/>
        <v>n/a</v>
      </c>
      <c r="O1158" s="207">
        <f t="shared" si="6"/>
        <v>0.007692307692</v>
      </c>
    </row>
    <row r="1159" ht="15.75" customHeight="1">
      <c r="A1159" s="207">
        <v>71.0</v>
      </c>
      <c r="B1159" s="6" t="str">
        <f>VLOOKUP($A1159, 'Completion rates'!$A:$E, 2, FALSE)</f>
        <v>Opening hard caskets</v>
      </c>
      <c r="C1159" s="207">
        <v>3830.0</v>
      </c>
      <c r="D1159" s="6" t="str">
        <f>VLOOKUP($C1159, 'List of log slots'!$A:$E, 2, FALSE)</f>
        <v>Saradomin page 4</v>
      </c>
      <c r="E1159" s="207">
        <f>VLOOKUP($C1159, 'List of log slots'!$A:$E, 5, FALSE)</f>
        <v>2</v>
      </c>
      <c r="F1159" s="213" t="b">
        <f>VLOOKUP(C1159, 'List of log slots'!$A:$C, 3, FALSE)</f>
        <v>0</v>
      </c>
      <c r="G1159" s="209" t="b">
        <f t="shared" si="727"/>
        <v>0</v>
      </c>
      <c r="H1159" s="209" t="b">
        <f t="shared" si="7"/>
        <v>1</v>
      </c>
      <c r="I1159" s="208" t="b">
        <f t="shared" ref="I1159:J1159" si="903">FALSE</f>
        <v>0</v>
      </c>
      <c r="J1159" s="208" t="b">
        <f t="shared" si="903"/>
        <v>0</v>
      </c>
      <c r="K1159" s="211">
        <v>130.0</v>
      </c>
      <c r="L1159" s="207" t="str">
        <f t="shared" si="3"/>
        <v>n/a</v>
      </c>
      <c r="M1159" s="212" t="str">
        <f t="shared" si="4"/>
        <v>n/a</v>
      </c>
      <c r="N1159" s="207" t="str">
        <f t="shared" si="5"/>
        <v>n/a</v>
      </c>
      <c r="O1159" s="207">
        <f t="shared" si="6"/>
        <v>0.007692307692</v>
      </c>
    </row>
    <row r="1160" ht="15.75" customHeight="1">
      <c r="A1160" s="207">
        <v>71.0</v>
      </c>
      <c r="B1160" s="6" t="str">
        <f>VLOOKUP($A1160, 'Completion rates'!$A:$E, 2, FALSE)</f>
        <v>Opening hard caskets</v>
      </c>
      <c r="C1160" s="207">
        <v>3834.0</v>
      </c>
      <c r="D1160" s="6" t="str">
        <f>VLOOKUP($C1160, 'List of log slots'!$A:$E, 2, FALSE)</f>
        <v>Zamorak page 4</v>
      </c>
      <c r="E1160" s="207">
        <f>VLOOKUP($C1160, 'List of log slots'!$A:$E, 5, FALSE)</f>
        <v>2</v>
      </c>
      <c r="F1160" s="213" t="b">
        <f>VLOOKUP(C1160, 'List of log slots'!$A:$C, 3, FALSE)</f>
        <v>0</v>
      </c>
      <c r="G1160" s="209" t="b">
        <f t="shared" si="727"/>
        <v>0</v>
      </c>
      <c r="H1160" s="209" t="b">
        <f t="shared" si="7"/>
        <v>1</v>
      </c>
      <c r="I1160" s="208" t="b">
        <f t="shared" ref="I1160:J1160" si="904">FALSE</f>
        <v>0</v>
      </c>
      <c r="J1160" s="208" t="b">
        <f t="shared" si="904"/>
        <v>0</v>
      </c>
      <c r="K1160" s="211">
        <v>130.0</v>
      </c>
      <c r="L1160" s="207" t="str">
        <f t="shared" si="3"/>
        <v>n/a</v>
      </c>
      <c r="M1160" s="212" t="str">
        <f t="shared" si="4"/>
        <v>n/a</v>
      </c>
      <c r="N1160" s="207" t="str">
        <f t="shared" si="5"/>
        <v>n/a</v>
      </c>
      <c r="O1160" s="207">
        <f t="shared" si="6"/>
        <v>0.007692307692</v>
      </c>
    </row>
    <row r="1161" ht="15.75" customHeight="1">
      <c r="A1161" s="207">
        <v>71.0</v>
      </c>
      <c r="B1161" s="6" t="str">
        <f>VLOOKUP($A1161, 'Completion rates'!$A:$E, 2, FALSE)</f>
        <v>Opening hard caskets</v>
      </c>
      <c r="C1161" s="207">
        <v>3838.0</v>
      </c>
      <c r="D1161" s="6" t="str">
        <f>VLOOKUP($C1161, 'List of log slots'!$A:$E, 2, FALSE)</f>
        <v>Guthix page 4</v>
      </c>
      <c r="E1161" s="207">
        <f>VLOOKUP($C1161, 'List of log slots'!$A:$E, 5, FALSE)</f>
        <v>2</v>
      </c>
      <c r="F1161" s="208" t="b">
        <f>VLOOKUP(C1161, 'List of log slots'!$A:$C, 3, FALSE)</f>
        <v>0</v>
      </c>
      <c r="G1161" s="209" t="b">
        <f t="shared" si="727"/>
        <v>0</v>
      </c>
      <c r="H1161" s="210" t="b">
        <f t="shared" si="7"/>
        <v>1</v>
      </c>
      <c r="I1161" s="208" t="b">
        <f t="shared" ref="I1161:J1161" si="905">FALSE</f>
        <v>0</v>
      </c>
      <c r="J1161" s="208" t="b">
        <f t="shared" si="905"/>
        <v>0</v>
      </c>
      <c r="K1161" s="211">
        <v>130.0</v>
      </c>
      <c r="L1161" s="207" t="str">
        <f t="shared" si="3"/>
        <v>n/a</v>
      </c>
      <c r="M1161" s="212" t="str">
        <f t="shared" si="4"/>
        <v>n/a</v>
      </c>
      <c r="N1161" s="207" t="str">
        <f t="shared" si="5"/>
        <v>n/a</v>
      </c>
      <c r="O1161" s="207">
        <f t="shared" si="6"/>
        <v>0.007692307692</v>
      </c>
    </row>
    <row r="1162" ht="15.75" customHeight="1">
      <c r="A1162" s="207">
        <v>71.0</v>
      </c>
      <c r="B1162" s="6" t="str">
        <f>VLOOKUP($A1162, 'Completion rates'!$A:$E, 2, FALSE)</f>
        <v>Opening hard caskets</v>
      </c>
      <c r="C1162" s="207">
        <v>12616.0</v>
      </c>
      <c r="D1162" s="6" t="str">
        <f>VLOOKUP($C1162, 'List of log slots'!$A:$E, 2, FALSE)</f>
        <v>Bandos page 4</v>
      </c>
      <c r="E1162" s="207">
        <f>VLOOKUP($C1162, 'List of log slots'!$A:$E, 5, FALSE)</f>
        <v>2</v>
      </c>
      <c r="F1162" s="213" t="b">
        <f>VLOOKUP(C1162, 'List of log slots'!$A:$C, 3, FALSE)</f>
        <v>0</v>
      </c>
      <c r="G1162" s="209" t="b">
        <f t="shared" si="727"/>
        <v>0</v>
      </c>
      <c r="H1162" s="209" t="b">
        <f t="shared" si="7"/>
        <v>1</v>
      </c>
      <c r="I1162" s="208" t="b">
        <f t="shared" ref="I1162:J1162" si="906">FALSE</f>
        <v>0</v>
      </c>
      <c r="J1162" s="208" t="b">
        <f t="shared" si="906"/>
        <v>0</v>
      </c>
      <c r="K1162" s="211">
        <v>130.0</v>
      </c>
      <c r="L1162" s="207" t="str">
        <f t="shared" si="3"/>
        <v>n/a</v>
      </c>
      <c r="M1162" s="212" t="str">
        <f t="shared" si="4"/>
        <v>n/a</v>
      </c>
      <c r="N1162" s="207" t="str">
        <f t="shared" si="5"/>
        <v>n/a</v>
      </c>
      <c r="O1162" s="207">
        <f t="shared" si="6"/>
        <v>0.007692307692</v>
      </c>
    </row>
    <row r="1163" ht="15.75" customHeight="1">
      <c r="A1163" s="207">
        <v>71.0</v>
      </c>
      <c r="B1163" s="6" t="str">
        <f>VLOOKUP($A1163, 'Completion rates'!$A:$E, 2, FALSE)</f>
        <v>Opening hard caskets</v>
      </c>
      <c r="C1163" s="207">
        <v>12620.0</v>
      </c>
      <c r="D1163" s="6" t="str">
        <f>VLOOKUP($C1163, 'List of log slots'!$A:$E, 2, FALSE)</f>
        <v>Armadyl page 4</v>
      </c>
      <c r="E1163" s="207">
        <f>VLOOKUP($C1163, 'List of log slots'!$A:$E, 5, FALSE)</f>
        <v>2</v>
      </c>
      <c r="F1163" s="213" t="b">
        <f>VLOOKUP(C1163, 'List of log slots'!$A:$C, 3, FALSE)</f>
        <v>0</v>
      </c>
      <c r="G1163" s="209" t="b">
        <f t="shared" si="727"/>
        <v>0</v>
      </c>
      <c r="H1163" s="209" t="b">
        <f t="shared" si="7"/>
        <v>1</v>
      </c>
      <c r="I1163" s="208" t="b">
        <f t="shared" ref="I1163:J1163" si="907">FALSE</f>
        <v>0</v>
      </c>
      <c r="J1163" s="208" t="b">
        <f t="shared" si="907"/>
        <v>0</v>
      </c>
      <c r="K1163" s="211">
        <v>130.0</v>
      </c>
      <c r="L1163" s="207" t="str">
        <f t="shared" si="3"/>
        <v>n/a</v>
      </c>
      <c r="M1163" s="212" t="str">
        <f t="shared" si="4"/>
        <v>n/a</v>
      </c>
      <c r="N1163" s="207" t="str">
        <f t="shared" si="5"/>
        <v>n/a</v>
      </c>
      <c r="O1163" s="207">
        <f t="shared" si="6"/>
        <v>0.007692307692</v>
      </c>
    </row>
    <row r="1164" ht="15.75" customHeight="1">
      <c r="A1164" s="207">
        <v>71.0</v>
      </c>
      <c r="B1164" s="6" t="str">
        <f>VLOOKUP($A1164, 'Completion rates'!$A:$E, 2, FALSE)</f>
        <v>Opening hard caskets</v>
      </c>
      <c r="C1164" s="207">
        <v>12624.0</v>
      </c>
      <c r="D1164" s="6" t="str">
        <f>VLOOKUP($C1164, 'List of log slots'!$A:$E, 2, FALSE)</f>
        <v>Ancient page 4</v>
      </c>
      <c r="E1164" s="207">
        <f>VLOOKUP($C1164, 'List of log slots'!$A:$E, 5, FALSE)</f>
        <v>2</v>
      </c>
      <c r="F1164" s="213" t="b">
        <f>VLOOKUP(C1164, 'List of log slots'!$A:$C, 3, FALSE)</f>
        <v>0</v>
      </c>
      <c r="G1164" s="209" t="b">
        <f t="shared" si="727"/>
        <v>0</v>
      </c>
      <c r="H1164" s="209" t="b">
        <f t="shared" si="7"/>
        <v>1</v>
      </c>
      <c r="I1164" s="208" t="b">
        <f t="shared" ref="I1164:J1164" si="908">FALSE</f>
        <v>0</v>
      </c>
      <c r="J1164" s="208" t="b">
        <f t="shared" si="908"/>
        <v>0</v>
      </c>
      <c r="K1164" s="211">
        <v>130.0</v>
      </c>
      <c r="L1164" s="207" t="str">
        <f t="shared" si="3"/>
        <v>n/a</v>
      </c>
      <c r="M1164" s="212" t="str">
        <f t="shared" si="4"/>
        <v>n/a</v>
      </c>
      <c r="N1164" s="207" t="str">
        <f t="shared" si="5"/>
        <v>n/a</v>
      </c>
      <c r="O1164" s="207">
        <f t="shared" si="6"/>
        <v>0.007692307692</v>
      </c>
    </row>
    <row r="1165" ht="15.75" customHeight="1">
      <c r="A1165" s="207">
        <v>71.0</v>
      </c>
      <c r="B1165" s="6" t="str">
        <f>VLOOKUP($A1165, 'Completion rates'!$A:$E, 2, FALSE)</f>
        <v>Opening hard caskets</v>
      </c>
      <c r="C1165" s="207">
        <v>20220.0</v>
      </c>
      <c r="D1165" s="6" t="str">
        <f>VLOOKUP($C1165, 'List of log slots'!$A:$E, 2, FALSE)</f>
        <v>Holy blessing</v>
      </c>
      <c r="E1165" s="207">
        <f>VLOOKUP($C1165, 'List of log slots'!$A:$E, 5, FALSE)</f>
        <v>2</v>
      </c>
      <c r="F1165" s="213" t="b">
        <f>VLOOKUP(C1165, 'List of log slots'!$A:$C, 3, FALSE)</f>
        <v>0</v>
      </c>
      <c r="G1165" s="209" t="b">
        <f t="shared" si="727"/>
        <v>0</v>
      </c>
      <c r="H1165" s="209" t="b">
        <f t="shared" si="7"/>
        <v>1</v>
      </c>
      <c r="I1165" s="208" t="b">
        <f t="shared" ref="I1165:J1165" si="909">FALSE</f>
        <v>0</v>
      </c>
      <c r="J1165" s="208" t="b">
        <f t="shared" si="909"/>
        <v>0</v>
      </c>
      <c r="K1165" s="211">
        <v>108.0</v>
      </c>
      <c r="L1165" s="207" t="str">
        <f t="shared" si="3"/>
        <v>n/a</v>
      </c>
      <c r="M1165" s="212" t="str">
        <f t="shared" si="4"/>
        <v>n/a</v>
      </c>
      <c r="N1165" s="207" t="str">
        <f t="shared" si="5"/>
        <v>n/a</v>
      </c>
      <c r="O1165" s="207">
        <f t="shared" si="6"/>
        <v>0.009259259259</v>
      </c>
    </row>
    <row r="1166" ht="15.75" customHeight="1">
      <c r="A1166" s="207">
        <v>71.0</v>
      </c>
      <c r="B1166" s="6" t="str">
        <f>VLOOKUP($A1166, 'Completion rates'!$A:$E, 2, FALSE)</f>
        <v>Opening hard caskets</v>
      </c>
      <c r="C1166" s="207">
        <v>20223.0</v>
      </c>
      <c r="D1166" s="6" t="str">
        <f>VLOOKUP($C1166, 'List of log slots'!$A:$E, 2, FALSE)</f>
        <v>Unholy blessing</v>
      </c>
      <c r="E1166" s="207">
        <f>VLOOKUP($C1166, 'List of log slots'!$A:$E, 5, FALSE)</f>
        <v>2</v>
      </c>
      <c r="F1166" s="213" t="b">
        <f>VLOOKUP(C1166, 'List of log slots'!$A:$C, 3, FALSE)</f>
        <v>0</v>
      </c>
      <c r="G1166" s="209" t="b">
        <f t="shared" si="727"/>
        <v>0</v>
      </c>
      <c r="H1166" s="209" t="b">
        <f t="shared" si="7"/>
        <v>1</v>
      </c>
      <c r="I1166" s="208" t="b">
        <f t="shared" ref="I1166:J1166" si="910">FALSE</f>
        <v>0</v>
      </c>
      <c r="J1166" s="208" t="b">
        <f t="shared" si="910"/>
        <v>0</v>
      </c>
      <c r="K1166" s="211">
        <v>108.0</v>
      </c>
      <c r="L1166" s="207" t="str">
        <f t="shared" si="3"/>
        <v>n/a</v>
      </c>
      <c r="M1166" s="212" t="str">
        <f t="shared" si="4"/>
        <v>n/a</v>
      </c>
      <c r="N1166" s="207" t="str">
        <f t="shared" si="5"/>
        <v>n/a</v>
      </c>
      <c r="O1166" s="207">
        <f t="shared" si="6"/>
        <v>0.009259259259</v>
      </c>
    </row>
    <row r="1167" ht="15.75" customHeight="1">
      <c r="A1167" s="207">
        <v>71.0</v>
      </c>
      <c r="B1167" s="6" t="str">
        <f>VLOOKUP($A1167, 'Completion rates'!$A:$E, 2, FALSE)</f>
        <v>Opening hard caskets</v>
      </c>
      <c r="C1167" s="207">
        <v>20226.0</v>
      </c>
      <c r="D1167" s="6" t="str">
        <f>VLOOKUP($C1167, 'List of log slots'!$A:$E, 2, FALSE)</f>
        <v>Peaceful blessing</v>
      </c>
      <c r="E1167" s="207">
        <f>VLOOKUP($C1167, 'List of log slots'!$A:$E, 5, FALSE)</f>
        <v>2</v>
      </c>
      <c r="F1167" s="213" t="b">
        <f>VLOOKUP(C1167, 'List of log slots'!$A:$C, 3, FALSE)</f>
        <v>0</v>
      </c>
      <c r="G1167" s="209" t="b">
        <f t="shared" si="727"/>
        <v>0</v>
      </c>
      <c r="H1167" s="209" t="b">
        <f t="shared" si="7"/>
        <v>1</v>
      </c>
      <c r="I1167" s="208" t="b">
        <f t="shared" ref="I1167:J1167" si="911">FALSE</f>
        <v>0</v>
      </c>
      <c r="J1167" s="208" t="b">
        <f t="shared" si="911"/>
        <v>0</v>
      </c>
      <c r="K1167" s="211">
        <v>108.0</v>
      </c>
      <c r="L1167" s="207" t="str">
        <f t="shared" si="3"/>
        <v>n/a</v>
      </c>
      <c r="M1167" s="212" t="str">
        <f t="shared" si="4"/>
        <v>n/a</v>
      </c>
      <c r="N1167" s="207" t="str">
        <f t="shared" si="5"/>
        <v>n/a</v>
      </c>
      <c r="O1167" s="207">
        <f t="shared" si="6"/>
        <v>0.009259259259</v>
      </c>
    </row>
    <row r="1168" ht="15.75" customHeight="1">
      <c r="A1168" s="207">
        <v>71.0</v>
      </c>
      <c r="B1168" s="6" t="str">
        <f>VLOOKUP($A1168, 'Completion rates'!$A:$E, 2, FALSE)</f>
        <v>Opening hard caskets</v>
      </c>
      <c r="C1168" s="207">
        <v>20232.0</v>
      </c>
      <c r="D1168" s="6" t="str">
        <f>VLOOKUP($C1168, 'List of log slots'!$A:$E, 2, FALSE)</f>
        <v>War blessing</v>
      </c>
      <c r="E1168" s="207">
        <f>VLOOKUP($C1168, 'List of log slots'!$A:$E, 5, FALSE)</f>
        <v>2</v>
      </c>
      <c r="F1168" s="213" t="b">
        <f>VLOOKUP(C1168, 'List of log slots'!$A:$C, 3, FALSE)</f>
        <v>0</v>
      </c>
      <c r="G1168" s="209" t="b">
        <f t="shared" si="727"/>
        <v>0</v>
      </c>
      <c r="H1168" s="209" t="b">
        <f t="shared" si="7"/>
        <v>1</v>
      </c>
      <c r="I1168" s="208" t="b">
        <f t="shared" ref="I1168:J1168" si="912">FALSE</f>
        <v>0</v>
      </c>
      <c r="J1168" s="208" t="b">
        <f t="shared" si="912"/>
        <v>0</v>
      </c>
      <c r="K1168" s="211">
        <v>108.0</v>
      </c>
      <c r="L1168" s="207" t="str">
        <f t="shared" si="3"/>
        <v>n/a</v>
      </c>
      <c r="M1168" s="212" t="str">
        <f t="shared" si="4"/>
        <v>n/a</v>
      </c>
      <c r="N1168" s="207" t="str">
        <f t="shared" si="5"/>
        <v>n/a</v>
      </c>
      <c r="O1168" s="207">
        <f t="shared" si="6"/>
        <v>0.009259259259</v>
      </c>
    </row>
    <row r="1169" ht="15.75" customHeight="1">
      <c r="A1169" s="207">
        <v>71.0</v>
      </c>
      <c r="B1169" s="6" t="str">
        <f>VLOOKUP($A1169, 'Completion rates'!$A:$E, 2, FALSE)</f>
        <v>Opening hard caskets</v>
      </c>
      <c r="C1169" s="207">
        <v>20229.0</v>
      </c>
      <c r="D1169" s="6" t="str">
        <f>VLOOKUP($C1169, 'List of log slots'!$A:$E, 2, FALSE)</f>
        <v>Honourable blessing</v>
      </c>
      <c r="E1169" s="207">
        <f>VLOOKUP($C1169, 'List of log slots'!$A:$E, 5, FALSE)</f>
        <v>2</v>
      </c>
      <c r="F1169" s="213" t="b">
        <f>VLOOKUP(C1169, 'List of log slots'!$A:$C, 3, FALSE)</f>
        <v>0</v>
      </c>
      <c r="G1169" s="209" t="b">
        <f t="shared" si="727"/>
        <v>0</v>
      </c>
      <c r="H1169" s="209" t="b">
        <f t="shared" si="7"/>
        <v>1</v>
      </c>
      <c r="I1169" s="208" t="b">
        <f t="shared" ref="I1169:J1169" si="913">FALSE</f>
        <v>0</v>
      </c>
      <c r="J1169" s="208" t="b">
        <f t="shared" si="913"/>
        <v>0</v>
      </c>
      <c r="K1169" s="211">
        <v>108.0</v>
      </c>
      <c r="L1169" s="207" t="str">
        <f t="shared" si="3"/>
        <v>n/a</v>
      </c>
      <c r="M1169" s="212" t="str">
        <f t="shared" si="4"/>
        <v>n/a</v>
      </c>
      <c r="N1169" s="207" t="str">
        <f t="shared" si="5"/>
        <v>n/a</v>
      </c>
      <c r="O1169" s="207">
        <f t="shared" si="6"/>
        <v>0.009259259259</v>
      </c>
    </row>
    <row r="1170" ht="15.75" customHeight="1">
      <c r="A1170" s="207">
        <v>71.0</v>
      </c>
      <c r="B1170" s="6" t="str">
        <f>VLOOKUP($A1170, 'Completion rates'!$A:$E, 2, FALSE)</f>
        <v>Opening hard caskets</v>
      </c>
      <c r="C1170" s="207">
        <v>20235.0</v>
      </c>
      <c r="D1170" s="6" t="str">
        <f>VLOOKUP($C1170, 'List of log slots'!$A:$E, 2, FALSE)</f>
        <v>Ancient blessing</v>
      </c>
      <c r="E1170" s="207">
        <f>VLOOKUP($C1170, 'List of log slots'!$A:$E, 5, FALSE)</f>
        <v>2</v>
      </c>
      <c r="F1170" s="213" t="b">
        <f>VLOOKUP(C1170, 'List of log slots'!$A:$C, 3, FALSE)</f>
        <v>0</v>
      </c>
      <c r="G1170" s="209" t="b">
        <f t="shared" si="727"/>
        <v>0</v>
      </c>
      <c r="H1170" s="209" t="b">
        <f t="shared" si="7"/>
        <v>1</v>
      </c>
      <c r="I1170" s="208" t="b">
        <f t="shared" ref="I1170:J1170" si="914">FALSE</f>
        <v>0</v>
      </c>
      <c r="J1170" s="208" t="b">
        <f t="shared" si="914"/>
        <v>0</v>
      </c>
      <c r="K1170" s="211">
        <v>108.0</v>
      </c>
      <c r="L1170" s="207" t="str">
        <f t="shared" si="3"/>
        <v>n/a</v>
      </c>
      <c r="M1170" s="212" t="str">
        <f t="shared" si="4"/>
        <v>n/a</v>
      </c>
      <c r="N1170" s="207" t="str">
        <f t="shared" si="5"/>
        <v>n/a</v>
      </c>
      <c r="O1170" s="207">
        <f t="shared" si="6"/>
        <v>0.009259259259</v>
      </c>
    </row>
    <row r="1171" ht="15.75" customHeight="1">
      <c r="A1171" s="207">
        <v>71.0</v>
      </c>
      <c r="B1171" s="6" t="str">
        <f>VLOOKUP($A1171, 'Completion rates'!$A:$E, 2, FALSE)</f>
        <v>Opening hard caskets</v>
      </c>
      <c r="C1171" s="207">
        <v>12402.0</v>
      </c>
      <c r="D1171" s="6" t="str">
        <f>VLOOKUP($C1171, 'List of log slots'!$A:$E, 2, FALSE)</f>
        <v>Nardah teleport</v>
      </c>
      <c r="E1171" s="207">
        <f>VLOOKUP($C1171, 'List of log slots'!$A:$E, 5, FALSE)</f>
        <v>2</v>
      </c>
      <c r="F1171" s="213" t="b">
        <f>VLOOKUP(C1171, 'List of log slots'!$A:$C, 3, FALSE)</f>
        <v>0</v>
      </c>
      <c r="G1171" s="209" t="b">
        <f t="shared" si="727"/>
        <v>0</v>
      </c>
      <c r="H1171" s="209" t="b">
        <f t="shared" si="7"/>
        <v>1</v>
      </c>
      <c r="I1171" s="208" t="b">
        <f t="shared" ref="I1171:J1171" si="915">FALSE</f>
        <v>0</v>
      </c>
      <c r="J1171" s="208" t="b">
        <f t="shared" si="915"/>
        <v>0</v>
      </c>
      <c r="K1171" s="211">
        <v>68.0</v>
      </c>
      <c r="L1171" s="207" t="str">
        <f t="shared" si="3"/>
        <v>n/a</v>
      </c>
      <c r="M1171" s="212" t="str">
        <f t="shared" si="4"/>
        <v>n/a</v>
      </c>
      <c r="N1171" s="207" t="str">
        <f t="shared" si="5"/>
        <v>n/a</v>
      </c>
      <c r="O1171" s="207">
        <f t="shared" si="6"/>
        <v>0.01470588235</v>
      </c>
    </row>
    <row r="1172" ht="15.75" customHeight="1">
      <c r="A1172" s="207">
        <v>71.0</v>
      </c>
      <c r="B1172" s="6" t="str">
        <f>VLOOKUP($A1172, 'Completion rates'!$A:$E, 2, FALSE)</f>
        <v>Opening hard caskets</v>
      </c>
      <c r="C1172" s="207">
        <v>12411.0</v>
      </c>
      <c r="D1172" s="6" t="str">
        <f>VLOOKUP($C1172, 'List of log slots'!$A:$E, 2, FALSE)</f>
        <v>Mos le'harmless teleport</v>
      </c>
      <c r="E1172" s="207">
        <f>VLOOKUP($C1172, 'List of log slots'!$A:$E, 5, FALSE)</f>
        <v>2</v>
      </c>
      <c r="F1172" s="213" t="b">
        <f>VLOOKUP(C1172, 'List of log slots'!$A:$C, 3, FALSE)</f>
        <v>0</v>
      </c>
      <c r="G1172" s="209" t="b">
        <f t="shared" si="727"/>
        <v>0</v>
      </c>
      <c r="H1172" s="209" t="b">
        <f t="shared" si="7"/>
        <v>1</v>
      </c>
      <c r="I1172" s="208" t="b">
        <f t="shared" ref="I1172:J1172" si="916">FALSE</f>
        <v>0</v>
      </c>
      <c r="J1172" s="208" t="b">
        <f t="shared" si="916"/>
        <v>0</v>
      </c>
      <c r="K1172" s="211">
        <v>68.0</v>
      </c>
      <c r="L1172" s="207" t="str">
        <f t="shared" si="3"/>
        <v>n/a</v>
      </c>
      <c r="M1172" s="212" t="str">
        <f t="shared" si="4"/>
        <v>n/a</v>
      </c>
      <c r="N1172" s="207" t="str">
        <f t="shared" si="5"/>
        <v>n/a</v>
      </c>
      <c r="O1172" s="207">
        <f t="shared" si="6"/>
        <v>0.01470588235</v>
      </c>
    </row>
    <row r="1173" ht="15.75" customHeight="1">
      <c r="A1173" s="207">
        <v>71.0</v>
      </c>
      <c r="B1173" s="6" t="str">
        <f>VLOOKUP($A1173, 'Completion rates'!$A:$E, 2, FALSE)</f>
        <v>Opening hard caskets</v>
      </c>
      <c r="C1173" s="207">
        <v>12406.0</v>
      </c>
      <c r="D1173" s="6" t="str">
        <f>VLOOKUP($C1173, 'List of log slots'!$A:$E, 2, FALSE)</f>
        <v>Mort'ton teleport</v>
      </c>
      <c r="E1173" s="207">
        <f>VLOOKUP($C1173, 'List of log slots'!$A:$E, 5, FALSE)</f>
        <v>2</v>
      </c>
      <c r="F1173" s="213" t="b">
        <f>VLOOKUP(C1173, 'List of log slots'!$A:$C, 3, FALSE)</f>
        <v>0</v>
      </c>
      <c r="G1173" s="209" t="b">
        <f t="shared" si="727"/>
        <v>0</v>
      </c>
      <c r="H1173" s="209" t="b">
        <f t="shared" si="7"/>
        <v>1</v>
      </c>
      <c r="I1173" s="208" t="b">
        <f t="shared" ref="I1173:J1173" si="917">FALSE</f>
        <v>0</v>
      </c>
      <c r="J1173" s="208" t="b">
        <f t="shared" si="917"/>
        <v>0</v>
      </c>
      <c r="K1173" s="211">
        <v>68.0</v>
      </c>
      <c r="L1173" s="207" t="str">
        <f t="shared" si="3"/>
        <v>n/a</v>
      </c>
      <c r="M1173" s="212" t="str">
        <f t="shared" si="4"/>
        <v>n/a</v>
      </c>
      <c r="N1173" s="207" t="str">
        <f t="shared" si="5"/>
        <v>n/a</v>
      </c>
      <c r="O1173" s="207">
        <f t="shared" si="6"/>
        <v>0.01470588235</v>
      </c>
    </row>
    <row r="1174" ht="15.75" customHeight="1">
      <c r="A1174" s="207">
        <v>71.0</v>
      </c>
      <c r="B1174" s="6" t="str">
        <f>VLOOKUP($A1174, 'Completion rates'!$A:$E, 2, FALSE)</f>
        <v>Opening hard caskets</v>
      </c>
      <c r="C1174" s="212">
        <v>12404.0</v>
      </c>
      <c r="D1174" s="6" t="str">
        <f>VLOOKUP($C1174, 'List of log slots'!$A:$E, 2, FALSE)</f>
        <v>Feldip hills teleport</v>
      </c>
      <c r="E1174" s="207">
        <f>VLOOKUP($C1174, 'List of log slots'!$A:$E, 5, FALSE)</f>
        <v>2</v>
      </c>
      <c r="F1174" s="213" t="b">
        <f>VLOOKUP(C1174, 'List of log slots'!$A:$C, 3, FALSE)</f>
        <v>0</v>
      </c>
      <c r="G1174" s="209" t="b">
        <f t="shared" si="727"/>
        <v>0</v>
      </c>
      <c r="H1174" s="209" t="b">
        <f t="shared" si="7"/>
        <v>1</v>
      </c>
      <c r="I1174" s="209" t="b">
        <f t="shared" ref="I1174:J1174" si="918">FALSE</f>
        <v>0</v>
      </c>
      <c r="J1174" s="208" t="b">
        <f t="shared" si="918"/>
        <v>0</v>
      </c>
      <c r="K1174" s="214">
        <v>68.0</v>
      </c>
      <c r="L1174" s="207" t="str">
        <f t="shared" si="3"/>
        <v>n/a</v>
      </c>
      <c r="M1174" s="212" t="str">
        <f t="shared" si="4"/>
        <v>n/a</v>
      </c>
      <c r="N1174" s="207" t="str">
        <f t="shared" si="5"/>
        <v>n/a</v>
      </c>
      <c r="O1174" s="207">
        <f t="shared" si="6"/>
        <v>0.01470588235</v>
      </c>
    </row>
    <row r="1175" ht="15.75" customHeight="1">
      <c r="A1175" s="207">
        <v>71.0</v>
      </c>
      <c r="B1175" s="6" t="str">
        <f>VLOOKUP($A1175, 'Completion rates'!$A:$E, 2, FALSE)</f>
        <v>Opening hard caskets</v>
      </c>
      <c r="C1175" s="212">
        <v>12405.0</v>
      </c>
      <c r="D1175" s="6" t="str">
        <f>VLOOKUP($C1175, 'List of log slots'!$A:$E, 2, FALSE)</f>
        <v>Lunar isle teleport</v>
      </c>
      <c r="E1175" s="207">
        <f>VLOOKUP($C1175, 'List of log slots'!$A:$E, 5, FALSE)</f>
        <v>2</v>
      </c>
      <c r="F1175" s="213" t="b">
        <f>VLOOKUP(C1175, 'List of log slots'!$A:$C, 3, FALSE)</f>
        <v>0</v>
      </c>
      <c r="G1175" s="209" t="b">
        <f t="shared" si="727"/>
        <v>0</v>
      </c>
      <c r="H1175" s="209" t="b">
        <f t="shared" si="7"/>
        <v>1</v>
      </c>
      <c r="I1175" s="209" t="b">
        <f t="shared" ref="I1175:J1175" si="919">FALSE</f>
        <v>0</v>
      </c>
      <c r="J1175" s="208" t="b">
        <f t="shared" si="919"/>
        <v>0</v>
      </c>
      <c r="K1175" s="214">
        <v>68.0</v>
      </c>
      <c r="L1175" s="207" t="str">
        <f t="shared" si="3"/>
        <v>n/a</v>
      </c>
      <c r="M1175" s="212" t="str">
        <f t="shared" si="4"/>
        <v>n/a</v>
      </c>
      <c r="N1175" s="207" t="str">
        <f t="shared" si="5"/>
        <v>n/a</v>
      </c>
      <c r="O1175" s="207">
        <f t="shared" si="6"/>
        <v>0.01470588235</v>
      </c>
    </row>
    <row r="1176" ht="15.75" customHeight="1">
      <c r="A1176" s="207">
        <v>71.0</v>
      </c>
      <c r="B1176" s="6" t="str">
        <f>VLOOKUP($A1176, 'Completion rates'!$A:$E, 2, FALSE)</f>
        <v>Opening hard caskets</v>
      </c>
      <c r="C1176" s="207">
        <v>12403.0</v>
      </c>
      <c r="D1176" s="6" t="str">
        <f>VLOOKUP($C1176, 'List of log slots'!$A:$E, 2, FALSE)</f>
        <v>Digsite teleport</v>
      </c>
      <c r="E1176" s="207">
        <f>VLOOKUP($C1176, 'List of log slots'!$A:$E, 5, FALSE)</f>
        <v>2</v>
      </c>
      <c r="F1176" s="213" t="b">
        <f>VLOOKUP(C1176, 'List of log slots'!$A:$C, 3, FALSE)</f>
        <v>0</v>
      </c>
      <c r="G1176" s="209" t="b">
        <f t="shared" si="727"/>
        <v>0</v>
      </c>
      <c r="H1176" s="209" t="b">
        <f t="shared" si="7"/>
        <v>1</v>
      </c>
      <c r="I1176" s="208" t="b">
        <f t="shared" ref="I1176:J1176" si="920">FALSE</f>
        <v>0</v>
      </c>
      <c r="J1176" s="208" t="b">
        <f t="shared" si="920"/>
        <v>0</v>
      </c>
      <c r="K1176" s="214">
        <v>68.0</v>
      </c>
      <c r="L1176" s="207" t="str">
        <f t="shared" si="3"/>
        <v>n/a</v>
      </c>
      <c r="M1176" s="212" t="str">
        <f t="shared" si="4"/>
        <v>n/a</v>
      </c>
      <c r="N1176" s="207" t="str">
        <f t="shared" si="5"/>
        <v>n/a</v>
      </c>
      <c r="O1176" s="207">
        <f t="shared" si="6"/>
        <v>0.01470588235</v>
      </c>
    </row>
    <row r="1177" ht="15.75" customHeight="1">
      <c r="A1177" s="207">
        <v>71.0</v>
      </c>
      <c r="B1177" s="6" t="str">
        <f>VLOOKUP($A1177, 'Completion rates'!$A:$E, 2, FALSE)</f>
        <v>Opening hard caskets</v>
      </c>
      <c r="C1177" s="207">
        <v>12408.0</v>
      </c>
      <c r="D1177" s="6" t="str">
        <f>VLOOKUP($C1177, 'List of log slots'!$A:$E, 2, FALSE)</f>
        <v>Piscatoris teleport</v>
      </c>
      <c r="E1177" s="207">
        <f>VLOOKUP($C1177, 'List of log slots'!$A:$E, 5, FALSE)</f>
        <v>2</v>
      </c>
      <c r="F1177" s="213" t="b">
        <f>VLOOKUP(C1177, 'List of log slots'!$A:$C, 3, FALSE)</f>
        <v>0</v>
      </c>
      <c r="G1177" s="209" t="b">
        <f t="shared" si="727"/>
        <v>0</v>
      </c>
      <c r="H1177" s="209" t="b">
        <f t="shared" si="7"/>
        <v>1</v>
      </c>
      <c r="I1177" s="208" t="b">
        <f t="shared" ref="I1177:J1177" si="921">FALSE</f>
        <v>0</v>
      </c>
      <c r="J1177" s="208" t="b">
        <f t="shared" si="921"/>
        <v>0</v>
      </c>
      <c r="K1177" s="211">
        <v>68.0</v>
      </c>
      <c r="L1177" s="207" t="str">
        <f t="shared" si="3"/>
        <v>n/a</v>
      </c>
      <c r="M1177" s="212" t="str">
        <f t="shared" si="4"/>
        <v>n/a</v>
      </c>
      <c r="N1177" s="207" t="str">
        <f t="shared" si="5"/>
        <v>n/a</v>
      </c>
      <c r="O1177" s="207">
        <f t="shared" si="6"/>
        <v>0.01470588235</v>
      </c>
    </row>
    <row r="1178" ht="15.75" customHeight="1">
      <c r="A1178" s="207">
        <v>71.0</v>
      </c>
      <c r="B1178" s="6" t="str">
        <f>VLOOKUP($A1178, 'Completion rates'!$A:$E, 2, FALSE)</f>
        <v>Opening hard caskets</v>
      </c>
      <c r="C1178" s="207">
        <v>12407.0</v>
      </c>
      <c r="D1178" s="6" t="str">
        <f>VLOOKUP($C1178, 'List of log slots'!$A:$E, 2, FALSE)</f>
        <v>Pest control teleport</v>
      </c>
      <c r="E1178" s="207">
        <f>VLOOKUP($C1178, 'List of log slots'!$A:$E, 5, FALSE)</f>
        <v>2</v>
      </c>
      <c r="F1178" s="213" t="b">
        <f>VLOOKUP(C1178, 'List of log slots'!$A:$C, 3, FALSE)</f>
        <v>0</v>
      </c>
      <c r="G1178" s="209" t="b">
        <f t="shared" si="727"/>
        <v>0</v>
      </c>
      <c r="H1178" s="209" t="b">
        <f t="shared" si="7"/>
        <v>1</v>
      </c>
      <c r="I1178" s="208" t="b">
        <f t="shared" ref="I1178:J1178" si="922">FALSE</f>
        <v>0</v>
      </c>
      <c r="J1178" s="208" t="b">
        <f t="shared" si="922"/>
        <v>0</v>
      </c>
      <c r="K1178" s="211">
        <v>68.0</v>
      </c>
      <c r="L1178" s="207" t="str">
        <f t="shared" si="3"/>
        <v>n/a</v>
      </c>
      <c r="M1178" s="212" t="str">
        <f t="shared" si="4"/>
        <v>n/a</v>
      </c>
      <c r="N1178" s="207" t="str">
        <f t="shared" si="5"/>
        <v>n/a</v>
      </c>
      <c r="O1178" s="207">
        <f t="shared" si="6"/>
        <v>0.01470588235</v>
      </c>
    </row>
    <row r="1179" ht="15.75" customHeight="1">
      <c r="A1179" s="207">
        <v>71.0</v>
      </c>
      <c r="B1179" s="6" t="str">
        <f>VLOOKUP($A1179, 'Completion rates'!$A:$E, 2, FALSE)</f>
        <v>Opening hard caskets</v>
      </c>
      <c r="C1179" s="207">
        <v>12409.0</v>
      </c>
      <c r="D1179" s="6" t="str">
        <f>VLOOKUP($C1179, 'List of log slots'!$A:$E, 2, FALSE)</f>
        <v>Tai bwo wannai teleport</v>
      </c>
      <c r="E1179" s="207">
        <f>VLOOKUP($C1179, 'List of log slots'!$A:$E, 5, FALSE)</f>
        <v>2</v>
      </c>
      <c r="F1179" s="213" t="b">
        <f>VLOOKUP(C1179, 'List of log slots'!$A:$C, 3, FALSE)</f>
        <v>0</v>
      </c>
      <c r="G1179" s="209" t="b">
        <f t="shared" si="727"/>
        <v>0</v>
      </c>
      <c r="H1179" s="209" t="b">
        <f t="shared" si="7"/>
        <v>1</v>
      </c>
      <c r="I1179" s="208" t="b">
        <f t="shared" ref="I1179:J1179" si="923">FALSE</f>
        <v>0</v>
      </c>
      <c r="J1179" s="208" t="b">
        <f t="shared" si="923"/>
        <v>0</v>
      </c>
      <c r="K1179" s="211">
        <v>68.0</v>
      </c>
      <c r="L1179" s="207" t="str">
        <f t="shared" si="3"/>
        <v>n/a</v>
      </c>
      <c r="M1179" s="212" t="str">
        <f t="shared" si="4"/>
        <v>n/a</v>
      </c>
      <c r="N1179" s="207" t="str">
        <f t="shared" si="5"/>
        <v>n/a</v>
      </c>
      <c r="O1179" s="207">
        <f t="shared" si="6"/>
        <v>0.01470588235</v>
      </c>
    </row>
    <row r="1180" ht="15.75" customHeight="1">
      <c r="A1180" s="207">
        <v>71.0</v>
      </c>
      <c r="B1180" s="6" t="str">
        <f>VLOOKUP($A1180, 'Completion rates'!$A:$E, 2, FALSE)</f>
        <v>Opening hard caskets</v>
      </c>
      <c r="C1180" s="207">
        <v>12642.0</v>
      </c>
      <c r="D1180" s="6" t="str">
        <f>VLOOKUP($C1180, 'List of log slots'!$A:$E, 2, FALSE)</f>
        <v>Lumberyard teleport</v>
      </c>
      <c r="E1180" s="207">
        <f>VLOOKUP($C1180, 'List of log slots'!$A:$E, 5, FALSE)</f>
        <v>2</v>
      </c>
      <c r="F1180" s="213" t="b">
        <f>VLOOKUP(C1180, 'List of log slots'!$A:$C, 3, FALSE)</f>
        <v>0</v>
      </c>
      <c r="G1180" s="209" t="b">
        <f t="shared" si="727"/>
        <v>0</v>
      </c>
      <c r="H1180" s="209" t="b">
        <f t="shared" si="7"/>
        <v>1</v>
      </c>
      <c r="I1180" s="208" t="b">
        <f t="shared" ref="I1180:J1180" si="924">FALSE</f>
        <v>0</v>
      </c>
      <c r="J1180" s="208" t="b">
        <f t="shared" si="924"/>
        <v>0</v>
      </c>
      <c r="K1180" s="211">
        <v>68.0</v>
      </c>
      <c r="L1180" s="207" t="str">
        <f t="shared" si="3"/>
        <v>n/a</v>
      </c>
      <c r="M1180" s="212" t="str">
        <f t="shared" si="4"/>
        <v>n/a</v>
      </c>
      <c r="N1180" s="207" t="str">
        <f t="shared" si="5"/>
        <v>n/a</v>
      </c>
      <c r="O1180" s="207">
        <f t="shared" si="6"/>
        <v>0.01470588235</v>
      </c>
    </row>
    <row r="1181" ht="15.75" customHeight="1">
      <c r="A1181" s="207">
        <v>71.0</v>
      </c>
      <c r="B1181" s="6" t="str">
        <f>VLOOKUP($A1181, 'Completion rates'!$A:$E, 2, FALSE)</f>
        <v>Opening hard caskets</v>
      </c>
      <c r="C1181" s="207">
        <v>12410.0</v>
      </c>
      <c r="D1181" s="6" t="str">
        <f>VLOOKUP($C1181, 'List of log slots'!$A:$E, 2, FALSE)</f>
        <v>Iorwerth camp teleport</v>
      </c>
      <c r="E1181" s="207">
        <f>VLOOKUP($C1181, 'List of log slots'!$A:$E, 5, FALSE)</f>
        <v>2</v>
      </c>
      <c r="F1181" s="213" t="b">
        <f>VLOOKUP(C1181, 'List of log slots'!$A:$C, 3, FALSE)</f>
        <v>0</v>
      </c>
      <c r="G1181" s="209" t="b">
        <f t="shared" si="727"/>
        <v>0</v>
      </c>
      <c r="H1181" s="209" t="b">
        <f t="shared" si="7"/>
        <v>1</v>
      </c>
      <c r="I1181" s="208" t="b">
        <f t="shared" ref="I1181:J1181" si="925">FALSE</f>
        <v>0</v>
      </c>
      <c r="J1181" s="208" t="b">
        <f t="shared" si="925"/>
        <v>0</v>
      </c>
      <c r="K1181" s="211">
        <v>68.0</v>
      </c>
      <c r="L1181" s="207" t="str">
        <f t="shared" si="3"/>
        <v>n/a</v>
      </c>
      <c r="M1181" s="212" t="str">
        <f t="shared" si="4"/>
        <v>n/a</v>
      </c>
      <c r="N1181" s="207" t="str">
        <f t="shared" si="5"/>
        <v>n/a</v>
      </c>
      <c r="O1181" s="207">
        <f t="shared" si="6"/>
        <v>0.01470588235</v>
      </c>
    </row>
    <row r="1182" ht="15.75" customHeight="1">
      <c r="A1182" s="207">
        <v>71.0</v>
      </c>
      <c r="B1182" s="6" t="str">
        <f>VLOOKUP($A1182, 'Completion rates'!$A:$E, 2, FALSE)</f>
        <v>Opening hard caskets</v>
      </c>
      <c r="C1182" s="207">
        <v>21387.0</v>
      </c>
      <c r="D1182" s="6" t="str">
        <f>VLOOKUP($C1182, 'List of log slots'!$A:$E, 2, FALSE)</f>
        <v>Master scroll book (empty)</v>
      </c>
      <c r="E1182" s="207">
        <f>VLOOKUP($C1182, 'List of log slots'!$A:$E, 5, FALSE)</f>
        <v>2</v>
      </c>
      <c r="F1182" s="213" t="b">
        <f>VLOOKUP(C1182, 'List of log slots'!$A:$C, 3, FALSE)</f>
        <v>0</v>
      </c>
      <c r="G1182" s="209" t="b">
        <f t="shared" si="727"/>
        <v>0</v>
      </c>
      <c r="H1182" s="209" t="b">
        <f t="shared" si="7"/>
        <v>1</v>
      </c>
      <c r="I1182" s="208" t="b">
        <f t="shared" ref="I1182:J1182" si="926">FALSE</f>
        <v>0</v>
      </c>
      <c r="J1182" s="208" t="b">
        <f t="shared" si="926"/>
        <v>0</v>
      </c>
      <c r="K1182" s="211">
        <v>119.0</v>
      </c>
      <c r="L1182" s="207" t="str">
        <f t="shared" si="3"/>
        <v>n/a</v>
      </c>
      <c r="M1182" s="212" t="str">
        <f t="shared" si="4"/>
        <v>n/a</v>
      </c>
      <c r="N1182" s="207" t="str">
        <f t="shared" si="5"/>
        <v>n/a</v>
      </c>
      <c r="O1182" s="207">
        <f t="shared" si="6"/>
        <v>0.008403361345</v>
      </c>
    </row>
    <row r="1183" ht="15.75" customHeight="1">
      <c r="A1183" s="207">
        <v>71.0</v>
      </c>
      <c r="B1183" s="6" t="str">
        <f>VLOOKUP($A1183, 'Completion rates'!$A:$E, 2, FALSE)</f>
        <v>Opening hard caskets</v>
      </c>
      <c r="C1183" s="207">
        <v>7329.0</v>
      </c>
      <c r="D1183" s="6" t="str">
        <f>VLOOKUP($C1183, 'List of log slots'!$A:$E, 2, FALSE)</f>
        <v>Red firelighter</v>
      </c>
      <c r="E1183" s="207">
        <f>VLOOKUP($C1183, 'List of log slots'!$A:$E, 5, FALSE)</f>
        <v>2</v>
      </c>
      <c r="F1183" s="213" t="b">
        <f>VLOOKUP(C1183, 'List of log slots'!$A:$C, 3, FALSE)</f>
        <v>0</v>
      </c>
      <c r="G1183" s="209" t="b">
        <f t="shared" si="727"/>
        <v>0</v>
      </c>
      <c r="H1183" s="209" t="b">
        <f t="shared" si="7"/>
        <v>1</v>
      </c>
      <c r="I1183" s="208" t="b">
        <f t="shared" ref="I1183:J1183" si="927">FALSE</f>
        <v>0</v>
      </c>
      <c r="J1183" s="208" t="b">
        <f t="shared" si="927"/>
        <v>0</v>
      </c>
      <c r="K1183" s="211">
        <v>27.0</v>
      </c>
      <c r="L1183" s="207" t="str">
        <f t="shared" si="3"/>
        <v>n/a</v>
      </c>
      <c r="M1183" s="212" t="str">
        <f t="shared" si="4"/>
        <v>n/a</v>
      </c>
      <c r="N1183" s="207" t="str">
        <f t="shared" si="5"/>
        <v>n/a</v>
      </c>
      <c r="O1183" s="207">
        <f t="shared" si="6"/>
        <v>0.03703703704</v>
      </c>
    </row>
    <row r="1184" ht="15.75" customHeight="1">
      <c r="A1184" s="207">
        <v>71.0</v>
      </c>
      <c r="B1184" s="6" t="str">
        <f>VLOOKUP($A1184, 'Completion rates'!$A:$E, 2, FALSE)</f>
        <v>Opening hard caskets</v>
      </c>
      <c r="C1184" s="207">
        <v>7330.0</v>
      </c>
      <c r="D1184" s="6" t="str">
        <f>VLOOKUP($C1184, 'List of log slots'!$A:$E, 2, FALSE)</f>
        <v>Green firelighter</v>
      </c>
      <c r="E1184" s="207">
        <f>VLOOKUP($C1184, 'List of log slots'!$A:$E, 5, FALSE)</f>
        <v>2</v>
      </c>
      <c r="F1184" s="213" t="b">
        <f>VLOOKUP(C1184, 'List of log slots'!$A:$C, 3, FALSE)</f>
        <v>0</v>
      </c>
      <c r="G1184" s="209" t="b">
        <f t="shared" si="727"/>
        <v>0</v>
      </c>
      <c r="H1184" s="209" t="b">
        <f t="shared" si="7"/>
        <v>1</v>
      </c>
      <c r="I1184" s="208" t="b">
        <f t="shared" ref="I1184:J1184" si="928">FALSE</f>
        <v>0</v>
      </c>
      <c r="J1184" s="208" t="b">
        <f t="shared" si="928"/>
        <v>0</v>
      </c>
      <c r="K1184" s="211">
        <v>27.0</v>
      </c>
      <c r="L1184" s="207" t="str">
        <f t="shared" si="3"/>
        <v>n/a</v>
      </c>
      <c r="M1184" s="212" t="str">
        <f t="shared" si="4"/>
        <v>n/a</v>
      </c>
      <c r="N1184" s="207" t="str">
        <f t="shared" si="5"/>
        <v>n/a</v>
      </c>
      <c r="O1184" s="207">
        <f t="shared" si="6"/>
        <v>0.03703703704</v>
      </c>
    </row>
    <row r="1185" ht="15.75" customHeight="1">
      <c r="A1185" s="207">
        <v>71.0</v>
      </c>
      <c r="B1185" s="6" t="str">
        <f>VLOOKUP($A1185, 'Completion rates'!$A:$E, 2, FALSE)</f>
        <v>Opening hard caskets</v>
      </c>
      <c r="C1185" s="207">
        <v>7331.0</v>
      </c>
      <c r="D1185" s="6" t="str">
        <f>VLOOKUP($C1185, 'List of log slots'!$A:$E, 2, FALSE)</f>
        <v>Blue firelighter</v>
      </c>
      <c r="E1185" s="207">
        <f>VLOOKUP($C1185, 'List of log slots'!$A:$E, 5, FALSE)</f>
        <v>2</v>
      </c>
      <c r="F1185" s="213" t="b">
        <f>VLOOKUP(C1185, 'List of log slots'!$A:$C, 3, FALSE)</f>
        <v>0</v>
      </c>
      <c r="G1185" s="209" t="b">
        <f t="shared" si="727"/>
        <v>0</v>
      </c>
      <c r="H1185" s="209" t="b">
        <f t="shared" si="7"/>
        <v>1</v>
      </c>
      <c r="I1185" s="208" t="b">
        <f t="shared" ref="I1185:J1185" si="929">FALSE</f>
        <v>0</v>
      </c>
      <c r="J1185" s="208" t="b">
        <f t="shared" si="929"/>
        <v>0</v>
      </c>
      <c r="K1185" s="211">
        <v>27.0</v>
      </c>
      <c r="L1185" s="207" t="str">
        <f t="shared" si="3"/>
        <v>n/a</v>
      </c>
      <c r="M1185" s="212" t="str">
        <f t="shared" si="4"/>
        <v>n/a</v>
      </c>
      <c r="N1185" s="207" t="str">
        <f t="shared" si="5"/>
        <v>n/a</v>
      </c>
      <c r="O1185" s="207">
        <f t="shared" si="6"/>
        <v>0.03703703704</v>
      </c>
    </row>
    <row r="1186" ht="15.75" customHeight="1">
      <c r="A1186" s="207">
        <v>71.0</v>
      </c>
      <c r="B1186" s="6" t="str">
        <f>VLOOKUP($A1186, 'Completion rates'!$A:$E, 2, FALSE)</f>
        <v>Opening hard caskets</v>
      </c>
      <c r="C1186" s="207">
        <v>10326.0</v>
      </c>
      <c r="D1186" s="6" t="str">
        <f>VLOOKUP($C1186, 'List of log slots'!$A:$E, 2, FALSE)</f>
        <v>Purple firelighter</v>
      </c>
      <c r="E1186" s="207">
        <f>VLOOKUP($C1186, 'List of log slots'!$A:$E, 5, FALSE)</f>
        <v>2</v>
      </c>
      <c r="F1186" s="213" t="b">
        <f>VLOOKUP(C1186, 'List of log slots'!$A:$C, 3, FALSE)</f>
        <v>0</v>
      </c>
      <c r="G1186" s="209" t="b">
        <f t="shared" si="727"/>
        <v>0</v>
      </c>
      <c r="H1186" s="209" t="b">
        <f t="shared" si="7"/>
        <v>1</v>
      </c>
      <c r="I1186" s="208" t="b">
        <f t="shared" ref="I1186:J1186" si="930">FALSE</f>
        <v>0</v>
      </c>
      <c r="J1186" s="208" t="b">
        <f t="shared" si="930"/>
        <v>0</v>
      </c>
      <c r="K1186" s="211">
        <v>27.0</v>
      </c>
      <c r="L1186" s="207" t="str">
        <f t="shared" si="3"/>
        <v>n/a</v>
      </c>
      <c r="M1186" s="212" t="str">
        <f t="shared" si="4"/>
        <v>n/a</v>
      </c>
      <c r="N1186" s="207" t="str">
        <f t="shared" si="5"/>
        <v>n/a</v>
      </c>
      <c r="O1186" s="207">
        <f t="shared" si="6"/>
        <v>0.03703703704</v>
      </c>
    </row>
    <row r="1187" ht="15.75" customHeight="1">
      <c r="A1187" s="207">
        <v>71.0</v>
      </c>
      <c r="B1187" s="6" t="str">
        <f>VLOOKUP($A1187, 'Completion rates'!$A:$E, 2, FALSE)</f>
        <v>Opening hard caskets</v>
      </c>
      <c r="C1187" s="207">
        <v>10327.0</v>
      </c>
      <c r="D1187" s="6" t="str">
        <f>VLOOKUP($C1187, 'List of log slots'!$A:$E, 2, FALSE)</f>
        <v>White firelighter</v>
      </c>
      <c r="E1187" s="207">
        <f>VLOOKUP($C1187, 'List of log slots'!$A:$E, 5, FALSE)</f>
        <v>2</v>
      </c>
      <c r="F1187" s="213" t="b">
        <f>VLOOKUP(C1187, 'List of log slots'!$A:$C, 3, FALSE)</f>
        <v>0</v>
      </c>
      <c r="G1187" s="209" t="b">
        <f t="shared" si="727"/>
        <v>0</v>
      </c>
      <c r="H1187" s="209" t="b">
        <f t="shared" si="7"/>
        <v>1</v>
      </c>
      <c r="I1187" s="208" t="b">
        <f t="shared" ref="I1187:J1187" si="931">FALSE</f>
        <v>0</v>
      </c>
      <c r="J1187" s="208" t="b">
        <f t="shared" si="931"/>
        <v>0</v>
      </c>
      <c r="K1187" s="211">
        <v>27.0</v>
      </c>
      <c r="L1187" s="207" t="str">
        <f t="shared" si="3"/>
        <v>n/a</v>
      </c>
      <c r="M1187" s="212" t="str">
        <f t="shared" si="4"/>
        <v>n/a</v>
      </c>
      <c r="N1187" s="207" t="str">
        <f t="shared" si="5"/>
        <v>n/a</v>
      </c>
      <c r="O1187" s="207">
        <f t="shared" si="6"/>
        <v>0.03703703704</v>
      </c>
    </row>
    <row r="1188" ht="15.75" customHeight="1">
      <c r="A1188" s="207">
        <v>71.0</v>
      </c>
      <c r="B1188" s="6" t="str">
        <f>VLOOKUP($A1188, 'Completion rates'!$A:$E, 2, FALSE)</f>
        <v>Opening hard caskets</v>
      </c>
      <c r="C1188" s="207">
        <v>20238.0</v>
      </c>
      <c r="D1188" s="6" t="str">
        <f>VLOOKUP($C1188, 'List of log slots'!$A:$E, 2, FALSE)</f>
        <v>Charge dragonstone jewellery scroll</v>
      </c>
      <c r="E1188" s="207">
        <f>VLOOKUP($C1188, 'List of log slots'!$A:$E, 5, FALSE)</f>
        <v>2</v>
      </c>
      <c r="F1188" s="213" t="b">
        <f>VLOOKUP(C1188, 'List of log slots'!$A:$C, 3, FALSE)</f>
        <v>0</v>
      </c>
      <c r="G1188" s="209" t="b">
        <f t="shared" si="727"/>
        <v>0</v>
      </c>
      <c r="H1188" s="209" t="b">
        <f t="shared" si="7"/>
        <v>1</v>
      </c>
      <c r="I1188" s="208" t="b">
        <f t="shared" ref="I1188:J1188" si="932">FALSE</f>
        <v>0</v>
      </c>
      <c r="J1188" s="208" t="b">
        <f t="shared" si="932"/>
        <v>0</v>
      </c>
      <c r="K1188" s="211">
        <v>68.0</v>
      </c>
      <c r="L1188" s="207" t="str">
        <f t="shared" si="3"/>
        <v>n/a</v>
      </c>
      <c r="M1188" s="212" t="str">
        <f t="shared" si="4"/>
        <v>n/a</v>
      </c>
      <c r="N1188" s="207" t="str">
        <f t="shared" si="5"/>
        <v>n/a</v>
      </c>
      <c r="O1188" s="207">
        <f t="shared" si="6"/>
        <v>0.01470588235</v>
      </c>
    </row>
    <row r="1189" ht="15.75" customHeight="1">
      <c r="A1189" s="207">
        <v>71.0</v>
      </c>
      <c r="B1189" s="6" t="str">
        <f>VLOOKUP($A1189, 'Completion rates'!$A:$E, 2, FALSE)</f>
        <v>Opening hard caskets</v>
      </c>
      <c r="C1189" s="207">
        <v>10476.0</v>
      </c>
      <c r="D1189" s="6" t="str">
        <f>VLOOKUP($C1189, 'List of log slots'!$A:$E, 2, FALSE)</f>
        <v>Purple sweets</v>
      </c>
      <c r="E1189" s="207">
        <f>VLOOKUP($C1189, 'List of log slots'!$A:$E, 5, FALSE)</f>
        <v>2</v>
      </c>
      <c r="F1189" s="213" t="b">
        <f>VLOOKUP(C1189, 'List of log slots'!$A:$C, 3, FALSE)</f>
        <v>0</v>
      </c>
      <c r="G1189" s="209" t="b">
        <f t="shared" si="727"/>
        <v>0</v>
      </c>
      <c r="H1189" s="209" t="b">
        <f t="shared" si="7"/>
        <v>1</v>
      </c>
      <c r="I1189" s="208" t="b">
        <f t="shared" ref="I1189:J1189" si="933">FALSE</f>
        <v>0</v>
      </c>
      <c r="J1189" s="208" t="b">
        <f t="shared" si="933"/>
        <v>0</v>
      </c>
      <c r="K1189" s="211">
        <v>4.0</v>
      </c>
      <c r="L1189" s="207" t="str">
        <f t="shared" si="3"/>
        <v>n/a</v>
      </c>
      <c r="M1189" s="212" t="str">
        <f t="shared" si="4"/>
        <v>n/a</v>
      </c>
      <c r="N1189" s="207" t="str">
        <f t="shared" si="5"/>
        <v>n/a</v>
      </c>
      <c r="O1189" s="207">
        <f t="shared" si="6"/>
        <v>0.25</v>
      </c>
    </row>
    <row r="1190" ht="15.75" customHeight="1">
      <c r="A1190" s="207">
        <v>71.0</v>
      </c>
      <c r="B1190" s="6" t="str">
        <f>VLOOKUP($A1190, 'Completion rates'!$A:$E, 2, FALSE)</f>
        <v>Opening hard caskets</v>
      </c>
      <c r="C1190" s="207">
        <v>30914.0</v>
      </c>
      <c r="D1190" s="6" t="str">
        <f>VLOOKUP($C1190, 'List of log slots'!$A:$E, 2, FALSE)</f>
        <v>Minor hard scroll case</v>
      </c>
      <c r="E1190" s="207">
        <f>VLOOKUP($C1190, 'List of log slots'!$A:$E, 5, FALSE)</f>
        <v>5</v>
      </c>
      <c r="F1190" s="213" t="b">
        <f>VLOOKUP(C1190, 'List of log slots'!$A:$C, 3, FALSE)</f>
        <v>0</v>
      </c>
      <c r="G1190" s="209" t="b">
        <f t="shared" si="727"/>
        <v>0</v>
      </c>
      <c r="H1190" s="209" t="b">
        <f t="shared" si="7"/>
        <v>1</v>
      </c>
      <c r="I1190" s="213" t="b">
        <f t="shared" ref="I1190:I1191" si="934">TRUE</f>
        <v>1</v>
      </c>
      <c r="J1190" s="208" t="b">
        <f t="shared" ref="J1190:J1191" si="935">FALSE</f>
        <v>0</v>
      </c>
      <c r="K1190" s="211">
        <v>50.0</v>
      </c>
      <c r="L1190" s="207" t="str">
        <f t="shared" si="3"/>
        <v>n/a</v>
      </c>
      <c r="M1190" s="212">
        <f t="shared" si="4"/>
        <v>50</v>
      </c>
      <c r="N1190" s="207" t="str">
        <f t="shared" si="5"/>
        <v>n/a</v>
      </c>
      <c r="O1190" s="207" t="str">
        <f t="shared" si="6"/>
        <v>n/a</v>
      </c>
    </row>
    <row r="1191" ht="15.75" customHeight="1">
      <c r="A1191" s="207">
        <v>71.0</v>
      </c>
      <c r="B1191" s="6" t="str">
        <f>VLOOKUP($A1191, 'Completion rates'!$A:$E, 2, FALSE)</f>
        <v>Opening hard caskets</v>
      </c>
      <c r="C1191" s="207">
        <v>30916.0</v>
      </c>
      <c r="D1191" s="6" t="str">
        <f>VLOOKUP($C1191, 'List of log slots'!$A:$E, 2, FALSE)</f>
        <v>Major hard scroll case</v>
      </c>
      <c r="E1191" s="207">
        <f>VLOOKUP($C1191, 'List of log slots'!$A:$E, 5, FALSE)</f>
        <v>6</v>
      </c>
      <c r="F1191" s="213" t="b">
        <f>VLOOKUP(C1191, 'List of log slots'!$A:$C, 3, FALSE)</f>
        <v>0</v>
      </c>
      <c r="G1191" s="210" t="b">
        <f>TRUE</f>
        <v>1</v>
      </c>
      <c r="H1191" s="209" t="b">
        <f t="shared" si="7"/>
        <v>0</v>
      </c>
      <c r="I1191" s="213" t="b">
        <f t="shared" si="934"/>
        <v>1</v>
      </c>
      <c r="J1191" s="208" t="b">
        <f t="shared" si="935"/>
        <v>0</v>
      </c>
      <c r="K1191" s="211">
        <v>100.0</v>
      </c>
      <c r="L1191" s="207" t="str">
        <f t="shared" si="3"/>
        <v>n/a</v>
      </c>
      <c r="M1191" s="212">
        <f t="shared" si="4"/>
        <v>100</v>
      </c>
      <c r="N1191" s="207" t="str">
        <f t="shared" si="5"/>
        <v>n/a</v>
      </c>
      <c r="O1191" s="207" t="str">
        <f t="shared" si="6"/>
        <v>n/a</v>
      </c>
    </row>
    <row r="1192" ht="15.75" customHeight="1">
      <c r="A1192" s="207">
        <v>72.0</v>
      </c>
      <c r="B1192" s="6" t="str">
        <f>VLOOKUP($A1192, 'Completion rates'!$A:$E, 2, FALSE)</f>
        <v>Opening elite caskets</v>
      </c>
      <c r="C1192" s="207">
        <v>23185.0</v>
      </c>
      <c r="D1192" s="6" t="str">
        <f>VLOOKUP($C1192, 'List of log slots'!$A:$E, 2, FALSE)</f>
        <v>Ring of 3rd age</v>
      </c>
      <c r="E1192" s="207">
        <f>VLOOKUP($C1192, 'List of log slots'!$A:$E, 5, FALSE)</f>
        <v>7</v>
      </c>
      <c r="F1192" s="208" t="b">
        <f>VLOOKUP(C1192, 'List of log slots'!$A:$C, 3, FALSE)</f>
        <v>0</v>
      </c>
      <c r="G1192" s="209" t="b">
        <f t="shared" ref="G1192:G1345" si="937">FALSE</f>
        <v>0</v>
      </c>
      <c r="H1192" s="210" t="b">
        <f t="shared" si="7"/>
        <v>1</v>
      </c>
      <c r="I1192" s="208" t="b">
        <f t="shared" ref="I1192:J1192" si="936">FALSE</f>
        <v>0</v>
      </c>
      <c r="J1192" s="208" t="b">
        <f t="shared" si="936"/>
        <v>0</v>
      </c>
      <c r="K1192" s="211">
        <v>1459.0</v>
      </c>
      <c r="L1192" s="207" t="str">
        <f t="shared" si="3"/>
        <v>n/a</v>
      </c>
      <c r="M1192" s="212" t="str">
        <f t="shared" si="4"/>
        <v>n/a</v>
      </c>
      <c r="N1192" s="207" t="str">
        <f t="shared" si="5"/>
        <v>n/a</v>
      </c>
      <c r="O1192" s="207">
        <f t="shared" si="6"/>
        <v>0.0006854009596</v>
      </c>
    </row>
    <row r="1193" ht="15.75" customHeight="1">
      <c r="A1193" s="207">
        <v>72.0</v>
      </c>
      <c r="B1193" s="6" t="str">
        <f>VLOOKUP($A1193, 'Completion rates'!$A:$E, 2, FALSE)</f>
        <v>Opening elite caskets</v>
      </c>
      <c r="C1193" s="207">
        <v>12526.0</v>
      </c>
      <c r="D1193" s="6" t="str">
        <f>VLOOKUP($C1193, 'List of log slots'!$A:$E, 2, FALSE)</f>
        <v>Fury ornament kit</v>
      </c>
      <c r="E1193" s="207">
        <f>VLOOKUP($C1193, 'List of log slots'!$A:$E, 5, FALSE)</f>
        <v>6</v>
      </c>
      <c r="F1193" s="208" t="b">
        <f>VLOOKUP(C1193, 'List of log slots'!$A:$C, 3, FALSE)</f>
        <v>0</v>
      </c>
      <c r="G1193" s="209" t="b">
        <f t="shared" si="937"/>
        <v>0</v>
      </c>
      <c r="H1193" s="210" t="b">
        <f t="shared" si="7"/>
        <v>1</v>
      </c>
      <c r="I1193" s="208" t="b">
        <f t="shared" ref="I1193:J1193" si="938">FALSE</f>
        <v>0</v>
      </c>
      <c r="J1193" s="208" t="b">
        <f t="shared" si="938"/>
        <v>0</v>
      </c>
      <c r="K1193" s="211">
        <v>255.0</v>
      </c>
      <c r="L1193" s="207" t="str">
        <f t="shared" si="3"/>
        <v>n/a</v>
      </c>
      <c r="M1193" s="212" t="str">
        <f t="shared" si="4"/>
        <v>n/a</v>
      </c>
      <c r="N1193" s="207" t="str">
        <f t="shared" si="5"/>
        <v>n/a</v>
      </c>
      <c r="O1193" s="207">
        <f t="shared" si="6"/>
        <v>0.003921568627</v>
      </c>
    </row>
    <row r="1194" ht="15.75" customHeight="1">
      <c r="A1194" s="207">
        <v>72.0</v>
      </c>
      <c r="B1194" s="6" t="str">
        <f>VLOOKUP($A1194, 'Completion rates'!$A:$E, 2, FALSE)</f>
        <v>Opening elite caskets</v>
      </c>
      <c r="C1194" s="207">
        <v>12534.0</v>
      </c>
      <c r="D1194" s="6" t="str">
        <f>VLOOKUP($C1194, 'List of log slots'!$A:$E, 2, FALSE)</f>
        <v>Dragon chainbody ornament kit</v>
      </c>
      <c r="E1194" s="207">
        <f>VLOOKUP($C1194, 'List of log slots'!$A:$E, 5, FALSE)</f>
        <v>6</v>
      </c>
      <c r="F1194" s="213" t="b">
        <f>VLOOKUP(C1194, 'List of log slots'!$A:$C, 3, FALSE)</f>
        <v>0</v>
      </c>
      <c r="G1194" s="209" t="b">
        <f t="shared" si="937"/>
        <v>0</v>
      </c>
      <c r="H1194" s="209" t="b">
        <f t="shared" si="7"/>
        <v>1</v>
      </c>
      <c r="I1194" s="208" t="b">
        <f t="shared" ref="I1194:J1194" si="939">FALSE</f>
        <v>0</v>
      </c>
      <c r="J1194" s="208" t="b">
        <f t="shared" si="939"/>
        <v>0</v>
      </c>
      <c r="K1194" s="211">
        <v>255.0</v>
      </c>
      <c r="L1194" s="207" t="str">
        <f t="shared" si="3"/>
        <v>n/a</v>
      </c>
      <c r="M1194" s="212" t="str">
        <f t="shared" si="4"/>
        <v>n/a</v>
      </c>
      <c r="N1194" s="207" t="str">
        <f t="shared" si="5"/>
        <v>n/a</v>
      </c>
      <c r="O1194" s="207">
        <f t="shared" si="6"/>
        <v>0.003921568627</v>
      </c>
    </row>
    <row r="1195" ht="15.75" customHeight="1">
      <c r="A1195" s="207">
        <v>72.0</v>
      </c>
      <c r="B1195" s="6" t="str">
        <f>VLOOKUP($A1195, 'Completion rates'!$A:$E, 2, FALSE)</f>
        <v>Opening elite caskets</v>
      </c>
      <c r="C1195" s="207">
        <v>12536.0</v>
      </c>
      <c r="D1195" s="6" t="str">
        <f>VLOOKUP($C1195, 'List of log slots'!$A:$E, 2, FALSE)</f>
        <v>Dragon legs/skirt ornament kit</v>
      </c>
      <c r="E1195" s="207">
        <f>VLOOKUP($C1195, 'List of log slots'!$A:$E, 5, FALSE)</f>
        <v>6</v>
      </c>
      <c r="F1195" s="208" t="b">
        <f>VLOOKUP(C1195, 'List of log slots'!$A:$C, 3, FALSE)</f>
        <v>0</v>
      </c>
      <c r="G1195" s="209" t="b">
        <f t="shared" si="937"/>
        <v>0</v>
      </c>
      <c r="H1195" s="210" t="b">
        <f t="shared" si="7"/>
        <v>1</v>
      </c>
      <c r="I1195" s="208" t="b">
        <f t="shared" ref="I1195:J1195" si="940">FALSE</f>
        <v>0</v>
      </c>
      <c r="J1195" s="208" t="b">
        <f t="shared" si="940"/>
        <v>0</v>
      </c>
      <c r="K1195" s="211">
        <v>255.0</v>
      </c>
      <c r="L1195" s="207" t="str">
        <f t="shared" si="3"/>
        <v>n/a</v>
      </c>
      <c r="M1195" s="212" t="str">
        <f t="shared" si="4"/>
        <v>n/a</v>
      </c>
      <c r="N1195" s="207" t="str">
        <f t="shared" si="5"/>
        <v>n/a</v>
      </c>
      <c r="O1195" s="207">
        <f t="shared" si="6"/>
        <v>0.003921568627</v>
      </c>
    </row>
    <row r="1196" ht="15.75" customHeight="1">
      <c r="A1196" s="207">
        <v>72.0</v>
      </c>
      <c r="B1196" s="6" t="str">
        <f>VLOOKUP($A1196, 'Completion rates'!$A:$E, 2, FALSE)</f>
        <v>Opening elite caskets</v>
      </c>
      <c r="C1196" s="207">
        <v>12532.0</v>
      </c>
      <c r="D1196" s="6" t="str">
        <f>VLOOKUP($C1196, 'List of log slots'!$A:$E, 2, FALSE)</f>
        <v>Dragon sq shield ornament kit</v>
      </c>
      <c r="E1196" s="207">
        <f>VLOOKUP($C1196, 'List of log slots'!$A:$E, 5, FALSE)</f>
        <v>6</v>
      </c>
      <c r="F1196" s="208" t="b">
        <f>VLOOKUP(C1196, 'List of log slots'!$A:$C, 3, FALSE)</f>
        <v>0</v>
      </c>
      <c r="G1196" s="209" t="b">
        <f t="shared" si="937"/>
        <v>0</v>
      </c>
      <c r="H1196" s="210" t="b">
        <f t="shared" si="7"/>
        <v>1</v>
      </c>
      <c r="I1196" s="208" t="b">
        <f t="shared" ref="I1196:J1196" si="941">FALSE</f>
        <v>0</v>
      </c>
      <c r="J1196" s="208" t="b">
        <f t="shared" si="941"/>
        <v>0</v>
      </c>
      <c r="K1196" s="211">
        <v>255.0</v>
      </c>
      <c r="L1196" s="207" t="str">
        <f t="shared" si="3"/>
        <v>n/a</v>
      </c>
      <c r="M1196" s="212" t="str">
        <f t="shared" si="4"/>
        <v>n/a</v>
      </c>
      <c r="N1196" s="207" t="str">
        <f t="shared" si="5"/>
        <v>n/a</v>
      </c>
      <c r="O1196" s="207">
        <f t="shared" si="6"/>
        <v>0.003921568627</v>
      </c>
    </row>
    <row r="1197" ht="15.75" customHeight="1">
      <c r="A1197" s="207">
        <v>72.0</v>
      </c>
      <c r="B1197" s="6" t="str">
        <f>VLOOKUP($A1197, 'Completion rates'!$A:$E, 2, FALSE)</f>
        <v>Opening elite caskets</v>
      </c>
      <c r="C1197" s="207">
        <v>12538.0</v>
      </c>
      <c r="D1197" s="6" t="str">
        <f>VLOOKUP($C1197, 'List of log slots'!$A:$E, 2, FALSE)</f>
        <v>Dragon full helm ornament kit</v>
      </c>
      <c r="E1197" s="207">
        <f>VLOOKUP($C1197, 'List of log slots'!$A:$E, 5, FALSE)</f>
        <v>6</v>
      </c>
      <c r="F1197" s="208" t="b">
        <f>VLOOKUP(C1197, 'List of log slots'!$A:$C, 3, FALSE)</f>
        <v>0</v>
      </c>
      <c r="G1197" s="209" t="b">
        <f t="shared" si="937"/>
        <v>0</v>
      </c>
      <c r="H1197" s="210" t="b">
        <f t="shared" si="7"/>
        <v>1</v>
      </c>
      <c r="I1197" s="208" t="b">
        <f t="shared" ref="I1197:J1197" si="942">FALSE</f>
        <v>0</v>
      </c>
      <c r="J1197" s="208" t="b">
        <f t="shared" si="942"/>
        <v>0</v>
      </c>
      <c r="K1197" s="211">
        <v>255.0</v>
      </c>
      <c r="L1197" s="207" t="str">
        <f t="shared" si="3"/>
        <v>n/a</v>
      </c>
      <c r="M1197" s="212" t="str">
        <f t="shared" si="4"/>
        <v>n/a</v>
      </c>
      <c r="N1197" s="207" t="str">
        <f t="shared" si="5"/>
        <v>n/a</v>
      </c>
      <c r="O1197" s="207">
        <f t="shared" si="6"/>
        <v>0.003921568627</v>
      </c>
    </row>
    <row r="1198" ht="15.75" customHeight="1">
      <c r="A1198" s="207">
        <v>72.0</v>
      </c>
      <c r="B1198" s="6" t="str">
        <f>VLOOKUP($A1198, 'Completion rates'!$A:$E, 2, FALSE)</f>
        <v>Opening elite caskets</v>
      </c>
      <c r="C1198" s="207">
        <v>20002.0</v>
      </c>
      <c r="D1198" s="6" t="str">
        <f>VLOOKUP($C1198, 'List of log slots'!$A:$E, 2, FALSE)</f>
        <v>Dragon scimitar ornament kit</v>
      </c>
      <c r="E1198" s="207">
        <f>VLOOKUP($C1198, 'List of log slots'!$A:$E, 5, FALSE)</f>
        <v>6</v>
      </c>
      <c r="F1198" s="208" t="b">
        <f>VLOOKUP(C1198, 'List of log slots'!$A:$C, 3, FALSE)</f>
        <v>0</v>
      </c>
      <c r="G1198" s="209" t="b">
        <f t="shared" si="937"/>
        <v>0</v>
      </c>
      <c r="H1198" s="210" t="b">
        <f t="shared" si="7"/>
        <v>1</v>
      </c>
      <c r="I1198" s="208" t="b">
        <f t="shared" ref="I1198:J1198" si="943">FALSE</f>
        <v>0</v>
      </c>
      <c r="J1198" s="208" t="b">
        <f t="shared" si="943"/>
        <v>0</v>
      </c>
      <c r="K1198" s="211">
        <v>255.0</v>
      </c>
      <c r="L1198" s="207" t="str">
        <f t="shared" si="3"/>
        <v>n/a</v>
      </c>
      <c r="M1198" s="212" t="str">
        <f t="shared" si="4"/>
        <v>n/a</v>
      </c>
      <c r="N1198" s="207" t="str">
        <f t="shared" si="5"/>
        <v>n/a</v>
      </c>
      <c r="O1198" s="207">
        <f t="shared" si="6"/>
        <v>0.003921568627</v>
      </c>
    </row>
    <row r="1199" ht="15.75" customHeight="1">
      <c r="A1199" s="207">
        <v>72.0</v>
      </c>
      <c r="B1199" s="6" t="str">
        <f>VLOOKUP($A1199, 'Completion rates'!$A:$E, 2, FALSE)</f>
        <v>Opening elite caskets</v>
      </c>
      <c r="C1199" s="207">
        <v>12530.0</v>
      </c>
      <c r="D1199" s="6" t="str">
        <f>VLOOKUP($C1199, 'List of log slots'!$A:$E, 2, FALSE)</f>
        <v>Light infinity colour kit</v>
      </c>
      <c r="E1199" s="207">
        <f>VLOOKUP($C1199, 'List of log slots'!$A:$E, 5, FALSE)</f>
        <v>6</v>
      </c>
      <c r="F1199" s="208" t="b">
        <f>VLOOKUP(C1199, 'List of log slots'!$A:$C, 3, FALSE)</f>
        <v>0</v>
      </c>
      <c r="G1199" s="209" t="b">
        <f t="shared" si="937"/>
        <v>0</v>
      </c>
      <c r="H1199" s="210" t="b">
        <f t="shared" si="7"/>
        <v>1</v>
      </c>
      <c r="I1199" s="208" t="b">
        <f t="shared" ref="I1199:J1199" si="944">FALSE</f>
        <v>0</v>
      </c>
      <c r="J1199" s="208" t="b">
        <f t="shared" si="944"/>
        <v>0</v>
      </c>
      <c r="K1199" s="211">
        <v>255.0</v>
      </c>
      <c r="L1199" s="207" t="str">
        <f t="shared" si="3"/>
        <v>n/a</v>
      </c>
      <c r="M1199" s="212" t="str">
        <f t="shared" si="4"/>
        <v>n/a</v>
      </c>
      <c r="N1199" s="207" t="str">
        <f t="shared" si="5"/>
        <v>n/a</v>
      </c>
      <c r="O1199" s="207">
        <f t="shared" si="6"/>
        <v>0.003921568627</v>
      </c>
    </row>
    <row r="1200" ht="15.75" customHeight="1">
      <c r="A1200" s="207">
        <v>72.0</v>
      </c>
      <c r="B1200" s="6" t="str">
        <f>VLOOKUP($A1200, 'Completion rates'!$A:$E, 2, FALSE)</f>
        <v>Opening elite caskets</v>
      </c>
      <c r="C1200" s="207">
        <v>12528.0</v>
      </c>
      <c r="D1200" s="6" t="str">
        <f>VLOOKUP($C1200, 'List of log slots'!$A:$E, 2, FALSE)</f>
        <v>Dark infinity colour kit</v>
      </c>
      <c r="E1200" s="207">
        <f>VLOOKUP($C1200, 'List of log slots'!$A:$E, 5, FALSE)</f>
        <v>6</v>
      </c>
      <c r="F1200" s="208" t="b">
        <f>VLOOKUP(C1200, 'List of log slots'!$A:$C, 3, FALSE)</f>
        <v>0</v>
      </c>
      <c r="G1200" s="209" t="b">
        <f t="shared" si="937"/>
        <v>0</v>
      </c>
      <c r="H1200" s="210" t="b">
        <f t="shared" si="7"/>
        <v>1</v>
      </c>
      <c r="I1200" s="208" t="b">
        <f t="shared" ref="I1200:J1200" si="945">FALSE</f>
        <v>0</v>
      </c>
      <c r="J1200" s="208" t="b">
        <f t="shared" si="945"/>
        <v>0</v>
      </c>
      <c r="K1200" s="211">
        <v>255.0</v>
      </c>
      <c r="L1200" s="207" t="str">
        <f t="shared" si="3"/>
        <v>n/a</v>
      </c>
      <c r="M1200" s="212" t="str">
        <f t="shared" si="4"/>
        <v>n/a</v>
      </c>
      <c r="N1200" s="207" t="str">
        <f t="shared" si="5"/>
        <v>n/a</v>
      </c>
      <c r="O1200" s="207">
        <f t="shared" si="6"/>
        <v>0.003921568627</v>
      </c>
    </row>
    <row r="1201" ht="15.75" customHeight="1">
      <c r="A1201" s="207">
        <v>72.0</v>
      </c>
      <c r="B1201" s="6" t="str">
        <f>VLOOKUP($A1201, 'Completion rates'!$A:$E, 2, FALSE)</f>
        <v>Opening elite caskets</v>
      </c>
      <c r="C1201" s="207">
        <v>19997.0</v>
      </c>
      <c r="D1201" s="6" t="str">
        <f>VLOOKUP($C1201, 'List of log slots'!$A:$E, 2, FALSE)</f>
        <v>Holy wraps</v>
      </c>
      <c r="E1201" s="207">
        <f>VLOOKUP($C1201, 'List of log slots'!$A:$E, 5, FALSE)</f>
        <v>6</v>
      </c>
      <c r="F1201" s="208" t="b">
        <f>VLOOKUP(C1201, 'List of log slots'!$A:$C, 3, FALSE)</f>
        <v>0</v>
      </c>
      <c r="G1201" s="209" t="b">
        <f t="shared" si="937"/>
        <v>0</v>
      </c>
      <c r="H1201" s="210" t="b">
        <f t="shared" si="7"/>
        <v>1</v>
      </c>
      <c r="I1201" s="208" t="b">
        <f t="shared" ref="I1201:J1201" si="946">FALSE</f>
        <v>0</v>
      </c>
      <c r="J1201" s="208" t="b">
        <f t="shared" si="946"/>
        <v>0</v>
      </c>
      <c r="K1201" s="211">
        <v>255.0</v>
      </c>
      <c r="L1201" s="207" t="str">
        <f t="shared" si="3"/>
        <v>n/a</v>
      </c>
      <c r="M1201" s="212" t="str">
        <f t="shared" si="4"/>
        <v>n/a</v>
      </c>
      <c r="N1201" s="207" t="str">
        <f t="shared" si="5"/>
        <v>n/a</v>
      </c>
      <c r="O1201" s="207">
        <f t="shared" si="6"/>
        <v>0.003921568627</v>
      </c>
    </row>
    <row r="1202" ht="15.75" customHeight="1">
      <c r="A1202" s="207">
        <v>72.0</v>
      </c>
      <c r="B1202" s="6" t="str">
        <f>VLOOKUP($A1202, 'Completion rates'!$A:$E, 2, FALSE)</f>
        <v>Opening elite caskets</v>
      </c>
      <c r="C1202" s="207">
        <v>19994.0</v>
      </c>
      <c r="D1202" s="6" t="str">
        <f>VLOOKUP($C1202, 'List of log slots'!$A:$E, 2, FALSE)</f>
        <v>Ranger gloves</v>
      </c>
      <c r="E1202" s="207">
        <f>VLOOKUP($C1202, 'List of log slots'!$A:$E, 5, FALSE)</f>
        <v>6</v>
      </c>
      <c r="F1202" s="209" t="b">
        <f>VLOOKUP(C1202, 'List of log slots'!$A:$C, 3, FALSE)</f>
        <v>0</v>
      </c>
      <c r="G1202" s="209" t="b">
        <f t="shared" si="937"/>
        <v>0</v>
      </c>
      <c r="H1202" s="210" t="b">
        <f t="shared" si="7"/>
        <v>1</v>
      </c>
      <c r="I1202" s="208" t="b">
        <f t="shared" ref="I1202:J1202" si="947">FALSE</f>
        <v>0</v>
      </c>
      <c r="J1202" s="208" t="b">
        <f t="shared" si="947"/>
        <v>0</v>
      </c>
      <c r="K1202" s="211">
        <v>255.0</v>
      </c>
      <c r="L1202" s="207" t="str">
        <f t="shared" si="3"/>
        <v>n/a</v>
      </c>
      <c r="M1202" s="212" t="str">
        <f t="shared" si="4"/>
        <v>n/a</v>
      </c>
      <c r="N1202" s="207" t="str">
        <f t="shared" si="5"/>
        <v>n/a</v>
      </c>
      <c r="O1202" s="207">
        <f t="shared" si="6"/>
        <v>0.003921568627</v>
      </c>
    </row>
    <row r="1203" ht="15.75" customHeight="1">
      <c r="A1203" s="207">
        <v>72.0</v>
      </c>
      <c r="B1203" s="6" t="str">
        <f>VLOOKUP($A1203, 'Completion rates'!$A:$E, 2, FALSE)</f>
        <v>Opening elite caskets</v>
      </c>
      <c r="C1203" s="207">
        <v>12596.0</v>
      </c>
      <c r="D1203" s="6" t="str">
        <f>VLOOKUP($C1203, 'List of log slots'!$A:$E, 2, FALSE)</f>
        <v>Rangers' tunic</v>
      </c>
      <c r="E1203" s="207">
        <f>VLOOKUP($C1203, 'List of log slots'!$A:$E, 5, FALSE)</f>
        <v>6</v>
      </c>
      <c r="F1203" s="209" t="b">
        <f>VLOOKUP(C1203, 'List of log slots'!$A:$C, 3, FALSE)</f>
        <v>0</v>
      </c>
      <c r="G1203" s="209" t="b">
        <f t="shared" si="937"/>
        <v>0</v>
      </c>
      <c r="H1203" s="210" t="b">
        <f t="shared" si="7"/>
        <v>1</v>
      </c>
      <c r="I1203" s="208" t="b">
        <f t="shared" ref="I1203:J1203" si="948">FALSE</f>
        <v>0</v>
      </c>
      <c r="J1203" s="208" t="b">
        <f t="shared" si="948"/>
        <v>0</v>
      </c>
      <c r="K1203" s="211">
        <v>255.0</v>
      </c>
      <c r="L1203" s="207" t="str">
        <f t="shared" si="3"/>
        <v>n/a</v>
      </c>
      <c r="M1203" s="212" t="str">
        <f t="shared" si="4"/>
        <v>n/a</v>
      </c>
      <c r="N1203" s="207" t="str">
        <f t="shared" si="5"/>
        <v>n/a</v>
      </c>
      <c r="O1203" s="207">
        <f t="shared" si="6"/>
        <v>0.003921568627</v>
      </c>
    </row>
    <row r="1204" ht="15.75" customHeight="1">
      <c r="A1204" s="207">
        <v>72.0</v>
      </c>
      <c r="B1204" s="6" t="str">
        <f>VLOOKUP($A1204, 'Completion rates'!$A:$E, 2, FALSE)</f>
        <v>Opening elite caskets</v>
      </c>
      <c r="C1204" s="207">
        <v>23249.0</v>
      </c>
      <c r="D1204" s="6" t="str">
        <f>VLOOKUP($C1204, 'List of log slots'!$A:$E, 2, FALSE)</f>
        <v>Rangers' tights</v>
      </c>
      <c r="E1204" s="207">
        <f>VLOOKUP($C1204, 'List of log slots'!$A:$E, 5, FALSE)</f>
        <v>6</v>
      </c>
      <c r="F1204" s="210" t="b">
        <f>VLOOKUP(C1204, 'List of log slots'!$A:$C, 3, FALSE)</f>
        <v>0</v>
      </c>
      <c r="G1204" s="209" t="b">
        <f t="shared" si="937"/>
        <v>0</v>
      </c>
      <c r="H1204" s="209" t="b">
        <f t="shared" si="7"/>
        <v>1</v>
      </c>
      <c r="I1204" s="208" t="b">
        <f t="shared" ref="I1204:J1204" si="949">FALSE</f>
        <v>0</v>
      </c>
      <c r="J1204" s="208" t="b">
        <f t="shared" si="949"/>
        <v>0</v>
      </c>
      <c r="K1204" s="211">
        <v>255.0</v>
      </c>
      <c r="L1204" s="207" t="str">
        <f t="shared" si="3"/>
        <v>n/a</v>
      </c>
      <c r="M1204" s="212" t="str">
        <f t="shared" si="4"/>
        <v>n/a</v>
      </c>
      <c r="N1204" s="207" t="str">
        <f t="shared" si="5"/>
        <v>n/a</v>
      </c>
      <c r="O1204" s="207">
        <f t="shared" si="6"/>
        <v>0.003921568627</v>
      </c>
    </row>
    <row r="1205" ht="15.75" customHeight="1">
      <c r="A1205" s="207">
        <v>72.0</v>
      </c>
      <c r="B1205" s="6" t="str">
        <f>VLOOKUP($A1205, 'Completion rates'!$A:$E, 2, FALSE)</f>
        <v>Opening elite caskets</v>
      </c>
      <c r="C1205" s="207">
        <v>12381.0</v>
      </c>
      <c r="D1205" s="6" t="str">
        <f>VLOOKUP($C1205, 'List of log slots'!$A:$E, 2, FALSE)</f>
        <v>Black d'hide body (g)</v>
      </c>
      <c r="E1205" s="207">
        <f>VLOOKUP($C1205, 'List of log slots'!$A:$E, 5, FALSE)</f>
        <v>6</v>
      </c>
      <c r="F1205" s="209" t="b">
        <f>VLOOKUP(C1205, 'List of log slots'!$A:$C, 3, FALSE)</f>
        <v>0</v>
      </c>
      <c r="G1205" s="209" t="b">
        <f t="shared" si="937"/>
        <v>0</v>
      </c>
      <c r="H1205" s="210" t="b">
        <f t="shared" si="7"/>
        <v>1</v>
      </c>
      <c r="I1205" s="208" t="b">
        <f t="shared" ref="I1205:J1205" si="950">FALSE</f>
        <v>0</v>
      </c>
      <c r="J1205" s="208" t="b">
        <f t="shared" si="950"/>
        <v>0</v>
      </c>
      <c r="K1205" s="211">
        <v>255.0</v>
      </c>
      <c r="L1205" s="207" t="str">
        <f t="shared" si="3"/>
        <v>n/a</v>
      </c>
      <c r="M1205" s="212" t="str">
        <f t="shared" si="4"/>
        <v>n/a</v>
      </c>
      <c r="N1205" s="207" t="str">
        <f t="shared" si="5"/>
        <v>n/a</v>
      </c>
      <c r="O1205" s="207">
        <f t="shared" si="6"/>
        <v>0.003921568627</v>
      </c>
    </row>
    <row r="1206" ht="15.75" customHeight="1">
      <c r="A1206" s="207">
        <v>72.0</v>
      </c>
      <c r="B1206" s="6" t="str">
        <f>VLOOKUP($A1206, 'Completion rates'!$A:$E, 2, FALSE)</f>
        <v>Opening elite caskets</v>
      </c>
      <c r="C1206" s="207">
        <v>12383.0</v>
      </c>
      <c r="D1206" s="6" t="str">
        <f>VLOOKUP($C1206, 'List of log slots'!$A:$E, 2, FALSE)</f>
        <v>Black d'hide chaps (g)</v>
      </c>
      <c r="E1206" s="207">
        <f>VLOOKUP($C1206, 'List of log slots'!$A:$E, 5, FALSE)</f>
        <v>6</v>
      </c>
      <c r="F1206" s="209" t="b">
        <f>VLOOKUP(C1206, 'List of log slots'!$A:$C, 3, FALSE)</f>
        <v>0</v>
      </c>
      <c r="G1206" s="209" t="b">
        <f t="shared" si="937"/>
        <v>0</v>
      </c>
      <c r="H1206" s="210" t="b">
        <f t="shared" si="7"/>
        <v>1</v>
      </c>
      <c r="I1206" s="208" t="b">
        <f t="shared" ref="I1206:J1206" si="951">FALSE</f>
        <v>0</v>
      </c>
      <c r="J1206" s="208" t="b">
        <f t="shared" si="951"/>
        <v>0</v>
      </c>
      <c r="K1206" s="211">
        <v>255.0</v>
      </c>
      <c r="L1206" s="207" t="str">
        <f t="shared" si="3"/>
        <v>n/a</v>
      </c>
      <c r="M1206" s="212" t="str">
        <f t="shared" si="4"/>
        <v>n/a</v>
      </c>
      <c r="N1206" s="207" t="str">
        <f t="shared" si="5"/>
        <v>n/a</v>
      </c>
      <c r="O1206" s="207">
        <f t="shared" si="6"/>
        <v>0.003921568627</v>
      </c>
    </row>
    <row r="1207" ht="15.75" customHeight="1">
      <c r="A1207" s="207">
        <v>72.0</v>
      </c>
      <c r="B1207" s="6" t="str">
        <f>VLOOKUP($A1207, 'Completion rates'!$A:$E, 2, FALSE)</f>
        <v>Opening elite caskets</v>
      </c>
      <c r="C1207" s="207">
        <v>12385.0</v>
      </c>
      <c r="D1207" s="6" t="str">
        <f>VLOOKUP($C1207, 'List of log slots'!$A:$E, 2, FALSE)</f>
        <v>Black d'hide body (t)</v>
      </c>
      <c r="E1207" s="207">
        <f>VLOOKUP($C1207, 'List of log slots'!$A:$E, 5, FALSE)</f>
        <v>6</v>
      </c>
      <c r="F1207" s="209" t="b">
        <f>VLOOKUP(C1207, 'List of log slots'!$A:$C, 3, FALSE)</f>
        <v>0</v>
      </c>
      <c r="G1207" s="209" t="b">
        <f t="shared" si="937"/>
        <v>0</v>
      </c>
      <c r="H1207" s="210" t="b">
        <f t="shared" si="7"/>
        <v>1</v>
      </c>
      <c r="I1207" s="208" t="b">
        <f t="shared" ref="I1207:J1207" si="952">FALSE</f>
        <v>0</v>
      </c>
      <c r="J1207" s="208" t="b">
        <f t="shared" si="952"/>
        <v>0</v>
      </c>
      <c r="K1207" s="211">
        <v>255.0</v>
      </c>
      <c r="L1207" s="207" t="str">
        <f t="shared" si="3"/>
        <v>n/a</v>
      </c>
      <c r="M1207" s="212" t="str">
        <f t="shared" si="4"/>
        <v>n/a</v>
      </c>
      <c r="N1207" s="207" t="str">
        <f t="shared" si="5"/>
        <v>n/a</v>
      </c>
      <c r="O1207" s="207">
        <f t="shared" si="6"/>
        <v>0.003921568627</v>
      </c>
    </row>
    <row r="1208" ht="15.75" customHeight="1">
      <c r="A1208" s="207">
        <v>72.0</v>
      </c>
      <c r="B1208" s="6" t="str">
        <f>VLOOKUP($A1208, 'Completion rates'!$A:$E, 2, FALSE)</f>
        <v>Opening elite caskets</v>
      </c>
      <c r="C1208" s="207">
        <v>12387.0</v>
      </c>
      <c r="D1208" s="6" t="str">
        <f>VLOOKUP($C1208, 'List of log slots'!$A:$E, 2, FALSE)</f>
        <v>Black d'hide chaps (t)</v>
      </c>
      <c r="E1208" s="207">
        <f>VLOOKUP($C1208, 'List of log slots'!$A:$E, 5, FALSE)</f>
        <v>6</v>
      </c>
      <c r="F1208" s="209" t="b">
        <f>VLOOKUP(C1208, 'List of log slots'!$A:$C, 3, FALSE)</f>
        <v>0</v>
      </c>
      <c r="G1208" s="209" t="b">
        <f t="shared" si="937"/>
        <v>0</v>
      </c>
      <c r="H1208" s="210" t="b">
        <f t="shared" si="7"/>
        <v>1</v>
      </c>
      <c r="I1208" s="208" t="b">
        <f t="shared" ref="I1208:J1208" si="953">FALSE</f>
        <v>0</v>
      </c>
      <c r="J1208" s="208" t="b">
        <f t="shared" si="953"/>
        <v>0</v>
      </c>
      <c r="K1208" s="211">
        <v>255.0</v>
      </c>
      <c r="L1208" s="207" t="str">
        <f t="shared" si="3"/>
        <v>n/a</v>
      </c>
      <c r="M1208" s="212" t="str">
        <f t="shared" si="4"/>
        <v>n/a</v>
      </c>
      <c r="N1208" s="207" t="str">
        <f t="shared" si="5"/>
        <v>n/a</v>
      </c>
      <c r="O1208" s="207">
        <f t="shared" si="6"/>
        <v>0.003921568627</v>
      </c>
    </row>
    <row r="1209" ht="15.75" customHeight="1">
      <c r="A1209" s="207">
        <v>72.0</v>
      </c>
      <c r="B1209" s="6" t="str">
        <f>VLOOKUP($A1209, 'Completion rates'!$A:$E, 2, FALSE)</f>
        <v>Opening elite caskets</v>
      </c>
      <c r="C1209" s="207">
        <v>12397.0</v>
      </c>
      <c r="D1209" s="6" t="str">
        <f>VLOOKUP($C1209, 'List of log slots'!$A:$E, 2, FALSE)</f>
        <v>Royal crown</v>
      </c>
      <c r="E1209" s="207">
        <f>VLOOKUP($C1209, 'List of log slots'!$A:$E, 5, FALSE)</f>
        <v>6</v>
      </c>
      <c r="F1209" s="209" t="b">
        <f>VLOOKUP(C1209, 'List of log slots'!$A:$C, 3, FALSE)</f>
        <v>0</v>
      </c>
      <c r="G1209" s="209" t="b">
        <f t="shared" si="937"/>
        <v>0</v>
      </c>
      <c r="H1209" s="210" t="b">
        <f t="shared" si="7"/>
        <v>1</v>
      </c>
      <c r="I1209" s="208" t="b">
        <f t="shared" ref="I1209:J1209" si="954">FALSE</f>
        <v>0</v>
      </c>
      <c r="J1209" s="208" t="b">
        <f t="shared" si="954"/>
        <v>0</v>
      </c>
      <c r="K1209" s="211">
        <v>255.0</v>
      </c>
      <c r="L1209" s="207" t="str">
        <f t="shared" si="3"/>
        <v>n/a</v>
      </c>
      <c r="M1209" s="212" t="str">
        <f t="shared" si="4"/>
        <v>n/a</v>
      </c>
      <c r="N1209" s="207" t="str">
        <f t="shared" si="5"/>
        <v>n/a</v>
      </c>
      <c r="O1209" s="207">
        <f t="shared" si="6"/>
        <v>0.003921568627</v>
      </c>
    </row>
    <row r="1210" ht="15.75" customHeight="1">
      <c r="A1210" s="207">
        <v>72.0</v>
      </c>
      <c r="B1210" s="6" t="str">
        <f>VLOOKUP($A1210, 'Completion rates'!$A:$E, 2, FALSE)</f>
        <v>Opening elite caskets</v>
      </c>
      <c r="C1210" s="207">
        <v>12439.0</v>
      </c>
      <c r="D1210" s="6" t="str">
        <f>VLOOKUP($C1210, 'List of log slots'!$A:$E, 2, FALSE)</f>
        <v>Royal sceptre</v>
      </c>
      <c r="E1210" s="207">
        <f>VLOOKUP($C1210, 'List of log slots'!$A:$E, 5, FALSE)</f>
        <v>6</v>
      </c>
      <c r="F1210" s="209" t="b">
        <f>VLOOKUP(C1210, 'List of log slots'!$A:$C, 3, FALSE)</f>
        <v>0</v>
      </c>
      <c r="G1210" s="209" t="b">
        <f t="shared" si="937"/>
        <v>0</v>
      </c>
      <c r="H1210" s="210" t="b">
        <f t="shared" si="7"/>
        <v>1</v>
      </c>
      <c r="I1210" s="208" t="b">
        <f t="shared" ref="I1210:J1210" si="955">FALSE</f>
        <v>0</v>
      </c>
      <c r="J1210" s="208" t="b">
        <f t="shared" si="955"/>
        <v>0</v>
      </c>
      <c r="K1210" s="211">
        <v>255.0</v>
      </c>
      <c r="L1210" s="207" t="str">
        <f t="shared" si="3"/>
        <v>n/a</v>
      </c>
      <c r="M1210" s="212" t="str">
        <f t="shared" si="4"/>
        <v>n/a</v>
      </c>
      <c r="N1210" s="207" t="str">
        <f t="shared" si="5"/>
        <v>n/a</v>
      </c>
      <c r="O1210" s="207">
        <f t="shared" si="6"/>
        <v>0.003921568627</v>
      </c>
    </row>
    <row r="1211" ht="15.75" customHeight="1">
      <c r="A1211" s="207">
        <v>72.0</v>
      </c>
      <c r="B1211" s="6" t="str">
        <f>VLOOKUP($A1211, 'Completion rates'!$A:$E, 2, FALSE)</f>
        <v>Opening elite caskets</v>
      </c>
      <c r="C1211" s="207">
        <v>12393.0</v>
      </c>
      <c r="D1211" s="6" t="str">
        <f>VLOOKUP($C1211, 'List of log slots'!$A:$E, 2, FALSE)</f>
        <v>Royal gown top</v>
      </c>
      <c r="E1211" s="207">
        <f>VLOOKUP($C1211, 'List of log slots'!$A:$E, 5, FALSE)</f>
        <v>6</v>
      </c>
      <c r="F1211" s="209" t="b">
        <f>VLOOKUP(C1211, 'List of log slots'!$A:$C, 3, FALSE)</f>
        <v>0</v>
      </c>
      <c r="G1211" s="209" t="b">
        <f t="shared" si="937"/>
        <v>0</v>
      </c>
      <c r="H1211" s="210" t="b">
        <f t="shared" si="7"/>
        <v>1</v>
      </c>
      <c r="I1211" s="208" t="b">
        <f t="shared" ref="I1211:J1211" si="956">FALSE</f>
        <v>0</v>
      </c>
      <c r="J1211" s="208" t="b">
        <f t="shared" si="956"/>
        <v>0</v>
      </c>
      <c r="K1211" s="211">
        <v>255.0</v>
      </c>
      <c r="L1211" s="207" t="str">
        <f t="shared" si="3"/>
        <v>n/a</v>
      </c>
      <c r="M1211" s="212" t="str">
        <f t="shared" si="4"/>
        <v>n/a</v>
      </c>
      <c r="N1211" s="207" t="str">
        <f t="shared" si="5"/>
        <v>n/a</v>
      </c>
      <c r="O1211" s="207">
        <f t="shared" si="6"/>
        <v>0.003921568627</v>
      </c>
    </row>
    <row r="1212" ht="15.75" customHeight="1">
      <c r="A1212" s="207">
        <v>72.0</v>
      </c>
      <c r="B1212" s="6" t="str">
        <f>VLOOKUP($A1212, 'Completion rates'!$A:$E, 2, FALSE)</f>
        <v>Opening elite caskets</v>
      </c>
      <c r="C1212" s="207">
        <v>12395.0</v>
      </c>
      <c r="D1212" s="6" t="str">
        <f>VLOOKUP($C1212, 'List of log slots'!$A:$E, 2, FALSE)</f>
        <v>Royal gown bottom</v>
      </c>
      <c r="E1212" s="207">
        <f>VLOOKUP($C1212, 'List of log slots'!$A:$E, 5, FALSE)</f>
        <v>6</v>
      </c>
      <c r="F1212" s="209" t="b">
        <f>VLOOKUP(C1212, 'List of log slots'!$A:$C, 3, FALSE)</f>
        <v>0</v>
      </c>
      <c r="G1212" s="209" t="b">
        <f t="shared" si="937"/>
        <v>0</v>
      </c>
      <c r="H1212" s="210" t="b">
        <f t="shared" si="7"/>
        <v>1</v>
      </c>
      <c r="I1212" s="208" t="b">
        <f t="shared" ref="I1212:J1212" si="957">FALSE</f>
        <v>0</v>
      </c>
      <c r="J1212" s="208" t="b">
        <f t="shared" si="957"/>
        <v>0</v>
      </c>
      <c r="K1212" s="211">
        <v>255.0</v>
      </c>
      <c r="L1212" s="207" t="str">
        <f t="shared" si="3"/>
        <v>n/a</v>
      </c>
      <c r="M1212" s="212" t="str">
        <f t="shared" si="4"/>
        <v>n/a</v>
      </c>
      <c r="N1212" s="207" t="str">
        <f t="shared" si="5"/>
        <v>n/a</v>
      </c>
      <c r="O1212" s="207">
        <f t="shared" si="6"/>
        <v>0.003921568627</v>
      </c>
    </row>
    <row r="1213" ht="15.75" customHeight="1">
      <c r="A1213" s="207">
        <v>72.0</v>
      </c>
      <c r="B1213" s="6" t="str">
        <f>VLOOKUP($A1213, 'Completion rates'!$A:$E, 2, FALSE)</f>
        <v>Opening elite caskets</v>
      </c>
      <c r="C1213" s="207">
        <v>12351.0</v>
      </c>
      <c r="D1213" s="6" t="str">
        <f>VLOOKUP($C1213, 'List of log slots'!$A:$E, 2, FALSE)</f>
        <v>Musketeer hat</v>
      </c>
      <c r="E1213" s="207">
        <f>VLOOKUP($C1213, 'List of log slots'!$A:$E, 5, FALSE)</f>
        <v>6</v>
      </c>
      <c r="F1213" s="209" t="b">
        <f>VLOOKUP(C1213, 'List of log slots'!$A:$C, 3, FALSE)</f>
        <v>0</v>
      </c>
      <c r="G1213" s="209" t="b">
        <f t="shared" si="937"/>
        <v>0</v>
      </c>
      <c r="H1213" s="210" t="b">
        <f t="shared" si="7"/>
        <v>1</v>
      </c>
      <c r="I1213" s="208" t="b">
        <f t="shared" ref="I1213:J1213" si="958">FALSE</f>
        <v>0</v>
      </c>
      <c r="J1213" s="208" t="b">
        <f t="shared" si="958"/>
        <v>0</v>
      </c>
      <c r="K1213" s="211">
        <v>255.0</v>
      </c>
      <c r="L1213" s="207" t="str">
        <f t="shared" si="3"/>
        <v>n/a</v>
      </c>
      <c r="M1213" s="212" t="str">
        <f t="shared" si="4"/>
        <v>n/a</v>
      </c>
      <c r="N1213" s="207" t="str">
        <f t="shared" si="5"/>
        <v>n/a</v>
      </c>
      <c r="O1213" s="207">
        <f t="shared" si="6"/>
        <v>0.003921568627</v>
      </c>
    </row>
    <row r="1214" ht="15.75" customHeight="1">
      <c r="A1214" s="207">
        <v>72.0</v>
      </c>
      <c r="B1214" s="6" t="str">
        <f>VLOOKUP($A1214, 'Completion rates'!$A:$E, 2, FALSE)</f>
        <v>Opening elite caskets</v>
      </c>
      <c r="C1214" s="207">
        <v>12441.0</v>
      </c>
      <c r="D1214" s="6" t="str">
        <f>VLOOKUP($C1214, 'List of log slots'!$A:$E, 2, FALSE)</f>
        <v>Musketeer tabard</v>
      </c>
      <c r="E1214" s="207">
        <f>VLOOKUP($C1214, 'List of log slots'!$A:$E, 5, FALSE)</f>
        <v>6</v>
      </c>
      <c r="F1214" s="209" t="b">
        <f>VLOOKUP(C1214, 'List of log slots'!$A:$C, 3, FALSE)</f>
        <v>0</v>
      </c>
      <c r="G1214" s="209" t="b">
        <f t="shared" si="937"/>
        <v>0</v>
      </c>
      <c r="H1214" s="210" t="b">
        <f t="shared" si="7"/>
        <v>1</v>
      </c>
      <c r="I1214" s="208" t="b">
        <f t="shared" ref="I1214:J1214" si="959">FALSE</f>
        <v>0</v>
      </c>
      <c r="J1214" s="208" t="b">
        <f t="shared" si="959"/>
        <v>0</v>
      </c>
      <c r="K1214" s="211">
        <v>255.0</v>
      </c>
      <c r="L1214" s="207" t="str">
        <f t="shared" si="3"/>
        <v>n/a</v>
      </c>
      <c r="M1214" s="212" t="str">
        <f t="shared" si="4"/>
        <v>n/a</v>
      </c>
      <c r="N1214" s="207" t="str">
        <f t="shared" si="5"/>
        <v>n/a</v>
      </c>
      <c r="O1214" s="207">
        <f t="shared" si="6"/>
        <v>0.003921568627</v>
      </c>
    </row>
    <row r="1215" ht="15.75" customHeight="1">
      <c r="A1215" s="207">
        <v>72.0</v>
      </c>
      <c r="B1215" s="6" t="str">
        <f>VLOOKUP($A1215, 'Completion rates'!$A:$E, 2, FALSE)</f>
        <v>Opening elite caskets</v>
      </c>
      <c r="C1215" s="207">
        <v>12443.0</v>
      </c>
      <c r="D1215" s="6" t="str">
        <f>VLOOKUP($C1215, 'List of log slots'!$A:$E, 2, FALSE)</f>
        <v>Musketeer pants</v>
      </c>
      <c r="E1215" s="207">
        <f>VLOOKUP($C1215, 'List of log slots'!$A:$E, 5, FALSE)</f>
        <v>6</v>
      </c>
      <c r="F1215" s="209" t="b">
        <f>VLOOKUP(C1215, 'List of log slots'!$A:$C, 3, FALSE)</f>
        <v>0</v>
      </c>
      <c r="G1215" s="209" t="b">
        <f t="shared" si="937"/>
        <v>0</v>
      </c>
      <c r="H1215" s="210" t="b">
        <f t="shared" si="7"/>
        <v>1</v>
      </c>
      <c r="I1215" s="208" t="b">
        <f t="shared" ref="I1215:J1215" si="960">FALSE</f>
        <v>0</v>
      </c>
      <c r="J1215" s="208" t="b">
        <f t="shared" si="960"/>
        <v>0</v>
      </c>
      <c r="K1215" s="211">
        <v>255.0</v>
      </c>
      <c r="L1215" s="207" t="str">
        <f t="shared" si="3"/>
        <v>n/a</v>
      </c>
      <c r="M1215" s="212" t="str">
        <f t="shared" si="4"/>
        <v>n/a</v>
      </c>
      <c r="N1215" s="207" t="str">
        <f t="shared" si="5"/>
        <v>n/a</v>
      </c>
      <c r="O1215" s="207">
        <f t="shared" si="6"/>
        <v>0.003921568627</v>
      </c>
    </row>
    <row r="1216" ht="15.75" customHeight="1">
      <c r="A1216" s="207">
        <v>72.0</v>
      </c>
      <c r="B1216" s="6" t="str">
        <f>VLOOKUP($A1216, 'Completion rates'!$A:$E, 2, FALSE)</f>
        <v>Opening elite caskets</v>
      </c>
      <c r="C1216" s="207">
        <v>19958.0</v>
      </c>
      <c r="D1216" s="6" t="str">
        <f>VLOOKUP($C1216, 'List of log slots'!$A:$E, 2, FALSE)</f>
        <v>Dark tuxedo jacket</v>
      </c>
      <c r="E1216" s="207">
        <f>VLOOKUP($C1216, 'List of log slots'!$A:$E, 5, FALSE)</f>
        <v>8</v>
      </c>
      <c r="F1216" s="209" t="b">
        <f>VLOOKUP(C1216, 'List of log slots'!$A:$C, 3, FALSE)</f>
        <v>0</v>
      </c>
      <c r="G1216" s="209" t="b">
        <f t="shared" si="937"/>
        <v>0</v>
      </c>
      <c r="H1216" s="210" t="b">
        <f t="shared" si="7"/>
        <v>1</v>
      </c>
      <c r="I1216" s="208" t="b">
        <f t="shared" ref="I1216:J1216" si="961">FALSE</f>
        <v>0</v>
      </c>
      <c r="J1216" s="208" t="b">
        <f t="shared" si="961"/>
        <v>0</v>
      </c>
      <c r="K1216" s="211">
        <v>2550.0</v>
      </c>
      <c r="L1216" s="207" t="str">
        <f t="shared" si="3"/>
        <v>n/a</v>
      </c>
      <c r="M1216" s="212" t="str">
        <f t="shared" si="4"/>
        <v>n/a</v>
      </c>
      <c r="N1216" s="207" t="str">
        <f t="shared" si="5"/>
        <v>n/a</v>
      </c>
      <c r="O1216" s="207">
        <f t="shared" si="6"/>
        <v>0.0003921568627</v>
      </c>
    </row>
    <row r="1217" ht="15.75" customHeight="1">
      <c r="A1217" s="207">
        <v>72.0</v>
      </c>
      <c r="B1217" s="6" t="str">
        <f>VLOOKUP($A1217, 'Completion rates'!$A:$E, 2, FALSE)</f>
        <v>Opening elite caskets</v>
      </c>
      <c r="C1217" s="207">
        <v>19964.0</v>
      </c>
      <c r="D1217" s="6" t="str">
        <f>VLOOKUP($C1217, 'List of log slots'!$A:$E, 2, FALSE)</f>
        <v>Dark trousers</v>
      </c>
      <c r="E1217" s="207">
        <f>VLOOKUP($C1217, 'List of log slots'!$A:$E, 5, FALSE)</f>
        <v>8</v>
      </c>
      <c r="F1217" s="209" t="b">
        <f>VLOOKUP(C1217, 'List of log slots'!$A:$C, 3, FALSE)</f>
        <v>0</v>
      </c>
      <c r="G1217" s="209" t="b">
        <f t="shared" si="937"/>
        <v>0</v>
      </c>
      <c r="H1217" s="210" t="b">
        <f t="shared" si="7"/>
        <v>1</v>
      </c>
      <c r="I1217" s="208" t="b">
        <f t="shared" ref="I1217:J1217" si="962">FALSE</f>
        <v>0</v>
      </c>
      <c r="J1217" s="208" t="b">
        <f t="shared" si="962"/>
        <v>0</v>
      </c>
      <c r="K1217" s="211">
        <v>2550.0</v>
      </c>
      <c r="L1217" s="207" t="str">
        <f t="shared" si="3"/>
        <v>n/a</v>
      </c>
      <c r="M1217" s="212" t="str">
        <f t="shared" si="4"/>
        <v>n/a</v>
      </c>
      <c r="N1217" s="207" t="str">
        <f t="shared" si="5"/>
        <v>n/a</v>
      </c>
      <c r="O1217" s="207">
        <f t="shared" si="6"/>
        <v>0.0003921568627</v>
      </c>
    </row>
    <row r="1218" ht="15.75" customHeight="1">
      <c r="A1218" s="207">
        <v>72.0</v>
      </c>
      <c r="B1218" s="6" t="str">
        <f>VLOOKUP($A1218, 'Completion rates'!$A:$E, 2, FALSE)</f>
        <v>Opening elite caskets</v>
      </c>
      <c r="C1218" s="207">
        <v>19967.0</v>
      </c>
      <c r="D1218" s="6" t="str">
        <f>VLOOKUP($C1218, 'List of log slots'!$A:$E, 2, FALSE)</f>
        <v>Dark tuxedo shoes</v>
      </c>
      <c r="E1218" s="207">
        <f>VLOOKUP($C1218, 'List of log slots'!$A:$E, 5, FALSE)</f>
        <v>8</v>
      </c>
      <c r="F1218" s="209" t="b">
        <f>VLOOKUP(C1218, 'List of log slots'!$A:$C, 3, FALSE)</f>
        <v>0</v>
      </c>
      <c r="G1218" s="209" t="b">
        <f t="shared" si="937"/>
        <v>0</v>
      </c>
      <c r="H1218" s="210" t="b">
        <f t="shared" si="7"/>
        <v>1</v>
      </c>
      <c r="I1218" s="208" t="b">
        <f t="shared" ref="I1218:J1218" si="963">FALSE</f>
        <v>0</v>
      </c>
      <c r="J1218" s="208" t="b">
        <f t="shared" si="963"/>
        <v>0</v>
      </c>
      <c r="K1218" s="211">
        <v>2550.0</v>
      </c>
      <c r="L1218" s="207" t="str">
        <f t="shared" si="3"/>
        <v>n/a</v>
      </c>
      <c r="M1218" s="212" t="str">
        <f t="shared" si="4"/>
        <v>n/a</v>
      </c>
      <c r="N1218" s="207" t="str">
        <f t="shared" si="5"/>
        <v>n/a</v>
      </c>
      <c r="O1218" s="207">
        <f t="shared" si="6"/>
        <v>0.0003921568627</v>
      </c>
    </row>
    <row r="1219" ht="15.75" customHeight="1">
      <c r="A1219" s="207">
        <v>72.0</v>
      </c>
      <c r="B1219" s="6" t="str">
        <f>VLOOKUP($A1219, 'Completion rates'!$A:$E, 2, FALSE)</f>
        <v>Opening elite caskets</v>
      </c>
      <c r="C1219" s="207">
        <v>19961.0</v>
      </c>
      <c r="D1219" s="6" t="str">
        <f>VLOOKUP($C1219, 'List of log slots'!$A:$E, 2, FALSE)</f>
        <v>Dark tuxedo cuffs</v>
      </c>
      <c r="E1219" s="207">
        <f>VLOOKUP($C1219, 'List of log slots'!$A:$E, 5, FALSE)</f>
        <v>8</v>
      </c>
      <c r="F1219" s="209" t="b">
        <f>VLOOKUP(C1219, 'List of log slots'!$A:$C, 3, FALSE)</f>
        <v>0</v>
      </c>
      <c r="G1219" s="209" t="b">
        <f t="shared" si="937"/>
        <v>0</v>
      </c>
      <c r="H1219" s="210" t="b">
        <f t="shared" si="7"/>
        <v>1</v>
      </c>
      <c r="I1219" s="208" t="b">
        <f t="shared" ref="I1219:J1219" si="964">FALSE</f>
        <v>0</v>
      </c>
      <c r="J1219" s="208" t="b">
        <f t="shared" si="964"/>
        <v>0</v>
      </c>
      <c r="K1219" s="211">
        <v>2550.0</v>
      </c>
      <c r="L1219" s="207" t="str">
        <f t="shared" si="3"/>
        <v>n/a</v>
      </c>
      <c r="M1219" s="212" t="str">
        <f t="shared" si="4"/>
        <v>n/a</v>
      </c>
      <c r="N1219" s="207" t="str">
        <f t="shared" si="5"/>
        <v>n/a</v>
      </c>
      <c r="O1219" s="207">
        <f t="shared" si="6"/>
        <v>0.0003921568627</v>
      </c>
    </row>
    <row r="1220" ht="15.75" customHeight="1">
      <c r="A1220" s="207">
        <v>72.0</v>
      </c>
      <c r="B1220" s="6" t="str">
        <f>VLOOKUP($A1220, 'Completion rates'!$A:$E, 2, FALSE)</f>
        <v>Opening elite caskets</v>
      </c>
      <c r="C1220" s="207">
        <v>19970.0</v>
      </c>
      <c r="D1220" s="6" t="str">
        <f>VLOOKUP($C1220, 'List of log slots'!$A:$E, 2, FALSE)</f>
        <v>Dark bow tie</v>
      </c>
      <c r="E1220" s="207">
        <f>VLOOKUP($C1220, 'List of log slots'!$A:$E, 5, FALSE)</f>
        <v>8</v>
      </c>
      <c r="F1220" s="209" t="b">
        <f>VLOOKUP(C1220, 'List of log slots'!$A:$C, 3, FALSE)</f>
        <v>0</v>
      </c>
      <c r="G1220" s="209" t="b">
        <f t="shared" si="937"/>
        <v>0</v>
      </c>
      <c r="H1220" s="210" t="b">
        <f t="shared" si="7"/>
        <v>1</v>
      </c>
      <c r="I1220" s="208" t="b">
        <f t="shared" ref="I1220:J1220" si="965">FALSE</f>
        <v>0</v>
      </c>
      <c r="J1220" s="208" t="b">
        <f t="shared" si="965"/>
        <v>0</v>
      </c>
      <c r="K1220" s="211">
        <v>2550.0</v>
      </c>
      <c r="L1220" s="207" t="str">
        <f t="shared" si="3"/>
        <v>n/a</v>
      </c>
      <c r="M1220" s="212" t="str">
        <f t="shared" si="4"/>
        <v>n/a</v>
      </c>
      <c r="N1220" s="207" t="str">
        <f t="shared" si="5"/>
        <v>n/a</v>
      </c>
      <c r="O1220" s="207">
        <f t="shared" si="6"/>
        <v>0.0003921568627</v>
      </c>
    </row>
    <row r="1221" ht="15.75" customHeight="1">
      <c r="A1221" s="207">
        <v>72.0</v>
      </c>
      <c r="B1221" s="6" t="str">
        <f>VLOOKUP($A1221, 'Completion rates'!$A:$E, 2, FALSE)</f>
        <v>Opening elite caskets</v>
      </c>
      <c r="C1221" s="207">
        <v>19973.0</v>
      </c>
      <c r="D1221" s="6" t="str">
        <f>VLOOKUP($C1221, 'List of log slots'!$A:$E, 2, FALSE)</f>
        <v>Light tuxedo jacket</v>
      </c>
      <c r="E1221" s="207">
        <f>VLOOKUP($C1221, 'List of log slots'!$A:$E, 5, FALSE)</f>
        <v>8</v>
      </c>
      <c r="F1221" s="209" t="b">
        <f>VLOOKUP(C1221, 'List of log slots'!$A:$C, 3, FALSE)</f>
        <v>0</v>
      </c>
      <c r="G1221" s="209" t="b">
        <f t="shared" si="937"/>
        <v>0</v>
      </c>
      <c r="H1221" s="210" t="b">
        <f t="shared" si="7"/>
        <v>1</v>
      </c>
      <c r="I1221" s="208" t="b">
        <f t="shared" ref="I1221:J1221" si="966">FALSE</f>
        <v>0</v>
      </c>
      <c r="J1221" s="208" t="b">
        <f t="shared" si="966"/>
        <v>0</v>
      </c>
      <c r="K1221" s="211">
        <v>2550.0</v>
      </c>
      <c r="L1221" s="207" t="str">
        <f t="shared" si="3"/>
        <v>n/a</v>
      </c>
      <c r="M1221" s="212" t="str">
        <f t="shared" si="4"/>
        <v>n/a</v>
      </c>
      <c r="N1221" s="207" t="str">
        <f t="shared" si="5"/>
        <v>n/a</v>
      </c>
      <c r="O1221" s="207">
        <f t="shared" si="6"/>
        <v>0.0003921568627</v>
      </c>
    </row>
    <row r="1222" ht="15.75" customHeight="1">
      <c r="A1222" s="207">
        <v>72.0</v>
      </c>
      <c r="B1222" s="6" t="str">
        <f>VLOOKUP($A1222, 'Completion rates'!$A:$E, 2, FALSE)</f>
        <v>Opening elite caskets</v>
      </c>
      <c r="C1222" s="207">
        <v>19979.0</v>
      </c>
      <c r="D1222" s="6" t="str">
        <f>VLOOKUP($C1222, 'List of log slots'!$A:$E, 2, FALSE)</f>
        <v>Light trousers</v>
      </c>
      <c r="E1222" s="207">
        <f>VLOOKUP($C1222, 'List of log slots'!$A:$E, 5, FALSE)</f>
        <v>8</v>
      </c>
      <c r="F1222" s="209" t="b">
        <f>VLOOKUP(C1222, 'List of log slots'!$A:$C, 3, FALSE)</f>
        <v>0</v>
      </c>
      <c r="G1222" s="209" t="b">
        <f t="shared" si="937"/>
        <v>0</v>
      </c>
      <c r="H1222" s="210" t="b">
        <f t="shared" si="7"/>
        <v>1</v>
      </c>
      <c r="I1222" s="208" t="b">
        <f t="shared" ref="I1222:J1222" si="967">FALSE</f>
        <v>0</v>
      </c>
      <c r="J1222" s="208" t="b">
        <f t="shared" si="967"/>
        <v>0</v>
      </c>
      <c r="K1222" s="211">
        <v>2550.0</v>
      </c>
      <c r="L1222" s="207" t="str">
        <f t="shared" si="3"/>
        <v>n/a</v>
      </c>
      <c r="M1222" s="212" t="str">
        <f t="shared" si="4"/>
        <v>n/a</v>
      </c>
      <c r="N1222" s="207" t="str">
        <f t="shared" si="5"/>
        <v>n/a</v>
      </c>
      <c r="O1222" s="207">
        <f t="shared" si="6"/>
        <v>0.0003921568627</v>
      </c>
    </row>
    <row r="1223" ht="15.75" customHeight="1">
      <c r="A1223" s="207">
        <v>72.0</v>
      </c>
      <c r="B1223" s="6" t="str">
        <f>VLOOKUP($A1223, 'Completion rates'!$A:$E, 2, FALSE)</f>
        <v>Opening elite caskets</v>
      </c>
      <c r="C1223" s="207">
        <v>19982.0</v>
      </c>
      <c r="D1223" s="6" t="str">
        <f>VLOOKUP($C1223, 'List of log slots'!$A:$E, 2, FALSE)</f>
        <v>Light tuxedo shoes</v>
      </c>
      <c r="E1223" s="207">
        <f>VLOOKUP($C1223, 'List of log slots'!$A:$E, 5, FALSE)</f>
        <v>8</v>
      </c>
      <c r="F1223" s="209" t="b">
        <f>VLOOKUP(C1223, 'List of log slots'!$A:$C, 3, FALSE)</f>
        <v>0</v>
      </c>
      <c r="G1223" s="209" t="b">
        <f t="shared" si="937"/>
        <v>0</v>
      </c>
      <c r="H1223" s="210" t="b">
        <f t="shared" si="7"/>
        <v>1</v>
      </c>
      <c r="I1223" s="208" t="b">
        <f t="shared" ref="I1223:J1223" si="968">FALSE</f>
        <v>0</v>
      </c>
      <c r="J1223" s="208" t="b">
        <f t="shared" si="968"/>
        <v>0</v>
      </c>
      <c r="K1223" s="211">
        <v>2550.0</v>
      </c>
      <c r="L1223" s="207" t="str">
        <f t="shared" si="3"/>
        <v>n/a</v>
      </c>
      <c r="M1223" s="212" t="str">
        <f t="shared" si="4"/>
        <v>n/a</v>
      </c>
      <c r="N1223" s="207" t="str">
        <f t="shared" si="5"/>
        <v>n/a</v>
      </c>
      <c r="O1223" s="207">
        <f t="shared" si="6"/>
        <v>0.0003921568627</v>
      </c>
    </row>
    <row r="1224" ht="15.75" customHeight="1">
      <c r="A1224" s="207">
        <v>72.0</v>
      </c>
      <c r="B1224" s="6" t="str">
        <f>VLOOKUP($A1224, 'Completion rates'!$A:$E, 2, FALSE)</f>
        <v>Opening elite caskets</v>
      </c>
      <c r="C1224" s="207">
        <v>19976.0</v>
      </c>
      <c r="D1224" s="6" t="str">
        <f>VLOOKUP($C1224, 'List of log slots'!$A:$E, 2, FALSE)</f>
        <v>Light tuxedo cuffs</v>
      </c>
      <c r="E1224" s="207">
        <f>VLOOKUP($C1224, 'List of log slots'!$A:$E, 5, FALSE)</f>
        <v>8</v>
      </c>
      <c r="F1224" s="209" t="b">
        <f>VLOOKUP(C1224, 'List of log slots'!$A:$C, 3, FALSE)</f>
        <v>0</v>
      </c>
      <c r="G1224" s="209" t="b">
        <f t="shared" si="937"/>
        <v>0</v>
      </c>
      <c r="H1224" s="210" t="b">
        <f t="shared" si="7"/>
        <v>1</v>
      </c>
      <c r="I1224" s="208" t="b">
        <f t="shared" ref="I1224:J1224" si="969">FALSE</f>
        <v>0</v>
      </c>
      <c r="J1224" s="208" t="b">
        <f t="shared" si="969"/>
        <v>0</v>
      </c>
      <c r="K1224" s="211">
        <v>2550.0</v>
      </c>
      <c r="L1224" s="207" t="str">
        <f t="shared" si="3"/>
        <v>n/a</v>
      </c>
      <c r="M1224" s="212" t="str">
        <f t="shared" si="4"/>
        <v>n/a</v>
      </c>
      <c r="N1224" s="207" t="str">
        <f t="shared" si="5"/>
        <v>n/a</v>
      </c>
      <c r="O1224" s="207">
        <f t="shared" si="6"/>
        <v>0.0003921568627</v>
      </c>
    </row>
    <row r="1225" ht="15.75" customHeight="1">
      <c r="A1225" s="207">
        <v>72.0</v>
      </c>
      <c r="B1225" s="6" t="str">
        <f>VLOOKUP($A1225, 'Completion rates'!$A:$E, 2, FALSE)</f>
        <v>Opening elite caskets</v>
      </c>
      <c r="C1225" s="207">
        <v>19985.0</v>
      </c>
      <c r="D1225" s="6" t="str">
        <f>VLOOKUP($C1225, 'List of log slots'!$A:$E, 2, FALSE)</f>
        <v>Light bow tie</v>
      </c>
      <c r="E1225" s="207">
        <f>VLOOKUP($C1225, 'List of log slots'!$A:$E, 5, FALSE)</f>
        <v>8</v>
      </c>
      <c r="F1225" s="209" t="b">
        <f>VLOOKUP(C1225, 'List of log slots'!$A:$C, 3, FALSE)</f>
        <v>0</v>
      </c>
      <c r="G1225" s="209" t="b">
        <f t="shared" si="937"/>
        <v>0</v>
      </c>
      <c r="H1225" s="210" t="b">
        <f t="shared" si="7"/>
        <v>1</v>
      </c>
      <c r="I1225" s="208" t="b">
        <f t="shared" ref="I1225:J1225" si="970">FALSE</f>
        <v>0</v>
      </c>
      <c r="J1225" s="208" t="b">
        <f t="shared" si="970"/>
        <v>0</v>
      </c>
      <c r="K1225" s="211">
        <v>2550.0</v>
      </c>
      <c r="L1225" s="207" t="str">
        <f t="shared" si="3"/>
        <v>n/a</v>
      </c>
      <c r="M1225" s="212" t="str">
        <f t="shared" si="4"/>
        <v>n/a</v>
      </c>
      <c r="N1225" s="207" t="str">
        <f t="shared" si="5"/>
        <v>n/a</v>
      </c>
      <c r="O1225" s="207">
        <f t="shared" si="6"/>
        <v>0.0003921568627</v>
      </c>
    </row>
    <row r="1226" ht="15.75" customHeight="1">
      <c r="A1226" s="207">
        <v>72.0</v>
      </c>
      <c r="B1226" s="6" t="str">
        <f>VLOOKUP($A1226, 'Completion rates'!$A:$E, 2, FALSE)</f>
        <v>Opening elite caskets</v>
      </c>
      <c r="C1226" s="207">
        <v>19943.0</v>
      </c>
      <c r="D1226" s="6" t="str">
        <f>VLOOKUP($C1226, 'List of log slots'!$A:$E, 2, FALSE)</f>
        <v>Arceuus scarf</v>
      </c>
      <c r="E1226" s="207">
        <f>VLOOKUP($C1226, 'List of log slots'!$A:$E, 5, FALSE)</f>
        <v>6</v>
      </c>
      <c r="F1226" s="209" t="b">
        <f>VLOOKUP(C1226, 'List of log slots'!$A:$C, 3, FALSE)</f>
        <v>0</v>
      </c>
      <c r="G1226" s="209" t="b">
        <f t="shared" si="937"/>
        <v>0</v>
      </c>
      <c r="H1226" s="210" t="b">
        <f t="shared" si="7"/>
        <v>1</v>
      </c>
      <c r="I1226" s="208" t="b">
        <f t="shared" ref="I1226:J1226" si="971">FALSE</f>
        <v>0</v>
      </c>
      <c r="J1226" s="208" t="b">
        <f t="shared" si="971"/>
        <v>0</v>
      </c>
      <c r="K1226" s="211">
        <v>255.0</v>
      </c>
      <c r="L1226" s="207" t="str">
        <f t="shared" si="3"/>
        <v>n/a</v>
      </c>
      <c r="M1226" s="212" t="str">
        <f t="shared" si="4"/>
        <v>n/a</v>
      </c>
      <c r="N1226" s="207" t="str">
        <f t="shared" si="5"/>
        <v>n/a</v>
      </c>
      <c r="O1226" s="207">
        <f t="shared" si="6"/>
        <v>0.003921568627</v>
      </c>
    </row>
    <row r="1227" ht="15.75" customHeight="1">
      <c r="A1227" s="207">
        <v>72.0</v>
      </c>
      <c r="B1227" s="6" t="str">
        <f>VLOOKUP($A1227, 'Completion rates'!$A:$E, 2, FALSE)</f>
        <v>Opening elite caskets</v>
      </c>
      <c r="C1227" s="207">
        <v>19946.0</v>
      </c>
      <c r="D1227" s="6" t="str">
        <f>VLOOKUP($C1227, 'List of log slots'!$A:$E, 2, FALSE)</f>
        <v>Hosidius scarf</v>
      </c>
      <c r="E1227" s="207">
        <f>VLOOKUP($C1227, 'List of log slots'!$A:$E, 5, FALSE)</f>
        <v>6</v>
      </c>
      <c r="F1227" s="209" t="b">
        <f>VLOOKUP(C1227, 'List of log slots'!$A:$C, 3, FALSE)</f>
        <v>0</v>
      </c>
      <c r="G1227" s="209" t="b">
        <f t="shared" si="937"/>
        <v>0</v>
      </c>
      <c r="H1227" s="210" t="b">
        <f t="shared" si="7"/>
        <v>1</v>
      </c>
      <c r="I1227" s="208" t="b">
        <f t="shared" ref="I1227:J1227" si="972">FALSE</f>
        <v>0</v>
      </c>
      <c r="J1227" s="208" t="b">
        <f t="shared" si="972"/>
        <v>0</v>
      </c>
      <c r="K1227" s="211">
        <v>255.0</v>
      </c>
      <c r="L1227" s="207" t="str">
        <f t="shared" si="3"/>
        <v>n/a</v>
      </c>
      <c r="M1227" s="212" t="str">
        <f t="shared" si="4"/>
        <v>n/a</v>
      </c>
      <c r="N1227" s="207" t="str">
        <f t="shared" si="5"/>
        <v>n/a</v>
      </c>
      <c r="O1227" s="207">
        <f t="shared" si="6"/>
        <v>0.003921568627</v>
      </c>
    </row>
    <row r="1228" ht="15.75" customHeight="1">
      <c r="A1228" s="207">
        <v>72.0</v>
      </c>
      <c r="B1228" s="6" t="str">
        <f>VLOOKUP($A1228, 'Completion rates'!$A:$E, 2, FALSE)</f>
        <v>Opening elite caskets</v>
      </c>
      <c r="C1228" s="207">
        <v>19952.0</v>
      </c>
      <c r="D1228" s="6" t="str">
        <f>VLOOKUP($C1228, 'List of log slots'!$A:$E, 2, FALSE)</f>
        <v>Piscarilius scarf</v>
      </c>
      <c r="E1228" s="207">
        <f>VLOOKUP($C1228, 'List of log slots'!$A:$E, 5, FALSE)</f>
        <v>6</v>
      </c>
      <c r="F1228" s="209" t="b">
        <f>VLOOKUP(C1228, 'List of log slots'!$A:$C, 3, FALSE)</f>
        <v>0</v>
      </c>
      <c r="G1228" s="209" t="b">
        <f t="shared" si="937"/>
        <v>0</v>
      </c>
      <c r="H1228" s="210" t="b">
        <f t="shared" si="7"/>
        <v>1</v>
      </c>
      <c r="I1228" s="208" t="b">
        <f t="shared" ref="I1228:J1228" si="973">FALSE</f>
        <v>0</v>
      </c>
      <c r="J1228" s="208" t="b">
        <f t="shared" si="973"/>
        <v>0</v>
      </c>
      <c r="K1228" s="211">
        <v>255.0</v>
      </c>
      <c r="L1228" s="207" t="str">
        <f t="shared" si="3"/>
        <v>n/a</v>
      </c>
      <c r="M1228" s="212" t="str">
        <f t="shared" si="4"/>
        <v>n/a</v>
      </c>
      <c r="N1228" s="207" t="str">
        <f t="shared" si="5"/>
        <v>n/a</v>
      </c>
      <c r="O1228" s="207">
        <f t="shared" si="6"/>
        <v>0.003921568627</v>
      </c>
    </row>
    <row r="1229" ht="15.75" customHeight="1">
      <c r="A1229" s="207">
        <v>72.0</v>
      </c>
      <c r="B1229" s="6" t="str">
        <f>VLOOKUP($A1229, 'Completion rates'!$A:$E, 2, FALSE)</f>
        <v>Opening elite caskets</v>
      </c>
      <c r="C1229" s="207">
        <v>19955.0</v>
      </c>
      <c r="D1229" s="6" t="str">
        <f>VLOOKUP($C1229, 'List of log slots'!$A:$E, 2, FALSE)</f>
        <v>Shayzien scarf</v>
      </c>
      <c r="E1229" s="207">
        <f>VLOOKUP($C1229, 'List of log slots'!$A:$E, 5, FALSE)</f>
        <v>6</v>
      </c>
      <c r="F1229" s="209" t="b">
        <f>VLOOKUP(C1229, 'List of log slots'!$A:$C, 3, FALSE)</f>
        <v>0</v>
      </c>
      <c r="G1229" s="209" t="b">
        <f t="shared" si="937"/>
        <v>0</v>
      </c>
      <c r="H1229" s="210" t="b">
        <f t="shared" si="7"/>
        <v>1</v>
      </c>
      <c r="I1229" s="208" t="b">
        <f t="shared" ref="I1229:J1229" si="974">FALSE</f>
        <v>0</v>
      </c>
      <c r="J1229" s="208" t="b">
        <f t="shared" si="974"/>
        <v>0</v>
      </c>
      <c r="K1229" s="211">
        <v>255.0</v>
      </c>
      <c r="L1229" s="207" t="str">
        <f t="shared" si="3"/>
        <v>n/a</v>
      </c>
      <c r="M1229" s="212" t="str">
        <f t="shared" si="4"/>
        <v>n/a</v>
      </c>
      <c r="N1229" s="207" t="str">
        <f t="shared" si="5"/>
        <v>n/a</v>
      </c>
      <c r="O1229" s="207">
        <f t="shared" si="6"/>
        <v>0.003921568627</v>
      </c>
    </row>
    <row r="1230" ht="15.75" customHeight="1">
      <c r="A1230" s="207">
        <v>72.0</v>
      </c>
      <c r="B1230" s="6" t="str">
        <f>VLOOKUP($A1230, 'Completion rates'!$A:$E, 2, FALSE)</f>
        <v>Opening elite caskets</v>
      </c>
      <c r="C1230" s="207">
        <v>19949.0</v>
      </c>
      <c r="D1230" s="6" t="str">
        <f>VLOOKUP($C1230, 'List of log slots'!$A:$E, 2, FALSE)</f>
        <v>Lovakengj scarf</v>
      </c>
      <c r="E1230" s="207">
        <f>VLOOKUP($C1230, 'List of log slots'!$A:$E, 5, FALSE)</f>
        <v>6</v>
      </c>
      <c r="F1230" s="209" t="b">
        <f>VLOOKUP(C1230, 'List of log slots'!$A:$C, 3, FALSE)</f>
        <v>0</v>
      </c>
      <c r="G1230" s="209" t="b">
        <f t="shared" si="937"/>
        <v>0</v>
      </c>
      <c r="H1230" s="210" t="b">
        <f t="shared" si="7"/>
        <v>1</v>
      </c>
      <c r="I1230" s="208" t="b">
        <f t="shared" ref="I1230:J1230" si="975">FALSE</f>
        <v>0</v>
      </c>
      <c r="J1230" s="208" t="b">
        <f t="shared" si="975"/>
        <v>0</v>
      </c>
      <c r="K1230" s="211">
        <v>255.0</v>
      </c>
      <c r="L1230" s="207" t="str">
        <f t="shared" si="3"/>
        <v>n/a</v>
      </c>
      <c r="M1230" s="212" t="str">
        <f t="shared" si="4"/>
        <v>n/a</v>
      </c>
      <c r="N1230" s="207" t="str">
        <f t="shared" si="5"/>
        <v>n/a</v>
      </c>
      <c r="O1230" s="207">
        <f t="shared" si="6"/>
        <v>0.003921568627</v>
      </c>
    </row>
    <row r="1231" ht="15.75" customHeight="1">
      <c r="A1231" s="207">
        <v>72.0</v>
      </c>
      <c r="B1231" s="6" t="str">
        <f>VLOOKUP($A1231, 'Completion rates'!$A:$E, 2, FALSE)</f>
        <v>Opening elite caskets</v>
      </c>
      <c r="C1231" s="207">
        <v>12363.0</v>
      </c>
      <c r="D1231" s="6" t="str">
        <f>VLOOKUP($C1231, 'List of log slots'!$A:$E, 2, FALSE)</f>
        <v>Bronze dragon mask</v>
      </c>
      <c r="E1231" s="207">
        <f>VLOOKUP($C1231, 'List of log slots'!$A:$E, 5, FALSE)</f>
        <v>6</v>
      </c>
      <c r="F1231" s="209" t="b">
        <f>VLOOKUP(C1231, 'List of log slots'!$A:$C, 3, FALSE)</f>
        <v>0</v>
      </c>
      <c r="G1231" s="209" t="b">
        <f t="shared" si="937"/>
        <v>0</v>
      </c>
      <c r="H1231" s="210" t="b">
        <f t="shared" si="7"/>
        <v>1</v>
      </c>
      <c r="I1231" s="208" t="b">
        <f t="shared" ref="I1231:J1231" si="976">FALSE</f>
        <v>0</v>
      </c>
      <c r="J1231" s="208" t="b">
        <f t="shared" si="976"/>
        <v>0</v>
      </c>
      <c r="K1231" s="211">
        <v>255.0</v>
      </c>
      <c r="L1231" s="207" t="str">
        <f t="shared" si="3"/>
        <v>n/a</v>
      </c>
      <c r="M1231" s="212" t="str">
        <f t="shared" si="4"/>
        <v>n/a</v>
      </c>
      <c r="N1231" s="207" t="str">
        <f t="shared" si="5"/>
        <v>n/a</v>
      </c>
      <c r="O1231" s="207">
        <f t="shared" si="6"/>
        <v>0.003921568627</v>
      </c>
    </row>
    <row r="1232" ht="15.75" customHeight="1">
      <c r="A1232" s="207">
        <v>72.0</v>
      </c>
      <c r="B1232" s="6" t="str">
        <f>VLOOKUP($A1232, 'Completion rates'!$A:$E, 2, FALSE)</f>
        <v>Opening elite caskets</v>
      </c>
      <c r="C1232" s="207">
        <v>12365.0</v>
      </c>
      <c r="D1232" s="6" t="str">
        <f>VLOOKUP($C1232, 'List of log slots'!$A:$E, 2, FALSE)</f>
        <v>Iron dragon mask</v>
      </c>
      <c r="E1232" s="207">
        <f>VLOOKUP($C1232, 'List of log slots'!$A:$E, 5, FALSE)</f>
        <v>6</v>
      </c>
      <c r="F1232" s="209" t="b">
        <f>VLOOKUP(C1232, 'List of log slots'!$A:$C, 3, FALSE)</f>
        <v>0</v>
      </c>
      <c r="G1232" s="209" t="b">
        <f t="shared" si="937"/>
        <v>0</v>
      </c>
      <c r="H1232" s="210" t="b">
        <f t="shared" si="7"/>
        <v>1</v>
      </c>
      <c r="I1232" s="208" t="b">
        <f t="shared" ref="I1232:J1232" si="977">FALSE</f>
        <v>0</v>
      </c>
      <c r="J1232" s="208" t="b">
        <f t="shared" si="977"/>
        <v>0</v>
      </c>
      <c r="K1232" s="211">
        <v>255.0</v>
      </c>
      <c r="L1232" s="207" t="str">
        <f t="shared" si="3"/>
        <v>n/a</v>
      </c>
      <c r="M1232" s="212" t="str">
        <f t="shared" si="4"/>
        <v>n/a</v>
      </c>
      <c r="N1232" s="207" t="str">
        <f t="shared" si="5"/>
        <v>n/a</v>
      </c>
      <c r="O1232" s="207">
        <f t="shared" si="6"/>
        <v>0.003921568627</v>
      </c>
    </row>
    <row r="1233" ht="15.75" customHeight="1">
      <c r="A1233" s="207">
        <v>72.0</v>
      </c>
      <c r="B1233" s="6" t="str">
        <f>VLOOKUP($A1233, 'Completion rates'!$A:$E, 2, FALSE)</f>
        <v>Opening elite caskets</v>
      </c>
      <c r="C1233" s="207">
        <v>12367.0</v>
      </c>
      <c r="D1233" s="6" t="str">
        <f>VLOOKUP($C1233, 'List of log slots'!$A:$E, 2, FALSE)</f>
        <v>Steel dragon mask</v>
      </c>
      <c r="E1233" s="207">
        <f>VLOOKUP($C1233, 'List of log slots'!$A:$E, 5, FALSE)</f>
        <v>6</v>
      </c>
      <c r="F1233" s="209" t="b">
        <f>VLOOKUP(C1233, 'List of log slots'!$A:$C, 3, FALSE)</f>
        <v>0</v>
      </c>
      <c r="G1233" s="209" t="b">
        <f t="shared" si="937"/>
        <v>0</v>
      </c>
      <c r="H1233" s="210" t="b">
        <f t="shared" si="7"/>
        <v>1</v>
      </c>
      <c r="I1233" s="208" t="b">
        <f t="shared" ref="I1233:J1233" si="978">FALSE</f>
        <v>0</v>
      </c>
      <c r="J1233" s="208" t="b">
        <f t="shared" si="978"/>
        <v>0</v>
      </c>
      <c r="K1233" s="211">
        <v>255.0</v>
      </c>
      <c r="L1233" s="207" t="str">
        <f t="shared" si="3"/>
        <v>n/a</v>
      </c>
      <c r="M1233" s="212" t="str">
        <f t="shared" si="4"/>
        <v>n/a</v>
      </c>
      <c r="N1233" s="207" t="str">
        <f t="shared" si="5"/>
        <v>n/a</v>
      </c>
      <c r="O1233" s="207">
        <f t="shared" si="6"/>
        <v>0.003921568627</v>
      </c>
    </row>
    <row r="1234" ht="15.75" customHeight="1">
      <c r="A1234" s="207">
        <v>72.0</v>
      </c>
      <c r="B1234" s="6" t="str">
        <f>VLOOKUP($A1234, 'Completion rates'!$A:$E, 2, FALSE)</f>
        <v>Opening elite caskets</v>
      </c>
      <c r="C1234" s="207">
        <v>12369.0</v>
      </c>
      <c r="D1234" s="6" t="str">
        <f>VLOOKUP($C1234, 'List of log slots'!$A:$E, 2, FALSE)</f>
        <v>Mithril dragon mask</v>
      </c>
      <c r="E1234" s="207">
        <f>VLOOKUP($C1234, 'List of log slots'!$A:$E, 5, FALSE)</f>
        <v>6</v>
      </c>
      <c r="F1234" s="209" t="b">
        <f>VLOOKUP(C1234, 'List of log slots'!$A:$C, 3, FALSE)</f>
        <v>0</v>
      </c>
      <c r="G1234" s="209" t="b">
        <f t="shared" si="937"/>
        <v>0</v>
      </c>
      <c r="H1234" s="210" t="b">
        <f t="shared" si="7"/>
        <v>1</v>
      </c>
      <c r="I1234" s="208" t="b">
        <f t="shared" ref="I1234:J1234" si="979">FALSE</f>
        <v>0</v>
      </c>
      <c r="J1234" s="208" t="b">
        <f t="shared" si="979"/>
        <v>0</v>
      </c>
      <c r="K1234" s="211">
        <v>255.0</v>
      </c>
      <c r="L1234" s="207" t="str">
        <f t="shared" si="3"/>
        <v>n/a</v>
      </c>
      <c r="M1234" s="212" t="str">
        <f t="shared" si="4"/>
        <v>n/a</v>
      </c>
      <c r="N1234" s="207" t="str">
        <f t="shared" si="5"/>
        <v>n/a</v>
      </c>
      <c r="O1234" s="207">
        <f t="shared" si="6"/>
        <v>0.003921568627</v>
      </c>
    </row>
    <row r="1235" ht="15.75" customHeight="1">
      <c r="A1235" s="207">
        <v>72.0</v>
      </c>
      <c r="B1235" s="6" t="str">
        <f>VLOOKUP($A1235, 'Completion rates'!$A:$E, 2, FALSE)</f>
        <v>Opening elite caskets</v>
      </c>
      <c r="C1235" s="207">
        <v>23270.0</v>
      </c>
      <c r="D1235" s="6" t="str">
        <f>VLOOKUP($C1235, 'List of log slots'!$A:$E, 2, FALSE)</f>
        <v>Adamant dragon mask</v>
      </c>
      <c r="E1235" s="207">
        <f>VLOOKUP($C1235, 'List of log slots'!$A:$E, 5, FALSE)</f>
        <v>6</v>
      </c>
      <c r="F1235" s="209" t="b">
        <f>VLOOKUP(C1235, 'List of log slots'!$A:$C, 3, FALSE)</f>
        <v>0</v>
      </c>
      <c r="G1235" s="209" t="b">
        <f t="shared" si="937"/>
        <v>0</v>
      </c>
      <c r="H1235" s="210" t="b">
        <f t="shared" si="7"/>
        <v>1</v>
      </c>
      <c r="I1235" s="208" t="b">
        <f t="shared" ref="I1235:J1235" si="980">FALSE</f>
        <v>0</v>
      </c>
      <c r="J1235" s="208" t="b">
        <f t="shared" si="980"/>
        <v>0</v>
      </c>
      <c r="K1235" s="211">
        <v>255.0</v>
      </c>
      <c r="L1235" s="207" t="str">
        <f t="shared" si="3"/>
        <v>n/a</v>
      </c>
      <c r="M1235" s="212" t="str">
        <f t="shared" si="4"/>
        <v>n/a</v>
      </c>
      <c r="N1235" s="207" t="str">
        <f t="shared" si="5"/>
        <v>n/a</v>
      </c>
      <c r="O1235" s="207">
        <f t="shared" si="6"/>
        <v>0.003921568627</v>
      </c>
    </row>
    <row r="1236" ht="15.75" customHeight="1">
      <c r="A1236" s="207">
        <v>72.0</v>
      </c>
      <c r="B1236" s="6" t="str">
        <f>VLOOKUP($A1236, 'Completion rates'!$A:$E, 2, FALSE)</f>
        <v>Opening elite caskets</v>
      </c>
      <c r="C1236" s="207">
        <v>23273.0</v>
      </c>
      <c r="D1236" s="6" t="str">
        <f>VLOOKUP($C1236, 'List of log slots'!$A:$E, 2, FALSE)</f>
        <v>Rune dragon mask</v>
      </c>
      <c r="E1236" s="207">
        <f>VLOOKUP($C1236, 'List of log slots'!$A:$E, 5, FALSE)</f>
        <v>6</v>
      </c>
      <c r="F1236" s="209" t="b">
        <f>VLOOKUP(C1236, 'List of log slots'!$A:$C, 3, FALSE)</f>
        <v>0</v>
      </c>
      <c r="G1236" s="209" t="b">
        <f t="shared" si="937"/>
        <v>0</v>
      </c>
      <c r="H1236" s="210" t="b">
        <f t="shared" si="7"/>
        <v>1</v>
      </c>
      <c r="I1236" s="208" t="b">
        <f t="shared" ref="I1236:J1236" si="981">FALSE</f>
        <v>0</v>
      </c>
      <c r="J1236" s="208" t="b">
        <f t="shared" si="981"/>
        <v>0</v>
      </c>
      <c r="K1236" s="211">
        <v>255.0</v>
      </c>
      <c r="L1236" s="207" t="str">
        <f t="shared" si="3"/>
        <v>n/a</v>
      </c>
      <c r="M1236" s="212" t="str">
        <f t="shared" si="4"/>
        <v>n/a</v>
      </c>
      <c r="N1236" s="207" t="str">
        <f t="shared" si="5"/>
        <v>n/a</v>
      </c>
      <c r="O1236" s="207">
        <f t="shared" si="6"/>
        <v>0.003921568627</v>
      </c>
    </row>
    <row r="1237" ht="15.75" customHeight="1">
      <c r="A1237" s="207">
        <v>72.0</v>
      </c>
      <c r="B1237" s="6" t="str">
        <f>VLOOKUP($A1237, 'Completion rates'!$A:$E, 2, FALSE)</f>
        <v>Opening elite caskets</v>
      </c>
      <c r="C1237" s="207">
        <v>12357.0</v>
      </c>
      <c r="D1237" s="6" t="str">
        <f>VLOOKUP($C1237, 'List of log slots'!$A:$E, 2, FALSE)</f>
        <v>Katana</v>
      </c>
      <c r="E1237" s="207">
        <f>VLOOKUP($C1237, 'List of log slots'!$A:$E, 5, FALSE)</f>
        <v>6</v>
      </c>
      <c r="F1237" s="210" t="b">
        <f>VLOOKUP(C1237, 'List of log slots'!$A:$C, 3, FALSE)</f>
        <v>0</v>
      </c>
      <c r="G1237" s="209" t="b">
        <f t="shared" si="937"/>
        <v>0</v>
      </c>
      <c r="H1237" s="209" t="b">
        <f t="shared" si="7"/>
        <v>1</v>
      </c>
      <c r="I1237" s="208" t="b">
        <f t="shared" ref="I1237:J1237" si="982">FALSE</f>
        <v>0</v>
      </c>
      <c r="J1237" s="208" t="b">
        <f t="shared" si="982"/>
        <v>0</v>
      </c>
      <c r="K1237" s="211">
        <v>255.0</v>
      </c>
      <c r="L1237" s="207" t="str">
        <f t="shared" si="3"/>
        <v>n/a</v>
      </c>
      <c r="M1237" s="212" t="str">
        <f t="shared" si="4"/>
        <v>n/a</v>
      </c>
      <c r="N1237" s="207" t="str">
        <f t="shared" si="5"/>
        <v>n/a</v>
      </c>
      <c r="O1237" s="207">
        <f t="shared" si="6"/>
        <v>0.003921568627</v>
      </c>
    </row>
    <row r="1238" ht="15.75" customHeight="1">
      <c r="A1238" s="207">
        <v>72.0</v>
      </c>
      <c r="B1238" s="6" t="str">
        <f>VLOOKUP($A1238, 'Completion rates'!$A:$E, 2, FALSE)</f>
        <v>Opening elite caskets</v>
      </c>
      <c r="C1238" s="207">
        <v>12373.0</v>
      </c>
      <c r="D1238" s="6" t="str">
        <f>VLOOKUP($C1238, 'List of log slots'!$A:$E, 2, FALSE)</f>
        <v>Dragon cane</v>
      </c>
      <c r="E1238" s="207">
        <f>VLOOKUP($C1238, 'List of log slots'!$A:$E, 5, FALSE)</f>
        <v>6</v>
      </c>
      <c r="F1238" s="209" t="b">
        <f>VLOOKUP(C1238, 'List of log slots'!$A:$C, 3, FALSE)</f>
        <v>0</v>
      </c>
      <c r="G1238" s="209" t="b">
        <f t="shared" si="937"/>
        <v>0</v>
      </c>
      <c r="H1238" s="210" t="b">
        <f t="shared" si="7"/>
        <v>1</v>
      </c>
      <c r="I1238" s="208" t="b">
        <f t="shared" ref="I1238:J1238" si="983">FALSE</f>
        <v>0</v>
      </c>
      <c r="J1238" s="208" t="b">
        <f t="shared" si="983"/>
        <v>0</v>
      </c>
      <c r="K1238" s="211">
        <v>255.0</v>
      </c>
      <c r="L1238" s="207" t="str">
        <f t="shared" si="3"/>
        <v>n/a</v>
      </c>
      <c r="M1238" s="212" t="str">
        <f t="shared" si="4"/>
        <v>n/a</v>
      </c>
      <c r="N1238" s="207" t="str">
        <f t="shared" si="5"/>
        <v>n/a</v>
      </c>
      <c r="O1238" s="207">
        <f t="shared" si="6"/>
        <v>0.003921568627</v>
      </c>
    </row>
    <row r="1239" ht="15.75" customHeight="1">
      <c r="A1239" s="207">
        <v>72.0</v>
      </c>
      <c r="B1239" s="6" t="str">
        <f>VLOOKUP($A1239, 'Completion rates'!$A:$E, 2, FALSE)</f>
        <v>Opening elite caskets</v>
      </c>
      <c r="C1239" s="207">
        <v>12335.0</v>
      </c>
      <c r="D1239" s="6" t="str">
        <f>VLOOKUP($C1239, 'List of log slots'!$A:$E, 2, FALSE)</f>
        <v>Briefcase</v>
      </c>
      <c r="E1239" s="207">
        <f>VLOOKUP($C1239, 'List of log slots'!$A:$E, 5, FALSE)</f>
        <v>6</v>
      </c>
      <c r="F1239" s="209" t="b">
        <f>VLOOKUP(C1239, 'List of log slots'!$A:$C, 3, FALSE)</f>
        <v>0</v>
      </c>
      <c r="G1239" s="209" t="b">
        <f t="shared" si="937"/>
        <v>0</v>
      </c>
      <c r="H1239" s="210" t="b">
        <f t="shared" si="7"/>
        <v>1</v>
      </c>
      <c r="I1239" s="208" t="b">
        <f t="shared" ref="I1239:J1239" si="984">FALSE</f>
        <v>0</v>
      </c>
      <c r="J1239" s="208" t="b">
        <f t="shared" si="984"/>
        <v>0</v>
      </c>
      <c r="K1239" s="211">
        <v>255.0</v>
      </c>
      <c r="L1239" s="207" t="str">
        <f t="shared" si="3"/>
        <v>n/a</v>
      </c>
      <c r="M1239" s="212" t="str">
        <f t="shared" si="4"/>
        <v>n/a</v>
      </c>
      <c r="N1239" s="207" t="str">
        <f t="shared" si="5"/>
        <v>n/a</v>
      </c>
      <c r="O1239" s="207">
        <f t="shared" si="6"/>
        <v>0.003921568627</v>
      </c>
    </row>
    <row r="1240" ht="15.75" customHeight="1">
      <c r="A1240" s="207">
        <v>72.0</v>
      </c>
      <c r="B1240" s="6" t="str">
        <f>VLOOKUP($A1240, 'Completion rates'!$A:$E, 2, FALSE)</f>
        <v>Opening elite caskets</v>
      </c>
      <c r="C1240" s="207">
        <v>19991.0</v>
      </c>
      <c r="D1240" s="6" t="str">
        <f>VLOOKUP($C1240, 'List of log slots'!$A:$E, 2, FALSE)</f>
        <v>Bucket helm</v>
      </c>
      <c r="E1240" s="207">
        <f>VLOOKUP($C1240, 'List of log slots'!$A:$E, 5, FALSE)</f>
        <v>6</v>
      </c>
      <c r="F1240" s="209" t="b">
        <f>VLOOKUP(C1240, 'List of log slots'!$A:$C, 3, FALSE)</f>
        <v>0</v>
      </c>
      <c r="G1240" s="209" t="b">
        <f t="shared" si="937"/>
        <v>0</v>
      </c>
      <c r="H1240" s="210" t="b">
        <f t="shared" si="7"/>
        <v>1</v>
      </c>
      <c r="I1240" s="208" t="b">
        <f t="shared" ref="I1240:J1240" si="985">FALSE</f>
        <v>0</v>
      </c>
      <c r="J1240" s="208" t="b">
        <f t="shared" si="985"/>
        <v>0</v>
      </c>
      <c r="K1240" s="211">
        <v>255.0</v>
      </c>
      <c r="L1240" s="207" t="str">
        <f t="shared" si="3"/>
        <v>n/a</v>
      </c>
      <c r="M1240" s="212" t="str">
        <f t="shared" si="4"/>
        <v>n/a</v>
      </c>
      <c r="N1240" s="207" t="str">
        <f t="shared" si="5"/>
        <v>n/a</v>
      </c>
      <c r="O1240" s="207">
        <f t="shared" si="6"/>
        <v>0.003921568627</v>
      </c>
    </row>
    <row r="1241" ht="15.75" customHeight="1">
      <c r="A1241" s="207">
        <v>72.0</v>
      </c>
      <c r="B1241" s="6" t="str">
        <f>VLOOKUP($A1241, 'Completion rates'!$A:$E, 2, FALSE)</f>
        <v>Opening elite caskets</v>
      </c>
      <c r="C1241" s="207">
        <v>19988.0</v>
      </c>
      <c r="D1241" s="6" t="str">
        <f>VLOOKUP($C1241, 'List of log slots'!$A:$E, 2, FALSE)</f>
        <v>Blacksmith's helm</v>
      </c>
      <c r="E1241" s="207">
        <f>VLOOKUP($C1241, 'List of log slots'!$A:$E, 5, FALSE)</f>
        <v>6</v>
      </c>
      <c r="F1241" s="209" t="b">
        <f>VLOOKUP(C1241, 'List of log slots'!$A:$C, 3, FALSE)</f>
        <v>0</v>
      </c>
      <c r="G1241" s="209" t="b">
        <f t="shared" si="937"/>
        <v>0</v>
      </c>
      <c r="H1241" s="210" t="b">
        <f t="shared" si="7"/>
        <v>1</v>
      </c>
      <c r="I1241" s="208" t="b">
        <f t="shared" ref="I1241:J1241" si="986">FALSE</f>
        <v>0</v>
      </c>
      <c r="J1241" s="208" t="b">
        <f t="shared" si="986"/>
        <v>0</v>
      </c>
      <c r="K1241" s="211">
        <v>255.0</v>
      </c>
      <c r="L1241" s="207" t="str">
        <f t="shared" si="3"/>
        <v>n/a</v>
      </c>
      <c r="M1241" s="212" t="str">
        <f t="shared" si="4"/>
        <v>n/a</v>
      </c>
      <c r="N1241" s="207" t="str">
        <f t="shared" si="5"/>
        <v>n/a</v>
      </c>
      <c r="O1241" s="207">
        <f t="shared" si="6"/>
        <v>0.003921568627</v>
      </c>
    </row>
    <row r="1242" ht="15.75" customHeight="1">
      <c r="A1242" s="207">
        <v>72.0</v>
      </c>
      <c r="B1242" s="6" t="str">
        <f>VLOOKUP($A1242, 'Completion rates'!$A:$E, 2, FALSE)</f>
        <v>Opening elite caskets</v>
      </c>
      <c r="C1242" s="207">
        <v>12540.0</v>
      </c>
      <c r="D1242" s="6" t="str">
        <f>VLOOKUP($C1242, 'List of log slots'!$A:$E, 2, FALSE)</f>
        <v>Deerstalker</v>
      </c>
      <c r="E1242" s="207">
        <f>VLOOKUP($C1242, 'List of log slots'!$A:$E, 5, FALSE)</f>
        <v>6</v>
      </c>
      <c r="F1242" s="209" t="b">
        <f>VLOOKUP(C1242, 'List of log slots'!$A:$C, 3, FALSE)</f>
        <v>0</v>
      </c>
      <c r="G1242" s="209" t="b">
        <f t="shared" si="937"/>
        <v>0</v>
      </c>
      <c r="H1242" s="210" t="b">
        <f t="shared" si="7"/>
        <v>1</v>
      </c>
      <c r="I1242" s="208" t="b">
        <f t="shared" ref="I1242:J1242" si="987">FALSE</f>
        <v>0</v>
      </c>
      <c r="J1242" s="208" t="b">
        <f t="shared" si="987"/>
        <v>0</v>
      </c>
      <c r="K1242" s="211">
        <v>255.0</v>
      </c>
      <c r="L1242" s="207" t="str">
        <f t="shared" si="3"/>
        <v>n/a</v>
      </c>
      <c r="M1242" s="212" t="str">
        <f t="shared" si="4"/>
        <v>n/a</v>
      </c>
      <c r="N1242" s="207" t="str">
        <f t="shared" si="5"/>
        <v>n/a</v>
      </c>
      <c r="O1242" s="207">
        <f t="shared" si="6"/>
        <v>0.003921568627</v>
      </c>
    </row>
    <row r="1243" ht="15.75" customHeight="1">
      <c r="A1243" s="207">
        <v>72.0</v>
      </c>
      <c r="B1243" s="6" t="str">
        <f>VLOOKUP($A1243, 'Completion rates'!$A:$E, 2, FALSE)</f>
        <v>Opening elite caskets</v>
      </c>
      <c r="C1243" s="207">
        <v>12430.0</v>
      </c>
      <c r="D1243" s="6" t="str">
        <f>VLOOKUP($C1243, 'List of log slots'!$A:$E, 2, FALSE)</f>
        <v>Afro</v>
      </c>
      <c r="E1243" s="207">
        <f>VLOOKUP($C1243, 'List of log slots'!$A:$E, 5, FALSE)</f>
        <v>6</v>
      </c>
      <c r="F1243" s="209" t="b">
        <f>VLOOKUP(C1243, 'List of log slots'!$A:$C, 3, FALSE)</f>
        <v>0</v>
      </c>
      <c r="G1243" s="209" t="b">
        <f t="shared" si="937"/>
        <v>0</v>
      </c>
      <c r="H1243" s="210" t="b">
        <f t="shared" si="7"/>
        <v>1</v>
      </c>
      <c r="I1243" s="208" t="b">
        <f t="shared" ref="I1243:J1243" si="988">FALSE</f>
        <v>0</v>
      </c>
      <c r="J1243" s="208" t="b">
        <f t="shared" si="988"/>
        <v>0</v>
      </c>
      <c r="K1243" s="211">
        <v>255.0</v>
      </c>
      <c r="L1243" s="207" t="str">
        <f t="shared" si="3"/>
        <v>n/a</v>
      </c>
      <c r="M1243" s="212" t="str">
        <f t="shared" si="4"/>
        <v>n/a</v>
      </c>
      <c r="N1243" s="207" t="str">
        <f t="shared" si="5"/>
        <v>n/a</v>
      </c>
      <c r="O1243" s="207">
        <f t="shared" si="6"/>
        <v>0.003921568627</v>
      </c>
    </row>
    <row r="1244" ht="15.75" customHeight="1">
      <c r="A1244" s="207">
        <v>72.0</v>
      </c>
      <c r="B1244" s="6" t="str">
        <f>VLOOKUP($A1244, 'Completion rates'!$A:$E, 2, FALSE)</f>
        <v>Opening elite caskets</v>
      </c>
      <c r="C1244" s="207">
        <v>12355.0</v>
      </c>
      <c r="D1244" s="6" t="str">
        <f>VLOOKUP($C1244, 'List of log slots'!$A:$E, 2, FALSE)</f>
        <v>Big pirate hat</v>
      </c>
      <c r="E1244" s="207">
        <f>VLOOKUP($C1244, 'List of log slots'!$A:$E, 5, FALSE)</f>
        <v>6</v>
      </c>
      <c r="F1244" s="209" t="b">
        <f>VLOOKUP(C1244, 'List of log slots'!$A:$C, 3, FALSE)</f>
        <v>0</v>
      </c>
      <c r="G1244" s="209" t="b">
        <f t="shared" si="937"/>
        <v>0</v>
      </c>
      <c r="H1244" s="210" t="b">
        <f t="shared" si="7"/>
        <v>1</v>
      </c>
      <c r="I1244" s="208" t="b">
        <f t="shared" ref="I1244:J1244" si="989">FALSE</f>
        <v>0</v>
      </c>
      <c r="J1244" s="208" t="b">
        <f t="shared" si="989"/>
        <v>0</v>
      </c>
      <c r="K1244" s="211">
        <v>255.0</v>
      </c>
      <c r="L1244" s="207" t="str">
        <f t="shared" si="3"/>
        <v>n/a</v>
      </c>
      <c r="M1244" s="212" t="str">
        <f t="shared" si="4"/>
        <v>n/a</v>
      </c>
      <c r="N1244" s="207" t="str">
        <f t="shared" si="5"/>
        <v>n/a</v>
      </c>
      <c r="O1244" s="207">
        <f t="shared" si="6"/>
        <v>0.003921568627</v>
      </c>
    </row>
    <row r="1245" ht="15.75" customHeight="1">
      <c r="A1245" s="207">
        <v>72.0</v>
      </c>
      <c r="B1245" s="6" t="str">
        <f>VLOOKUP($A1245, 'Completion rates'!$A:$E, 2, FALSE)</f>
        <v>Opening elite caskets</v>
      </c>
      <c r="C1245" s="207">
        <v>12432.0</v>
      </c>
      <c r="D1245" s="6" t="str">
        <f>VLOOKUP($C1245, 'List of log slots'!$A:$E, 2, FALSE)</f>
        <v>Top hat</v>
      </c>
      <c r="E1245" s="207">
        <f>VLOOKUP($C1245, 'List of log slots'!$A:$E, 5, FALSE)</f>
        <v>6</v>
      </c>
      <c r="F1245" s="209" t="b">
        <f>VLOOKUP(C1245, 'List of log slots'!$A:$C, 3, FALSE)</f>
        <v>0</v>
      </c>
      <c r="G1245" s="209" t="b">
        <f t="shared" si="937"/>
        <v>0</v>
      </c>
      <c r="H1245" s="210" t="b">
        <f t="shared" si="7"/>
        <v>1</v>
      </c>
      <c r="I1245" s="208" t="b">
        <f t="shared" ref="I1245:J1245" si="990">FALSE</f>
        <v>0</v>
      </c>
      <c r="J1245" s="208" t="b">
        <f t="shared" si="990"/>
        <v>0</v>
      </c>
      <c r="K1245" s="211">
        <v>255.0</v>
      </c>
      <c r="L1245" s="207" t="str">
        <f t="shared" si="3"/>
        <v>n/a</v>
      </c>
      <c r="M1245" s="212" t="str">
        <f t="shared" si="4"/>
        <v>n/a</v>
      </c>
      <c r="N1245" s="207" t="str">
        <f t="shared" si="5"/>
        <v>n/a</v>
      </c>
      <c r="O1245" s="207">
        <f t="shared" si="6"/>
        <v>0.003921568627</v>
      </c>
    </row>
    <row r="1246" ht="15.75" customHeight="1">
      <c r="A1246" s="207">
        <v>72.0</v>
      </c>
      <c r="B1246" s="6" t="str">
        <f>VLOOKUP($A1246, 'Completion rates'!$A:$E, 2, FALSE)</f>
        <v>Opening elite caskets</v>
      </c>
      <c r="C1246" s="207">
        <v>12353.0</v>
      </c>
      <c r="D1246" s="6" t="str">
        <f>VLOOKUP($C1246, 'List of log slots'!$A:$E, 2, FALSE)</f>
        <v>Monocle</v>
      </c>
      <c r="E1246" s="207">
        <f>VLOOKUP($C1246, 'List of log slots'!$A:$E, 5, FALSE)</f>
        <v>6</v>
      </c>
      <c r="F1246" s="209" t="b">
        <f>VLOOKUP(C1246, 'List of log slots'!$A:$C, 3, FALSE)</f>
        <v>0</v>
      </c>
      <c r="G1246" s="209" t="b">
        <f t="shared" si="937"/>
        <v>0</v>
      </c>
      <c r="H1246" s="210" t="b">
        <f t="shared" si="7"/>
        <v>1</v>
      </c>
      <c r="I1246" s="208" t="b">
        <f t="shared" ref="I1246:J1246" si="991">FALSE</f>
        <v>0</v>
      </c>
      <c r="J1246" s="208" t="b">
        <f t="shared" si="991"/>
        <v>0</v>
      </c>
      <c r="K1246" s="211">
        <v>255.0</v>
      </c>
      <c r="L1246" s="207" t="str">
        <f t="shared" si="3"/>
        <v>n/a</v>
      </c>
      <c r="M1246" s="212" t="str">
        <f t="shared" si="4"/>
        <v>n/a</v>
      </c>
      <c r="N1246" s="207" t="str">
        <f t="shared" si="5"/>
        <v>n/a</v>
      </c>
      <c r="O1246" s="207">
        <f t="shared" si="6"/>
        <v>0.003921568627</v>
      </c>
    </row>
    <row r="1247" ht="15.75" customHeight="1">
      <c r="A1247" s="207">
        <v>72.0</v>
      </c>
      <c r="B1247" s="6" t="str">
        <f>VLOOKUP($A1247, 'Completion rates'!$A:$E, 2, FALSE)</f>
        <v>Opening elite caskets</v>
      </c>
      <c r="C1247" s="207">
        <v>12337.0</v>
      </c>
      <c r="D1247" s="6" t="str">
        <f>VLOOKUP($C1247, 'List of log slots'!$A:$E, 2, FALSE)</f>
        <v>Sagacious spectacles</v>
      </c>
      <c r="E1247" s="207">
        <f>VLOOKUP($C1247, 'List of log slots'!$A:$E, 5, FALSE)</f>
        <v>6</v>
      </c>
      <c r="F1247" s="209" t="b">
        <f>VLOOKUP(C1247, 'List of log slots'!$A:$C, 3, FALSE)</f>
        <v>0</v>
      </c>
      <c r="G1247" s="209" t="b">
        <f t="shared" si="937"/>
        <v>0</v>
      </c>
      <c r="H1247" s="210" t="b">
        <f t="shared" si="7"/>
        <v>1</v>
      </c>
      <c r="I1247" s="208" t="b">
        <f t="shared" ref="I1247:J1247" si="992">FALSE</f>
        <v>0</v>
      </c>
      <c r="J1247" s="208" t="b">
        <f t="shared" si="992"/>
        <v>0</v>
      </c>
      <c r="K1247" s="211">
        <v>255.0</v>
      </c>
      <c r="L1247" s="207" t="str">
        <f t="shared" si="3"/>
        <v>n/a</v>
      </c>
      <c r="M1247" s="212" t="str">
        <f t="shared" si="4"/>
        <v>n/a</v>
      </c>
      <c r="N1247" s="207" t="str">
        <f t="shared" si="5"/>
        <v>n/a</v>
      </c>
      <c r="O1247" s="207">
        <f t="shared" si="6"/>
        <v>0.003921568627</v>
      </c>
    </row>
    <row r="1248" ht="15.75" customHeight="1">
      <c r="A1248" s="207">
        <v>72.0</v>
      </c>
      <c r="B1248" s="6" t="str">
        <f>VLOOKUP($A1248, 'Completion rates'!$A:$E, 2, FALSE)</f>
        <v>Opening elite caskets</v>
      </c>
      <c r="C1248" s="207">
        <v>23246.0</v>
      </c>
      <c r="D1248" s="6" t="str">
        <f>VLOOKUP($C1248, 'List of log slots'!$A:$E, 2, FALSE)</f>
        <v>Fremennik kilt</v>
      </c>
      <c r="E1248" s="207">
        <f>VLOOKUP($C1248, 'List of log slots'!$A:$E, 5, FALSE)</f>
        <v>6</v>
      </c>
      <c r="F1248" s="209" t="b">
        <f>VLOOKUP(C1248, 'List of log slots'!$A:$C, 3, FALSE)</f>
        <v>0</v>
      </c>
      <c r="G1248" s="209" t="b">
        <f t="shared" si="937"/>
        <v>0</v>
      </c>
      <c r="H1248" s="210" t="b">
        <f t="shared" si="7"/>
        <v>1</v>
      </c>
      <c r="I1248" s="208" t="b">
        <f t="shared" ref="I1248:J1248" si="993">FALSE</f>
        <v>0</v>
      </c>
      <c r="J1248" s="208" t="b">
        <f t="shared" si="993"/>
        <v>0</v>
      </c>
      <c r="K1248" s="211">
        <v>255.0</v>
      </c>
      <c r="L1248" s="207" t="str">
        <f t="shared" si="3"/>
        <v>n/a</v>
      </c>
      <c r="M1248" s="212" t="str">
        <f t="shared" si="4"/>
        <v>n/a</v>
      </c>
      <c r="N1248" s="207" t="str">
        <f t="shared" si="5"/>
        <v>n/a</v>
      </c>
      <c r="O1248" s="207">
        <f t="shared" si="6"/>
        <v>0.003921568627</v>
      </c>
    </row>
    <row r="1249" ht="15.75" customHeight="1">
      <c r="A1249" s="207">
        <v>72.0</v>
      </c>
      <c r="B1249" s="6" t="str">
        <f>VLOOKUP($A1249, 'Completion rates'!$A:$E, 2, FALSE)</f>
        <v>Opening elite caskets</v>
      </c>
      <c r="C1249" s="207">
        <v>23252.0</v>
      </c>
      <c r="D1249" s="6" t="str">
        <f>VLOOKUP($C1249, 'List of log slots'!$A:$E, 2, FALSE)</f>
        <v>Giant boot</v>
      </c>
      <c r="E1249" s="207">
        <f>VLOOKUP($C1249, 'List of log slots'!$A:$E, 5, FALSE)</f>
        <v>6</v>
      </c>
      <c r="F1249" s="208" t="b">
        <f>VLOOKUP(C1249, 'List of log slots'!$A:$C, 3, FALSE)</f>
        <v>0</v>
      </c>
      <c r="G1249" s="209" t="b">
        <f t="shared" si="937"/>
        <v>0</v>
      </c>
      <c r="H1249" s="210" t="b">
        <f t="shared" si="7"/>
        <v>1</v>
      </c>
      <c r="I1249" s="208" t="b">
        <f t="shared" ref="I1249:J1249" si="994">FALSE</f>
        <v>0</v>
      </c>
      <c r="J1249" s="208" t="b">
        <f t="shared" si="994"/>
        <v>0</v>
      </c>
      <c r="K1249" s="211">
        <v>255.0</v>
      </c>
      <c r="L1249" s="207" t="str">
        <f t="shared" si="3"/>
        <v>n/a</v>
      </c>
      <c r="M1249" s="212" t="str">
        <f t="shared" si="4"/>
        <v>n/a</v>
      </c>
      <c r="N1249" s="207" t="str">
        <f t="shared" si="5"/>
        <v>n/a</v>
      </c>
      <c r="O1249" s="207">
        <f t="shared" si="6"/>
        <v>0.003921568627</v>
      </c>
    </row>
    <row r="1250" ht="15.75" customHeight="1">
      <c r="A1250" s="207">
        <v>72.0</v>
      </c>
      <c r="B1250" s="6" t="str">
        <f>VLOOKUP($A1250, 'Completion rates'!$A:$E, 2, FALSE)</f>
        <v>Opening elite caskets</v>
      </c>
      <c r="C1250" s="207">
        <v>23255.0</v>
      </c>
      <c r="D1250" s="6" t="str">
        <f>VLOOKUP($C1250, 'List of log slots'!$A:$E, 2, FALSE)</f>
        <v>Uri's hat</v>
      </c>
      <c r="E1250" s="207">
        <f>VLOOKUP($C1250, 'List of log slots'!$A:$E, 5, FALSE)</f>
        <v>6</v>
      </c>
      <c r="F1250" s="208" t="b">
        <f>VLOOKUP(C1250, 'List of log slots'!$A:$C, 3, FALSE)</f>
        <v>0</v>
      </c>
      <c r="G1250" s="209" t="b">
        <f t="shared" si="937"/>
        <v>0</v>
      </c>
      <c r="H1250" s="210" t="b">
        <f t="shared" si="7"/>
        <v>1</v>
      </c>
      <c r="I1250" s="208" t="b">
        <f t="shared" ref="I1250:J1250" si="995">FALSE</f>
        <v>0</v>
      </c>
      <c r="J1250" s="208" t="b">
        <f t="shared" si="995"/>
        <v>0</v>
      </c>
      <c r="K1250" s="211">
        <v>255.0</v>
      </c>
      <c r="L1250" s="207" t="str">
        <f t="shared" si="3"/>
        <v>n/a</v>
      </c>
      <c r="M1250" s="212" t="str">
        <f t="shared" si="4"/>
        <v>n/a</v>
      </c>
      <c r="N1250" s="207" t="str">
        <f t="shared" si="5"/>
        <v>n/a</v>
      </c>
      <c r="O1250" s="207">
        <f t="shared" si="6"/>
        <v>0.003921568627</v>
      </c>
    </row>
    <row r="1251" ht="15.75" customHeight="1">
      <c r="A1251" s="207">
        <v>72.0</v>
      </c>
      <c r="B1251" s="6" t="str">
        <f>VLOOKUP($A1251, 'Completion rates'!$A:$E, 2, FALSE)</f>
        <v>Opening elite caskets</v>
      </c>
      <c r="C1251" s="207">
        <v>20005.0</v>
      </c>
      <c r="D1251" s="6" t="str">
        <f>VLOOKUP($C1251, 'List of log slots'!$A:$E, 2, FALSE)</f>
        <v>Ring of nature</v>
      </c>
      <c r="E1251" s="207">
        <f>VLOOKUP($C1251, 'List of log slots'!$A:$E, 5, FALSE)</f>
        <v>9</v>
      </c>
      <c r="F1251" s="209" t="b">
        <f>VLOOKUP(C1251, 'List of log slots'!$A:$C, 3, FALSE)</f>
        <v>0</v>
      </c>
      <c r="G1251" s="209" t="b">
        <f t="shared" si="937"/>
        <v>0</v>
      </c>
      <c r="H1251" s="210" t="b">
        <f t="shared" si="7"/>
        <v>1</v>
      </c>
      <c r="I1251" s="208" t="b">
        <f t="shared" ref="I1251:J1251" si="996">FALSE</f>
        <v>0</v>
      </c>
      <c r="J1251" s="208" t="b">
        <f t="shared" si="996"/>
        <v>0</v>
      </c>
      <c r="K1251" s="211">
        <v>2933.0</v>
      </c>
      <c r="L1251" s="207" t="str">
        <f t="shared" si="3"/>
        <v>n/a</v>
      </c>
      <c r="M1251" s="212" t="str">
        <f t="shared" si="4"/>
        <v>n/a</v>
      </c>
      <c r="N1251" s="207" t="str">
        <f t="shared" si="5"/>
        <v>n/a</v>
      </c>
      <c r="O1251" s="207">
        <f t="shared" si="6"/>
        <v>0.000340947835</v>
      </c>
    </row>
    <row r="1252" ht="15.75" customHeight="1">
      <c r="A1252" s="207">
        <v>72.0</v>
      </c>
      <c r="B1252" s="6" t="str">
        <f>VLOOKUP($A1252, 'Completion rates'!$A:$E, 2, FALSE)</f>
        <v>Opening elite caskets</v>
      </c>
      <c r="C1252" s="207">
        <v>12371.0</v>
      </c>
      <c r="D1252" s="6" t="str">
        <f>VLOOKUP($C1252, 'List of log slots'!$A:$E, 2, FALSE)</f>
        <v>Lava dragon mask</v>
      </c>
      <c r="E1252" s="207">
        <f>VLOOKUP($C1252, 'List of log slots'!$A:$E, 5, FALSE)</f>
        <v>9</v>
      </c>
      <c r="F1252" s="209" t="b">
        <f>VLOOKUP(C1252, 'List of log slots'!$A:$C, 3, FALSE)</f>
        <v>0</v>
      </c>
      <c r="G1252" s="209" t="b">
        <f t="shared" si="937"/>
        <v>0</v>
      </c>
      <c r="H1252" s="210" t="b">
        <f t="shared" si="7"/>
        <v>1</v>
      </c>
      <c r="I1252" s="208" t="b">
        <f t="shared" ref="I1252:J1252" si="997">FALSE</f>
        <v>0</v>
      </c>
      <c r="J1252" s="208" t="b">
        <f t="shared" si="997"/>
        <v>0</v>
      </c>
      <c r="K1252" s="211">
        <v>2933.0</v>
      </c>
      <c r="L1252" s="207" t="str">
        <f t="shared" si="3"/>
        <v>n/a</v>
      </c>
      <c r="M1252" s="212" t="str">
        <f t="shared" si="4"/>
        <v>n/a</v>
      </c>
      <c r="N1252" s="207" t="str">
        <f t="shared" si="5"/>
        <v>n/a</v>
      </c>
      <c r="O1252" s="207">
        <f t="shared" si="6"/>
        <v>0.000340947835</v>
      </c>
    </row>
    <row r="1253" ht="15.75" customHeight="1">
      <c r="A1253" s="207">
        <v>72.0</v>
      </c>
      <c r="B1253" s="6" t="str">
        <f>VLOOKUP($A1253, 'Completion rates'!$A:$E, 2, FALSE)</f>
        <v>Opening elite caskets</v>
      </c>
      <c r="C1253" s="207">
        <v>20014.0</v>
      </c>
      <c r="D1253" s="6" t="str">
        <f>VLOOKUP($C1253, 'List of log slots'!$A:$E, 2, FALSE)</f>
        <v>3rd age pickaxe</v>
      </c>
      <c r="E1253" s="207">
        <f>VLOOKUP($C1253, 'List of log slots'!$A:$E, 5, FALSE)</f>
        <v>10</v>
      </c>
      <c r="F1253" s="209" t="b">
        <f>VLOOKUP(C1253, 'List of log slots'!$A:$C, 3, FALSE)</f>
        <v>0</v>
      </c>
      <c r="G1253" s="209" t="b">
        <f t="shared" si="937"/>
        <v>0</v>
      </c>
      <c r="H1253" s="210" t="b">
        <f t="shared" si="7"/>
        <v>1</v>
      </c>
      <c r="I1253" s="208" t="b">
        <f t="shared" ref="I1253:J1253" si="998">FALSE</f>
        <v>0</v>
      </c>
      <c r="J1253" s="208" t="b">
        <f t="shared" si="998"/>
        <v>0</v>
      </c>
      <c r="K1253" s="211">
        <v>201250.0</v>
      </c>
      <c r="L1253" s="207" t="str">
        <f t="shared" si="3"/>
        <v>n/a</v>
      </c>
      <c r="M1253" s="212" t="str">
        <f t="shared" si="4"/>
        <v>n/a</v>
      </c>
      <c r="N1253" s="207" t="str">
        <f t="shared" si="5"/>
        <v>n/a</v>
      </c>
      <c r="O1253" s="207">
        <f t="shared" si="6"/>
        <v>0.000004968944099</v>
      </c>
    </row>
    <row r="1254" ht="15.75" customHeight="1">
      <c r="A1254" s="207">
        <v>72.0</v>
      </c>
      <c r="B1254" s="6" t="str">
        <f>VLOOKUP($A1254, 'Completion rates'!$A:$E, 2, FALSE)</f>
        <v>Opening elite caskets</v>
      </c>
      <c r="C1254" s="207">
        <v>20011.0</v>
      </c>
      <c r="D1254" s="6" t="str">
        <f>VLOOKUP($C1254, 'List of log slots'!$A:$E, 2, FALSE)</f>
        <v>3rd age axe</v>
      </c>
      <c r="E1254" s="207">
        <f>VLOOKUP($C1254, 'List of log slots'!$A:$E, 5, FALSE)</f>
        <v>10</v>
      </c>
      <c r="F1254" s="209" t="b">
        <f>VLOOKUP(C1254, 'List of log slots'!$A:$C, 3, FALSE)</f>
        <v>0</v>
      </c>
      <c r="G1254" s="209" t="b">
        <f t="shared" si="937"/>
        <v>0</v>
      </c>
      <c r="H1254" s="210" t="b">
        <f t="shared" si="7"/>
        <v>1</v>
      </c>
      <c r="I1254" s="208" t="b">
        <f t="shared" ref="I1254:J1254" si="999">FALSE</f>
        <v>0</v>
      </c>
      <c r="J1254" s="208" t="b">
        <f t="shared" si="999"/>
        <v>0</v>
      </c>
      <c r="K1254" s="211">
        <v>201250.0</v>
      </c>
      <c r="L1254" s="207" t="str">
        <f t="shared" si="3"/>
        <v>n/a</v>
      </c>
      <c r="M1254" s="212" t="str">
        <f t="shared" si="4"/>
        <v>n/a</v>
      </c>
      <c r="N1254" s="207" t="str">
        <f t="shared" si="5"/>
        <v>n/a</v>
      </c>
      <c r="O1254" s="207">
        <f t="shared" si="6"/>
        <v>0.000004968944099</v>
      </c>
    </row>
    <row r="1255" ht="15.75" customHeight="1">
      <c r="A1255" s="207">
        <v>72.0</v>
      </c>
      <c r="B1255" s="6" t="str">
        <f>VLOOKUP($A1255, 'Completion rates'!$A:$E, 2, FALSE)</f>
        <v>Opening elite caskets</v>
      </c>
      <c r="C1255" s="207">
        <v>12426.0</v>
      </c>
      <c r="D1255" s="6" t="str">
        <f>VLOOKUP($C1255, 'List of log slots'!$A:$E, 2, FALSE)</f>
        <v>3rd age longsword</v>
      </c>
      <c r="E1255" s="207">
        <f>VLOOKUP($C1255, 'List of log slots'!$A:$E, 5, FALSE)</f>
        <v>10</v>
      </c>
      <c r="F1255" s="209" t="b">
        <f>VLOOKUP(C1255, 'List of log slots'!$A:$C, 3, FALSE)</f>
        <v>0</v>
      </c>
      <c r="G1255" s="209" t="b">
        <f t="shared" si="937"/>
        <v>0</v>
      </c>
      <c r="H1255" s="210" t="b">
        <f t="shared" si="7"/>
        <v>1</v>
      </c>
      <c r="I1255" s="208" t="b">
        <f t="shared" ref="I1255:J1255" si="1000">FALSE</f>
        <v>0</v>
      </c>
      <c r="J1255" s="208" t="b">
        <f t="shared" si="1000"/>
        <v>0</v>
      </c>
      <c r="K1255" s="211">
        <v>39955.0</v>
      </c>
      <c r="L1255" s="207" t="str">
        <f t="shared" si="3"/>
        <v>n/a</v>
      </c>
      <c r="M1255" s="212" t="str">
        <f t="shared" si="4"/>
        <v>n/a</v>
      </c>
      <c r="N1255" s="207" t="str">
        <f t="shared" si="5"/>
        <v>n/a</v>
      </c>
      <c r="O1255" s="207">
        <f t="shared" si="6"/>
        <v>0.00002502815668</v>
      </c>
    </row>
    <row r="1256" ht="15.75" customHeight="1">
      <c r="A1256" s="207">
        <v>72.0</v>
      </c>
      <c r="B1256" s="6" t="str">
        <f>VLOOKUP($A1256, 'Completion rates'!$A:$E, 2, FALSE)</f>
        <v>Opening elite caskets</v>
      </c>
      <c r="C1256" s="207">
        <v>12422.0</v>
      </c>
      <c r="D1256" s="6" t="str">
        <f>VLOOKUP($C1256, 'List of log slots'!$A:$E, 2, FALSE)</f>
        <v>3rd age wand</v>
      </c>
      <c r="E1256" s="207">
        <f>VLOOKUP($C1256, 'List of log slots'!$A:$E, 5, FALSE)</f>
        <v>10</v>
      </c>
      <c r="F1256" s="209" t="b">
        <f>VLOOKUP(C1256, 'List of log slots'!$A:$C, 3, FALSE)</f>
        <v>0</v>
      </c>
      <c r="G1256" s="209" t="b">
        <f t="shared" si="937"/>
        <v>0</v>
      </c>
      <c r="H1256" s="210" t="b">
        <f t="shared" si="7"/>
        <v>1</v>
      </c>
      <c r="I1256" s="208" t="b">
        <f t="shared" ref="I1256:J1256" si="1001">FALSE</f>
        <v>0</v>
      </c>
      <c r="J1256" s="208" t="b">
        <f t="shared" si="1001"/>
        <v>0</v>
      </c>
      <c r="K1256" s="211">
        <v>39955.0</v>
      </c>
      <c r="L1256" s="207" t="str">
        <f t="shared" si="3"/>
        <v>n/a</v>
      </c>
      <c r="M1256" s="212" t="str">
        <f t="shared" si="4"/>
        <v>n/a</v>
      </c>
      <c r="N1256" s="207" t="str">
        <f t="shared" si="5"/>
        <v>n/a</v>
      </c>
      <c r="O1256" s="207">
        <f t="shared" si="6"/>
        <v>0.00002502815668</v>
      </c>
    </row>
    <row r="1257" ht="15.75" customHeight="1">
      <c r="A1257" s="207">
        <v>72.0</v>
      </c>
      <c r="B1257" s="6" t="str">
        <f>VLOOKUP($A1257, 'Completion rates'!$A:$E, 2, FALSE)</f>
        <v>Opening elite caskets</v>
      </c>
      <c r="C1257" s="207">
        <v>12437.0</v>
      </c>
      <c r="D1257" s="6" t="str">
        <f>VLOOKUP($C1257, 'List of log slots'!$A:$E, 2, FALSE)</f>
        <v>3rd age cloak</v>
      </c>
      <c r="E1257" s="207">
        <f>VLOOKUP($C1257, 'List of log slots'!$A:$E, 5, FALSE)</f>
        <v>10</v>
      </c>
      <c r="F1257" s="209" t="b">
        <f>VLOOKUP(C1257, 'List of log slots'!$A:$C, 3, FALSE)</f>
        <v>0</v>
      </c>
      <c r="G1257" s="209" t="b">
        <f t="shared" si="937"/>
        <v>0</v>
      </c>
      <c r="H1257" s="210" t="b">
        <f t="shared" si="7"/>
        <v>1</v>
      </c>
      <c r="I1257" s="208" t="b">
        <f t="shared" ref="I1257:J1257" si="1002">FALSE</f>
        <v>0</v>
      </c>
      <c r="J1257" s="208" t="b">
        <f t="shared" si="1002"/>
        <v>0</v>
      </c>
      <c r="K1257" s="211">
        <v>39955.0</v>
      </c>
      <c r="L1257" s="207" t="str">
        <f t="shared" si="3"/>
        <v>n/a</v>
      </c>
      <c r="M1257" s="212" t="str">
        <f t="shared" si="4"/>
        <v>n/a</v>
      </c>
      <c r="N1257" s="207" t="str">
        <f t="shared" si="5"/>
        <v>n/a</v>
      </c>
      <c r="O1257" s="207">
        <f t="shared" si="6"/>
        <v>0.00002502815668</v>
      </c>
    </row>
    <row r="1258" ht="15.75" customHeight="1">
      <c r="A1258" s="207">
        <v>72.0</v>
      </c>
      <c r="B1258" s="6" t="str">
        <f>VLOOKUP($A1258, 'Completion rates'!$A:$E, 2, FALSE)</f>
        <v>Opening elite caskets</v>
      </c>
      <c r="C1258" s="207">
        <v>12424.0</v>
      </c>
      <c r="D1258" s="6" t="str">
        <f>VLOOKUP($C1258, 'List of log slots'!$A:$E, 2, FALSE)</f>
        <v>3rd age bow</v>
      </c>
      <c r="E1258" s="207">
        <f>VLOOKUP($C1258, 'List of log slots'!$A:$E, 5, FALSE)</f>
        <v>10</v>
      </c>
      <c r="F1258" s="209" t="b">
        <f>VLOOKUP(C1258, 'List of log slots'!$A:$C, 3, FALSE)</f>
        <v>0</v>
      </c>
      <c r="G1258" s="209" t="b">
        <f t="shared" si="937"/>
        <v>0</v>
      </c>
      <c r="H1258" s="210" t="b">
        <f t="shared" si="7"/>
        <v>1</v>
      </c>
      <c r="I1258" s="208" t="b">
        <f t="shared" ref="I1258:J1258" si="1003">FALSE</f>
        <v>0</v>
      </c>
      <c r="J1258" s="208" t="b">
        <f t="shared" si="1003"/>
        <v>0</v>
      </c>
      <c r="K1258" s="211">
        <v>39955.0</v>
      </c>
      <c r="L1258" s="207" t="str">
        <f t="shared" si="3"/>
        <v>n/a</v>
      </c>
      <c r="M1258" s="212" t="str">
        <f t="shared" si="4"/>
        <v>n/a</v>
      </c>
      <c r="N1258" s="207" t="str">
        <f t="shared" si="5"/>
        <v>n/a</v>
      </c>
      <c r="O1258" s="207">
        <f t="shared" si="6"/>
        <v>0.00002502815668</v>
      </c>
    </row>
    <row r="1259" ht="15.75" customHeight="1">
      <c r="A1259" s="207">
        <v>72.0</v>
      </c>
      <c r="B1259" s="6" t="str">
        <f>VLOOKUP($A1259, 'Completion rates'!$A:$E, 2, FALSE)</f>
        <v>Opening elite caskets</v>
      </c>
      <c r="C1259" s="207">
        <v>10334.0</v>
      </c>
      <c r="D1259" s="6" t="str">
        <f>VLOOKUP($C1259, 'List of log slots'!$A:$E, 2, FALSE)</f>
        <v>3rd age range coif</v>
      </c>
      <c r="E1259" s="207">
        <f>VLOOKUP($C1259, 'List of log slots'!$A:$E, 5, FALSE)</f>
        <v>10</v>
      </c>
      <c r="F1259" s="209" t="b">
        <f>VLOOKUP(C1259, 'List of log slots'!$A:$C, 3, FALSE)</f>
        <v>0</v>
      </c>
      <c r="G1259" s="209" t="b">
        <f t="shared" si="937"/>
        <v>0</v>
      </c>
      <c r="H1259" s="210" t="b">
        <f t="shared" si="7"/>
        <v>1</v>
      </c>
      <c r="I1259" s="208" t="b">
        <f t="shared" ref="I1259:J1259" si="1004">FALSE</f>
        <v>0</v>
      </c>
      <c r="J1259" s="208" t="b">
        <f t="shared" si="1004"/>
        <v>0</v>
      </c>
      <c r="K1259" s="211">
        <v>39955.0</v>
      </c>
      <c r="L1259" s="207" t="str">
        <f t="shared" si="3"/>
        <v>n/a</v>
      </c>
      <c r="M1259" s="212" t="str">
        <f t="shared" si="4"/>
        <v>n/a</v>
      </c>
      <c r="N1259" s="207" t="str">
        <f t="shared" si="5"/>
        <v>n/a</v>
      </c>
      <c r="O1259" s="207">
        <f t="shared" si="6"/>
        <v>0.00002502815668</v>
      </c>
    </row>
    <row r="1260" ht="15.75" customHeight="1">
      <c r="A1260" s="207">
        <v>72.0</v>
      </c>
      <c r="B1260" s="6" t="str">
        <f>VLOOKUP($A1260, 'Completion rates'!$A:$E, 2, FALSE)</f>
        <v>Opening elite caskets</v>
      </c>
      <c r="C1260" s="207">
        <v>10330.0</v>
      </c>
      <c r="D1260" s="6" t="str">
        <f>VLOOKUP($C1260, 'List of log slots'!$A:$E, 2, FALSE)</f>
        <v>3rd age range top</v>
      </c>
      <c r="E1260" s="207">
        <f>VLOOKUP($C1260, 'List of log slots'!$A:$E, 5, FALSE)</f>
        <v>10</v>
      </c>
      <c r="F1260" s="209" t="b">
        <f>VLOOKUP(C1260, 'List of log slots'!$A:$C, 3, FALSE)</f>
        <v>0</v>
      </c>
      <c r="G1260" s="209" t="b">
        <f t="shared" si="937"/>
        <v>0</v>
      </c>
      <c r="H1260" s="210" t="b">
        <f t="shared" si="7"/>
        <v>1</v>
      </c>
      <c r="I1260" s="208" t="b">
        <f t="shared" ref="I1260:J1260" si="1005">FALSE</f>
        <v>0</v>
      </c>
      <c r="J1260" s="208" t="b">
        <f t="shared" si="1005"/>
        <v>0</v>
      </c>
      <c r="K1260" s="211">
        <v>39955.0</v>
      </c>
      <c r="L1260" s="207" t="str">
        <f t="shared" si="3"/>
        <v>n/a</v>
      </c>
      <c r="M1260" s="212" t="str">
        <f t="shared" si="4"/>
        <v>n/a</v>
      </c>
      <c r="N1260" s="207" t="str">
        <f t="shared" si="5"/>
        <v>n/a</v>
      </c>
      <c r="O1260" s="207">
        <f t="shared" si="6"/>
        <v>0.00002502815668</v>
      </c>
    </row>
    <row r="1261" ht="15.75" customHeight="1">
      <c r="A1261" s="207">
        <v>72.0</v>
      </c>
      <c r="B1261" s="6" t="str">
        <f>VLOOKUP($A1261, 'Completion rates'!$A:$E, 2, FALSE)</f>
        <v>Opening elite caskets</v>
      </c>
      <c r="C1261" s="207">
        <v>10332.0</v>
      </c>
      <c r="D1261" s="6" t="str">
        <f>VLOOKUP($C1261, 'List of log slots'!$A:$E, 2, FALSE)</f>
        <v>3rd age range legs</v>
      </c>
      <c r="E1261" s="207">
        <f>VLOOKUP($C1261, 'List of log slots'!$A:$E, 5, FALSE)</f>
        <v>10</v>
      </c>
      <c r="F1261" s="209" t="b">
        <f>VLOOKUP(C1261, 'List of log slots'!$A:$C, 3, FALSE)</f>
        <v>0</v>
      </c>
      <c r="G1261" s="209" t="b">
        <f t="shared" si="937"/>
        <v>0</v>
      </c>
      <c r="H1261" s="210" t="b">
        <f t="shared" si="7"/>
        <v>1</v>
      </c>
      <c r="I1261" s="208" t="b">
        <f t="shared" ref="I1261:J1261" si="1006">FALSE</f>
        <v>0</v>
      </c>
      <c r="J1261" s="208" t="b">
        <f t="shared" si="1006"/>
        <v>0</v>
      </c>
      <c r="K1261" s="211">
        <v>39955.0</v>
      </c>
      <c r="L1261" s="207" t="str">
        <f t="shared" si="3"/>
        <v>n/a</v>
      </c>
      <c r="M1261" s="212" t="str">
        <f t="shared" si="4"/>
        <v>n/a</v>
      </c>
      <c r="N1261" s="207" t="str">
        <f t="shared" si="5"/>
        <v>n/a</v>
      </c>
      <c r="O1261" s="207">
        <f t="shared" si="6"/>
        <v>0.00002502815668</v>
      </c>
    </row>
    <row r="1262" ht="15.75" customHeight="1">
      <c r="A1262" s="207">
        <v>72.0</v>
      </c>
      <c r="B1262" s="6" t="str">
        <f>VLOOKUP($A1262, 'Completion rates'!$A:$E, 2, FALSE)</f>
        <v>Opening elite caskets</v>
      </c>
      <c r="C1262" s="207">
        <v>10336.0</v>
      </c>
      <c r="D1262" s="6" t="str">
        <f>VLOOKUP($C1262, 'List of log slots'!$A:$E, 2, FALSE)</f>
        <v>3rd age vambraces</v>
      </c>
      <c r="E1262" s="207">
        <f>VLOOKUP($C1262, 'List of log slots'!$A:$E, 5, FALSE)</f>
        <v>10</v>
      </c>
      <c r="F1262" s="209" t="b">
        <f>VLOOKUP(C1262, 'List of log slots'!$A:$C, 3, FALSE)</f>
        <v>0</v>
      </c>
      <c r="G1262" s="209" t="b">
        <f t="shared" si="937"/>
        <v>0</v>
      </c>
      <c r="H1262" s="210" t="b">
        <f t="shared" si="7"/>
        <v>1</v>
      </c>
      <c r="I1262" s="208" t="b">
        <f t="shared" ref="I1262:J1262" si="1007">FALSE</f>
        <v>0</v>
      </c>
      <c r="J1262" s="208" t="b">
        <f t="shared" si="1007"/>
        <v>0</v>
      </c>
      <c r="K1262" s="211">
        <v>39955.0</v>
      </c>
      <c r="L1262" s="207" t="str">
        <f t="shared" si="3"/>
        <v>n/a</v>
      </c>
      <c r="M1262" s="212" t="str">
        <f t="shared" si="4"/>
        <v>n/a</v>
      </c>
      <c r="N1262" s="207" t="str">
        <f t="shared" si="5"/>
        <v>n/a</v>
      </c>
      <c r="O1262" s="207">
        <f t="shared" si="6"/>
        <v>0.00002502815668</v>
      </c>
    </row>
    <row r="1263" ht="15.75" customHeight="1">
      <c r="A1263" s="207">
        <v>72.0</v>
      </c>
      <c r="B1263" s="6" t="str">
        <f>VLOOKUP($A1263, 'Completion rates'!$A:$E, 2, FALSE)</f>
        <v>Opening elite caskets</v>
      </c>
      <c r="C1263" s="207">
        <v>10338.0</v>
      </c>
      <c r="D1263" s="6" t="str">
        <f>VLOOKUP($C1263, 'List of log slots'!$A:$E, 2, FALSE)</f>
        <v>3rd age robe top</v>
      </c>
      <c r="E1263" s="207">
        <f>VLOOKUP($C1263, 'List of log slots'!$A:$E, 5, FALSE)</f>
        <v>10</v>
      </c>
      <c r="F1263" s="209" t="b">
        <f>VLOOKUP(C1263, 'List of log slots'!$A:$C, 3, FALSE)</f>
        <v>0</v>
      </c>
      <c r="G1263" s="209" t="b">
        <f t="shared" si="937"/>
        <v>0</v>
      </c>
      <c r="H1263" s="210" t="b">
        <f t="shared" si="7"/>
        <v>1</v>
      </c>
      <c r="I1263" s="208" t="b">
        <f t="shared" ref="I1263:J1263" si="1008">FALSE</f>
        <v>0</v>
      </c>
      <c r="J1263" s="208" t="b">
        <f t="shared" si="1008"/>
        <v>0</v>
      </c>
      <c r="K1263" s="211">
        <v>39955.0</v>
      </c>
      <c r="L1263" s="207" t="str">
        <f t="shared" si="3"/>
        <v>n/a</v>
      </c>
      <c r="M1263" s="212" t="str">
        <f t="shared" si="4"/>
        <v>n/a</v>
      </c>
      <c r="N1263" s="207" t="str">
        <f t="shared" si="5"/>
        <v>n/a</v>
      </c>
      <c r="O1263" s="207">
        <f t="shared" si="6"/>
        <v>0.00002502815668</v>
      </c>
    </row>
    <row r="1264" ht="15.75" customHeight="1">
      <c r="A1264" s="207">
        <v>72.0</v>
      </c>
      <c r="B1264" s="6" t="str">
        <f>VLOOKUP($A1264, 'Completion rates'!$A:$E, 2, FALSE)</f>
        <v>Opening elite caskets</v>
      </c>
      <c r="C1264" s="207">
        <v>10340.0</v>
      </c>
      <c r="D1264" s="6" t="str">
        <f>VLOOKUP($C1264, 'List of log slots'!$A:$E, 2, FALSE)</f>
        <v>3rd age robe</v>
      </c>
      <c r="E1264" s="207">
        <f>VLOOKUP($C1264, 'List of log slots'!$A:$E, 5, FALSE)</f>
        <v>10</v>
      </c>
      <c r="F1264" s="209" t="b">
        <f>VLOOKUP(C1264, 'List of log slots'!$A:$C, 3, FALSE)</f>
        <v>0</v>
      </c>
      <c r="G1264" s="209" t="b">
        <f t="shared" si="937"/>
        <v>0</v>
      </c>
      <c r="H1264" s="210" t="b">
        <f t="shared" si="7"/>
        <v>1</v>
      </c>
      <c r="I1264" s="208" t="b">
        <f t="shared" ref="I1264:J1264" si="1009">FALSE</f>
        <v>0</v>
      </c>
      <c r="J1264" s="208" t="b">
        <f t="shared" si="1009"/>
        <v>0</v>
      </c>
      <c r="K1264" s="211">
        <v>39955.0</v>
      </c>
      <c r="L1264" s="207" t="str">
        <f t="shared" si="3"/>
        <v>n/a</v>
      </c>
      <c r="M1264" s="212" t="str">
        <f t="shared" si="4"/>
        <v>n/a</v>
      </c>
      <c r="N1264" s="207" t="str">
        <f t="shared" si="5"/>
        <v>n/a</v>
      </c>
      <c r="O1264" s="207">
        <f t="shared" si="6"/>
        <v>0.00002502815668</v>
      </c>
    </row>
    <row r="1265" ht="15.75" customHeight="1">
      <c r="A1265" s="207">
        <v>72.0</v>
      </c>
      <c r="B1265" s="6" t="str">
        <f>VLOOKUP($A1265, 'Completion rates'!$A:$E, 2, FALSE)</f>
        <v>Opening elite caskets</v>
      </c>
      <c r="C1265" s="207">
        <v>10342.0</v>
      </c>
      <c r="D1265" s="6" t="str">
        <f>VLOOKUP($C1265, 'List of log slots'!$A:$E, 2, FALSE)</f>
        <v>3rd age mage hat</v>
      </c>
      <c r="E1265" s="207">
        <f>VLOOKUP($C1265, 'List of log slots'!$A:$E, 5, FALSE)</f>
        <v>10</v>
      </c>
      <c r="F1265" s="209" t="b">
        <f>VLOOKUP(C1265, 'List of log slots'!$A:$C, 3, FALSE)</f>
        <v>0</v>
      </c>
      <c r="G1265" s="209" t="b">
        <f t="shared" si="937"/>
        <v>0</v>
      </c>
      <c r="H1265" s="210" t="b">
        <f t="shared" si="7"/>
        <v>1</v>
      </c>
      <c r="I1265" s="208" t="b">
        <f t="shared" ref="I1265:J1265" si="1010">FALSE</f>
        <v>0</v>
      </c>
      <c r="J1265" s="208" t="b">
        <f t="shared" si="1010"/>
        <v>0</v>
      </c>
      <c r="K1265" s="211">
        <v>39955.0</v>
      </c>
      <c r="L1265" s="207" t="str">
        <f t="shared" si="3"/>
        <v>n/a</v>
      </c>
      <c r="M1265" s="212" t="str">
        <f t="shared" si="4"/>
        <v>n/a</v>
      </c>
      <c r="N1265" s="207" t="str">
        <f t="shared" si="5"/>
        <v>n/a</v>
      </c>
      <c r="O1265" s="207">
        <f t="shared" si="6"/>
        <v>0.00002502815668</v>
      </c>
    </row>
    <row r="1266" ht="15.75" customHeight="1">
      <c r="A1266" s="207">
        <v>72.0</v>
      </c>
      <c r="B1266" s="6" t="str">
        <f>VLOOKUP($A1266, 'Completion rates'!$A:$E, 2, FALSE)</f>
        <v>Opening elite caskets</v>
      </c>
      <c r="C1266" s="207">
        <v>10344.0</v>
      </c>
      <c r="D1266" s="6" t="str">
        <f>VLOOKUP($C1266, 'List of log slots'!$A:$E, 2, FALSE)</f>
        <v>3rd age amulet</v>
      </c>
      <c r="E1266" s="207">
        <f>VLOOKUP($C1266, 'List of log slots'!$A:$E, 5, FALSE)</f>
        <v>10</v>
      </c>
      <c r="F1266" s="209" t="b">
        <f>VLOOKUP(C1266, 'List of log slots'!$A:$C, 3, FALSE)</f>
        <v>0</v>
      </c>
      <c r="G1266" s="209" t="b">
        <f t="shared" si="937"/>
        <v>0</v>
      </c>
      <c r="H1266" s="210" t="b">
        <f t="shared" si="7"/>
        <v>1</v>
      </c>
      <c r="I1266" s="208" t="b">
        <f t="shared" ref="I1266:J1266" si="1011">FALSE</f>
        <v>0</v>
      </c>
      <c r="J1266" s="208" t="b">
        <f t="shared" si="1011"/>
        <v>0</v>
      </c>
      <c r="K1266" s="211">
        <v>39955.0</v>
      </c>
      <c r="L1266" s="207" t="str">
        <f t="shared" si="3"/>
        <v>n/a</v>
      </c>
      <c r="M1266" s="212" t="str">
        <f t="shared" si="4"/>
        <v>n/a</v>
      </c>
      <c r="N1266" s="207" t="str">
        <f t="shared" si="5"/>
        <v>n/a</v>
      </c>
      <c r="O1266" s="207">
        <f t="shared" si="6"/>
        <v>0.00002502815668</v>
      </c>
    </row>
    <row r="1267" ht="15.75" customHeight="1">
      <c r="A1267" s="207">
        <v>72.0</v>
      </c>
      <c r="B1267" s="6" t="str">
        <f>VLOOKUP($A1267, 'Completion rates'!$A:$E, 2, FALSE)</f>
        <v>Opening elite caskets</v>
      </c>
      <c r="C1267" s="207">
        <v>23242.0</v>
      </c>
      <c r="D1267" s="6" t="str">
        <f>VLOOKUP($C1267, 'List of log slots'!$A:$E, 2, FALSE)</f>
        <v>3rd age plateskirt</v>
      </c>
      <c r="E1267" s="207">
        <f>VLOOKUP($C1267, 'List of log slots'!$A:$E, 5, FALSE)</f>
        <v>10</v>
      </c>
      <c r="F1267" s="209" t="b">
        <f>VLOOKUP(C1267, 'List of log slots'!$A:$C, 3, FALSE)</f>
        <v>0</v>
      </c>
      <c r="G1267" s="209" t="b">
        <f t="shared" si="937"/>
        <v>0</v>
      </c>
      <c r="H1267" s="210" t="b">
        <f t="shared" si="7"/>
        <v>1</v>
      </c>
      <c r="I1267" s="208" t="b">
        <f t="shared" ref="I1267:J1267" si="1012">FALSE</f>
        <v>0</v>
      </c>
      <c r="J1267" s="208" t="b">
        <f t="shared" si="1012"/>
        <v>0</v>
      </c>
      <c r="K1267" s="211">
        <v>39955.0</v>
      </c>
      <c r="L1267" s="207" t="str">
        <f t="shared" si="3"/>
        <v>n/a</v>
      </c>
      <c r="M1267" s="212" t="str">
        <f t="shared" si="4"/>
        <v>n/a</v>
      </c>
      <c r="N1267" s="207" t="str">
        <f t="shared" si="5"/>
        <v>n/a</v>
      </c>
      <c r="O1267" s="207">
        <f t="shared" si="6"/>
        <v>0.00002502815668</v>
      </c>
    </row>
    <row r="1268" ht="15.75" customHeight="1">
      <c r="A1268" s="207">
        <v>72.0</v>
      </c>
      <c r="B1268" s="6" t="str">
        <f>VLOOKUP($A1268, 'Completion rates'!$A:$E, 2, FALSE)</f>
        <v>Opening elite caskets</v>
      </c>
      <c r="C1268" s="207">
        <v>10346.0</v>
      </c>
      <c r="D1268" s="6" t="str">
        <f>VLOOKUP($C1268, 'List of log slots'!$A:$E, 2, FALSE)</f>
        <v>3rd age platelegs</v>
      </c>
      <c r="E1268" s="207">
        <f>VLOOKUP($C1268, 'List of log slots'!$A:$E, 5, FALSE)</f>
        <v>10</v>
      </c>
      <c r="F1268" s="209" t="b">
        <f>VLOOKUP(C1268, 'List of log slots'!$A:$C, 3, FALSE)</f>
        <v>0</v>
      </c>
      <c r="G1268" s="209" t="b">
        <f t="shared" si="937"/>
        <v>0</v>
      </c>
      <c r="H1268" s="210" t="b">
        <f t="shared" si="7"/>
        <v>1</v>
      </c>
      <c r="I1268" s="208" t="b">
        <f t="shared" ref="I1268:J1268" si="1013">FALSE</f>
        <v>0</v>
      </c>
      <c r="J1268" s="208" t="b">
        <f t="shared" si="1013"/>
        <v>0</v>
      </c>
      <c r="K1268" s="211">
        <v>39955.0</v>
      </c>
      <c r="L1268" s="207" t="str">
        <f t="shared" si="3"/>
        <v>n/a</v>
      </c>
      <c r="M1268" s="212" t="str">
        <f t="shared" si="4"/>
        <v>n/a</v>
      </c>
      <c r="N1268" s="207" t="str">
        <f t="shared" si="5"/>
        <v>n/a</v>
      </c>
      <c r="O1268" s="207">
        <f t="shared" si="6"/>
        <v>0.00002502815668</v>
      </c>
    </row>
    <row r="1269" ht="15.75" customHeight="1">
      <c r="A1269" s="207">
        <v>72.0</v>
      </c>
      <c r="B1269" s="6" t="str">
        <f>VLOOKUP($A1269, 'Completion rates'!$A:$E, 2, FALSE)</f>
        <v>Opening elite caskets</v>
      </c>
      <c r="C1269" s="207">
        <v>10348.0</v>
      </c>
      <c r="D1269" s="6" t="str">
        <f>VLOOKUP($C1269, 'List of log slots'!$A:$E, 2, FALSE)</f>
        <v>3rd age platebody</v>
      </c>
      <c r="E1269" s="207">
        <f>VLOOKUP($C1269, 'List of log slots'!$A:$E, 5, FALSE)</f>
        <v>10</v>
      </c>
      <c r="F1269" s="209" t="b">
        <f>VLOOKUP(C1269, 'List of log slots'!$A:$C, 3, FALSE)</f>
        <v>0</v>
      </c>
      <c r="G1269" s="209" t="b">
        <f t="shared" si="937"/>
        <v>0</v>
      </c>
      <c r="H1269" s="210" t="b">
        <f t="shared" si="7"/>
        <v>1</v>
      </c>
      <c r="I1269" s="208" t="b">
        <f t="shared" ref="I1269:J1269" si="1014">FALSE</f>
        <v>0</v>
      </c>
      <c r="J1269" s="208" t="b">
        <f t="shared" si="1014"/>
        <v>0</v>
      </c>
      <c r="K1269" s="211">
        <v>39955.0</v>
      </c>
      <c r="L1269" s="207" t="str">
        <f t="shared" si="3"/>
        <v>n/a</v>
      </c>
      <c r="M1269" s="212" t="str">
        <f t="shared" si="4"/>
        <v>n/a</v>
      </c>
      <c r="N1269" s="207" t="str">
        <f t="shared" si="5"/>
        <v>n/a</v>
      </c>
      <c r="O1269" s="207">
        <f t="shared" si="6"/>
        <v>0.00002502815668</v>
      </c>
    </row>
    <row r="1270" ht="15.75" customHeight="1">
      <c r="A1270" s="207">
        <v>72.0</v>
      </c>
      <c r="B1270" s="6" t="str">
        <f>VLOOKUP($A1270, 'Completion rates'!$A:$E, 2, FALSE)</f>
        <v>Opening elite caskets</v>
      </c>
      <c r="C1270" s="207">
        <v>10350.0</v>
      </c>
      <c r="D1270" s="6" t="str">
        <f>VLOOKUP($C1270, 'List of log slots'!$A:$E, 2, FALSE)</f>
        <v>3rd age full helmet</v>
      </c>
      <c r="E1270" s="207">
        <f>VLOOKUP($C1270, 'List of log slots'!$A:$E, 5, FALSE)</f>
        <v>10</v>
      </c>
      <c r="F1270" s="209" t="b">
        <f>VLOOKUP(C1270, 'List of log slots'!$A:$C, 3, FALSE)</f>
        <v>0</v>
      </c>
      <c r="G1270" s="209" t="b">
        <f t="shared" si="937"/>
        <v>0</v>
      </c>
      <c r="H1270" s="210" t="b">
        <f t="shared" si="7"/>
        <v>1</v>
      </c>
      <c r="I1270" s="208" t="b">
        <f t="shared" ref="I1270:J1270" si="1015">FALSE</f>
        <v>0</v>
      </c>
      <c r="J1270" s="208" t="b">
        <f t="shared" si="1015"/>
        <v>0</v>
      </c>
      <c r="K1270" s="211">
        <v>39955.0</v>
      </c>
      <c r="L1270" s="207" t="str">
        <f t="shared" si="3"/>
        <v>n/a</v>
      </c>
      <c r="M1270" s="212" t="str">
        <f t="shared" si="4"/>
        <v>n/a</v>
      </c>
      <c r="N1270" s="207" t="str">
        <f t="shared" si="5"/>
        <v>n/a</v>
      </c>
      <c r="O1270" s="207">
        <f t="shared" si="6"/>
        <v>0.00002502815668</v>
      </c>
    </row>
    <row r="1271" ht="15.75" customHeight="1">
      <c r="A1271" s="207">
        <v>72.0</v>
      </c>
      <c r="B1271" s="6" t="str">
        <f>VLOOKUP($A1271, 'Completion rates'!$A:$E, 2, FALSE)</f>
        <v>Opening elite caskets</v>
      </c>
      <c r="C1271" s="207">
        <v>10352.0</v>
      </c>
      <c r="D1271" s="6" t="str">
        <f>VLOOKUP($C1271, 'List of log slots'!$A:$E, 2, FALSE)</f>
        <v>3rd age kiteshield</v>
      </c>
      <c r="E1271" s="207">
        <f>VLOOKUP($C1271, 'List of log slots'!$A:$E, 5, FALSE)</f>
        <v>10</v>
      </c>
      <c r="F1271" s="209" t="b">
        <f>VLOOKUP(C1271, 'List of log slots'!$A:$C, 3, FALSE)</f>
        <v>0</v>
      </c>
      <c r="G1271" s="209" t="b">
        <f t="shared" si="937"/>
        <v>0</v>
      </c>
      <c r="H1271" s="210" t="b">
        <f t="shared" si="7"/>
        <v>1</v>
      </c>
      <c r="I1271" s="208" t="b">
        <f t="shared" ref="I1271:J1271" si="1016">FALSE</f>
        <v>0</v>
      </c>
      <c r="J1271" s="208" t="b">
        <f t="shared" si="1016"/>
        <v>0</v>
      </c>
      <c r="K1271" s="211">
        <v>39955.0</v>
      </c>
      <c r="L1271" s="207" t="str">
        <f t="shared" si="3"/>
        <v>n/a</v>
      </c>
      <c r="M1271" s="212" t="str">
        <f t="shared" si="4"/>
        <v>n/a</v>
      </c>
      <c r="N1271" s="207" t="str">
        <f t="shared" si="5"/>
        <v>n/a</v>
      </c>
      <c r="O1271" s="207">
        <f t="shared" si="6"/>
        <v>0.00002502815668</v>
      </c>
    </row>
    <row r="1272" ht="15.75" customHeight="1">
      <c r="A1272" s="207">
        <v>72.0</v>
      </c>
      <c r="B1272" s="6" t="str">
        <f>VLOOKUP($A1272, 'Completion rates'!$A:$E, 2, FALSE)</f>
        <v>Opening elite caskets</v>
      </c>
      <c r="C1272" s="207">
        <v>23339.0</v>
      </c>
      <c r="D1272" s="6" t="str">
        <f>VLOOKUP($C1272, 'List of log slots'!$A:$E, 2, FALSE)</f>
        <v>3rd age druidic robe bottoms</v>
      </c>
      <c r="E1272" s="207">
        <f>VLOOKUP($C1272, 'List of log slots'!$A:$E, 5, FALSE)</f>
        <v>10</v>
      </c>
      <c r="F1272" s="209" t="b">
        <f>VLOOKUP(C1272, 'List of log slots'!$A:$C, 3, FALSE)</f>
        <v>0</v>
      </c>
      <c r="G1272" s="209" t="b">
        <f t="shared" si="937"/>
        <v>0</v>
      </c>
      <c r="H1272" s="210" t="b">
        <f t="shared" si="7"/>
        <v>1</v>
      </c>
      <c r="I1272" s="208" t="b">
        <f t="shared" ref="I1272:J1272" si="1017">FALSE</f>
        <v>0</v>
      </c>
      <c r="J1272" s="208" t="b">
        <f t="shared" si="1017"/>
        <v>0</v>
      </c>
      <c r="K1272" s="211">
        <v>201250.0</v>
      </c>
      <c r="L1272" s="207" t="str">
        <f t="shared" si="3"/>
        <v>n/a</v>
      </c>
      <c r="M1272" s="212" t="str">
        <f t="shared" si="4"/>
        <v>n/a</v>
      </c>
      <c r="N1272" s="207" t="str">
        <f t="shared" si="5"/>
        <v>n/a</v>
      </c>
      <c r="O1272" s="207">
        <f t="shared" si="6"/>
        <v>0.000004968944099</v>
      </c>
    </row>
    <row r="1273" ht="15.75" customHeight="1">
      <c r="A1273" s="207">
        <v>72.0</v>
      </c>
      <c r="B1273" s="6" t="str">
        <f>VLOOKUP($A1273, 'Completion rates'!$A:$E, 2, FALSE)</f>
        <v>Opening elite caskets</v>
      </c>
      <c r="C1273" s="207">
        <v>23336.0</v>
      </c>
      <c r="D1273" s="6" t="str">
        <f>VLOOKUP($C1273, 'List of log slots'!$A:$E, 2, FALSE)</f>
        <v>3rd age druidic robe top</v>
      </c>
      <c r="E1273" s="207">
        <f>VLOOKUP($C1273, 'List of log slots'!$A:$E, 5, FALSE)</f>
        <v>10</v>
      </c>
      <c r="F1273" s="209" t="b">
        <f>VLOOKUP(C1273, 'List of log slots'!$A:$C, 3, FALSE)</f>
        <v>0</v>
      </c>
      <c r="G1273" s="209" t="b">
        <f t="shared" si="937"/>
        <v>0</v>
      </c>
      <c r="H1273" s="210" t="b">
        <f t="shared" si="7"/>
        <v>1</v>
      </c>
      <c r="I1273" s="208" t="b">
        <f t="shared" ref="I1273:J1273" si="1018">FALSE</f>
        <v>0</v>
      </c>
      <c r="J1273" s="208" t="b">
        <f t="shared" si="1018"/>
        <v>0</v>
      </c>
      <c r="K1273" s="211">
        <v>201250.0</v>
      </c>
      <c r="L1273" s="207" t="str">
        <f t="shared" si="3"/>
        <v>n/a</v>
      </c>
      <c r="M1273" s="212" t="str">
        <f t="shared" si="4"/>
        <v>n/a</v>
      </c>
      <c r="N1273" s="207" t="str">
        <f t="shared" si="5"/>
        <v>n/a</v>
      </c>
      <c r="O1273" s="207">
        <f t="shared" si="6"/>
        <v>0.000004968944099</v>
      </c>
    </row>
    <row r="1274" ht="15.75" customHeight="1">
      <c r="A1274" s="207">
        <v>72.0</v>
      </c>
      <c r="B1274" s="6" t="str">
        <f>VLOOKUP($A1274, 'Completion rates'!$A:$E, 2, FALSE)</f>
        <v>Opening elite caskets</v>
      </c>
      <c r="C1274" s="207">
        <v>23342.0</v>
      </c>
      <c r="D1274" s="6" t="str">
        <f>VLOOKUP($C1274, 'List of log slots'!$A:$E, 2, FALSE)</f>
        <v>3rd age druidic staff</v>
      </c>
      <c r="E1274" s="207">
        <f>VLOOKUP($C1274, 'List of log slots'!$A:$E, 5, FALSE)</f>
        <v>10</v>
      </c>
      <c r="F1274" s="209" t="b">
        <f>VLOOKUP(C1274, 'List of log slots'!$A:$C, 3, FALSE)</f>
        <v>0</v>
      </c>
      <c r="G1274" s="209" t="b">
        <f t="shared" si="937"/>
        <v>0</v>
      </c>
      <c r="H1274" s="210" t="b">
        <f t="shared" si="7"/>
        <v>1</v>
      </c>
      <c r="I1274" s="208" t="b">
        <f t="shared" ref="I1274:J1274" si="1019">FALSE</f>
        <v>0</v>
      </c>
      <c r="J1274" s="208" t="b">
        <f t="shared" si="1019"/>
        <v>0</v>
      </c>
      <c r="K1274" s="211">
        <v>201250.0</v>
      </c>
      <c r="L1274" s="207" t="str">
        <f t="shared" si="3"/>
        <v>n/a</v>
      </c>
      <c r="M1274" s="212" t="str">
        <f t="shared" si="4"/>
        <v>n/a</v>
      </c>
      <c r="N1274" s="207" t="str">
        <f t="shared" si="5"/>
        <v>n/a</v>
      </c>
      <c r="O1274" s="207">
        <f t="shared" si="6"/>
        <v>0.000004968944099</v>
      </c>
    </row>
    <row r="1275" ht="15.75" customHeight="1">
      <c r="A1275" s="207">
        <v>72.0</v>
      </c>
      <c r="B1275" s="6" t="str">
        <f>VLOOKUP($A1275, 'Completion rates'!$A:$E, 2, FALSE)</f>
        <v>Opening elite caskets</v>
      </c>
      <c r="C1275" s="207">
        <v>23345.0</v>
      </c>
      <c r="D1275" s="6" t="str">
        <f>VLOOKUP($C1275, 'List of log slots'!$A:$E, 2, FALSE)</f>
        <v>3rd age druidic cloak</v>
      </c>
      <c r="E1275" s="207">
        <f>VLOOKUP($C1275, 'List of log slots'!$A:$E, 5, FALSE)</f>
        <v>10</v>
      </c>
      <c r="F1275" s="209" t="b">
        <f>VLOOKUP(C1275, 'List of log slots'!$A:$C, 3, FALSE)</f>
        <v>0</v>
      </c>
      <c r="G1275" s="209" t="b">
        <f t="shared" si="937"/>
        <v>0</v>
      </c>
      <c r="H1275" s="210" t="b">
        <f t="shared" si="7"/>
        <v>1</v>
      </c>
      <c r="I1275" s="208" t="b">
        <f t="shared" ref="I1275:J1275" si="1020">FALSE</f>
        <v>0</v>
      </c>
      <c r="J1275" s="208" t="b">
        <f t="shared" si="1020"/>
        <v>0</v>
      </c>
      <c r="K1275" s="211">
        <v>201250.0</v>
      </c>
      <c r="L1275" s="207" t="str">
        <f t="shared" si="3"/>
        <v>n/a</v>
      </c>
      <c r="M1275" s="212" t="str">
        <f t="shared" si="4"/>
        <v>n/a</v>
      </c>
      <c r="N1275" s="207" t="str">
        <f t="shared" si="5"/>
        <v>n/a</v>
      </c>
      <c r="O1275" s="207">
        <f t="shared" si="6"/>
        <v>0.000004968944099</v>
      </c>
    </row>
    <row r="1276" ht="15.75" customHeight="1">
      <c r="A1276" s="207">
        <v>72.0</v>
      </c>
      <c r="B1276" s="6" t="str">
        <f>VLOOKUP($A1276, 'Completion rates'!$A:$E, 2, FALSE)</f>
        <v>Opening elite caskets</v>
      </c>
      <c r="C1276" s="207">
        <v>12389.0</v>
      </c>
      <c r="D1276" s="6" t="str">
        <f>VLOOKUP($C1276, 'List of log slots'!$A:$E, 2, FALSE)</f>
        <v>Gilded scimitar</v>
      </c>
      <c r="E1276" s="207">
        <f>VLOOKUP($C1276, 'List of log slots'!$A:$E, 5, FALSE)</f>
        <v>9</v>
      </c>
      <c r="F1276" s="209" t="b">
        <f>VLOOKUP(C1276, 'List of log slots'!$A:$C, 3, FALSE)</f>
        <v>0</v>
      </c>
      <c r="G1276" s="209" t="b">
        <f t="shared" si="937"/>
        <v>0</v>
      </c>
      <c r="H1276" s="210" t="b">
        <f t="shared" si="7"/>
        <v>1</v>
      </c>
      <c r="I1276" s="208" t="b">
        <f t="shared" ref="I1276:J1276" si="1021">FALSE</f>
        <v>0</v>
      </c>
      <c r="J1276" s="208" t="b">
        <f t="shared" si="1021"/>
        <v>0</v>
      </c>
      <c r="K1276" s="211">
        <v>2933.0</v>
      </c>
      <c r="L1276" s="207" t="str">
        <f t="shared" si="3"/>
        <v>n/a</v>
      </c>
      <c r="M1276" s="212" t="str">
        <f t="shared" si="4"/>
        <v>n/a</v>
      </c>
      <c r="N1276" s="207" t="str">
        <f t="shared" si="5"/>
        <v>n/a</v>
      </c>
      <c r="O1276" s="207">
        <f t="shared" si="6"/>
        <v>0.000340947835</v>
      </c>
    </row>
    <row r="1277" ht="15.75" customHeight="1">
      <c r="A1277" s="207">
        <v>72.0</v>
      </c>
      <c r="B1277" s="6" t="str">
        <f>VLOOKUP($A1277, 'Completion rates'!$A:$E, 2, FALSE)</f>
        <v>Opening elite caskets</v>
      </c>
      <c r="C1277" s="207">
        <v>12391.0</v>
      </c>
      <c r="D1277" s="6" t="str">
        <f>VLOOKUP($C1277, 'List of log slots'!$A:$E, 2, FALSE)</f>
        <v>Gilded boots</v>
      </c>
      <c r="E1277" s="207">
        <f>VLOOKUP($C1277, 'List of log slots'!$A:$E, 5, FALSE)</f>
        <v>9</v>
      </c>
      <c r="F1277" s="209" t="b">
        <f>VLOOKUP(C1277, 'List of log slots'!$A:$C, 3, FALSE)</f>
        <v>0</v>
      </c>
      <c r="G1277" s="209" t="b">
        <f t="shared" si="937"/>
        <v>0</v>
      </c>
      <c r="H1277" s="210" t="b">
        <f t="shared" si="7"/>
        <v>1</v>
      </c>
      <c r="I1277" s="208" t="b">
        <f t="shared" ref="I1277:J1277" si="1022">FALSE</f>
        <v>0</v>
      </c>
      <c r="J1277" s="208" t="b">
        <f t="shared" si="1022"/>
        <v>0</v>
      </c>
      <c r="K1277" s="211">
        <v>2933.0</v>
      </c>
      <c r="L1277" s="207" t="str">
        <f t="shared" si="3"/>
        <v>n/a</v>
      </c>
      <c r="M1277" s="212" t="str">
        <f t="shared" si="4"/>
        <v>n/a</v>
      </c>
      <c r="N1277" s="207" t="str">
        <f t="shared" si="5"/>
        <v>n/a</v>
      </c>
      <c r="O1277" s="207">
        <f t="shared" si="6"/>
        <v>0.000340947835</v>
      </c>
    </row>
    <row r="1278" ht="15.75" customHeight="1">
      <c r="A1278" s="207">
        <v>72.0</v>
      </c>
      <c r="B1278" s="6" t="str">
        <f>VLOOKUP($A1278, 'Completion rates'!$A:$E, 2, FALSE)</f>
        <v>Opening elite caskets</v>
      </c>
      <c r="C1278" s="207">
        <v>3481.0</v>
      </c>
      <c r="D1278" s="6" t="str">
        <f>VLOOKUP($C1278, 'List of log slots'!$A:$E, 2, FALSE)</f>
        <v>Gilded platebody</v>
      </c>
      <c r="E1278" s="207">
        <f>VLOOKUP($C1278, 'List of log slots'!$A:$E, 5, FALSE)</f>
        <v>9</v>
      </c>
      <c r="F1278" s="209" t="b">
        <f>VLOOKUP(C1278, 'List of log slots'!$A:$C, 3, FALSE)</f>
        <v>0</v>
      </c>
      <c r="G1278" s="209" t="b">
        <f t="shared" si="937"/>
        <v>0</v>
      </c>
      <c r="H1278" s="210" t="b">
        <f t="shared" si="7"/>
        <v>1</v>
      </c>
      <c r="I1278" s="208" t="b">
        <f t="shared" ref="I1278:J1278" si="1023">FALSE</f>
        <v>0</v>
      </c>
      <c r="J1278" s="208" t="b">
        <f t="shared" si="1023"/>
        <v>0</v>
      </c>
      <c r="K1278" s="211">
        <v>6452.0</v>
      </c>
      <c r="L1278" s="207" t="str">
        <f t="shared" si="3"/>
        <v>n/a</v>
      </c>
      <c r="M1278" s="212" t="str">
        <f t="shared" si="4"/>
        <v>n/a</v>
      </c>
      <c r="N1278" s="207" t="str">
        <f t="shared" si="5"/>
        <v>n/a</v>
      </c>
      <c r="O1278" s="207">
        <f t="shared" si="6"/>
        <v>0.0001549907006</v>
      </c>
    </row>
    <row r="1279" ht="15.75" customHeight="1">
      <c r="A1279" s="207">
        <v>72.0</v>
      </c>
      <c r="B1279" s="6" t="str">
        <f>VLOOKUP($A1279, 'Completion rates'!$A:$E, 2, FALSE)</f>
        <v>Opening elite caskets</v>
      </c>
      <c r="C1279" s="207">
        <v>3483.0</v>
      </c>
      <c r="D1279" s="6" t="str">
        <f>VLOOKUP($C1279, 'List of log slots'!$A:$E, 2, FALSE)</f>
        <v>Gilded platelegs</v>
      </c>
      <c r="E1279" s="207">
        <f>VLOOKUP($C1279, 'List of log slots'!$A:$E, 5, FALSE)</f>
        <v>9</v>
      </c>
      <c r="F1279" s="210" t="b">
        <f>VLOOKUP(C1279, 'List of log slots'!$A:$C, 3, FALSE)</f>
        <v>0</v>
      </c>
      <c r="G1279" s="209" t="b">
        <f t="shared" si="937"/>
        <v>0</v>
      </c>
      <c r="H1279" s="209" t="b">
        <f t="shared" si="7"/>
        <v>1</v>
      </c>
      <c r="I1279" s="208" t="b">
        <f t="shared" ref="I1279:J1279" si="1024">FALSE</f>
        <v>0</v>
      </c>
      <c r="J1279" s="208" t="b">
        <f t="shared" si="1024"/>
        <v>0</v>
      </c>
      <c r="K1279" s="211">
        <v>6452.0</v>
      </c>
      <c r="L1279" s="207" t="str">
        <f t="shared" si="3"/>
        <v>n/a</v>
      </c>
      <c r="M1279" s="212" t="str">
        <f t="shared" si="4"/>
        <v>n/a</v>
      </c>
      <c r="N1279" s="207" t="str">
        <f t="shared" si="5"/>
        <v>n/a</v>
      </c>
      <c r="O1279" s="207">
        <f t="shared" si="6"/>
        <v>0.0001549907006</v>
      </c>
    </row>
    <row r="1280" ht="15.75" customHeight="1">
      <c r="A1280" s="207">
        <v>72.0</v>
      </c>
      <c r="B1280" s="6" t="str">
        <f>VLOOKUP($A1280, 'Completion rates'!$A:$E, 2, FALSE)</f>
        <v>Opening elite caskets</v>
      </c>
      <c r="C1280" s="207">
        <v>3485.0</v>
      </c>
      <c r="D1280" s="6" t="str">
        <f>VLOOKUP($C1280, 'List of log slots'!$A:$E, 2, FALSE)</f>
        <v>Gilded plateskirt</v>
      </c>
      <c r="E1280" s="207">
        <f>VLOOKUP($C1280, 'List of log slots'!$A:$E, 5, FALSE)</f>
        <v>9</v>
      </c>
      <c r="F1280" s="209" t="b">
        <f>VLOOKUP(C1280, 'List of log slots'!$A:$C, 3, FALSE)</f>
        <v>0</v>
      </c>
      <c r="G1280" s="209" t="b">
        <f t="shared" si="937"/>
        <v>0</v>
      </c>
      <c r="H1280" s="210" t="b">
        <f t="shared" si="7"/>
        <v>1</v>
      </c>
      <c r="I1280" s="208" t="b">
        <f t="shared" ref="I1280:J1280" si="1025">FALSE</f>
        <v>0</v>
      </c>
      <c r="J1280" s="208" t="b">
        <f t="shared" si="1025"/>
        <v>0</v>
      </c>
      <c r="K1280" s="211">
        <v>6452.0</v>
      </c>
      <c r="L1280" s="207" t="str">
        <f t="shared" si="3"/>
        <v>n/a</v>
      </c>
      <c r="M1280" s="212" t="str">
        <f t="shared" si="4"/>
        <v>n/a</v>
      </c>
      <c r="N1280" s="207" t="str">
        <f t="shared" si="5"/>
        <v>n/a</v>
      </c>
      <c r="O1280" s="207">
        <f t="shared" si="6"/>
        <v>0.0001549907006</v>
      </c>
    </row>
    <row r="1281" ht="15.75" customHeight="1">
      <c r="A1281" s="207">
        <v>72.0</v>
      </c>
      <c r="B1281" s="6" t="str">
        <f>VLOOKUP($A1281, 'Completion rates'!$A:$E, 2, FALSE)</f>
        <v>Opening elite caskets</v>
      </c>
      <c r="C1281" s="207">
        <v>3486.0</v>
      </c>
      <c r="D1281" s="6" t="str">
        <f>VLOOKUP($C1281, 'List of log slots'!$A:$E, 2, FALSE)</f>
        <v>Gilded full helm</v>
      </c>
      <c r="E1281" s="207">
        <f>VLOOKUP($C1281, 'List of log slots'!$A:$E, 5, FALSE)</f>
        <v>9</v>
      </c>
      <c r="F1281" s="209" t="b">
        <f>VLOOKUP(C1281, 'List of log slots'!$A:$C, 3, FALSE)</f>
        <v>0</v>
      </c>
      <c r="G1281" s="209" t="b">
        <f t="shared" si="937"/>
        <v>0</v>
      </c>
      <c r="H1281" s="210" t="b">
        <f t="shared" si="7"/>
        <v>1</v>
      </c>
      <c r="I1281" s="208" t="b">
        <f t="shared" ref="I1281:J1281" si="1026">FALSE</f>
        <v>0</v>
      </c>
      <c r="J1281" s="208" t="b">
        <f t="shared" si="1026"/>
        <v>0</v>
      </c>
      <c r="K1281" s="211">
        <v>6452.0</v>
      </c>
      <c r="L1281" s="207" t="str">
        <f t="shared" si="3"/>
        <v>n/a</v>
      </c>
      <c r="M1281" s="212" t="str">
        <f t="shared" si="4"/>
        <v>n/a</v>
      </c>
      <c r="N1281" s="207" t="str">
        <f t="shared" si="5"/>
        <v>n/a</v>
      </c>
      <c r="O1281" s="207">
        <f t="shared" si="6"/>
        <v>0.0001549907006</v>
      </c>
    </row>
    <row r="1282" ht="15.75" customHeight="1">
      <c r="A1282" s="207">
        <v>72.0</v>
      </c>
      <c r="B1282" s="6" t="str">
        <f>VLOOKUP($A1282, 'Completion rates'!$A:$E, 2, FALSE)</f>
        <v>Opening elite caskets</v>
      </c>
      <c r="C1282" s="207">
        <v>3488.0</v>
      </c>
      <c r="D1282" s="6" t="str">
        <f>VLOOKUP($C1282, 'List of log slots'!$A:$E, 2, FALSE)</f>
        <v>Gilded kiteshield</v>
      </c>
      <c r="E1282" s="207">
        <f>VLOOKUP($C1282, 'List of log slots'!$A:$E, 5, FALSE)</f>
        <v>9</v>
      </c>
      <c r="F1282" s="209" t="b">
        <f>VLOOKUP(C1282, 'List of log slots'!$A:$C, 3, FALSE)</f>
        <v>0</v>
      </c>
      <c r="G1282" s="209" t="b">
        <f t="shared" si="937"/>
        <v>0</v>
      </c>
      <c r="H1282" s="210" t="b">
        <f t="shared" si="7"/>
        <v>1</v>
      </c>
      <c r="I1282" s="208" t="b">
        <f t="shared" ref="I1282:J1282" si="1027">FALSE</f>
        <v>0</v>
      </c>
      <c r="J1282" s="208" t="b">
        <f t="shared" si="1027"/>
        <v>0</v>
      </c>
      <c r="K1282" s="211">
        <v>6452.0</v>
      </c>
      <c r="L1282" s="207" t="str">
        <f t="shared" si="3"/>
        <v>n/a</v>
      </c>
      <c r="M1282" s="212" t="str">
        <f t="shared" si="4"/>
        <v>n/a</v>
      </c>
      <c r="N1282" s="207" t="str">
        <f t="shared" si="5"/>
        <v>n/a</v>
      </c>
      <c r="O1282" s="207">
        <f t="shared" si="6"/>
        <v>0.0001549907006</v>
      </c>
    </row>
    <row r="1283" ht="15.75" customHeight="1">
      <c r="A1283" s="207">
        <v>72.0</v>
      </c>
      <c r="B1283" s="6" t="str">
        <f>VLOOKUP($A1283, 'Completion rates'!$A:$E, 2, FALSE)</f>
        <v>Opening elite caskets</v>
      </c>
      <c r="C1283" s="207">
        <v>20146.0</v>
      </c>
      <c r="D1283" s="6" t="str">
        <f>VLOOKUP($C1283, 'List of log slots'!$A:$E, 2, FALSE)</f>
        <v>Gilded med helm</v>
      </c>
      <c r="E1283" s="207">
        <f>VLOOKUP($C1283, 'List of log slots'!$A:$E, 5, FALSE)</f>
        <v>9</v>
      </c>
      <c r="F1283" s="209" t="b">
        <f>VLOOKUP(C1283, 'List of log slots'!$A:$C, 3, FALSE)</f>
        <v>0</v>
      </c>
      <c r="G1283" s="209" t="b">
        <f t="shared" si="937"/>
        <v>0</v>
      </c>
      <c r="H1283" s="210" t="b">
        <f t="shared" si="7"/>
        <v>1</v>
      </c>
      <c r="I1283" s="208" t="b">
        <f t="shared" ref="I1283:J1283" si="1028">FALSE</f>
        <v>0</v>
      </c>
      <c r="J1283" s="208" t="b">
        <f t="shared" si="1028"/>
        <v>0</v>
      </c>
      <c r="K1283" s="211">
        <v>6452.0</v>
      </c>
      <c r="L1283" s="207" t="str">
        <f t="shared" si="3"/>
        <v>n/a</v>
      </c>
      <c r="M1283" s="212" t="str">
        <f t="shared" si="4"/>
        <v>n/a</v>
      </c>
      <c r="N1283" s="207" t="str">
        <f t="shared" si="5"/>
        <v>n/a</v>
      </c>
      <c r="O1283" s="207">
        <f t="shared" si="6"/>
        <v>0.0001549907006</v>
      </c>
    </row>
    <row r="1284" ht="15.75" customHeight="1">
      <c r="A1284" s="207">
        <v>72.0</v>
      </c>
      <c r="B1284" s="6" t="str">
        <f>VLOOKUP($A1284, 'Completion rates'!$A:$E, 2, FALSE)</f>
        <v>Opening elite caskets</v>
      </c>
      <c r="C1284" s="207">
        <v>20149.0</v>
      </c>
      <c r="D1284" s="6" t="str">
        <f>VLOOKUP($C1284, 'List of log slots'!$A:$E, 2, FALSE)</f>
        <v>Gilded chainbody</v>
      </c>
      <c r="E1284" s="207">
        <f>VLOOKUP($C1284, 'List of log slots'!$A:$E, 5, FALSE)</f>
        <v>9</v>
      </c>
      <c r="F1284" s="209" t="b">
        <f>VLOOKUP(C1284, 'List of log slots'!$A:$C, 3, FALSE)</f>
        <v>0</v>
      </c>
      <c r="G1284" s="209" t="b">
        <f t="shared" si="937"/>
        <v>0</v>
      </c>
      <c r="H1284" s="210" t="b">
        <f t="shared" si="7"/>
        <v>1</v>
      </c>
      <c r="I1284" s="208" t="b">
        <f t="shared" ref="I1284:J1284" si="1029">FALSE</f>
        <v>0</v>
      </c>
      <c r="J1284" s="208" t="b">
        <f t="shared" si="1029"/>
        <v>0</v>
      </c>
      <c r="K1284" s="211">
        <v>6452.0</v>
      </c>
      <c r="L1284" s="207" t="str">
        <f t="shared" si="3"/>
        <v>n/a</v>
      </c>
      <c r="M1284" s="212" t="str">
        <f t="shared" si="4"/>
        <v>n/a</v>
      </c>
      <c r="N1284" s="207" t="str">
        <f t="shared" si="5"/>
        <v>n/a</v>
      </c>
      <c r="O1284" s="207">
        <f t="shared" si="6"/>
        <v>0.0001549907006</v>
      </c>
    </row>
    <row r="1285" ht="15.75" customHeight="1">
      <c r="A1285" s="207">
        <v>72.0</v>
      </c>
      <c r="B1285" s="6" t="str">
        <f>VLOOKUP($A1285, 'Completion rates'!$A:$E, 2, FALSE)</f>
        <v>Opening elite caskets</v>
      </c>
      <c r="C1285" s="207">
        <v>20152.0</v>
      </c>
      <c r="D1285" s="6" t="str">
        <f>VLOOKUP($C1285, 'List of log slots'!$A:$E, 2, FALSE)</f>
        <v>Gilded sq shield</v>
      </c>
      <c r="E1285" s="207">
        <f>VLOOKUP($C1285, 'List of log slots'!$A:$E, 5, FALSE)</f>
        <v>9</v>
      </c>
      <c r="F1285" s="209" t="b">
        <f>VLOOKUP(C1285, 'List of log slots'!$A:$C, 3, FALSE)</f>
        <v>0</v>
      </c>
      <c r="G1285" s="209" t="b">
        <f t="shared" si="937"/>
        <v>0</v>
      </c>
      <c r="H1285" s="210" t="b">
        <f t="shared" si="7"/>
        <v>1</v>
      </c>
      <c r="I1285" s="208" t="b">
        <f t="shared" ref="I1285:J1285" si="1030">FALSE</f>
        <v>0</v>
      </c>
      <c r="J1285" s="208" t="b">
        <f t="shared" si="1030"/>
        <v>0</v>
      </c>
      <c r="K1285" s="211">
        <v>6452.0</v>
      </c>
      <c r="L1285" s="207" t="str">
        <f t="shared" si="3"/>
        <v>n/a</v>
      </c>
      <c r="M1285" s="212" t="str">
        <f t="shared" si="4"/>
        <v>n/a</v>
      </c>
      <c r="N1285" s="207" t="str">
        <f t="shared" si="5"/>
        <v>n/a</v>
      </c>
      <c r="O1285" s="207">
        <f t="shared" si="6"/>
        <v>0.0001549907006</v>
      </c>
    </row>
    <row r="1286" ht="15.75" customHeight="1">
      <c r="A1286" s="207">
        <v>72.0</v>
      </c>
      <c r="B1286" s="6" t="str">
        <f>VLOOKUP($A1286, 'Completion rates'!$A:$E, 2, FALSE)</f>
        <v>Opening elite caskets</v>
      </c>
      <c r="C1286" s="207">
        <v>20155.0</v>
      </c>
      <c r="D1286" s="6" t="str">
        <f>VLOOKUP($C1286, 'List of log slots'!$A:$E, 2, FALSE)</f>
        <v>Gilded 2h sword</v>
      </c>
      <c r="E1286" s="207">
        <f>VLOOKUP($C1286, 'List of log slots'!$A:$E, 5, FALSE)</f>
        <v>9</v>
      </c>
      <c r="F1286" s="209" t="b">
        <f>VLOOKUP(C1286, 'List of log slots'!$A:$C, 3, FALSE)</f>
        <v>0</v>
      </c>
      <c r="G1286" s="209" t="b">
        <f t="shared" si="937"/>
        <v>0</v>
      </c>
      <c r="H1286" s="210" t="b">
        <f t="shared" si="7"/>
        <v>1</v>
      </c>
      <c r="I1286" s="208" t="b">
        <f t="shared" ref="I1286:J1286" si="1031">FALSE</f>
        <v>0</v>
      </c>
      <c r="J1286" s="208" t="b">
        <f t="shared" si="1031"/>
        <v>0</v>
      </c>
      <c r="K1286" s="211">
        <v>6452.0</v>
      </c>
      <c r="L1286" s="207" t="str">
        <f t="shared" si="3"/>
        <v>n/a</v>
      </c>
      <c r="M1286" s="212" t="str">
        <f t="shared" si="4"/>
        <v>n/a</v>
      </c>
      <c r="N1286" s="207" t="str">
        <f t="shared" si="5"/>
        <v>n/a</v>
      </c>
      <c r="O1286" s="207">
        <f t="shared" si="6"/>
        <v>0.0001549907006</v>
      </c>
    </row>
    <row r="1287" ht="15.75" customHeight="1">
      <c r="A1287" s="207">
        <v>72.0</v>
      </c>
      <c r="B1287" s="6" t="str">
        <f>VLOOKUP($A1287, 'Completion rates'!$A:$E, 2, FALSE)</f>
        <v>Opening elite caskets</v>
      </c>
      <c r="C1287" s="207">
        <v>20158.0</v>
      </c>
      <c r="D1287" s="6" t="str">
        <f>VLOOKUP($C1287, 'List of log slots'!$A:$E, 2, FALSE)</f>
        <v>Gilded spear</v>
      </c>
      <c r="E1287" s="207">
        <f>VLOOKUP($C1287, 'List of log slots'!$A:$E, 5, FALSE)</f>
        <v>9</v>
      </c>
      <c r="F1287" s="209" t="b">
        <f>VLOOKUP(C1287, 'List of log slots'!$A:$C, 3, FALSE)</f>
        <v>0</v>
      </c>
      <c r="G1287" s="209" t="b">
        <f t="shared" si="937"/>
        <v>0</v>
      </c>
      <c r="H1287" s="210" t="b">
        <f t="shared" si="7"/>
        <v>1</v>
      </c>
      <c r="I1287" s="208" t="b">
        <f t="shared" ref="I1287:J1287" si="1032">FALSE</f>
        <v>0</v>
      </c>
      <c r="J1287" s="208" t="b">
        <f t="shared" si="1032"/>
        <v>0</v>
      </c>
      <c r="K1287" s="211">
        <v>6452.0</v>
      </c>
      <c r="L1287" s="207" t="str">
        <f t="shared" si="3"/>
        <v>n/a</v>
      </c>
      <c r="M1287" s="212" t="str">
        <f t="shared" si="4"/>
        <v>n/a</v>
      </c>
      <c r="N1287" s="207" t="str">
        <f t="shared" si="5"/>
        <v>n/a</v>
      </c>
      <c r="O1287" s="207">
        <f t="shared" si="6"/>
        <v>0.0001549907006</v>
      </c>
    </row>
    <row r="1288" ht="15.75" customHeight="1">
      <c r="A1288" s="207">
        <v>72.0</v>
      </c>
      <c r="B1288" s="6" t="str">
        <f>VLOOKUP($A1288, 'Completion rates'!$A:$E, 2, FALSE)</f>
        <v>Opening elite caskets</v>
      </c>
      <c r="C1288" s="207">
        <v>20161.0</v>
      </c>
      <c r="D1288" s="6" t="str">
        <f>VLOOKUP($C1288, 'List of log slots'!$A:$E, 2, FALSE)</f>
        <v>Gilded hasta</v>
      </c>
      <c r="E1288" s="207">
        <f>VLOOKUP($C1288, 'List of log slots'!$A:$E, 5, FALSE)</f>
        <v>9</v>
      </c>
      <c r="F1288" s="210" t="b">
        <f>VLOOKUP(C1288, 'List of log slots'!$A:$C, 3, FALSE)</f>
        <v>0</v>
      </c>
      <c r="G1288" s="209" t="b">
        <f t="shared" si="937"/>
        <v>0</v>
      </c>
      <c r="H1288" s="209" t="b">
        <f t="shared" si="7"/>
        <v>1</v>
      </c>
      <c r="I1288" s="208" t="b">
        <f t="shared" ref="I1288:J1288" si="1033">FALSE</f>
        <v>0</v>
      </c>
      <c r="J1288" s="208" t="b">
        <f t="shared" si="1033"/>
        <v>0</v>
      </c>
      <c r="K1288" s="211">
        <v>6452.0</v>
      </c>
      <c r="L1288" s="207" t="str">
        <f t="shared" si="3"/>
        <v>n/a</v>
      </c>
      <c r="M1288" s="212" t="str">
        <f t="shared" si="4"/>
        <v>n/a</v>
      </c>
      <c r="N1288" s="207" t="str">
        <f t="shared" si="5"/>
        <v>n/a</v>
      </c>
      <c r="O1288" s="207">
        <f t="shared" si="6"/>
        <v>0.0001549907006</v>
      </c>
    </row>
    <row r="1289" ht="15.75" customHeight="1">
      <c r="A1289" s="207">
        <v>72.0</v>
      </c>
      <c r="B1289" s="6" t="str">
        <f>VLOOKUP($A1289, 'Completion rates'!$A:$E, 2, FALSE)</f>
        <v>Opening elite caskets</v>
      </c>
      <c r="C1289" s="207">
        <v>23258.0</v>
      </c>
      <c r="D1289" s="6" t="str">
        <f>VLOOKUP($C1289, 'List of log slots'!$A:$E, 2, FALSE)</f>
        <v>Gilded coif</v>
      </c>
      <c r="E1289" s="207">
        <f>VLOOKUP($C1289, 'List of log slots'!$A:$E, 5, FALSE)</f>
        <v>9</v>
      </c>
      <c r="F1289" s="209" t="b">
        <f>VLOOKUP(C1289, 'List of log slots'!$A:$C, 3, FALSE)</f>
        <v>0</v>
      </c>
      <c r="G1289" s="209" t="b">
        <f t="shared" si="937"/>
        <v>0</v>
      </c>
      <c r="H1289" s="210" t="b">
        <f t="shared" si="7"/>
        <v>1</v>
      </c>
      <c r="I1289" s="208" t="b">
        <f t="shared" ref="I1289:J1289" si="1034">FALSE</f>
        <v>0</v>
      </c>
      <c r="J1289" s="208" t="b">
        <f t="shared" si="1034"/>
        <v>0</v>
      </c>
      <c r="K1289" s="211">
        <v>2933.0</v>
      </c>
      <c r="L1289" s="207" t="str">
        <f t="shared" si="3"/>
        <v>n/a</v>
      </c>
      <c r="M1289" s="212" t="str">
        <f t="shared" si="4"/>
        <v>n/a</v>
      </c>
      <c r="N1289" s="207" t="str">
        <f t="shared" si="5"/>
        <v>n/a</v>
      </c>
      <c r="O1289" s="207">
        <f t="shared" si="6"/>
        <v>0.000340947835</v>
      </c>
    </row>
    <row r="1290" ht="15.75" customHeight="1">
      <c r="A1290" s="207">
        <v>72.0</v>
      </c>
      <c r="B1290" s="6" t="str">
        <f>VLOOKUP($A1290, 'Completion rates'!$A:$E, 2, FALSE)</f>
        <v>Opening elite caskets</v>
      </c>
      <c r="C1290" s="207">
        <v>23261.0</v>
      </c>
      <c r="D1290" s="6" t="str">
        <f>VLOOKUP($C1290, 'List of log slots'!$A:$E, 2, FALSE)</f>
        <v>Gilded d'hide vambraces</v>
      </c>
      <c r="E1290" s="207">
        <f>VLOOKUP($C1290, 'List of log slots'!$A:$E, 5, FALSE)</f>
        <v>9</v>
      </c>
      <c r="F1290" s="209" t="b">
        <f>VLOOKUP(C1290, 'List of log slots'!$A:$C, 3, FALSE)</f>
        <v>0</v>
      </c>
      <c r="G1290" s="209" t="b">
        <f t="shared" si="937"/>
        <v>0</v>
      </c>
      <c r="H1290" s="210" t="b">
        <f t="shared" si="7"/>
        <v>1</v>
      </c>
      <c r="I1290" s="208" t="b">
        <f t="shared" ref="I1290:J1290" si="1035">FALSE</f>
        <v>0</v>
      </c>
      <c r="J1290" s="208" t="b">
        <f t="shared" si="1035"/>
        <v>0</v>
      </c>
      <c r="K1290" s="211">
        <v>2933.0</v>
      </c>
      <c r="L1290" s="207" t="str">
        <f t="shared" si="3"/>
        <v>n/a</v>
      </c>
      <c r="M1290" s="212" t="str">
        <f t="shared" si="4"/>
        <v>n/a</v>
      </c>
      <c r="N1290" s="207" t="str">
        <f t="shared" si="5"/>
        <v>n/a</v>
      </c>
      <c r="O1290" s="207">
        <f t="shared" si="6"/>
        <v>0.000340947835</v>
      </c>
    </row>
    <row r="1291" ht="15.75" customHeight="1">
      <c r="A1291" s="207">
        <v>72.0</v>
      </c>
      <c r="B1291" s="6" t="str">
        <f>VLOOKUP($A1291, 'Completion rates'!$A:$E, 2, FALSE)</f>
        <v>Opening elite caskets</v>
      </c>
      <c r="C1291" s="207">
        <v>23264.0</v>
      </c>
      <c r="D1291" s="6" t="str">
        <f>VLOOKUP($C1291, 'List of log slots'!$A:$E, 2, FALSE)</f>
        <v>Gilded d'hide body</v>
      </c>
      <c r="E1291" s="207">
        <f>VLOOKUP($C1291, 'List of log slots'!$A:$E, 5, FALSE)</f>
        <v>9</v>
      </c>
      <c r="F1291" s="209" t="b">
        <f>VLOOKUP(C1291, 'List of log slots'!$A:$C, 3, FALSE)</f>
        <v>0</v>
      </c>
      <c r="G1291" s="209" t="b">
        <f t="shared" si="937"/>
        <v>0</v>
      </c>
      <c r="H1291" s="210" t="b">
        <f t="shared" si="7"/>
        <v>1</v>
      </c>
      <c r="I1291" s="208" t="b">
        <f t="shared" ref="I1291:J1291" si="1036">FALSE</f>
        <v>0</v>
      </c>
      <c r="J1291" s="208" t="b">
        <f t="shared" si="1036"/>
        <v>0</v>
      </c>
      <c r="K1291" s="211">
        <v>2933.0</v>
      </c>
      <c r="L1291" s="207" t="str">
        <f t="shared" si="3"/>
        <v>n/a</v>
      </c>
      <c r="M1291" s="212" t="str">
        <f t="shared" si="4"/>
        <v>n/a</v>
      </c>
      <c r="N1291" s="207" t="str">
        <f t="shared" si="5"/>
        <v>n/a</v>
      </c>
      <c r="O1291" s="207">
        <f t="shared" si="6"/>
        <v>0.000340947835</v>
      </c>
    </row>
    <row r="1292" ht="15.75" customHeight="1">
      <c r="A1292" s="207">
        <v>72.0</v>
      </c>
      <c r="B1292" s="6" t="str">
        <f>VLOOKUP($A1292, 'Completion rates'!$A:$E, 2, FALSE)</f>
        <v>Opening elite caskets</v>
      </c>
      <c r="C1292" s="207">
        <v>23267.0</v>
      </c>
      <c r="D1292" s="6" t="str">
        <f>VLOOKUP($C1292, 'List of log slots'!$A:$E, 2, FALSE)</f>
        <v>Gilded d'hide chaps</v>
      </c>
      <c r="E1292" s="207">
        <f>VLOOKUP($C1292, 'List of log slots'!$A:$E, 5, FALSE)</f>
        <v>9</v>
      </c>
      <c r="F1292" s="209" t="b">
        <f>VLOOKUP(C1292, 'List of log slots'!$A:$C, 3, FALSE)</f>
        <v>0</v>
      </c>
      <c r="G1292" s="209" t="b">
        <f t="shared" si="937"/>
        <v>0</v>
      </c>
      <c r="H1292" s="210" t="b">
        <f t="shared" si="7"/>
        <v>1</v>
      </c>
      <c r="I1292" s="208" t="b">
        <f t="shared" ref="I1292:J1292" si="1037">FALSE</f>
        <v>0</v>
      </c>
      <c r="J1292" s="208" t="b">
        <f t="shared" si="1037"/>
        <v>0</v>
      </c>
      <c r="K1292" s="211">
        <v>2933.0</v>
      </c>
      <c r="L1292" s="207" t="str">
        <f t="shared" si="3"/>
        <v>n/a</v>
      </c>
      <c r="M1292" s="212" t="str">
        <f t="shared" si="4"/>
        <v>n/a</v>
      </c>
      <c r="N1292" s="207" t="str">
        <f t="shared" si="5"/>
        <v>n/a</v>
      </c>
      <c r="O1292" s="207">
        <f t="shared" si="6"/>
        <v>0.000340947835</v>
      </c>
    </row>
    <row r="1293" ht="15.75" customHeight="1">
      <c r="A1293" s="207">
        <v>72.0</v>
      </c>
      <c r="B1293" s="6" t="str">
        <f>VLOOKUP($A1293, 'Completion rates'!$A:$E, 2, FALSE)</f>
        <v>Opening elite caskets</v>
      </c>
      <c r="C1293" s="207">
        <v>23276.0</v>
      </c>
      <c r="D1293" s="6" t="str">
        <f>VLOOKUP($C1293, 'List of log slots'!$A:$E, 2, FALSE)</f>
        <v>Gilded pickaxe</v>
      </c>
      <c r="E1293" s="207">
        <f>VLOOKUP($C1293, 'List of log slots'!$A:$E, 5, FALSE)</f>
        <v>9</v>
      </c>
      <c r="F1293" s="209" t="b">
        <f>VLOOKUP(C1293, 'List of log slots'!$A:$C, 3, FALSE)</f>
        <v>0</v>
      </c>
      <c r="G1293" s="209" t="b">
        <f t="shared" si="937"/>
        <v>0</v>
      </c>
      <c r="H1293" s="210" t="b">
        <f t="shared" si="7"/>
        <v>1</v>
      </c>
      <c r="I1293" s="208" t="b">
        <f t="shared" ref="I1293:J1293" si="1038">FALSE</f>
        <v>0</v>
      </c>
      <c r="J1293" s="208" t="b">
        <f t="shared" si="1038"/>
        <v>0</v>
      </c>
      <c r="K1293" s="211">
        <v>2933.0</v>
      </c>
      <c r="L1293" s="207" t="str">
        <f t="shared" si="3"/>
        <v>n/a</v>
      </c>
      <c r="M1293" s="212" t="str">
        <f t="shared" si="4"/>
        <v>n/a</v>
      </c>
      <c r="N1293" s="207" t="str">
        <f t="shared" si="5"/>
        <v>n/a</v>
      </c>
      <c r="O1293" s="207">
        <f t="shared" si="6"/>
        <v>0.000340947835</v>
      </c>
    </row>
    <row r="1294" ht="15.75" customHeight="1">
      <c r="A1294" s="207">
        <v>72.0</v>
      </c>
      <c r="B1294" s="6" t="str">
        <f>VLOOKUP($A1294, 'Completion rates'!$A:$E, 2, FALSE)</f>
        <v>Opening elite caskets</v>
      </c>
      <c r="C1294" s="207">
        <v>23279.0</v>
      </c>
      <c r="D1294" s="6" t="str">
        <f>VLOOKUP($C1294, 'List of log slots'!$A:$E, 2, FALSE)</f>
        <v>Gilded axe</v>
      </c>
      <c r="E1294" s="207">
        <f>VLOOKUP($C1294, 'List of log slots'!$A:$E, 5, FALSE)</f>
        <v>9</v>
      </c>
      <c r="F1294" s="209" t="b">
        <f>VLOOKUP(C1294, 'List of log slots'!$A:$C, 3, FALSE)</f>
        <v>0</v>
      </c>
      <c r="G1294" s="209" t="b">
        <f t="shared" si="937"/>
        <v>0</v>
      </c>
      <c r="H1294" s="210" t="b">
        <f t="shared" si="7"/>
        <v>1</v>
      </c>
      <c r="I1294" s="208" t="b">
        <f t="shared" ref="I1294:J1294" si="1039">FALSE</f>
        <v>0</v>
      </c>
      <c r="J1294" s="208" t="b">
        <f t="shared" si="1039"/>
        <v>0</v>
      </c>
      <c r="K1294" s="211">
        <v>2933.0</v>
      </c>
      <c r="L1294" s="207" t="str">
        <f t="shared" si="3"/>
        <v>n/a</v>
      </c>
      <c r="M1294" s="212" t="str">
        <f t="shared" si="4"/>
        <v>n/a</v>
      </c>
      <c r="N1294" s="207" t="str">
        <f t="shared" si="5"/>
        <v>n/a</v>
      </c>
      <c r="O1294" s="207">
        <f t="shared" si="6"/>
        <v>0.000340947835</v>
      </c>
    </row>
    <row r="1295" ht="15.75" customHeight="1">
      <c r="A1295" s="207">
        <v>72.0</v>
      </c>
      <c r="B1295" s="6" t="str">
        <f>VLOOKUP($A1295, 'Completion rates'!$A:$E, 2, FALSE)</f>
        <v>Opening elite caskets</v>
      </c>
      <c r="C1295" s="207">
        <v>23282.0</v>
      </c>
      <c r="D1295" s="6" t="str">
        <f>VLOOKUP($C1295, 'List of log slots'!$A:$E, 2, FALSE)</f>
        <v>Gilded spade</v>
      </c>
      <c r="E1295" s="207">
        <f>VLOOKUP($C1295, 'List of log slots'!$A:$E, 5, FALSE)</f>
        <v>9</v>
      </c>
      <c r="F1295" s="209" t="b">
        <f>VLOOKUP(C1295, 'List of log slots'!$A:$C, 3, FALSE)</f>
        <v>0</v>
      </c>
      <c r="G1295" s="209" t="b">
        <f t="shared" si="937"/>
        <v>0</v>
      </c>
      <c r="H1295" s="210" t="b">
        <f t="shared" si="7"/>
        <v>1</v>
      </c>
      <c r="I1295" s="208" t="b">
        <f t="shared" ref="I1295:J1295" si="1040">FALSE</f>
        <v>0</v>
      </c>
      <c r="J1295" s="208" t="b">
        <f t="shared" si="1040"/>
        <v>0</v>
      </c>
      <c r="K1295" s="211">
        <v>2933.0</v>
      </c>
      <c r="L1295" s="207" t="str">
        <f t="shared" si="3"/>
        <v>n/a</v>
      </c>
      <c r="M1295" s="212" t="str">
        <f t="shared" si="4"/>
        <v>n/a</v>
      </c>
      <c r="N1295" s="207" t="str">
        <f t="shared" si="5"/>
        <v>n/a</v>
      </c>
      <c r="O1295" s="207">
        <f t="shared" si="6"/>
        <v>0.000340947835</v>
      </c>
    </row>
    <row r="1296" ht="15.75" customHeight="1">
      <c r="A1296" s="207">
        <v>72.0</v>
      </c>
      <c r="B1296" s="6" t="str">
        <f>VLOOKUP($A1296, 'Completion rates'!$A:$E, 2, FALSE)</f>
        <v>Opening elite caskets</v>
      </c>
      <c r="C1296" s="207">
        <v>3827.0</v>
      </c>
      <c r="D1296" s="6" t="str">
        <f>VLOOKUP($C1296, 'List of log slots'!$A:$E, 2, FALSE)</f>
        <v>Saradomin page 1</v>
      </c>
      <c r="E1296" s="207">
        <f>VLOOKUP($C1296, 'List of log slots'!$A:$E, 5, FALSE)</f>
        <v>2</v>
      </c>
      <c r="F1296" s="210" t="b">
        <f>VLOOKUP(C1296, 'List of log slots'!$A:$C, 3, FALSE)</f>
        <v>0</v>
      </c>
      <c r="G1296" s="209" t="b">
        <f t="shared" si="937"/>
        <v>0</v>
      </c>
      <c r="H1296" s="209" t="b">
        <f t="shared" si="7"/>
        <v>1</v>
      </c>
      <c r="I1296" s="208" t="b">
        <f t="shared" ref="I1296:J1296" si="1041">FALSE</f>
        <v>0</v>
      </c>
      <c r="J1296" s="208" t="b">
        <f t="shared" si="1041"/>
        <v>0</v>
      </c>
      <c r="K1296" s="211">
        <v>155.0</v>
      </c>
      <c r="L1296" s="207" t="str">
        <f t="shared" si="3"/>
        <v>n/a</v>
      </c>
      <c r="M1296" s="212" t="str">
        <f t="shared" si="4"/>
        <v>n/a</v>
      </c>
      <c r="N1296" s="207" t="str">
        <f t="shared" si="5"/>
        <v>n/a</v>
      </c>
      <c r="O1296" s="207">
        <f t="shared" si="6"/>
        <v>0.006451612903</v>
      </c>
    </row>
    <row r="1297" ht="15.75" customHeight="1">
      <c r="A1297" s="207">
        <v>72.0</v>
      </c>
      <c r="B1297" s="6" t="str">
        <f>VLOOKUP($A1297, 'Completion rates'!$A:$E, 2, FALSE)</f>
        <v>Opening elite caskets</v>
      </c>
      <c r="C1297" s="207">
        <v>3831.0</v>
      </c>
      <c r="D1297" s="6" t="str">
        <f>VLOOKUP($C1297, 'List of log slots'!$A:$E, 2, FALSE)</f>
        <v>Zamorak page 1</v>
      </c>
      <c r="E1297" s="207">
        <f>VLOOKUP($C1297, 'List of log slots'!$A:$E, 5, FALSE)</f>
        <v>2</v>
      </c>
      <c r="F1297" s="210" t="b">
        <f>VLOOKUP(C1297, 'List of log slots'!$A:$C, 3, FALSE)</f>
        <v>0</v>
      </c>
      <c r="G1297" s="209" t="b">
        <f t="shared" si="937"/>
        <v>0</v>
      </c>
      <c r="H1297" s="209" t="b">
        <f t="shared" si="7"/>
        <v>1</v>
      </c>
      <c r="I1297" s="208" t="b">
        <f t="shared" ref="I1297:J1297" si="1042">FALSE</f>
        <v>0</v>
      </c>
      <c r="J1297" s="208" t="b">
        <f t="shared" si="1042"/>
        <v>0</v>
      </c>
      <c r="K1297" s="211">
        <v>155.0</v>
      </c>
      <c r="L1297" s="207" t="str">
        <f t="shared" si="3"/>
        <v>n/a</v>
      </c>
      <c r="M1297" s="212" t="str">
        <f t="shared" si="4"/>
        <v>n/a</v>
      </c>
      <c r="N1297" s="207" t="str">
        <f t="shared" si="5"/>
        <v>n/a</v>
      </c>
      <c r="O1297" s="207">
        <f t="shared" si="6"/>
        <v>0.006451612903</v>
      </c>
    </row>
    <row r="1298" ht="15.75" customHeight="1">
      <c r="A1298" s="207">
        <v>72.0</v>
      </c>
      <c r="B1298" s="6" t="str">
        <f>VLOOKUP($A1298, 'Completion rates'!$A:$E, 2, FALSE)</f>
        <v>Opening elite caskets</v>
      </c>
      <c r="C1298" s="207">
        <v>3835.0</v>
      </c>
      <c r="D1298" s="6" t="str">
        <f>VLOOKUP($C1298, 'List of log slots'!$A:$E, 2, FALSE)</f>
        <v>Guthix page 1</v>
      </c>
      <c r="E1298" s="207">
        <f>VLOOKUP($C1298, 'List of log slots'!$A:$E, 5, FALSE)</f>
        <v>2</v>
      </c>
      <c r="F1298" s="213" t="b">
        <f>VLOOKUP(C1298, 'List of log slots'!$A:$C, 3, FALSE)</f>
        <v>0</v>
      </c>
      <c r="G1298" s="209" t="b">
        <f t="shared" si="937"/>
        <v>0</v>
      </c>
      <c r="H1298" s="209" t="b">
        <f t="shared" si="7"/>
        <v>1</v>
      </c>
      <c r="I1298" s="208" t="b">
        <f t="shared" ref="I1298:J1298" si="1043">FALSE</f>
        <v>0</v>
      </c>
      <c r="J1298" s="208" t="b">
        <f t="shared" si="1043"/>
        <v>0</v>
      </c>
      <c r="K1298" s="211">
        <v>155.0</v>
      </c>
      <c r="L1298" s="207" t="str">
        <f t="shared" si="3"/>
        <v>n/a</v>
      </c>
      <c r="M1298" s="212" t="str">
        <f t="shared" si="4"/>
        <v>n/a</v>
      </c>
      <c r="N1298" s="207" t="str">
        <f t="shared" si="5"/>
        <v>n/a</v>
      </c>
      <c r="O1298" s="207">
        <f t="shared" si="6"/>
        <v>0.006451612903</v>
      </c>
    </row>
    <row r="1299" ht="15.75" customHeight="1">
      <c r="A1299" s="207">
        <v>72.0</v>
      </c>
      <c r="B1299" s="6" t="str">
        <f>VLOOKUP($A1299, 'Completion rates'!$A:$E, 2, FALSE)</f>
        <v>Opening elite caskets</v>
      </c>
      <c r="C1299" s="207">
        <v>12613.0</v>
      </c>
      <c r="D1299" s="6" t="str">
        <f>VLOOKUP($C1299, 'List of log slots'!$A:$E, 2, FALSE)</f>
        <v>Bandos page 1</v>
      </c>
      <c r="E1299" s="207">
        <f>VLOOKUP($C1299, 'List of log slots'!$A:$E, 5, FALSE)</f>
        <v>2</v>
      </c>
      <c r="F1299" s="213" t="b">
        <f>VLOOKUP(C1299, 'List of log slots'!$A:$C, 3, FALSE)</f>
        <v>0</v>
      </c>
      <c r="G1299" s="209" t="b">
        <f t="shared" si="937"/>
        <v>0</v>
      </c>
      <c r="H1299" s="209" t="b">
        <f t="shared" si="7"/>
        <v>1</v>
      </c>
      <c r="I1299" s="208" t="b">
        <f t="shared" ref="I1299:J1299" si="1044">FALSE</f>
        <v>0</v>
      </c>
      <c r="J1299" s="208" t="b">
        <f t="shared" si="1044"/>
        <v>0</v>
      </c>
      <c r="K1299" s="211">
        <v>155.0</v>
      </c>
      <c r="L1299" s="207" t="str">
        <f t="shared" si="3"/>
        <v>n/a</v>
      </c>
      <c r="M1299" s="212" t="str">
        <f t="shared" si="4"/>
        <v>n/a</v>
      </c>
      <c r="N1299" s="207" t="str">
        <f t="shared" si="5"/>
        <v>n/a</v>
      </c>
      <c r="O1299" s="207">
        <f t="shared" si="6"/>
        <v>0.006451612903</v>
      </c>
    </row>
    <row r="1300" ht="15.75" customHeight="1">
      <c r="A1300" s="207">
        <v>72.0</v>
      </c>
      <c r="B1300" s="6" t="str">
        <f>VLOOKUP($A1300, 'Completion rates'!$A:$E, 2, FALSE)</f>
        <v>Opening elite caskets</v>
      </c>
      <c r="C1300" s="207">
        <v>12617.0</v>
      </c>
      <c r="D1300" s="6" t="str">
        <f>VLOOKUP($C1300, 'List of log slots'!$A:$E, 2, FALSE)</f>
        <v>Armadyl page 1</v>
      </c>
      <c r="E1300" s="207">
        <f>VLOOKUP($C1300, 'List of log slots'!$A:$E, 5, FALSE)</f>
        <v>2</v>
      </c>
      <c r="F1300" s="213" t="b">
        <f>VLOOKUP(C1300, 'List of log slots'!$A:$C, 3, FALSE)</f>
        <v>0</v>
      </c>
      <c r="G1300" s="209" t="b">
        <f t="shared" si="937"/>
        <v>0</v>
      </c>
      <c r="H1300" s="209" t="b">
        <f t="shared" si="7"/>
        <v>1</v>
      </c>
      <c r="I1300" s="208" t="b">
        <f t="shared" ref="I1300:J1300" si="1045">FALSE</f>
        <v>0</v>
      </c>
      <c r="J1300" s="208" t="b">
        <f t="shared" si="1045"/>
        <v>0</v>
      </c>
      <c r="K1300" s="211">
        <v>155.0</v>
      </c>
      <c r="L1300" s="207" t="str">
        <f t="shared" si="3"/>
        <v>n/a</v>
      </c>
      <c r="M1300" s="212" t="str">
        <f t="shared" si="4"/>
        <v>n/a</v>
      </c>
      <c r="N1300" s="207" t="str">
        <f t="shared" si="5"/>
        <v>n/a</v>
      </c>
      <c r="O1300" s="207">
        <f t="shared" si="6"/>
        <v>0.006451612903</v>
      </c>
    </row>
    <row r="1301" ht="15.75" customHeight="1">
      <c r="A1301" s="207">
        <v>72.0</v>
      </c>
      <c r="B1301" s="6" t="str">
        <f>VLOOKUP($A1301, 'Completion rates'!$A:$E, 2, FALSE)</f>
        <v>Opening elite caskets</v>
      </c>
      <c r="C1301" s="207">
        <v>12621.0</v>
      </c>
      <c r="D1301" s="6" t="str">
        <f>VLOOKUP($C1301, 'List of log slots'!$A:$E, 2, FALSE)</f>
        <v>Ancient page 1</v>
      </c>
      <c r="E1301" s="207">
        <f>VLOOKUP($C1301, 'List of log slots'!$A:$E, 5, FALSE)</f>
        <v>2</v>
      </c>
      <c r="F1301" s="213" t="b">
        <f>VLOOKUP(C1301, 'List of log slots'!$A:$C, 3, FALSE)</f>
        <v>0</v>
      </c>
      <c r="G1301" s="209" t="b">
        <f t="shared" si="937"/>
        <v>0</v>
      </c>
      <c r="H1301" s="209" t="b">
        <f t="shared" si="7"/>
        <v>1</v>
      </c>
      <c r="I1301" s="208" t="b">
        <f t="shared" ref="I1301:J1301" si="1046">FALSE</f>
        <v>0</v>
      </c>
      <c r="J1301" s="208" t="b">
        <f t="shared" si="1046"/>
        <v>0</v>
      </c>
      <c r="K1301" s="211">
        <v>155.0</v>
      </c>
      <c r="L1301" s="207" t="str">
        <f t="shared" si="3"/>
        <v>n/a</v>
      </c>
      <c r="M1301" s="212" t="str">
        <f t="shared" si="4"/>
        <v>n/a</v>
      </c>
      <c r="N1301" s="207" t="str">
        <f t="shared" si="5"/>
        <v>n/a</v>
      </c>
      <c r="O1301" s="207">
        <f t="shared" si="6"/>
        <v>0.006451612903</v>
      </c>
    </row>
    <row r="1302" ht="15.75" customHeight="1">
      <c r="A1302" s="207">
        <v>72.0</v>
      </c>
      <c r="B1302" s="6" t="str">
        <f>VLOOKUP($A1302, 'Completion rates'!$A:$E, 2, FALSE)</f>
        <v>Opening elite caskets</v>
      </c>
      <c r="C1302" s="207">
        <v>3828.0</v>
      </c>
      <c r="D1302" s="6" t="str">
        <f>VLOOKUP($C1302, 'List of log slots'!$A:$E, 2, FALSE)</f>
        <v>Saradomin page 2</v>
      </c>
      <c r="E1302" s="207">
        <f>VLOOKUP($C1302, 'List of log slots'!$A:$E, 5, FALSE)</f>
        <v>2</v>
      </c>
      <c r="F1302" s="213" t="b">
        <f>VLOOKUP(C1302, 'List of log slots'!$A:$C, 3, FALSE)</f>
        <v>0</v>
      </c>
      <c r="G1302" s="209" t="b">
        <f t="shared" si="937"/>
        <v>0</v>
      </c>
      <c r="H1302" s="209" t="b">
        <f t="shared" si="7"/>
        <v>1</v>
      </c>
      <c r="I1302" s="208" t="b">
        <f t="shared" ref="I1302:J1302" si="1047">FALSE</f>
        <v>0</v>
      </c>
      <c r="J1302" s="208" t="b">
        <f t="shared" si="1047"/>
        <v>0</v>
      </c>
      <c r="K1302" s="211">
        <v>155.0</v>
      </c>
      <c r="L1302" s="207" t="str">
        <f t="shared" si="3"/>
        <v>n/a</v>
      </c>
      <c r="M1302" s="212" t="str">
        <f t="shared" si="4"/>
        <v>n/a</v>
      </c>
      <c r="N1302" s="207" t="str">
        <f t="shared" si="5"/>
        <v>n/a</v>
      </c>
      <c r="O1302" s="207">
        <f t="shared" si="6"/>
        <v>0.006451612903</v>
      </c>
    </row>
    <row r="1303" ht="15.75" customHeight="1">
      <c r="A1303" s="207">
        <v>72.0</v>
      </c>
      <c r="B1303" s="6" t="str">
        <f>VLOOKUP($A1303, 'Completion rates'!$A:$E, 2, FALSE)</f>
        <v>Opening elite caskets</v>
      </c>
      <c r="C1303" s="207">
        <v>3832.0</v>
      </c>
      <c r="D1303" s="6" t="str">
        <f>VLOOKUP($C1303, 'List of log slots'!$A:$E, 2, FALSE)</f>
        <v>Zamorak page 2</v>
      </c>
      <c r="E1303" s="207">
        <f>VLOOKUP($C1303, 'List of log slots'!$A:$E, 5, FALSE)</f>
        <v>2</v>
      </c>
      <c r="F1303" s="213" t="b">
        <f>VLOOKUP(C1303, 'List of log slots'!$A:$C, 3, FALSE)</f>
        <v>0</v>
      </c>
      <c r="G1303" s="209" t="b">
        <f t="shared" si="937"/>
        <v>0</v>
      </c>
      <c r="H1303" s="209" t="b">
        <f t="shared" si="7"/>
        <v>1</v>
      </c>
      <c r="I1303" s="208" t="b">
        <f t="shared" ref="I1303:J1303" si="1048">FALSE</f>
        <v>0</v>
      </c>
      <c r="J1303" s="208" t="b">
        <f t="shared" si="1048"/>
        <v>0</v>
      </c>
      <c r="K1303" s="211">
        <v>155.0</v>
      </c>
      <c r="L1303" s="207" t="str">
        <f t="shared" si="3"/>
        <v>n/a</v>
      </c>
      <c r="M1303" s="212" t="str">
        <f t="shared" si="4"/>
        <v>n/a</v>
      </c>
      <c r="N1303" s="207" t="str">
        <f t="shared" si="5"/>
        <v>n/a</v>
      </c>
      <c r="O1303" s="207">
        <f t="shared" si="6"/>
        <v>0.006451612903</v>
      </c>
    </row>
    <row r="1304" ht="15.75" customHeight="1">
      <c r="A1304" s="207">
        <v>72.0</v>
      </c>
      <c r="B1304" s="6" t="str">
        <f>VLOOKUP($A1304, 'Completion rates'!$A:$E, 2, FALSE)</f>
        <v>Opening elite caskets</v>
      </c>
      <c r="C1304" s="207">
        <v>3836.0</v>
      </c>
      <c r="D1304" s="6" t="str">
        <f>VLOOKUP($C1304, 'List of log slots'!$A:$E, 2, FALSE)</f>
        <v>Guthix page 2</v>
      </c>
      <c r="E1304" s="207">
        <f>VLOOKUP($C1304, 'List of log slots'!$A:$E, 5, FALSE)</f>
        <v>2</v>
      </c>
      <c r="F1304" s="208" t="b">
        <f>VLOOKUP(C1304, 'List of log slots'!$A:$C, 3, FALSE)</f>
        <v>0</v>
      </c>
      <c r="G1304" s="209" t="b">
        <f t="shared" si="937"/>
        <v>0</v>
      </c>
      <c r="H1304" s="210" t="b">
        <f t="shared" si="7"/>
        <v>1</v>
      </c>
      <c r="I1304" s="208" t="b">
        <f t="shared" ref="I1304:J1304" si="1049">FALSE</f>
        <v>0</v>
      </c>
      <c r="J1304" s="208" t="b">
        <f t="shared" si="1049"/>
        <v>0</v>
      </c>
      <c r="K1304" s="211">
        <v>155.0</v>
      </c>
      <c r="L1304" s="207" t="str">
        <f t="shared" si="3"/>
        <v>n/a</v>
      </c>
      <c r="M1304" s="212" t="str">
        <f t="shared" si="4"/>
        <v>n/a</v>
      </c>
      <c r="N1304" s="207" t="str">
        <f t="shared" si="5"/>
        <v>n/a</v>
      </c>
      <c r="O1304" s="207">
        <f t="shared" si="6"/>
        <v>0.006451612903</v>
      </c>
    </row>
    <row r="1305" ht="15.75" customHeight="1">
      <c r="A1305" s="207">
        <v>72.0</v>
      </c>
      <c r="B1305" s="6" t="str">
        <f>VLOOKUP($A1305, 'Completion rates'!$A:$E, 2, FALSE)</f>
        <v>Opening elite caskets</v>
      </c>
      <c r="C1305" s="207">
        <v>12614.0</v>
      </c>
      <c r="D1305" s="6" t="str">
        <f>VLOOKUP($C1305, 'List of log slots'!$A:$E, 2, FALSE)</f>
        <v>Bandos page 2</v>
      </c>
      <c r="E1305" s="207">
        <f>VLOOKUP($C1305, 'List of log slots'!$A:$E, 5, FALSE)</f>
        <v>2</v>
      </c>
      <c r="F1305" s="213" t="b">
        <f>VLOOKUP(C1305, 'List of log slots'!$A:$C, 3, FALSE)</f>
        <v>0</v>
      </c>
      <c r="G1305" s="209" t="b">
        <f t="shared" si="937"/>
        <v>0</v>
      </c>
      <c r="H1305" s="209" t="b">
        <f t="shared" si="7"/>
        <v>1</v>
      </c>
      <c r="I1305" s="208" t="b">
        <f t="shared" ref="I1305:J1305" si="1050">FALSE</f>
        <v>0</v>
      </c>
      <c r="J1305" s="208" t="b">
        <f t="shared" si="1050"/>
        <v>0</v>
      </c>
      <c r="K1305" s="211">
        <v>155.0</v>
      </c>
      <c r="L1305" s="207" t="str">
        <f t="shared" si="3"/>
        <v>n/a</v>
      </c>
      <c r="M1305" s="212" t="str">
        <f t="shared" si="4"/>
        <v>n/a</v>
      </c>
      <c r="N1305" s="207" t="str">
        <f t="shared" si="5"/>
        <v>n/a</v>
      </c>
      <c r="O1305" s="207">
        <f t="shared" si="6"/>
        <v>0.006451612903</v>
      </c>
    </row>
    <row r="1306" ht="15.75" customHeight="1">
      <c r="A1306" s="207">
        <v>72.0</v>
      </c>
      <c r="B1306" s="6" t="str">
        <f>VLOOKUP($A1306, 'Completion rates'!$A:$E, 2, FALSE)</f>
        <v>Opening elite caskets</v>
      </c>
      <c r="C1306" s="207">
        <v>12618.0</v>
      </c>
      <c r="D1306" s="6" t="str">
        <f>VLOOKUP($C1306, 'List of log slots'!$A:$E, 2, FALSE)</f>
        <v>Armadyl page 2</v>
      </c>
      <c r="E1306" s="207">
        <f>VLOOKUP($C1306, 'List of log slots'!$A:$E, 5, FALSE)</f>
        <v>2</v>
      </c>
      <c r="F1306" s="213" t="b">
        <f>VLOOKUP(C1306, 'List of log slots'!$A:$C, 3, FALSE)</f>
        <v>0</v>
      </c>
      <c r="G1306" s="209" t="b">
        <f t="shared" si="937"/>
        <v>0</v>
      </c>
      <c r="H1306" s="209" t="b">
        <f t="shared" si="7"/>
        <v>1</v>
      </c>
      <c r="I1306" s="208" t="b">
        <f t="shared" ref="I1306:J1306" si="1051">FALSE</f>
        <v>0</v>
      </c>
      <c r="J1306" s="208" t="b">
        <f t="shared" si="1051"/>
        <v>0</v>
      </c>
      <c r="K1306" s="211">
        <v>155.0</v>
      </c>
      <c r="L1306" s="207" t="str">
        <f t="shared" si="3"/>
        <v>n/a</v>
      </c>
      <c r="M1306" s="212" t="str">
        <f t="shared" si="4"/>
        <v>n/a</v>
      </c>
      <c r="N1306" s="207" t="str">
        <f t="shared" si="5"/>
        <v>n/a</v>
      </c>
      <c r="O1306" s="207">
        <f t="shared" si="6"/>
        <v>0.006451612903</v>
      </c>
    </row>
    <row r="1307" ht="15.75" customHeight="1">
      <c r="A1307" s="207">
        <v>72.0</v>
      </c>
      <c r="B1307" s="6" t="str">
        <f>VLOOKUP($A1307, 'Completion rates'!$A:$E, 2, FALSE)</f>
        <v>Opening elite caskets</v>
      </c>
      <c r="C1307" s="207">
        <v>12622.0</v>
      </c>
      <c r="D1307" s="6" t="str">
        <f>VLOOKUP($C1307, 'List of log slots'!$A:$E, 2, FALSE)</f>
        <v>Ancient page 2</v>
      </c>
      <c r="E1307" s="207">
        <f>VLOOKUP($C1307, 'List of log slots'!$A:$E, 5, FALSE)</f>
        <v>2</v>
      </c>
      <c r="F1307" s="213" t="b">
        <f>VLOOKUP(C1307, 'List of log slots'!$A:$C, 3, FALSE)</f>
        <v>0</v>
      </c>
      <c r="G1307" s="209" t="b">
        <f t="shared" si="937"/>
        <v>0</v>
      </c>
      <c r="H1307" s="209" t="b">
        <f t="shared" si="7"/>
        <v>1</v>
      </c>
      <c r="I1307" s="208" t="b">
        <f t="shared" ref="I1307:J1307" si="1052">FALSE</f>
        <v>0</v>
      </c>
      <c r="J1307" s="208" t="b">
        <f t="shared" si="1052"/>
        <v>0</v>
      </c>
      <c r="K1307" s="211">
        <v>155.0</v>
      </c>
      <c r="L1307" s="207" t="str">
        <f t="shared" si="3"/>
        <v>n/a</v>
      </c>
      <c r="M1307" s="212" t="str">
        <f t="shared" si="4"/>
        <v>n/a</v>
      </c>
      <c r="N1307" s="207" t="str">
        <f t="shared" si="5"/>
        <v>n/a</v>
      </c>
      <c r="O1307" s="207">
        <f t="shared" si="6"/>
        <v>0.006451612903</v>
      </c>
    </row>
    <row r="1308" ht="15.75" customHeight="1">
      <c r="A1308" s="207">
        <v>72.0</v>
      </c>
      <c r="B1308" s="6" t="str">
        <f>VLOOKUP($A1308, 'Completion rates'!$A:$E, 2, FALSE)</f>
        <v>Opening elite caskets</v>
      </c>
      <c r="C1308" s="207">
        <v>3829.0</v>
      </c>
      <c r="D1308" s="6" t="str">
        <f>VLOOKUP($C1308, 'List of log slots'!$A:$E, 2, FALSE)</f>
        <v>Saradomin page 3</v>
      </c>
      <c r="E1308" s="207">
        <f>VLOOKUP($C1308, 'List of log slots'!$A:$E, 5, FALSE)</f>
        <v>2</v>
      </c>
      <c r="F1308" s="213" t="b">
        <f>VLOOKUP(C1308, 'List of log slots'!$A:$C, 3, FALSE)</f>
        <v>0</v>
      </c>
      <c r="G1308" s="209" t="b">
        <f t="shared" si="937"/>
        <v>0</v>
      </c>
      <c r="H1308" s="209" t="b">
        <f t="shared" si="7"/>
        <v>1</v>
      </c>
      <c r="I1308" s="208" t="b">
        <f t="shared" ref="I1308:J1308" si="1053">FALSE</f>
        <v>0</v>
      </c>
      <c r="J1308" s="208" t="b">
        <f t="shared" si="1053"/>
        <v>0</v>
      </c>
      <c r="K1308" s="211">
        <v>155.0</v>
      </c>
      <c r="L1308" s="207" t="str">
        <f t="shared" si="3"/>
        <v>n/a</v>
      </c>
      <c r="M1308" s="212" t="str">
        <f t="shared" si="4"/>
        <v>n/a</v>
      </c>
      <c r="N1308" s="207" t="str">
        <f t="shared" si="5"/>
        <v>n/a</v>
      </c>
      <c r="O1308" s="207">
        <f t="shared" si="6"/>
        <v>0.006451612903</v>
      </c>
    </row>
    <row r="1309" ht="15.75" customHeight="1">
      <c r="A1309" s="207">
        <v>72.0</v>
      </c>
      <c r="B1309" s="6" t="str">
        <f>VLOOKUP($A1309, 'Completion rates'!$A:$E, 2, FALSE)</f>
        <v>Opening elite caskets</v>
      </c>
      <c r="C1309" s="207">
        <v>3833.0</v>
      </c>
      <c r="D1309" s="6" t="str">
        <f>VLOOKUP($C1309, 'List of log slots'!$A:$E, 2, FALSE)</f>
        <v>Zamorak page 3</v>
      </c>
      <c r="E1309" s="207">
        <f>VLOOKUP($C1309, 'List of log slots'!$A:$E, 5, FALSE)</f>
        <v>2</v>
      </c>
      <c r="F1309" s="213" t="b">
        <f>VLOOKUP(C1309, 'List of log slots'!$A:$C, 3, FALSE)</f>
        <v>0</v>
      </c>
      <c r="G1309" s="209" t="b">
        <f t="shared" si="937"/>
        <v>0</v>
      </c>
      <c r="H1309" s="209" t="b">
        <f t="shared" si="7"/>
        <v>1</v>
      </c>
      <c r="I1309" s="208" t="b">
        <f t="shared" ref="I1309:J1309" si="1054">FALSE</f>
        <v>0</v>
      </c>
      <c r="J1309" s="208" t="b">
        <f t="shared" si="1054"/>
        <v>0</v>
      </c>
      <c r="K1309" s="211">
        <v>155.0</v>
      </c>
      <c r="L1309" s="207" t="str">
        <f t="shared" si="3"/>
        <v>n/a</v>
      </c>
      <c r="M1309" s="212" t="str">
        <f t="shared" si="4"/>
        <v>n/a</v>
      </c>
      <c r="N1309" s="207" t="str">
        <f t="shared" si="5"/>
        <v>n/a</v>
      </c>
      <c r="O1309" s="207">
        <f t="shared" si="6"/>
        <v>0.006451612903</v>
      </c>
    </row>
    <row r="1310" ht="15.75" customHeight="1">
      <c r="A1310" s="207">
        <v>72.0</v>
      </c>
      <c r="B1310" s="6" t="str">
        <f>VLOOKUP($A1310, 'Completion rates'!$A:$E, 2, FALSE)</f>
        <v>Opening elite caskets</v>
      </c>
      <c r="C1310" s="207">
        <v>3837.0</v>
      </c>
      <c r="D1310" s="6" t="str">
        <f>VLOOKUP($C1310, 'List of log slots'!$A:$E, 2, FALSE)</f>
        <v>Guthix page 3</v>
      </c>
      <c r="E1310" s="207">
        <f>VLOOKUP($C1310, 'List of log slots'!$A:$E, 5, FALSE)</f>
        <v>2</v>
      </c>
      <c r="F1310" s="213" t="b">
        <f>VLOOKUP(C1310, 'List of log slots'!$A:$C, 3, FALSE)</f>
        <v>0</v>
      </c>
      <c r="G1310" s="209" t="b">
        <f t="shared" si="937"/>
        <v>0</v>
      </c>
      <c r="H1310" s="209" t="b">
        <f t="shared" si="7"/>
        <v>1</v>
      </c>
      <c r="I1310" s="208" t="b">
        <f t="shared" ref="I1310:J1310" si="1055">FALSE</f>
        <v>0</v>
      </c>
      <c r="J1310" s="208" t="b">
        <f t="shared" si="1055"/>
        <v>0</v>
      </c>
      <c r="K1310" s="211">
        <v>155.0</v>
      </c>
      <c r="L1310" s="207" t="str">
        <f t="shared" si="3"/>
        <v>n/a</v>
      </c>
      <c r="M1310" s="212" t="str">
        <f t="shared" si="4"/>
        <v>n/a</v>
      </c>
      <c r="N1310" s="207" t="str">
        <f t="shared" si="5"/>
        <v>n/a</v>
      </c>
      <c r="O1310" s="207">
        <f t="shared" si="6"/>
        <v>0.006451612903</v>
      </c>
    </row>
    <row r="1311" ht="15.75" customHeight="1">
      <c r="A1311" s="207">
        <v>72.0</v>
      </c>
      <c r="B1311" s="6" t="str">
        <f>VLOOKUP($A1311, 'Completion rates'!$A:$E, 2, FALSE)</f>
        <v>Opening elite caskets</v>
      </c>
      <c r="C1311" s="207">
        <v>12615.0</v>
      </c>
      <c r="D1311" s="6" t="str">
        <f>VLOOKUP($C1311, 'List of log slots'!$A:$E, 2, FALSE)</f>
        <v>Bandos page 3</v>
      </c>
      <c r="E1311" s="207">
        <f>VLOOKUP($C1311, 'List of log slots'!$A:$E, 5, FALSE)</f>
        <v>2</v>
      </c>
      <c r="F1311" s="213" t="b">
        <f>VLOOKUP(C1311, 'List of log slots'!$A:$C, 3, FALSE)</f>
        <v>0</v>
      </c>
      <c r="G1311" s="209" t="b">
        <f t="shared" si="937"/>
        <v>0</v>
      </c>
      <c r="H1311" s="209" t="b">
        <f t="shared" si="7"/>
        <v>1</v>
      </c>
      <c r="I1311" s="208" t="b">
        <f t="shared" ref="I1311:J1311" si="1056">FALSE</f>
        <v>0</v>
      </c>
      <c r="J1311" s="208" t="b">
        <f t="shared" si="1056"/>
        <v>0</v>
      </c>
      <c r="K1311" s="211">
        <v>155.0</v>
      </c>
      <c r="L1311" s="207" t="str">
        <f t="shared" si="3"/>
        <v>n/a</v>
      </c>
      <c r="M1311" s="212" t="str">
        <f t="shared" si="4"/>
        <v>n/a</v>
      </c>
      <c r="N1311" s="207" t="str">
        <f t="shared" si="5"/>
        <v>n/a</v>
      </c>
      <c r="O1311" s="207">
        <f t="shared" si="6"/>
        <v>0.006451612903</v>
      </c>
    </row>
    <row r="1312" ht="15.75" customHeight="1">
      <c r="A1312" s="207">
        <v>72.0</v>
      </c>
      <c r="B1312" s="6" t="str">
        <f>VLOOKUP($A1312, 'Completion rates'!$A:$E, 2, FALSE)</f>
        <v>Opening elite caskets</v>
      </c>
      <c r="C1312" s="207">
        <v>12619.0</v>
      </c>
      <c r="D1312" s="6" t="str">
        <f>VLOOKUP($C1312, 'List of log slots'!$A:$E, 2, FALSE)</f>
        <v>Armadyl page 3</v>
      </c>
      <c r="E1312" s="207">
        <f>VLOOKUP($C1312, 'List of log slots'!$A:$E, 5, FALSE)</f>
        <v>2</v>
      </c>
      <c r="F1312" s="213" t="b">
        <f>VLOOKUP(C1312, 'List of log slots'!$A:$C, 3, FALSE)</f>
        <v>0</v>
      </c>
      <c r="G1312" s="209" t="b">
        <f t="shared" si="937"/>
        <v>0</v>
      </c>
      <c r="H1312" s="209" t="b">
        <f t="shared" si="7"/>
        <v>1</v>
      </c>
      <c r="I1312" s="208" t="b">
        <f t="shared" ref="I1312:J1312" si="1057">FALSE</f>
        <v>0</v>
      </c>
      <c r="J1312" s="208" t="b">
        <f t="shared" si="1057"/>
        <v>0</v>
      </c>
      <c r="K1312" s="211">
        <v>155.0</v>
      </c>
      <c r="L1312" s="207" t="str">
        <f t="shared" si="3"/>
        <v>n/a</v>
      </c>
      <c r="M1312" s="212" t="str">
        <f t="shared" si="4"/>
        <v>n/a</v>
      </c>
      <c r="N1312" s="207" t="str">
        <f t="shared" si="5"/>
        <v>n/a</v>
      </c>
      <c r="O1312" s="207">
        <f t="shared" si="6"/>
        <v>0.006451612903</v>
      </c>
    </row>
    <row r="1313" ht="15.75" customHeight="1">
      <c r="A1313" s="207">
        <v>72.0</v>
      </c>
      <c r="B1313" s="6" t="str">
        <f>VLOOKUP($A1313, 'Completion rates'!$A:$E, 2, FALSE)</f>
        <v>Opening elite caskets</v>
      </c>
      <c r="C1313" s="207">
        <v>12623.0</v>
      </c>
      <c r="D1313" s="6" t="str">
        <f>VLOOKUP($C1313, 'List of log slots'!$A:$E, 2, FALSE)</f>
        <v>Ancient page 3</v>
      </c>
      <c r="E1313" s="207">
        <f>VLOOKUP($C1313, 'List of log slots'!$A:$E, 5, FALSE)</f>
        <v>2</v>
      </c>
      <c r="F1313" s="213" t="b">
        <f>VLOOKUP(C1313, 'List of log slots'!$A:$C, 3, FALSE)</f>
        <v>0</v>
      </c>
      <c r="G1313" s="209" t="b">
        <f t="shared" si="937"/>
        <v>0</v>
      </c>
      <c r="H1313" s="209" t="b">
        <f t="shared" si="7"/>
        <v>1</v>
      </c>
      <c r="I1313" s="208" t="b">
        <f t="shared" ref="I1313:J1313" si="1058">FALSE</f>
        <v>0</v>
      </c>
      <c r="J1313" s="208" t="b">
        <f t="shared" si="1058"/>
        <v>0</v>
      </c>
      <c r="K1313" s="211">
        <v>155.0</v>
      </c>
      <c r="L1313" s="207" t="str">
        <f t="shared" si="3"/>
        <v>n/a</v>
      </c>
      <c r="M1313" s="212" t="str">
        <f t="shared" si="4"/>
        <v>n/a</v>
      </c>
      <c r="N1313" s="207" t="str">
        <f t="shared" si="5"/>
        <v>n/a</v>
      </c>
      <c r="O1313" s="207">
        <f t="shared" si="6"/>
        <v>0.006451612903</v>
      </c>
    </row>
    <row r="1314" ht="15.75" customHeight="1">
      <c r="A1314" s="207">
        <v>72.0</v>
      </c>
      <c r="B1314" s="6" t="str">
        <f>VLOOKUP($A1314, 'Completion rates'!$A:$E, 2, FALSE)</f>
        <v>Opening elite caskets</v>
      </c>
      <c r="C1314" s="207">
        <v>3830.0</v>
      </c>
      <c r="D1314" s="6" t="str">
        <f>VLOOKUP($C1314, 'List of log slots'!$A:$E, 2, FALSE)</f>
        <v>Saradomin page 4</v>
      </c>
      <c r="E1314" s="207">
        <f>VLOOKUP($C1314, 'List of log slots'!$A:$E, 5, FALSE)</f>
        <v>2</v>
      </c>
      <c r="F1314" s="213" t="b">
        <f>VLOOKUP(C1314, 'List of log slots'!$A:$C, 3, FALSE)</f>
        <v>0</v>
      </c>
      <c r="G1314" s="209" t="b">
        <f t="shared" si="937"/>
        <v>0</v>
      </c>
      <c r="H1314" s="209" t="b">
        <f t="shared" si="7"/>
        <v>1</v>
      </c>
      <c r="I1314" s="208" t="b">
        <f t="shared" ref="I1314:J1314" si="1059">FALSE</f>
        <v>0</v>
      </c>
      <c r="J1314" s="208" t="b">
        <f t="shared" si="1059"/>
        <v>0</v>
      </c>
      <c r="K1314" s="211">
        <v>155.0</v>
      </c>
      <c r="L1314" s="207" t="str">
        <f t="shared" si="3"/>
        <v>n/a</v>
      </c>
      <c r="M1314" s="212" t="str">
        <f t="shared" si="4"/>
        <v>n/a</v>
      </c>
      <c r="N1314" s="207" t="str">
        <f t="shared" si="5"/>
        <v>n/a</v>
      </c>
      <c r="O1314" s="207">
        <f t="shared" si="6"/>
        <v>0.006451612903</v>
      </c>
    </row>
    <row r="1315" ht="15.75" customHeight="1">
      <c r="A1315" s="207">
        <v>72.0</v>
      </c>
      <c r="B1315" s="6" t="str">
        <f>VLOOKUP($A1315, 'Completion rates'!$A:$E, 2, FALSE)</f>
        <v>Opening elite caskets</v>
      </c>
      <c r="C1315" s="207">
        <v>3834.0</v>
      </c>
      <c r="D1315" s="6" t="str">
        <f>VLOOKUP($C1315, 'List of log slots'!$A:$E, 2, FALSE)</f>
        <v>Zamorak page 4</v>
      </c>
      <c r="E1315" s="207">
        <f>VLOOKUP($C1315, 'List of log slots'!$A:$E, 5, FALSE)</f>
        <v>2</v>
      </c>
      <c r="F1315" s="213" t="b">
        <f>VLOOKUP(C1315, 'List of log slots'!$A:$C, 3, FALSE)</f>
        <v>0</v>
      </c>
      <c r="G1315" s="209" t="b">
        <f t="shared" si="937"/>
        <v>0</v>
      </c>
      <c r="H1315" s="209" t="b">
        <f t="shared" si="7"/>
        <v>1</v>
      </c>
      <c r="I1315" s="208" t="b">
        <f t="shared" ref="I1315:J1315" si="1060">FALSE</f>
        <v>0</v>
      </c>
      <c r="J1315" s="208" t="b">
        <f t="shared" si="1060"/>
        <v>0</v>
      </c>
      <c r="K1315" s="211">
        <v>155.0</v>
      </c>
      <c r="L1315" s="207" t="str">
        <f t="shared" si="3"/>
        <v>n/a</v>
      </c>
      <c r="M1315" s="212" t="str">
        <f t="shared" si="4"/>
        <v>n/a</v>
      </c>
      <c r="N1315" s="207" t="str">
        <f t="shared" si="5"/>
        <v>n/a</v>
      </c>
      <c r="O1315" s="207">
        <f t="shared" si="6"/>
        <v>0.006451612903</v>
      </c>
    </row>
    <row r="1316" ht="15.75" customHeight="1">
      <c r="A1316" s="207">
        <v>72.0</v>
      </c>
      <c r="B1316" s="6" t="str">
        <f>VLOOKUP($A1316, 'Completion rates'!$A:$E, 2, FALSE)</f>
        <v>Opening elite caskets</v>
      </c>
      <c r="C1316" s="207">
        <v>3838.0</v>
      </c>
      <c r="D1316" s="6" t="str">
        <f>VLOOKUP($C1316, 'List of log slots'!$A:$E, 2, FALSE)</f>
        <v>Guthix page 4</v>
      </c>
      <c r="E1316" s="207">
        <f>VLOOKUP($C1316, 'List of log slots'!$A:$E, 5, FALSE)</f>
        <v>2</v>
      </c>
      <c r="F1316" s="208" t="b">
        <f>VLOOKUP(C1316, 'List of log slots'!$A:$C, 3, FALSE)</f>
        <v>0</v>
      </c>
      <c r="G1316" s="209" t="b">
        <f t="shared" si="937"/>
        <v>0</v>
      </c>
      <c r="H1316" s="210" t="b">
        <f t="shared" si="7"/>
        <v>1</v>
      </c>
      <c r="I1316" s="208" t="b">
        <f t="shared" ref="I1316:J1316" si="1061">FALSE</f>
        <v>0</v>
      </c>
      <c r="J1316" s="208" t="b">
        <f t="shared" si="1061"/>
        <v>0</v>
      </c>
      <c r="K1316" s="211">
        <v>155.0</v>
      </c>
      <c r="L1316" s="207" t="str">
        <f t="shared" si="3"/>
        <v>n/a</v>
      </c>
      <c r="M1316" s="212" t="str">
        <f t="shared" si="4"/>
        <v>n/a</v>
      </c>
      <c r="N1316" s="207" t="str">
        <f t="shared" si="5"/>
        <v>n/a</v>
      </c>
      <c r="O1316" s="207">
        <f t="shared" si="6"/>
        <v>0.006451612903</v>
      </c>
    </row>
    <row r="1317" ht="15.75" customHeight="1">
      <c r="A1317" s="207">
        <v>72.0</v>
      </c>
      <c r="B1317" s="6" t="str">
        <f>VLOOKUP($A1317, 'Completion rates'!$A:$E, 2, FALSE)</f>
        <v>Opening elite caskets</v>
      </c>
      <c r="C1317" s="207">
        <v>12616.0</v>
      </c>
      <c r="D1317" s="6" t="str">
        <f>VLOOKUP($C1317, 'List of log slots'!$A:$E, 2, FALSE)</f>
        <v>Bandos page 4</v>
      </c>
      <c r="E1317" s="207">
        <f>VLOOKUP($C1317, 'List of log slots'!$A:$E, 5, FALSE)</f>
        <v>2</v>
      </c>
      <c r="F1317" s="213" t="b">
        <f>VLOOKUP(C1317, 'List of log slots'!$A:$C, 3, FALSE)</f>
        <v>0</v>
      </c>
      <c r="G1317" s="209" t="b">
        <f t="shared" si="937"/>
        <v>0</v>
      </c>
      <c r="H1317" s="209" t="b">
        <f t="shared" si="7"/>
        <v>1</v>
      </c>
      <c r="I1317" s="208" t="b">
        <f t="shared" ref="I1317:J1317" si="1062">FALSE</f>
        <v>0</v>
      </c>
      <c r="J1317" s="208" t="b">
        <f t="shared" si="1062"/>
        <v>0</v>
      </c>
      <c r="K1317" s="211">
        <v>155.0</v>
      </c>
      <c r="L1317" s="207" t="str">
        <f t="shared" si="3"/>
        <v>n/a</v>
      </c>
      <c r="M1317" s="212" t="str">
        <f t="shared" si="4"/>
        <v>n/a</v>
      </c>
      <c r="N1317" s="207" t="str">
        <f t="shared" si="5"/>
        <v>n/a</v>
      </c>
      <c r="O1317" s="207">
        <f t="shared" si="6"/>
        <v>0.006451612903</v>
      </c>
    </row>
    <row r="1318" ht="15.75" customHeight="1">
      <c r="A1318" s="207">
        <v>72.0</v>
      </c>
      <c r="B1318" s="6" t="str">
        <f>VLOOKUP($A1318, 'Completion rates'!$A:$E, 2, FALSE)</f>
        <v>Opening elite caskets</v>
      </c>
      <c r="C1318" s="207">
        <v>12620.0</v>
      </c>
      <c r="D1318" s="6" t="str">
        <f>VLOOKUP($C1318, 'List of log slots'!$A:$E, 2, FALSE)</f>
        <v>Armadyl page 4</v>
      </c>
      <c r="E1318" s="207">
        <f>VLOOKUP($C1318, 'List of log slots'!$A:$E, 5, FALSE)</f>
        <v>2</v>
      </c>
      <c r="F1318" s="213" t="b">
        <f>VLOOKUP(C1318, 'List of log slots'!$A:$C, 3, FALSE)</f>
        <v>0</v>
      </c>
      <c r="G1318" s="209" t="b">
        <f t="shared" si="937"/>
        <v>0</v>
      </c>
      <c r="H1318" s="209" t="b">
        <f t="shared" si="7"/>
        <v>1</v>
      </c>
      <c r="I1318" s="208" t="b">
        <f t="shared" ref="I1318:J1318" si="1063">FALSE</f>
        <v>0</v>
      </c>
      <c r="J1318" s="208" t="b">
        <f t="shared" si="1063"/>
        <v>0</v>
      </c>
      <c r="K1318" s="211">
        <v>155.0</v>
      </c>
      <c r="L1318" s="207" t="str">
        <f t="shared" si="3"/>
        <v>n/a</v>
      </c>
      <c r="M1318" s="212" t="str">
        <f t="shared" si="4"/>
        <v>n/a</v>
      </c>
      <c r="N1318" s="207" t="str">
        <f t="shared" si="5"/>
        <v>n/a</v>
      </c>
      <c r="O1318" s="207">
        <f t="shared" si="6"/>
        <v>0.006451612903</v>
      </c>
    </row>
    <row r="1319" ht="15.75" customHeight="1">
      <c r="A1319" s="207">
        <v>72.0</v>
      </c>
      <c r="B1319" s="6" t="str">
        <f>VLOOKUP($A1319, 'Completion rates'!$A:$E, 2, FALSE)</f>
        <v>Opening elite caskets</v>
      </c>
      <c r="C1319" s="207">
        <v>12624.0</v>
      </c>
      <c r="D1319" s="6" t="str">
        <f>VLOOKUP($C1319, 'List of log slots'!$A:$E, 2, FALSE)</f>
        <v>Ancient page 4</v>
      </c>
      <c r="E1319" s="207">
        <f>VLOOKUP($C1319, 'List of log slots'!$A:$E, 5, FALSE)</f>
        <v>2</v>
      </c>
      <c r="F1319" s="213" t="b">
        <f>VLOOKUP(C1319, 'List of log slots'!$A:$C, 3, FALSE)</f>
        <v>0</v>
      </c>
      <c r="G1319" s="209" t="b">
        <f t="shared" si="937"/>
        <v>0</v>
      </c>
      <c r="H1319" s="209" t="b">
        <f t="shared" si="7"/>
        <v>1</v>
      </c>
      <c r="I1319" s="208" t="b">
        <f t="shared" ref="I1319:J1319" si="1064">FALSE</f>
        <v>0</v>
      </c>
      <c r="J1319" s="208" t="b">
        <f t="shared" si="1064"/>
        <v>0</v>
      </c>
      <c r="K1319" s="211">
        <v>155.0</v>
      </c>
      <c r="L1319" s="207" t="str">
        <f t="shared" si="3"/>
        <v>n/a</v>
      </c>
      <c r="M1319" s="212" t="str">
        <f t="shared" si="4"/>
        <v>n/a</v>
      </c>
      <c r="N1319" s="207" t="str">
        <f t="shared" si="5"/>
        <v>n/a</v>
      </c>
      <c r="O1319" s="207">
        <f t="shared" si="6"/>
        <v>0.006451612903</v>
      </c>
    </row>
    <row r="1320" ht="15.75" customHeight="1">
      <c r="A1320" s="207">
        <v>72.0</v>
      </c>
      <c r="B1320" s="6" t="str">
        <f>VLOOKUP($A1320, 'Completion rates'!$A:$E, 2, FALSE)</f>
        <v>Opening elite caskets</v>
      </c>
      <c r="C1320" s="207">
        <v>20220.0</v>
      </c>
      <c r="D1320" s="6" t="str">
        <f>VLOOKUP($C1320, 'List of log slots'!$A:$E, 2, FALSE)</f>
        <v>Holy blessing</v>
      </c>
      <c r="E1320" s="207">
        <f>VLOOKUP($C1320, 'List of log slots'!$A:$E, 5, FALSE)</f>
        <v>2</v>
      </c>
      <c r="F1320" s="213" t="b">
        <f>VLOOKUP(C1320, 'List of log slots'!$A:$C, 3, FALSE)</f>
        <v>0</v>
      </c>
      <c r="G1320" s="209" t="b">
        <f t="shared" si="937"/>
        <v>0</v>
      </c>
      <c r="H1320" s="209" t="b">
        <f t="shared" si="7"/>
        <v>1</v>
      </c>
      <c r="I1320" s="208" t="b">
        <f t="shared" ref="I1320:J1320" si="1065">FALSE</f>
        <v>0</v>
      </c>
      <c r="J1320" s="208" t="b">
        <f t="shared" si="1065"/>
        <v>0</v>
      </c>
      <c r="K1320" s="211">
        <v>129.0</v>
      </c>
      <c r="L1320" s="207" t="str">
        <f t="shared" si="3"/>
        <v>n/a</v>
      </c>
      <c r="M1320" s="212" t="str">
        <f t="shared" si="4"/>
        <v>n/a</v>
      </c>
      <c r="N1320" s="207" t="str">
        <f t="shared" si="5"/>
        <v>n/a</v>
      </c>
      <c r="O1320" s="207">
        <f t="shared" si="6"/>
        <v>0.007751937984</v>
      </c>
    </row>
    <row r="1321" ht="15.75" customHeight="1">
      <c r="A1321" s="207">
        <v>72.0</v>
      </c>
      <c r="B1321" s="6" t="str">
        <f>VLOOKUP($A1321, 'Completion rates'!$A:$E, 2, FALSE)</f>
        <v>Opening elite caskets</v>
      </c>
      <c r="C1321" s="207">
        <v>20223.0</v>
      </c>
      <c r="D1321" s="6" t="str">
        <f>VLOOKUP($C1321, 'List of log slots'!$A:$E, 2, FALSE)</f>
        <v>Unholy blessing</v>
      </c>
      <c r="E1321" s="207">
        <f>VLOOKUP($C1321, 'List of log slots'!$A:$E, 5, FALSE)</f>
        <v>2</v>
      </c>
      <c r="F1321" s="213" t="b">
        <f>VLOOKUP(C1321, 'List of log slots'!$A:$C, 3, FALSE)</f>
        <v>0</v>
      </c>
      <c r="G1321" s="209" t="b">
        <f t="shared" si="937"/>
        <v>0</v>
      </c>
      <c r="H1321" s="209" t="b">
        <f t="shared" si="7"/>
        <v>1</v>
      </c>
      <c r="I1321" s="208" t="b">
        <f t="shared" ref="I1321:J1321" si="1066">FALSE</f>
        <v>0</v>
      </c>
      <c r="J1321" s="208" t="b">
        <f t="shared" si="1066"/>
        <v>0</v>
      </c>
      <c r="K1321" s="211">
        <v>129.0</v>
      </c>
      <c r="L1321" s="207" t="str">
        <f t="shared" si="3"/>
        <v>n/a</v>
      </c>
      <c r="M1321" s="212" t="str">
        <f t="shared" si="4"/>
        <v>n/a</v>
      </c>
      <c r="N1321" s="207" t="str">
        <f t="shared" si="5"/>
        <v>n/a</v>
      </c>
      <c r="O1321" s="207">
        <f t="shared" si="6"/>
        <v>0.007751937984</v>
      </c>
    </row>
    <row r="1322" ht="15.75" customHeight="1">
      <c r="A1322" s="207">
        <v>72.0</v>
      </c>
      <c r="B1322" s="6" t="str">
        <f>VLOOKUP($A1322, 'Completion rates'!$A:$E, 2, FALSE)</f>
        <v>Opening elite caskets</v>
      </c>
      <c r="C1322" s="207">
        <v>20226.0</v>
      </c>
      <c r="D1322" s="6" t="str">
        <f>VLOOKUP($C1322, 'List of log slots'!$A:$E, 2, FALSE)</f>
        <v>Peaceful blessing</v>
      </c>
      <c r="E1322" s="207">
        <f>VLOOKUP($C1322, 'List of log slots'!$A:$E, 5, FALSE)</f>
        <v>2</v>
      </c>
      <c r="F1322" s="213" t="b">
        <f>VLOOKUP(C1322, 'List of log slots'!$A:$C, 3, FALSE)</f>
        <v>0</v>
      </c>
      <c r="G1322" s="209" t="b">
        <f t="shared" si="937"/>
        <v>0</v>
      </c>
      <c r="H1322" s="209" t="b">
        <f t="shared" si="7"/>
        <v>1</v>
      </c>
      <c r="I1322" s="208" t="b">
        <f t="shared" ref="I1322:J1322" si="1067">FALSE</f>
        <v>0</v>
      </c>
      <c r="J1322" s="208" t="b">
        <f t="shared" si="1067"/>
        <v>0</v>
      </c>
      <c r="K1322" s="211">
        <v>129.0</v>
      </c>
      <c r="L1322" s="207" t="str">
        <f t="shared" si="3"/>
        <v>n/a</v>
      </c>
      <c r="M1322" s="212" t="str">
        <f t="shared" si="4"/>
        <v>n/a</v>
      </c>
      <c r="N1322" s="207" t="str">
        <f t="shared" si="5"/>
        <v>n/a</v>
      </c>
      <c r="O1322" s="207">
        <f t="shared" si="6"/>
        <v>0.007751937984</v>
      </c>
    </row>
    <row r="1323" ht="15.75" customHeight="1">
      <c r="A1323" s="207">
        <v>72.0</v>
      </c>
      <c r="B1323" s="6" t="str">
        <f>VLOOKUP($A1323, 'Completion rates'!$A:$E, 2, FALSE)</f>
        <v>Opening elite caskets</v>
      </c>
      <c r="C1323" s="207">
        <v>20232.0</v>
      </c>
      <c r="D1323" s="6" t="str">
        <f>VLOOKUP($C1323, 'List of log slots'!$A:$E, 2, FALSE)</f>
        <v>War blessing</v>
      </c>
      <c r="E1323" s="207">
        <f>VLOOKUP($C1323, 'List of log slots'!$A:$E, 5, FALSE)</f>
        <v>2</v>
      </c>
      <c r="F1323" s="213" t="b">
        <f>VLOOKUP(C1323, 'List of log slots'!$A:$C, 3, FALSE)</f>
        <v>0</v>
      </c>
      <c r="G1323" s="209" t="b">
        <f t="shared" si="937"/>
        <v>0</v>
      </c>
      <c r="H1323" s="209" t="b">
        <f t="shared" si="7"/>
        <v>1</v>
      </c>
      <c r="I1323" s="208" t="b">
        <f t="shared" ref="I1323:J1323" si="1068">FALSE</f>
        <v>0</v>
      </c>
      <c r="J1323" s="208" t="b">
        <f t="shared" si="1068"/>
        <v>0</v>
      </c>
      <c r="K1323" s="211">
        <v>129.0</v>
      </c>
      <c r="L1323" s="207" t="str">
        <f t="shared" si="3"/>
        <v>n/a</v>
      </c>
      <c r="M1323" s="212" t="str">
        <f t="shared" si="4"/>
        <v>n/a</v>
      </c>
      <c r="N1323" s="207" t="str">
        <f t="shared" si="5"/>
        <v>n/a</v>
      </c>
      <c r="O1323" s="207">
        <f t="shared" si="6"/>
        <v>0.007751937984</v>
      </c>
    </row>
    <row r="1324" ht="15.75" customHeight="1">
      <c r="A1324" s="207">
        <v>72.0</v>
      </c>
      <c r="B1324" s="6" t="str">
        <f>VLOOKUP($A1324, 'Completion rates'!$A:$E, 2, FALSE)</f>
        <v>Opening elite caskets</v>
      </c>
      <c r="C1324" s="207">
        <v>20229.0</v>
      </c>
      <c r="D1324" s="6" t="str">
        <f>VLOOKUP($C1324, 'List of log slots'!$A:$E, 2, FALSE)</f>
        <v>Honourable blessing</v>
      </c>
      <c r="E1324" s="207">
        <f>VLOOKUP($C1324, 'List of log slots'!$A:$E, 5, FALSE)</f>
        <v>2</v>
      </c>
      <c r="F1324" s="213" t="b">
        <f>VLOOKUP(C1324, 'List of log slots'!$A:$C, 3, FALSE)</f>
        <v>0</v>
      </c>
      <c r="G1324" s="209" t="b">
        <f t="shared" si="937"/>
        <v>0</v>
      </c>
      <c r="H1324" s="209" t="b">
        <f t="shared" si="7"/>
        <v>1</v>
      </c>
      <c r="I1324" s="208" t="b">
        <f t="shared" ref="I1324:J1324" si="1069">FALSE</f>
        <v>0</v>
      </c>
      <c r="J1324" s="208" t="b">
        <f t="shared" si="1069"/>
        <v>0</v>
      </c>
      <c r="K1324" s="211">
        <v>129.0</v>
      </c>
      <c r="L1324" s="207" t="str">
        <f t="shared" si="3"/>
        <v>n/a</v>
      </c>
      <c r="M1324" s="212" t="str">
        <f t="shared" si="4"/>
        <v>n/a</v>
      </c>
      <c r="N1324" s="207" t="str">
        <f t="shared" si="5"/>
        <v>n/a</v>
      </c>
      <c r="O1324" s="207">
        <f t="shared" si="6"/>
        <v>0.007751937984</v>
      </c>
    </row>
    <row r="1325" ht="15.75" customHeight="1">
      <c r="A1325" s="207">
        <v>72.0</v>
      </c>
      <c r="B1325" s="6" t="str">
        <f>VLOOKUP($A1325, 'Completion rates'!$A:$E, 2, FALSE)</f>
        <v>Opening elite caskets</v>
      </c>
      <c r="C1325" s="207">
        <v>20235.0</v>
      </c>
      <c r="D1325" s="6" t="str">
        <f>VLOOKUP($C1325, 'List of log slots'!$A:$E, 2, FALSE)</f>
        <v>Ancient blessing</v>
      </c>
      <c r="E1325" s="207">
        <f>VLOOKUP($C1325, 'List of log slots'!$A:$E, 5, FALSE)</f>
        <v>2</v>
      </c>
      <c r="F1325" s="213" t="b">
        <f>VLOOKUP(C1325, 'List of log slots'!$A:$C, 3, FALSE)</f>
        <v>0</v>
      </c>
      <c r="G1325" s="209" t="b">
        <f t="shared" si="937"/>
        <v>0</v>
      </c>
      <c r="H1325" s="209" t="b">
        <f t="shared" si="7"/>
        <v>1</v>
      </c>
      <c r="I1325" s="208" t="b">
        <f t="shared" ref="I1325:J1325" si="1070">FALSE</f>
        <v>0</v>
      </c>
      <c r="J1325" s="208" t="b">
        <f t="shared" si="1070"/>
        <v>0</v>
      </c>
      <c r="K1325" s="211">
        <v>129.0</v>
      </c>
      <c r="L1325" s="207" t="str">
        <f t="shared" si="3"/>
        <v>n/a</v>
      </c>
      <c r="M1325" s="212" t="str">
        <f t="shared" si="4"/>
        <v>n/a</v>
      </c>
      <c r="N1325" s="207" t="str">
        <f t="shared" si="5"/>
        <v>n/a</v>
      </c>
      <c r="O1325" s="207">
        <f t="shared" si="6"/>
        <v>0.007751937984</v>
      </c>
    </row>
    <row r="1326" ht="15.75" customHeight="1">
      <c r="A1326" s="207">
        <v>72.0</v>
      </c>
      <c r="B1326" s="6" t="str">
        <f>VLOOKUP($A1326, 'Completion rates'!$A:$E, 2, FALSE)</f>
        <v>Opening elite caskets</v>
      </c>
      <c r="C1326" s="207">
        <v>12402.0</v>
      </c>
      <c r="D1326" s="6" t="str">
        <f>VLOOKUP($C1326, 'List of log slots'!$A:$E, 2, FALSE)</f>
        <v>Nardah teleport</v>
      </c>
      <c r="E1326" s="207">
        <f>VLOOKUP($C1326, 'List of log slots'!$A:$E, 5, FALSE)</f>
        <v>2</v>
      </c>
      <c r="F1326" s="213" t="b">
        <f>VLOOKUP(C1326, 'List of log slots'!$A:$C, 3, FALSE)</f>
        <v>0</v>
      </c>
      <c r="G1326" s="209" t="b">
        <f t="shared" si="937"/>
        <v>0</v>
      </c>
      <c r="H1326" s="209" t="b">
        <f t="shared" si="7"/>
        <v>1</v>
      </c>
      <c r="I1326" s="208" t="b">
        <f t="shared" ref="I1326:J1326" si="1071">FALSE</f>
        <v>0</v>
      </c>
      <c r="J1326" s="208" t="b">
        <f t="shared" si="1071"/>
        <v>0</v>
      </c>
      <c r="K1326" s="211">
        <v>41.0</v>
      </c>
      <c r="L1326" s="207" t="str">
        <f t="shared" si="3"/>
        <v>n/a</v>
      </c>
      <c r="M1326" s="212" t="str">
        <f t="shared" si="4"/>
        <v>n/a</v>
      </c>
      <c r="N1326" s="207" t="str">
        <f t="shared" si="5"/>
        <v>n/a</v>
      </c>
      <c r="O1326" s="207">
        <f t="shared" si="6"/>
        <v>0.0243902439</v>
      </c>
    </row>
    <row r="1327" ht="15.75" customHeight="1">
      <c r="A1327" s="207">
        <v>72.0</v>
      </c>
      <c r="B1327" s="6" t="str">
        <f>VLOOKUP($A1327, 'Completion rates'!$A:$E, 2, FALSE)</f>
        <v>Opening elite caskets</v>
      </c>
      <c r="C1327" s="207">
        <v>12411.0</v>
      </c>
      <c r="D1327" s="6" t="str">
        <f>VLOOKUP($C1327, 'List of log slots'!$A:$E, 2, FALSE)</f>
        <v>Mos le'harmless teleport</v>
      </c>
      <c r="E1327" s="207">
        <f>VLOOKUP($C1327, 'List of log slots'!$A:$E, 5, FALSE)</f>
        <v>2</v>
      </c>
      <c r="F1327" s="213" t="b">
        <f>VLOOKUP(C1327, 'List of log slots'!$A:$C, 3, FALSE)</f>
        <v>0</v>
      </c>
      <c r="G1327" s="209" t="b">
        <f t="shared" si="937"/>
        <v>0</v>
      </c>
      <c r="H1327" s="209" t="b">
        <f t="shared" si="7"/>
        <v>1</v>
      </c>
      <c r="I1327" s="208" t="b">
        <f t="shared" ref="I1327:J1327" si="1072">FALSE</f>
        <v>0</v>
      </c>
      <c r="J1327" s="208" t="b">
        <f t="shared" si="1072"/>
        <v>0</v>
      </c>
      <c r="K1327" s="211">
        <v>41.0</v>
      </c>
      <c r="L1327" s="207" t="str">
        <f t="shared" si="3"/>
        <v>n/a</v>
      </c>
      <c r="M1327" s="212" t="str">
        <f t="shared" si="4"/>
        <v>n/a</v>
      </c>
      <c r="N1327" s="207" t="str">
        <f t="shared" si="5"/>
        <v>n/a</v>
      </c>
      <c r="O1327" s="207">
        <f t="shared" si="6"/>
        <v>0.0243902439</v>
      </c>
    </row>
    <row r="1328" ht="15.75" customHeight="1">
      <c r="A1328" s="207">
        <v>72.0</v>
      </c>
      <c r="B1328" s="6" t="str">
        <f>VLOOKUP($A1328, 'Completion rates'!$A:$E, 2, FALSE)</f>
        <v>Opening elite caskets</v>
      </c>
      <c r="C1328" s="207">
        <v>12406.0</v>
      </c>
      <c r="D1328" s="6" t="str">
        <f>VLOOKUP($C1328, 'List of log slots'!$A:$E, 2, FALSE)</f>
        <v>Mort'ton teleport</v>
      </c>
      <c r="E1328" s="207">
        <f>VLOOKUP($C1328, 'List of log slots'!$A:$E, 5, FALSE)</f>
        <v>2</v>
      </c>
      <c r="F1328" s="213" t="b">
        <f>VLOOKUP(C1328, 'List of log slots'!$A:$C, 3, FALSE)</f>
        <v>0</v>
      </c>
      <c r="G1328" s="209" t="b">
        <f t="shared" si="937"/>
        <v>0</v>
      </c>
      <c r="H1328" s="209" t="b">
        <f t="shared" si="7"/>
        <v>1</v>
      </c>
      <c r="I1328" s="208" t="b">
        <f t="shared" ref="I1328:J1328" si="1073">FALSE</f>
        <v>0</v>
      </c>
      <c r="J1328" s="208" t="b">
        <f t="shared" si="1073"/>
        <v>0</v>
      </c>
      <c r="K1328" s="211">
        <v>41.0</v>
      </c>
      <c r="L1328" s="207" t="str">
        <f t="shared" si="3"/>
        <v>n/a</v>
      </c>
      <c r="M1328" s="212" t="str">
        <f t="shared" si="4"/>
        <v>n/a</v>
      </c>
      <c r="N1328" s="207" t="str">
        <f t="shared" si="5"/>
        <v>n/a</v>
      </c>
      <c r="O1328" s="207">
        <f t="shared" si="6"/>
        <v>0.0243902439</v>
      </c>
    </row>
    <row r="1329" ht="15.75" customHeight="1">
      <c r="A1329" s="207">
        <v>72.0</v>
      </c>
      <c r="B1329" s="6" t="str">
        <f>VLOOKUP($A1329, 'Completion rates'!$A:$E, 2, FALSE)</f>
        <v>Opening elite caskets</v>
      </c>
      <c r="C1329" s="212">
        <v>12404.0</v>
      </c>
      <c r="D1329" s="6" t="str">
        <f>VLOOKUP($C1329, 'List of log slots'!$A:$E, 2, FALSE)</f>
        <v>Feldip hills teleport</v>
      </c>
      <c r="E1329" s="207">
        <f>VLOOKUP($C1329, 'List of log slots'!$A:$E, 5, FALSE)</f>
        <v>2</v>
      </c>
      <c r="F1329" s="213" t="b">
        <f>VLOOKUP(C1329, 'List of log slots'!$A:$C, 3, FALSE)</f>
        <v>0</v>
      </c>
      <c r="G1329" s="209" t="b">
        <f t="shared" si="937"/>
        <v>0</v>
      </c>
      <c r="H1329" s="209" t="b">
        <f t="shared" si="7"/>
        <v>1</v>
      </c>
      <c r="I1329" s="209" t="b">
        <f t="shared" ref="I1329:J1329" si="1074">FALSE</f>
        <v>0</v>
      </c>
      <c r="J1329" s="208" t="b">
        <f t="shared" si="1074"/>
        <v>0</v>
      </c>
      <c r="K1329" s="214">
        <v>41.0</v>
      </c>
      <c r="L1329" s="207" t="str">
        <f t="shared" si="3"/>
        <v>n/a</v>
      </c>
      <c r="M1329" s="212" t="str">
        <f t="shared" si="4"/>
        <v>n/a</v>
      </c>
      <c r="N1329" s="207" t="str">
        <f t="shared" si="5"/>
        <v>n/a</v>
      </c>
      <c r="O1329" s="207">
        <f t="shared" si="6"/>
        <v>0.0243902439</v>
      </c>
    </row>
    <row r="1330" ht="15.75" customHeight="1">
      <c r="A1330" s="207">
        <v>72.0</v>
      </c>
      <c r="B1330" s="6" t="str">
        <f>VLOOKUP($A1330, 'Completion rates'!$A:$E, 2, FALSE)</f>
        <v>Opening elite caskets</v>
      </c>
      <c r="C1330" s="212">
        <v>12405.0</v>
      </c>
      <c r="D1330" s="6" t="str">
        <f>VLOOKUP($C1330, 'List of log slots'!$A:$E, 2, FALSE)</f>
        <v>Lunar isle teleport</v>
      </c>
      <c r="E1330" s="207">
        <f>VLOOKUP($C1330, 'List of log slots'!$A:$E, 5, FALSE)</f>
        <v>2</v>
      </c>
      <c r="F1330" s="213" t="b">
        <f>VLOOKUP(C1330, 'List of log slots'!$A:$C, 3, FALSE)</f>
        <v>0</v>
      </c>
      <c r="G1330" s="209" t="b">
        <f t="shared" si="937"/>
        <v>0</v>
      </c>
      <c r="H1330" s="209" t="b">
        <f t="shared" si="7"/>
        <v>1</v>
      </c>
      <c r="I1330" s="209" t="b">
        <f t="shared" ref="I1330:J1330" si="1075">FALSE</f>
        <v>0</v>
      </c>
      <c r="J1330" s="208" t="b">
        <f t="shared" si="1075"/>
        <v>0</v>
      </c>
      <c r="K1330" s="214">
        <v>41.0</v>
      </c>
      <c r="L1330" s="207" t="str">
        <f t="shared" si="3"/>
        <v>n/a</v>
      </c>
      <c r="M1330" s="212" t="str">
        <f t="shared" si="4"/>
        <v>n/a</v>
      </c>
      <c r="N1330" s="207" t="str">
        <f t="shared" si="5"/>
        <v>n/a</v>
      </c>
      <c r="O1330" s="207">
        <f t="shared" si="6"/>
        <v>0.0243902439</v>
      </c>
    </row>
    <row r="1331" ht="15.75" customHeight="1">
      <c r="A1331" s="207">
        <v>72.0</v>
      </c>
      <c r="B1331" s="6" t="str">
        <f>VLOOKUP($A1331, 'Completion rates'!$A:$E, 2, FALSE)</f>
        <v>Opening elite caskets</v>
      </c>
      <c r="C1331" s="212">
        <v>12403.0</v>
      </c>
      <c r="D1331" s="6" t="str">
        <f>VLOOKUP($C1331, 'List of log slots'!$A:$E, 2, FALSE)</f>
        <v>Digsite teleport</v>
      </c>
      <c r="E1331" s="207">
        <f>VLOOKUP($C1331, 'List of log slots'!$A:$E, 5, FALSE)</f>
        <v>2</v>
      </c>
      <c r="F1331" s="213" t="b">
        <f>VLOOKUP(C1331, 'List of log slots'!$A:$C, 3, FALSE)</f>
        <v>0</v>
      </c>
      <c r="G1331" s="209" t="b">
        <f t="shared" si="937"/>
        <v>0</v>
      </c>
      <c r="H1331" s="209" t="b">
        <f t="shared" si="7"/>
        <v>1</v>
      </c>
      <c r="I1331" s="208" t="b">
        <f t="shared" ref="I1331:J1331" si="1076">FALSE</f>
        <v>0</v>
      </c>
      <c r="J1331" s="208" t="b">
        <f t="shared" si="1076"/>
        <v>0</v>
      </c>
      <c r="K1331" s="214">
        <v>41.0</v>
      </c>
      <c r="L1331" s="207" t="str">
        <f t="shared" si="3"/>
        <v>n/a</v>
      </c>
      <c r="M1331" s="212" t="str">
        <f t="shared" si="4"/>
        <v>n/a</v>
      </c>
      <c r="N1331" s="207" t="str">
        <f t="shared" si="5"/>
        <v>n/a</v>
      </c>
      <c r="O1331" s="207">
        <f t="shared" si="6"/>
        <v>0.0243902439</v>
      </c>
    </row>
    <row r="1332" ht="15.75" customHeight="1">
      <c r="A1332" s="207">
        <v>72.0</v>
      </c>
      <c r="B1332" s="6" t="str">
        <f>VLOOKUP($A1332, 'Completion rates'!$A:$E, 2, FALSE)</f>
        <v>Opening elite caskets</v>
      </c>
      <c r="C1332" s="207">
        <v>12408.0</v>
      </c>
      <c r="D1332" s="6" t="str">
        <f>VLOOKUP($C1332, 'List of log slots'!$A:$E, 2, FALSE)</f>
        <v>Piscatoris teleport</v>
      </c>
      <c r="E1332" s="207">
        <f>VLOOKUP($C1332, 'List of log slots'!$A:$E, 5, FALSE)</f>
        <v>2</v>
      </c>
      <c r="F1332" s="213" t="b">
        <f>VLOOKUP(C1332, 'List of log slots'!$A:$C, 3, FALSE)</f>
        <v>0</v>
      </c>
      <c r="G1332" s="209" t="b">
        <f t="shared" si="937"/>
        <v>0</v>
      </c>
      <c r="H1332" s="209" t="b">
        <f t="shared" si="7"/>
        <v>1</v>
      </c>
      <c r="I1332" s="208" t="b">
        <f t="shared" ref="I1332:J1332" si="1077">FALSE</f>
        <v>0</v>
      </c>
      <c r="J1332" s="208" t="b">
        <f t="shared" si="1077"/>
        <v>0</v>
      </c>
      <c r="K1332" s="211">
        <v>41.0</v>
      </c>
      <c r="L1332" s="207" t="str">
        <f t="shared" si="3"/>
        <v>n/a</v>
      </c>
      <c r="M1332" s="212" t="str">
        <f t="shared" si="4"/>
        <v>n/a</v>
      </c>
      <c r="N1332" s="207" t="str">
        <f t="shared" si="5"/>
        <v>n/a</v>
      </c>
      <c r="O1332" s="207">
        <f t="shared" si="6"/>
        <v>0.0243902439</v>
      </c>
    </row>
    <row r="1333" ht="15.75" customHeight="1">
      <c r="A1333" s="207">
        <v>72.0</v>
      </c>
      <c r="B1333" s="6" t="str">
        <f>VLOOKUP($A1333, 'Completion rates'!$A:$E, 2, FALSE)</f>
        <v>Opening elite caskets</v>
      </c>
      <c r="C1333" s="207">
        <v>12407.0</v>
      </c>
      <c r="D1333" s="6" t="str">
        <f>VLOOKUP($C1333, 'List of log slots'!$A:$E, 2, FALSE)</f>
        <v>Pest control teleport</v>
      </c>
      <c r="E1333" s="207">
        <f>VLOOKUP($C1333, 'List of log slots'!$A:$E, 5, FALSE)</f>
        <v>2</v>
      </c>
      <c r="F1333" s="213" t="b">
        <f>VLOOKUP(C1333, 'List of log slots'!$A:$C, 3, FALSE)</f>
        <v>0</v>
      </c>
      <c r="G1333" s="209" t="b">
        <f t="shared" si="937"/>
        <v>0</v>
      </c>
      <c r="H1333" s="209" t="b">
        <f t="shared" si="7"/>
        <v>1</v>
      </c>
      <c r="I1333" s="208" t="b">
        <f t="shared" ref="I1333:J1333" si="1078">FALSE</f>
        <v>0</v>
      </c>
      <c r="J1333" s="208" t="b">
        <f t="shared" si="1078"/>
        <v>0</v>
      </c>
      <c r="K1333" s="211">
        <v>41.0</v>
      </c>
      <c r="L1333" s="207" t="str">
        <f t="shared" si="3"/>
        <v>n/a</v>
      </c>
      <c r="M1333" s="212" t="str">
        <f t="shared" si="4"/>
        <v>n/a</v>
      </c>
      <c r="N1333" s="207" t="str">
        <f t="shared" si="5"/>
        <v>n/a</v>
      </c>
      <c r="O1333" s="207">
        <f t="shared" si="6"/>
        <v>0.0243902439</v>
      </c>
    </row>
    <row r="1334" ht="15.75" customHeight="1">
      <c r="A1334" s="207">
        <v>72.0</v>
      </c>
      <c r="B1334" s="6" t="str">
        <f>VLOOKUP($A1334, 'Completion rates'!$A:$E, 2, FALSE)</f>
        <v>Opening elite caskets</v>
      </c>
      <c r="C1334" s="207">
        <v>12409.0</v>
      </c>
      <c r="D1334" s="6" t="str">
        <f>VLOOKUP($C1334, 'List of log slots'!$A:$E, 2, FALSE)</f>
        <v>Tai bwo wannai teleport</v>
      </c>
      <c r="E1334" s="207">
        <f>VLOOKUP($C1334, 'List of log slots'!$A:$E, 5, FALSE)</f>
        <v>2</v>
      </c>
      <c r="F1334" s="213" t="b">
        <f>VLOOKUP(C1334, 'List of log slots'!$A:$C, 3, FALSE)</f>
        <v>0</v>
      </c>
      <c r="G1334" s="209" t="b">
        <f t="shared" si="937"/>
        <v>0</v>
      </c>
      <c r="H1334" s="209" t="b">
        <f t="shared" si="7"/>
        <v>1</v>
      </c>
      <c r="I1334" s="208" t="b">
        <f t="shared" ref="I1334:J1334" si="1079">FALSE</f>
        <v>0</v>
      </c>
      <c r="J1334" s="208" t="b">
        <f t="shared" si="1079"/>
        <v>0</v>
      </c>
      <c r="K1334" s="211">
        <v>41.0</v>
      </c>
      <c r="L1334" s="207" t="str">
        <f t="shared" si="3"/>
        <v>n/a</v>
      </c>
      <c r="M1334" s="212" t="str">
        <f t="shared" si="4"/>
        <v>n/a</v>
      </c>
      <c r="N1334" s="207" t="str">
        <f t="shared" si="5"/>
        <v>n/a</v>
      </c>
      <c r="O1334" s="207">
        <f t="shared" si="6"/>
        <v>0.0243902439</v>
      </c>
    </row>
    <row r="1335" ht="15.75" customHeight="1">
      <c r="A1335" s="207">
        <v>72.0</v>
      </c>
      <c r="B1335" s="6" t="str">
        <f>VLOOKUP($A1335, 'Completion rates'!$A:$E, 2, FALSE)</f>
        <v>Opening elite caskets</v>
      </c>
      <c r="C1335" s="207">
        <v>12642.0</v>
      </c>
      <c r="D1335" s="6" t="str">
        <f>VLOOKUP($C1335, 'List of log slots'!$A:$E, 2, FALSE)</f>
        <v>Lumberyard teleport</v>
      </c>
      <c r="E1335" s="207">
        <f>VLOOKUP($C1335, 'List of log slots'!$A:$E, 5, FALSE)</f>
        <v>2</v>
      </c>
      <c r="F1335" s="213" t="b">
        <f>VLOOKUP(C1335, 'List of log slots'!$A:$C, 3, FALSE)</f>
        <v>0</v>
      </c>
      <c r="G1335" s="209" t="b">
        <f t="shared" si="937"/>
        <v>0</v>
      </c>
      <c r="H1335" s="209" t="b">
        <f t="shared" si="7"/>
        <v>1</v>
      </c>
      <c r="I1335" s="208" t="b">
        <f t="shared" ref="I1335:J1335" si="1080">FALSE</f>
        <v>0</v>
      </c>
      <c r="J1335" s="208" t="b">
        <f t="shared" si="1080"/>
        <v>0</v>
      </c>
      <c r="K1335" s="211">
        <v>41.0</v>
      </c>
      <c r="L1335" s="207" t="str">
        <f t="shared" si="3"/>
        <v>n/a</v>
      </c>
      <c r="M1335" s="212" t="str">
        <f t="shared" si="4"/>
        <v>n/a</v>
      </c>
      <c r="N1335" s="207" t="str">
        <f t="shared" si="5"/>
        <v>n/a</v>
      </c>
      <c r="O1335" s="207">
        <f t="shared" si="6"/>
        <v>0.0243902439</v>
      </c>
    </row>
    <row r="1336" ht="15.75" customHeight="1">
      <c r="A1336" s="207">
        <v>72.0</v>
      </c>
      <c r="B1336" s="6" t="str">
        <f>VLOOKUP($A1336, 'Completion rates'!$A:$E, 2, FALSE)</f>
        <v>Opening elite caskets</v>
      </c>
      <c r="C1336" s="207">
        <v>12410.0</v>
      </c>
      <c r="D1336" s="6" t="str">
        <f>VLOOKUP($C1336, 'List of log slots'!$A:$E, 2, FALSE)</f>
        <v>Iorwerth camp teleport</v>
      </c>
      <c r="E1336" s="207">
        <f>VLOOKUP($C1336, 'List of log slots'!$A:$E, 5, FALSE)</f>
        <v>2</v>
      </c>
      <c r="F1336" s="213" t="b">
        <f>VLOOKUP(C1336, 'List of log slots'!$A:$C, 3, FALSE)</f>
        <v>0</v>
      </c>
      <c r="G1336" s="209" t="b">
        <f t="shared" si="937"/>
        <v>0</v>
      </c>
      <c r="H1336" s="209" t="b">
        <f t="shared" si="7"/>
        <v>1</v>
      </c>
      <c r="I1336" s="208" t="b">
        <f t="shared" ref="I1336:J1336" si="1081">FALSE</f>
        <v>0</v>
      </c>
      <c r="J1336" s="208" t="b">
        <f t="shared" si="1081"/>
        <v>0</v>
      </c>
      <c r="K1336" s="211">
        <v>41.0</v>
      </c>
      <c r="L1336" s="207" t="str">
        <f t="shared" si="3"/>
        <v>n/a</v>
      </c>
      <c r="M1336" s="212" t="str">
        <f t="shared" si="4"/>
        <v>n/a</v>
      </c>
      <c r="N1336" s="207" t="str">
        <f t="shared" si="5"/>
        <v>n/a</v>
      </c>
      <c r="O1336" s="207">
        <f t="shared" si="6"/>
        <v>0.0243902439</v>
      </c>
    </row>
    <row r="1337" ht="15.75" customHeight="1">
      <c r="A1337" s="207">
        <v>72.0</v>
      </c>
      <c r="B1337" s="6" t="str">
        <f>VLOOKUP($A1337, 'Completion rates'!$A:$E, 2, FALSE)</f>
        <v>Opening elite caskets</v>
      </c>
      <c r="C1337" s="207">
        <v>21387.0</v>
      </c>
      <c r="D1337" s="6" t="str">
        <f>VLOOKUP($C1337, 'List of log slots'!$A:$E, 2, FALSE)</f>
        <v>Master scroll book (empty)</v>
      </c>
      <c r="E1337" s="207">
        <f>VLOOKUP($C1337, 'List of log slots'!$A:$E, 5, FALSE)</f>
        <v>2</v>
      </c>
      <c r="F1337" s="213" t="b">
        <f>VLOOKUP(C1337, 'List of log slots'!$A:$C, 3, FALSE)</f>
        <v>0</v>
      </c>
      <c r="G1337" s="209" t="b">
        <f t="shared" si="937"/>
        <v>0</v>
      </c>
      <c r="H1337" s="209" t="b">
        <f t="shared" si="7"/>
        <v>1</v>
      </c>
      <c r="I1337" s="208" t="b">
        <f t="shared" ref="I1337:J1337" si="1082">FALSE</f>
        <v>0</v>
      </c>
      <c r="J1337" s="208" t="b">
        <f t="shared" si="1082"/>
        <v>0</v>
      </c>
      <c r="K1337" s="211">
        <v>71.0</v>
      </c>
      <c r="L1337" s="207" t="str">
        <f t="shared" si="3"/>
        <v>n/a</v>
      </c>
      <c r="M1337" s="212" t="str">
        <f t="shared" si="4"/>
        <v>n/a</v>
      </c>
      <c r="N1337" s="207" t="str">
        <f t="shared" si="5"/>
        <v>n/a</v>
      </c>
      <c r="O1337" s="207">
        <f t="shared" si="6"/>
        <v>0.01408450704</v>
      </c>
    </row>
    <row r="1338" ht="15.75" customHeight="1">
      <c r="A1338" s="207">
        <v>72.0</v>
      </c>
      <c r="B1338" s="6" t="str">
        <f>VLOOKUP($A1338, 'Completion rates'!$A:$E, 2, FALSE)</f>
        <v>Opening elite caskets</v>
      </c>
      <c r="C1338" s="207">
        <v>7329.0</v>
      </c>
      <c r="D1338" s="6" t="str">
        <f>VLOOKUP($C1338, 'List of log slots'!$A:$E, 2, FALSE)</f>
        <v>Red firelighter</v>
      </c>
      <c r="E1338" s="207">
        <f>VLOOKUP($C1338, 'List of log slots'!$A:$E, 5, FALSE)</f>
        <v>2</v>
      </c>
      <c r="F1338" s="213" t="b">
        <f>VLOOKUP(C1338, 'List of log slots'!$A:$C, 3, FALSE)</f>
        <v>0</v>
      </c>
      <c r="G1338" s="209" t="b">
        <f t="shared" si="937"/>
        <v>0</v>
      </c>
      <c r="H1338" s="209" t="b">
        <f t="shared" si="7"/>
        <v>1</v>
      </c>
      <c r="I1338" s="208" t="b">
        <f t="shared" ref="I1338:J1338" si="1083">FALSE</f>
        <v>0</v>
      </c>
      <c r="J1338" s="208" t="b">
        <f t="shared" si="1083"/>
        <v>0</v>
      </c>
      <c r="K1338" s="211">
        <v>32.0</v>
      </c>
      <c r="L1338" s="207" t="str">
        <f t="shared" si="3"/>
        <v>n/a</v>
      </c>
      <c r="M1338" s="212" t="str">
        <f t="shared" si="4"/>
        <v>n/a</v>
      </c>
      <c r="N1338" s="207" t="str">
        <f t="shared" si="5"/>
        <v>n/a</v>
      </c>
      <c r="O1338" s="207">
        <f t="shared" si="6"/>
        <v>0.03125</v>
      </c>
    </row>
    <row r="1339" ht="15.75" customHeight="1">
      <c r="A1339" s="207">
        <v>72.0</v>
      </c>
      <c r="B1339" s="6" t="str">
        <f>VLOOKUP($A1339, 'Completion rates'!$A:$E, 2, FALSE)</f>
        <v>Opening elite caskets</v>
      </c>
      <c r="C1339" s="207">
        <v>7330.0</v>
      </c>
      <c r="D1339" s="6" t="str">
        <f>VLOOKUP($C1339, 'List of log slots'!$A:$E, 2, FALSE)</f>
        <v>Green firelighter</v>
      </c>
      <c r="E1339" s="207">
        <f>VLOOKUP($C1339, 'List of log slots'!$A:$E, 5, FALSE)</f>
        <v>2</v>
      </c>
      <c r="F1339" s="213" t="b">
        <f>VLOOKUP(C1339, 'List of log slots'!$A:$C, 3, FALSE)</f>
        <v>0</v>
      </c>
      <c r="G1339" s="209" t="b">
        <f t="shared" si="937"/>
        <v>0</v>
      </c>
      <c r="H1339" s="209" t="b">
        <f t="shared" si="7"/>
        <v>1</v>
      </c>
      <c r="I1339" s="208" t="b">
        <f t="shared" ref="I1339:J1339" si="1084">FALSE</f>
        <v>0</v>
      </c>
      <c r="J1339" s="208" t="b">
        <f t="shared" si="1084"/>
        <v>0</v>
      </c>
      <c r="K1339" s="211">
        <v>32.0</v>
      </c>
      <c r="L1339" s="207" t="str">
        <f t="shared" si="3"/>
        <v>n/a</v>
      </c>
      <c r="M1339" s="212" t="str">
        <f t="shared" si="4"/>
        <v>n/a</v>
      </c>
      <c r="N1339" s="207" t="str">
        <f t="shared" si="5"/>
        <v>n/a</v>
      </c>
      <c r="O1339" s="207">
        <f t="shared" si="6"/>
        <v>0.03125</v>
      </c>
    </row>
    <row r="1340" ht="15.75" customHeight="1">
      <c r="A1340" s="207">
        <v>72.0</v>
      </c>
      <c r="B1340" s="6" t="str">
        <f>VLOOKUP($A1340, 'Completion rates'!$A:$E, 2, FALSE)</f>
        <v>Opening elite caskets</v>
      </c>
      <c r="C1340" s="207">
        <v>7331.0</v>
      </c>
      <c r="D1340" s="6" t="str">
        <f>VLOOKUP($C1340, 'List of log slots'!$A:$E, 2, FALSE)</f>
        <v>Blue firelighter</v>
      </c>
      <c r="E1340" s="207">
        <f>VLOOKUP($C1340, 'List of log slots'!$A:$E, 5, FALSE)</f>
        <v>2</v>
      </c>
      <c r="F1340" s="213" t="b">
        <f>VLOOKUP(C1340, 'List of log slots'!$A:$C, 3, FALSE)</f>
        <v>0</v>
      </c>
      <c r="G1340" s="209" t="b">
        <f t="shared" si="937"/>
        <v>0</v>
      </c>
      <c r="H1340" s="209" t="b">
        <f t="shared" si="7"/>
        <v>1</v>
      </c>
      <c r="I1340" s="208" t="b">
        <f t="shared" ref="I1340:J1340" si="1085">FALSE</f>
        <v>0</v>
      </c>
      <c r="J1340" s="208" t="b">
        <f t="shared" si="1085"/>
        <v>0</v>
      </c>
      <c r="K1340" s="211">
        <v>32.0</v>
      </c>
      <c r="L1340" s="207" t="str">
        <f t="shared" si="3"/>
        <v>n/a</v>
      </c>
      <c r="M1340" s="212" t="str">
        <f t="shared" si="4"/>
        <v>n/a</v>
      </c>
      <c r="N1340" s="207" t="str">
        <f t="shared" si="5"/>
        <v>n/a</v>
      </c>
      <c r="O1340" s="207">
        <f t="shared" si="6"/>
        <v>0.03125</v>
      </c>
    </row>
    <row r="1341" ht="15.75" customHeight="1">
      <c r="A1341" s="207">
        <v>72.0</v>
      </c>
      <c r="B1341" s="6" t="str">
        <f>VLOOKUP($A1341, 'Completion rates'!$A:$E, 2, FALSE)</f>
        <v>Opening elite caskets</v>
      </c>
      <c r="C1341" s="207">
        <v>10326.0</v>
      </c>
      <c r="D1341" s="6" t="str">
        <f>VLOOKUP($C1341, 'List of log slots'!$A:$E, 2, FALSE)</f>
        <v>Purple firelighter</v>
      </c>
      <c r="E1341" s="207">
        <f>VLOOKUP($C1341, 'List of log slots'!$A:$E, 5, FALSE)</f>
        <v>2</v>
      </c>
      <c r="F1341" s="213" t="b">
        <f>VLOOKUP(C1341, 'List of log slots'!$A:$C, 3, FALSE)</f>
        <v>0</v>
      </c>
      <c r="G1341" s="209" t="b">
        <f t="shared" si="937"/>
        <v>0</v>
      </c>
      <c r="H1341" s="209" t="b">
        <f t="shared" si="7"/>
        <v>1</v>
      </c>
      <c r="I1341" s="208" t="b">
        <f t="shared" ref="I1341:J1341" si="1086">FALSE</f>
        <v>0</v>
      </c>
      <c r="J1341" s="208" t="b">
        <f t="shared" si="1086"/>
        <v>0</v>
      </c>
      <c r="K1341" s="211">
        <v>32.0</v>
      </c>
      <c r="L1341" s="207" t="str">
        <f t="shared" si="3"/>
        <v>n/a</v>
      </c>
      <c r="M1341" s="212" t="str">
        <f t="shared" si="4"/>
        <v>n/a</v>
      </c>
      <c r="N1341" s="207" t="str">
        <f t="shared" si="5"/>
        <v>n/a</v>
      </c>
      <c r="O1341" s="207">
        <f t="shared" si="6"/>
        <v>0.03125</v>
      </c>
    </row>
    <row r="1342" ht="15.75" customHeight="1">
      <c r="A1342" s="207">
        <v>72.0</v>
      </c>
      <c r="B1342" s="6" t="str">
        <f>VLOOKUP($A1342, 'Completion rates'!$A:$E, 2, FALSE)</f>
        <v>Opening elite caskets</v>
      </c>
      <c r="C1342" s="207">
        <v>10327.0</v>
      </c>
      <c r="D1342" s="6" t="str">
        <f>VLOOKUP($C1342, 'List of log slots'!$A:$E, 2, FALSE)</f>
        <v>White firelighter</v>
      </c>
      <c r="E1342" s="207">
        <f>VLOOKUP($C1342, 'List of log slots'!$A:$E, 5, FALSE)</f>
        <v>2</v>
      </c>
      <c r="F1342" s="213" t="b">
        <f>VLOOKUP(C1342, 'List of log slots'!$A:$C, 3, FALSE)</f>
        <v>0</v>
      </c>
      <c r="G1342" s="209" t="b">
        <f t="shared" si="937"/>
        <v>0</v>
      </c>
      <c r="H1342" s="209" t="b">
        <f t="shared" si="7"/>
        <v>1</v>
      </c>
      <c r="I1342" s="208" t="b">
        <f t="shared" ref="I1342:J1342" si="1087">FALSE</f>
        <v>0</v>
      </c>
      <c r="J1342" s="208" t="b">
        <f t="shared" si="1087"/>
        <v>0</v>
      </c>
      <c r="K1342" s="211">
        <v>32.0</v>
      </c>
      <c r="L1342" s="207" t="str">
        <f t="shared" si="3"/>
        <v>n/a</v>
      </c>
      <c r="M1342" s="212" t="str">
        <f t="shared" si="4"/>
        <v>n/a</v>
      </c>
      <c r="N1342" s="207" t="str">
        <f t="shared" si="5"/>
        <v>n/a</v>
      </c>
      <c r="O1342" s="207">
        <f t="shared" si="6"/>
        <v>0.03125</v>
      </c>
    </row>
    <row r="1343" ht="15.75" customHeight="1">
      <c r="A1343" s="207">
        <v>72.0</v>
      </c>
      <c r="B1343" s="6" t="str">
        <f>VLOOKUP($A1343, 'Completion rates'!$A:$E, 2, FALSE)</f>
        <v>Opening elite caskets</v>
      </c>
      <c r="C1343" s="207">
        <v>20238.0</v>
      </c>
      <c r="D1343" s="6" t="str">
        <f>VLOOKUP($C1343, 'List of log slots'!$A:$E, 2, FALSE)</f>
        <v>Charge dragonstone jewellery scroll</v>
      </c>
      <c r="E1343" s="207">
        <f>VLOOKUP($C1343, 'List of log slots'!$A:$E, 5, FALSE)</f>
        <v>2</v>
      </c>
      <c r="F1343" s="213" t="b">
        <f>VLOOKUP(C1343, 'List of log slots'!$A:$C, 3, FALSE)</f>
        <v>0</v>
      </c>
      <c r="G1343" s="209" t="b">
        <f t="shared" si="937"/>
        <v>0</v>
      </c>
      <c r="H1343" s="209" t="b">
        <f t="shared" si="7"/>
        <v>1</v>
      </c>
      <c r="I1343" s="208" t="b">
        <f t="shared" ref="I1343:J1343" si="1088">FALSE</f>
        <v>0</v>
      </c>
      <c r="J1343" s="208" t="b">
        <f t="shared" si="1088"/>
        <v>0</v>
      </c>
      <c r="K1343" s="211">
        <v>41.0</v>
      </c>
      <c r="L1343" s="207" t="str">
        <f t="shared" si="3"/>
        <v>n/a</v>
      </c>
      <c r="M1343" s="212" t="str">
        <f t="shared" si="4"/>
        <v>n/a</v>
      </c>
      <c r="N1343" s="207" t="str">
        <f t="shared" si="5"/>
        <v>n/a</v>
      </c>
      <c r="O1343" s="207">
        <f t="shared" si="6"/>
        <v>0.0243902439</v>
      </c>
    </row>
    <row r="1344" ht="15.75" customHeight="1">
      <c r="A1344" s="207">
        <v>72.0</v>
      </c>
      <c r="B1344" s="6" t="str">
        <f>VLOOKUP($A1344, 'Completion rates'!$A:$E, 2, FALSE)</f>
        <v>Opening elite caskets</v>
      </c>
      <c r="C1344" s="207">
        <v>10476.0</v>
      </c>
      <c r="D1344" s="6" t="str">
        <f>VLOOKUP($C1344, 'List of log slots'!$A:$E, 2, FALSE)</f>
        <v>Purple sweets</v>
      </c>
      <c r="E1344" s="207">
        <f>VLOOKUP($C1344, 'List of log slots'!$A:$E, 5, FALSE)</f>
        <v>2</v>
      </c>
      <c r="F1344" s="213" t="b">
        <f>VLOOKUP(C1344, 'List of log slots'!$A:$C, 3, FALSE)</f>
        <v>0</v>
      </c>
      <c r="G1344" s="209" t="b">
        <f t="shared" si="937"/>
        <v>0</v>
      </c>
      <c r="H1344" s="209" t="b">
        <f t="shared" si="7"/>
        <v>1</v>
      </c>
      <c r="I1344" s="208" t="b">
        <f t="shared" ref="I1344:J1344" si="1089">FALSE</f>
        <v>0</v>
      </c>
      <c r="J1344" s="208" t="b">
        <f t="shared" si="1089"/>
        <v>0</v>
      </c>
      <c r="K1344" s="211">
        <v>5.0</v>
      </c>
      <c r="L1344" s="207" t="str">
        <f t="shared" si="3"/>
        <v>n/a</v>
      </c>
      <c r="M1344" s="212" t="str">
        <f t="shared" si="4"/>
        <v>n/a</v>
      </c>
      <c r="N1344" s="207" t="str">
        <f t="shared" si="5"/>
        <v>n/a</v>
      </c>
      <c r="O1344" s="207">
        <f t="shared" si="6"/>
        <v>0.2</v>
      </c>
    </row>
    <row r="1345" ht="15.75" customHeight="1">
      <c r="A1345" s="207">
        <v>72.0</v>
      </c>
      <c r="B1345" s="6" t="str">
        <f>VLOOKUP($A1345, 'Completion rates'!$A:$E, 2, FALSE)</f>
        <v>Opening elite caskets</v>
      </c>
      <c r="C1345" s="207">
        <v>30918.0</v>
      </c>
      <c r="D1345" s="6" t="str">
        <f>VLOOKUP($C1345, 'List of log slots'!$A:$E, 2, FALSE)</f>
        <v>Minor elite scroll case</v>
      </c>
      <c r="E1345" s="207">
        <f>VLOOKUP($C1345, 'List of log slots'!$A:$E, 5, FALSE)</f>
        <v>5</v>
      </c>
      <c r="F1345" s="208" t="b">
        <f>VLOOKUP(C1345, 'List of log slots'!$A:$C, 3, FALSE)</f>
        <v>0</v>
      </c>
      <c r="G1345" s="209" t="b">
        <f t="shared" si="937"/>
        <v>0</v>
      </c>
      <c r="H1345" s="210" t="b">
        <f t="shared" si="7"/>
        <v>1</v>
      </c>
      <c r="I1345" s="213" t="b">
        <f t="shared" ref="I1345:I1346" si="1090">TRUE</f>
        <v>1</v>
      </c>
      <c r="J1345" s="208" t="b">
        <f t="shared" ref="J1345:J1346" si="1091">FALSE</f>
        <v>0</v>
      </c>
      <c r="K1345" s="211">
        <v>50.0</v>
      </c>
      <c r="L1345" s="207" t="str">
        <f t="shared" si="3"/>
        <v>n/a</v>
      </c>
      <c r="M1345" s="212">
        <f t="shared" si="4"/>
        <v>50</v>
      </c>
      <c r="N1345" s="207" t="str">
        <f t="shared" si="5"/>
        <v>n/a</v>
      </c>
      <c r="O1345" s="207" t="str">
        <f t="shared" si="6"/>
        <v>n/a</v>
      </c>
    </row>
    <row r="1346" ht="15.75" customHeight="1">
      <c r="A1346" s="207">
        <v>72.0</v>
      </c>
      <c r="B1346" s="6" t="str">
        <f>VLOOKUP($A1346, 'Completion rates'!$A:$E, 2, FALSE)</f>
        <v>Opening elite caskets</v>
      </c>
      <c r="C1346" s="207">
        <v>30920.0</v>
      </c>
      <c r="D1346" s="6" t="str">
        <f>VLOOKUP($C1346, 'List of log slots'!$A:$E, 2, FALSE)</f>
        <v>Major elite scroll case</v>
      </c>
      <c r="E1346" s="207">
        <f>VLOOKUP($C1346, 'List of log slots'!$A:$E, 5, FALSE)</f>
        <v>6</v>
      </c>
      <c r="F1346" s="208" t="b">
        <f>VLOOKUP(C1346, 'List of log slots'!$A:$C, 3, FALSE)</f>
        <v>0</v>
      </c>
      <c r="G1346" s="210" t="b">
        <f>TRUE</f>
        <v>1</v>
      </c>
      <c r="H1346" s="209" t="b">
        <f t="shared" si="7"/>
        <v>0</v>
      </c>
      <c r="I1346" s="213" t="b">
        <f t="shared" si="1090"/>
        <v>1</v>
      </c>
      <c r="J1346" s="208" t="b">
        <f t="shared" si="1091"/>
        <v>0</v>
      </c>
      <c r="K1346" s="211">
        <v>100.0</v>
      </c>
      <c r="L1346" s="207" t="str">
        <f t="shared" si="3"/>
        <v>n/a</v>
      </c>
      <c r="M1346" s="212">
        <f t="shared" si="4"/>
        <v>100</v>
      </c>
      <c r="N1346" s="207" t="str">
        <f t="shared" si="5"/>
        <v>n/a</v>
      </c>
      <c r="O1346" s="207" t="str">
        <f t="shared" si="6"/>
        <v>n/a</v>
      </c>
    </row>
    <row r="1347" ht="15.75" customHeight="1">
      <c r="A1347" s="207">
        <v>72.0</v>
      </c>
      <c r="B1347" s="6" t="str">
        <f>VLOOKUP($A1347, 'Completion rates'!$A:$E, 2, FALSE)</f>
        <v>Opening elite caskets</v>
      </c>
      <c r="C1347" s="207">
        <v>30926.0</v>
      </c>
      <c r="D1347" s="6" t="str">
        <f>VLOOKUP($C1347, 'List of log slots'!$A:$E, 2, FALSE)</f>
        <v>Mimic scroll case</v>
      </c>
      <c r="E1347" s="207">
        <f>VLOOKUP($C1347, 'List of log slots'!$A:$E, 5, FALSE)</f>
        <v>5</v>
      </c>
      <c r="F1347" s="213" t="b">
        <f>VLOOKUP(C1347, 'List of log slots'!$A:$C, 3, FALSE)</f>
        <v>0</v>
      </c>
      <c r="G1347" s="209" t="b">
        <f t="shared" ref="G1347:G1491" si="1093">FALSE</f>
        <v>0</v>
      </c>
      <c r="H1347" s="209" t="b">
        <f t="shared" si="7"/>
        <v>1</v>
      </c>
      <c r="I1347" s="208" t="b">
        <f t="shared" ref="I1347:J1347" si="1092">FALSE</f>
        <v>0</v>
      </c>
      <c r="J1347" s="208" t="b">
        <f t="shared" si="1092"/>
        <v>0</v>
      </c>
      <c r="K1347" s="211">
        <v>35.0</v>
      </c>
      <c r="L1347" s="207" t="str">
        <f t="shared" si="3"/>
        <v>n/a</v>
      </c>
      <c r="M1347" s="212" t="str">
        <f t="shared" si="4"/>
        <v>n/a</v>
      </c>
      <c r="N1347" s="207" t="str">
        <f t="shared" si="5"/>
        <v>n/a</v>
      </c>
      <c r="O1347" s="207">
        <f t="shared" si="6"/>
        <v>0.02857142857</v>
      </c>
    </row>
    <row r="1348" ht="15.75" customHeight="1">
      <c r="A1348" s="207">
        <v>73.0</v>
      </c>
      <c r="B1348" s="6" t="str">
        <f>VLOOKUP($A1348, 'Completion rates'!$A:$E, 2, FALSE)</f>
        <v>Opening master caskets</v>
      </c>
      <c r="C1348" s="207">
        <v>23185.0</v>
      </c>
      <c r="D1348" s="6" t="str">
        <f>VLOOKUP($C1348, 'List of log slots'!$A:$E, 2, FALSE)</f>
        <v>Ring of 3rd age</v>
      </c>
      <c r="E1348" s="207">
        <f>VLOOKUP($C1348, 'List of log slots'!$A:$E, 5, FALSE)</f>
        <v>7</v>
      </c>
      <c r="F1348" s="209" t="b">
        <f>VLOOKUP(C1348, 'List of log slots'!$A:$C, 3, FALSE)</f>
        <v>0</v>
      </c>
      <c r="G1348" s="209" t="b">
        <f t="shared" si="1093"/>
        <v>0</v>
      </c>
      <c r="H1348" s="210" t="b">
        <f t="shared" si="7"/>
        <v>1</v>
      </c>
      <c r="I1348" s="208" t="b">
        <f t="shared" ref="I1348:J1348" si="1094">FALSE</f>
        <v>0</v>
      </c>
      <c r="J1348" s="208" t="b">
        <f t="shared" si="1094"/>
        <v>0</v>
      </c>
      <c r="K1348" s="211">
        <v>600.0</v>
      </c>
      <c r="L1348" s="207" t="str">
        <f t="shared" si="3"/>
        <v>n/a</v>
      </c>
      <c r="M1348" s="212" t="str">
        <f t="shared" si="4"/>
        <v>n/a</v>
      </c>
      <c r="N1348" s="207" t="str">
        <f t="shared" si="5"/>
        <v>n/a</v>
      </c>
      <c r="O1348" s="207">
        <f t="shared" si="6"/>
        <v>0.001666666667</v>
      </c>
    </row>
    <row r="1349" ht="15.75" customHeight="1">
      <c r="A1349" s="207">
        <v>73.0</v>
      </c>
      <c r="B1349" s="6" t="str">
        <f>VLOOKUP($A1349, 'Completion rates'!$A:$E, 2, FALSE)</f>
        <v>Opening master caskets</v>
      </c>
      <c r="C1349" s="207">
        <v>19730.0</v>
      </c>
      <c r="D1349" s="6" t="str">
        <f>VLOOKUP($C1349, 'List of log slots'!$A:$E, 2, FALSE)</f>
        <v>Bloodhound</v>
      </c>
      <c r="E1349" s="207">
        <f>VLOOKUP($C1349, 'List of log slots'!$A:$E, 5, FALSE)</f>
        <v>8</v>
      </c>
      <c r="F1349" s="209" t="b">
        <f>VLOOKUP(C1349, 'List of log slots'!$A:$C, 3, FALSE)</f>
        <v>0</v>
      </c>
      <c r="G1349" s="209" t="b">
        <f t="shared" si="1093"/>
        <v>0</v>
      </c>
      <c r="H1349" s="210" t="b">
        <f t="shared" si="7"/>
        <v>1</v>
      </c>
      <c r="I1349" s="208" t="b">
        <f t="shared" ref="I1349:J1349" si="1095">FALSE</f>
        <v>0</v>
      </c>
      <c r="J1349" s="208" t="b">
        <f t="shared" si="1095"/>
        <v>0</v>
      </c>
      <c r="K1349" s="211">
        <v>1000.0</v>
      </c>
      <c r="L1349" s="207" t="str">
        <f t="shared" si="3"/>
        <v>n/a</v>
      </c>
      <c r="M1349" s="212" t="str">
        <f t="shared" si="4"/>
        <v>n/a</v>
      </c>
      <c r="N1349" s="207" t="str">
        <f t="shared" si="5"/>
        <v>n/a</v>
      </c>
      <c r="O1349" s="207">
        <f t="shared" si="6"/>
        <v>0.001</v>
      </c>
    </row>
    <row r="1350" ht="15.75" customHeight="1">
      <c r="A1350" s="207">
        <v>73.0</v>
      </c>
      <c r="B1350" s="6" t="str">
        <f>VLOOKUP($A1350, 'Completion rates'!$A:$E, 2, FALSE)</f>
        <v>Opening master caskets</v>
      </c>
      <c r="C1350" s="207">
        <v>20068.0</v>
      </c>
      <c r="D1350" s="6" t="str">
        <f>VLOOKUP($C1350, 'List of log slots'!$A:$E, 2, FALSE)</f>
        <v>Armadyl godsword ornament kit</v>
      </c>
      <c r="E1350" s="207">
        <f>VLOOKUP($C1350, 'List of log slots'!$A:$E, 5, FALSE)</f>
        <v>8</v>
      </c>
      <c r="F1350" s="209" t="b">
        <f>VLOOKUP(C1350, 'List of log slots'!$A:$C, 3, FALSE)</f>
        <v>0</v>
      </c>
      <c r="G1350" s="209" t="b">
        <f t="shared" si="1093"/>
        <v>0</v>
      </c>
      <c r="H1350" s="210" t="b">
        <f t="shared" si="7"/>
        <v>1</v>
      </c>
      <c r="I1350" s="208" t="b">
        <f t="shared" ref="I1350:J1350" si="1096">FALSE</f>
        <v>0</v>
      </c>
      <c r="J1350" s="208" t="b">
        <f t="shared" si="1096"/>
        <v>0</v>
      </c>
      <c r="K1350" s="211">
        <v>567.0</v>
      </c>
      <c r="L1350" s="207" t="str">
        <f t="shared" si="3"/>
        <v>n/a</v>
      </c>
      <c r="M1350" s="212" t="str">
        <f t="shared" si="4"/>
        <v>n/a</v>
      </c>
      <c r="N1350" s="207" t="str">
        <f t="shared" si="5"/>
        <v>n/a</v>
      </c>
      <c r="O1350" s="207">
        <f t="shared" si="6"/>
        <v>0.00176366843</v>
      </c>
    </row>
    <row r="1351" ht="15.75" customHeight="1">
      <c r="A1351" s="207">
        <v>73.0</v>
      </c>
      <c r="B1351" s="6" t="str">
        <f>VLOOKUP($A1351, 'Completion rates'!$A:$E, 2, FALSE)</f>
        <v>Opening master caskets</v>
      </c>
      <c r="C1351" s="207">
        <v>20071.0</v>
      </c>
      <c r="D1351" s="6" t="str">
        <f>VLOOKUP($C1351, 'List of log slots'!$A:$E, 2, FALSE)</f>
        <v>Bandos godsword ornament kit</v>
      </c>
      <c r="E1351" s="207">
        <f>VLOOKUP($C1351, 'List of log slots'!$A:$E, 5, FALSE)</f>
        <v>8</v>
      </c>
      <c r="F1351" s="209" t="b">
        <f>VLOOKUP(C1351, 'List of log slots'!$A:$C, 3, FALSE)</f>
        <v>0</v>
      </c>
      <c r="G1351" s="209" t="b">
        <f t="shared" si="1093"/>
        <v>0</v>
      </c>
      <c r="H1351" s="210" t="b">
        <f t="shared" si="7"/>
        <v>1</v>
      </c>
      <c r="I1351" s="208" t="b">
        <f t="shared" ref="I1351:J1351" si="1097">FALSE</f>
        <v>0</v>
      </c>
      <c r="J1351" s="208" t="b">
        <f t="shared" si="1097"/>
        <v>0</v>
      </c>
      <c r="K1351" s="211">
        <v>567.0</v>
      </c>
      <c r="L1351" s="207" t="str">
        <f t="shared" si="3"/>
        <v>n/a</v>
      </c>
      <c r="M1351" s="212" t="str">
        <f t="shared" si="4"/>
        <v>n/a</v>
      </c>
      <c r="N1351" s="207" t="str">
        <f t="shared" si="5"/>
        <v>n/a</v>
      </c>
      <c r="O1351" s="207">
        <f t="shared" si="6"/>
        <v>0.00176366843</v>
      </c>
    </row>
    <row r="1352" ht="15.75" customHeight="1">
      <c r="A1352" s="207">
        <v>73.0</v>
      </c>
      <c r="B1352" s="6" t="str">
        <f>VLOOKUP($A1352, 'Completion rates'!$A:$E, 2, FALSE)</f>
        <v>Opening master caskets</v>
      </c>
      <c r="C1352" s="207">
        <v>20074.0</v>
      </c>
      <c r="D1352" s="6" t="str">
        <f>VLOOKUP($C1352, 'List of log slots'!$A:$E, 2, FALSE)</f>
        <v>Saradomin godsword ornament kit</v>
      </c>
      <c r="E1352" s="207">
        <f>VLOOKUP($C1352, 'List of log slots'!$A:$E, 5, FALSE)</f>
        <v>8</v>
      </c>
      <c r="F1352" s="210" t="b">
        <f>VLOOKUP(C1352, 'List of log slots'!$A:$C, 3, FALSE)</f>
        <v>0</v>
      </c>
      <c r="G1352" s="209" t="b">
        <f t="shared" si="1093"/>
        <v>0</v>
      </c>
      <c r="H1352" s="209" t="b">
        <f t="shared" si="7"/>
        <v>1</v>
      </c>
      <c r="I1352" s="208" t="b">
        <f t="shared" ref="I1352:J1352" si="1098">FALSE</f>
        <v>0</v>
      </c>
      <c r="J1352" s="208" t="b">
        <f t="shared" si="1098"/>
        <v>0</v>
      </c>
      <c r="K1352" s="211">
        <v>567.0</v>
      </c>
      <c r="L1352" s="207" t="str">
        <f t="shared" si="3"/>
        <v>n/a</v>
      </c>
      <c r="M1352" s="212" t="str">
        <f t="shared" si="4"/>
        <v>n/a</v>
      </c>
      <c r="N1352" s="207" t="str">
        <f t="shared" si="5"/>
        <v>n/a</v>
      </c>
      <c r="O1352" s="207">
        <f t="shared" si="6"/>
        <v>0.00176366843</v>
      </c>
    </row>
    <row r="1353" ht="15.75" customHeight="1">
      <c r="A1353" s="207">
        <v>73.0</v>
      </c>
      <c r="B1353" s="6" t="str">
        <f>VLOOKUP($A1353, 'Completion rates'!$A:$E, 2, FALSE)</f>
        <v>Opening master caskets</v>
      </c>
      <c r="C1353" s="207">
        <v>20077.0</v>
      </c>
      <c r="D1353" s="6" t="str">
        <f>VLOOKUP($C1353, 'List of log slots'!$A:$E, 2, FALSE)</f>
        <v>Zamorak godsword ornament kit</v>
      </c>
      <c r="E1353" s="207">
        <f>VLOOKUP($C1353, 'List of log slots'!$A:$E, 5, FALSE)</f>
        <v>8</v>
      </c>
      <c r="F1353" s="209" t="b">
        <f>VLOOKUP(C1353, 'List of log slots'!$A:$C, 3, FALSE)</f>
        <v>0</v>
      </c>
      <c r="G1353" s="209" t="b">
        <f t="shared" si="1093"/>
        <v>0</v>
      </c>
      <c r="H1353" s="210" t="b">
        <f t="shared" si="7"/>
        <v>1</v>
      </c>
      <c r="I1353" s="208" t="b">
        <f t="shared" ref="I1353:J1353" si="1099">FALSE</f>
        <v>0</v>
      </c>
      <c r="J1353" s="208" t="b">
        <f t="shared" si="1099"/>
        <v>0</v>
      </c>
      <c r="K1353" s="211">
        <v>567.0</v>
      </c>
      <c r="L1353" s="207" t="str">
        <f t="shared" si="3"/>
        <v>n/a</v>
      </c>
      <c r="M1353" s="212" t="str">
        <f t="shared" si="4"/>
        <v>n/a</v>
      </c>
      <c r="N1353" s="207" t="str">
        <f t="shared" si="5"/>
        <v>n/a</v>
      </c>
      <c r="O1353" s="207">
        <f t="shared" si="6"/>
        <v>0.00176366843</v>
      </c>
    </row>
    <row r="1354" ht="15.75" customHeight="1">
      <c r="A1354" s="207">
        <v>73.0</v>
      </c>
      <c r="B1354" s="6" t="str">
        <f>VLOOKUP($A1354, 'Completion rates'!$A:$E, 2, FALSE)</f>
        <v>Opening master caskets</v>
      </c>
      <c r="C1354" s="207">
        <v>20065.0</v>
      </c>
      <c r="D1354" s="6" t="str">
        <f>VLOOKUP($C1354, 'List of log slots'!$A:$E, 2, FALSE)</f>
        <v>Occult ornament kit</v>
      </c>
      <c r="E1354" s="207">
        <f>VLOOKUP($C1354, 'List of log slots'!$A:$E, 5, FALSE)</f>
        <v>7</v>
      </c>
      <c r="F1354" s="209" t="b">
        <f>VLOOKUP(C1354, 'List of log slots'!$A:$C, 3, FALSE)</f>
        <v>0</v>
      </c>
      <c r="G1354" s="209" t="b">
        <f t="shared" si="1093"/>
        <v>0</v>
      </c>
      <c r="H1354" s="210" t="b">
        <f t="shared" si="7"/>
        <v>1</v>
      </c>
      <c r="I1354" s="208" t="b">
        <f t="shared" ref="I1354:J1354" si="1100">FALSE</f>
        <v>0</v>
      </c>
      <c r="J1354" s="208" t="b">
        <f t="shared" si="1100"/>
        <v>0</v>
      </c>
      <c r="K1354" s="211">
        <v>142.0</v>
      </c>
      <c r="L1354" s="207" t="str">
        <f t="shared" si="3"/>
        <v>n/a</v>
      </c>
      <c r="M1354" s="212" t="str">
        <f t="shared" si="4"/>
        <v>n/a</v>
      </c>
      <c r="N1354" s="207" t="str">
        <f t="shared" si="5"/>
        <v>n/a</v>
      </c>
      <c r="O1354" s="207">
        <f t="shared" si="6"/>
        <v>0.007042253521</v>
      </c>
    </row>
    <row r="1355" ht="15.75" customHeight="1">
      <c r="A1355" s="207">
        <v>73.0</v>
      </c>
      <c r="B1355" s="6" t="str">
        <f>VLOOKUP($A1355, 'Completion rates'!$A:$E, 2, FALSE)</f>
        <v>Opening master caskets</v>
      </c>
      <c r="C1355" s="207">
        <v>20062.0</v>
      </c>
      <c r="D1355" s="6" t="str">
        <f>VLOOKUP($C1355, 'List of log slots'!$A:$E, 2, FALSE)</f>
        <v>Torture ornament kit</v>
      </c>
      <c r="E1355" s="207">
        <f>VLOOKUP($C1355, 'List of log slots'!$A:$E, 5, FALSE)</f>
        <v>7</v>
      </c>
      <c r="F1355" s="210" t="b">
        <f>VLOOKUP(C1355, 'List of log slots'!$A:$C, 3, FALSE)</f>
        <v>0</v>
      </c>
      <c r="G1355" s="209" t="b">
        <f t="shared" si="1093"/>
        <v>0</v>
      </c>
      <c r="H1355" s="209" t="b">
        <f t="shared" si="7"/>
        <v>1</v>
      </c>
      <c r="I1355" s="208" t="b">
        <f t="shared" ref="I1355:J1355" si="1101">FALSE</f>
        <v>0</v>
      </c>
      <c r="J1355" s="208" t="b">
        <f t="shared" si="1101"/>
        <v>0</v>
      </c>
      <c r="K1355" s="211">
        <v>142.0</v>
      </c>
      <c r="L1355" s="207" t="str">
        <f t="shared" si="3"/>
        <v>n/a</v>
      </c>
      <c r="M1355" s="212" t="str">
        <f t="shared" si="4"/>
        <v>n/a</v>
      </c>
      <c r="N1355" s="207" t="str">
        <f t="shared" si="5"/>
        <v>n/a</v>
      </c>
      <c r="O1355" s="207">
        <f t="shared" si="6"/>
        <v>0.007042253521</v>
      </c>
    </row>
    <row r="1356" ht="15.75" customHeight="1">
      <c r="A1356" s="207">
        <v>73.0</v>
      </c>
      <c r="B1356" s="6" t="str">
        <f>VLOOKUP($A1356, 'Completion rates'!$A:$E, 2, FALSE)</f>
        <v>Opening master caskets</v>
      </c>
      <c r="C1356" s="207">
        <v>22246.0</v>
      </c>
      <c r="D1356" s="6" t="str">
        <f>VLOOKUP($C1356, 'List of log slots'!$A:$E, 2, FALSE)</f>
        <v>Anguish ornament kit</v>
      </c>
      <c r="E1356" s="207">
        <f>VLOOKUP($C1356, 'List of log slots'!$A:$E, 5, FALSE)</f>
        <v>7</v>
      </c>
      <c r="F1356" s="209" t="b">
        <f>VLOOKUP(C1356, 'List of log slots'!$A:$C, 3, FALSE)</f>
        <v>0</v>
      </c>
      <c r="G1356" s="209" t="b">
        <f t="shared" si="1093"/>
        <v>0</v>
      </c>
      <c r="H1356" s="210" t="b">
        <f t="shared" si="7"/>
        <v>1</v>
      </c>
      <c r="I1356" s="208" t="b">
        <f t="shared" ref="I1356:J1356" si="1102">FALSE</f>
        <v>0</v>
      </c>
      <c r="J1356" s="208" t="b">
        <f t="shared" si="1102"/>
        <v>0</v>
      </c>
      <c r="K1356" s="211">
        <v>142.0</v>
      </c>
      <c r="L1356" s="207" t="str">
        <f t="shared" si="3"/>
        <v>n/a</v>
      </c>
      <c r="M1356" s="212" t="str">
        <f t="shared" si="4"/>
        <v>n/a</v>
      </c>
      <c r="N1356" s="207" t="str">
        <f t="shared" si="5"/>
        <v>n/a</v>
      </c>
      <c r="O1356" s="207">
        <f t="shared" si="6"/>
        <v>0.007042253521</v>
      </c>
    </row>
    <row r="1357" ht="15.75" customHeight="1">
      <c r="A1357" s="207">
        <v>73.0</v>
      </c>
      <c r="B1357" s="6" t="str">
        <f>VLOOKUP($A1357, 'Completion rates'!$A:$E, 2, FALSE)</f>
        <v>Opening master caskets</v>
      </c>
      <c r="C1357" s="207">
        <v>20143.0</v>
      </c>
      <c r="D1357" s="6" t="str">
        <f>VLOOKUP($C1357, 'List of log slots'!$A:$E, 2, FALSE)</f>
        <v>Dragon defender ornament kit</v>
      </c>
      <c r="E1357" s="207">
        <f>VLOOKUP($C1357, 'List of log slots'!$A:$E, 5, FALSE)</f>
        <v>7</v>
      </c>
      <c r="F1357" s="210" t="b">
        <f>VLOOKUP(C1357, 'List of log slots'!$A:$C, 3, FALSE)</f>
        <v>0</v>
      </c>
      <c r="G1357" s="209" t="b">
        <f t="shared" si="1093"/>
        <v>0</v>
      </c>
      <c r="H1357" s="209" t="b">
        <f t="shared" si="7"/>
        <v>1</v>
      </c>
      <c r="I1357" s="208" t="b">
        <f t="shared" ref="I1357:J1357" si="1103">FALSE</f>
        <v>0</v>
      </c>
      <c r="J1357" s="208" t="b">
        <f t="shared" si="1103"/>
        <v>0</v>
      </c>
      <c r="K1357" s="211">
        <v>142.0</v>
      </c>
      <c r="L1357" s="207" t="str">
        <f t="shared" si="3"/>
        <v>n/a</v>
      </c>
      <c r="M1357" s="212" t="str">
        <f t="shared" si="4"/>
        <v>n/a</v>
      </c>
      <c r="N1357" s="207" t="str">
        <f t="shared" si="5"/>
        <v>n/a</v>
      </c>
      <c r="O1357" s="207">
        <f t="shared" si="6"/>
        <v>0.007042253521</v>
      </c>
    </row>
    <row r="1358" ht="15.75" customHeight="1">
      <c r="A1358" s="207">
        <v>73.0</v>
      </c>
      <c r="B1358" s="6" t="str">
        <f>VLOOKUP($A1358, 'Completion rates'!$A:$E, 2, FALSE)</f>
        <v>Opening master caskets</v>
      </c>
      <c r="C1358" s="207">
        <v>22239.0</v>
      </c>
      <c r="D1358" s="6" t="str">
        <f>VLOOKUP($C1358, 'List of log slots'!$A:$E, 2, FALSE)</f>
        <v>Dragon kiteshield ornament kit</v>
      </c>
      <c r="E1358" s="207">
        <f>VLOOKUP($C1358, 'List of log slots'!$A:$E, 5, FALSE)</f>
        <v>8</v>
      </c>
      <c r="F1358" s="209" t="b">
        <f>VLOOKUP(C1358, 'List of log slots'!$A:$C, 3, FALSE)</f>
        <v>0</v>
      </c>
      <c r="G1358" s="209" t="b">
        <f t="shared" si="1093"/>
        <v>0</v>
      </c>
      <c r="H1358" s="210" t="b">
        <f t="shared" si="7"/>
        <v>1</v>
      </c>
      <c r="I1358" s="208" t="b">
        <f t="shared" ref="I1358:J1358" si="1104">FALSE</f>
        <v>0</v>
      </c>
      <c r="J1358" s="208" t="b">
        <f t="shared" si="1104"/>
        <v>0</v>
      </c>
      <c r="K1358" s="211">
        <v>4255.0</v>
      </c>
      <c r="L1358" s="207" t="str">
        <f t="shared" si="3"/>
        <v>n/a</v>
      </c>
      <c r="M1358" s="212" t="str">
        <f t="shared" si="4"/>
        <v>n/a</v>
      </c>
      <c r="N1358" s="207" t="str">
        <f t="shared" si="5"/>
        <v>n/a</v>
      </c>
      <c r="O1358" s="207">
        <f t="shared" si="6"/>
        <v>0.0002350176263</v>
      </c>
    </row>
    <row r="1359" ht="15.75" customHeight="1">
      <c r="A1359" s="207">
        <v>73.0</v>
      </c>
      <c r="B1359" s="6" t="str">
        <f>VLOOKUP($A1359, 'Completion rates'!$A:$E, 2, FALSE)</f>
        <v>Opening master caskets</v>
      </c>
      <c r="C1359" s="207">
        <v>22236.0</v>
      </c>
      <c r="D1359" s="6" t="str">
        <f>VLOOKUP($C1359, 'List of log slots'!$A:$E, 2, FALSE)</f>
        <v>Dragon platebody ornament kit</v>
      </c>
      <c r="E1359" s="207">
        <f>VLOOKUP($C1359, 'List of log slots'!$A:$E, 5, FALSE)</f>
        <v>8</v>
      </c>
      <c r="F1359" s="209" t="b">
        <f>VLOOKUP(C1359, 'List of log slots'!$A:$C, 3, FALSE)</f>
        <v>0</v>
      </c>
      <c r="G1359" s="209" t="b">
        <f t="shared" si="1093"/>
        <v>0</v>
      </c>
      <c r="H1359" s="210" t="b">
        <f t="shared" si="7"/>
        <v>1</v>
      </c>
      <c r="I1359" s="208" t="b">
        <f t="shared" ref="I1359:J1359" si="1105">FALSE</f>
        <v>0</v>
      </c>
      <c r="J1359" s="208" t="b">
        <f t="shared" si="1105"/>
        <v>0</v>
      </c>
      <c r="K1359" s="211">
        <v>2128.0</v>
      </c>
      <c r="L1359" s="207" t="str">
        <f t="shared" si="3"/>
        <v>n/a</v>
      </c>
      <c r="M1359" s="212" t="str">
        <f t="shared" si="4"/>
        <v>n/a</v>
      </c>
      <c r="N1359" s="207" t="str">
        <f t="shared" si="5"/>
        <v>n/a</v>
      </c>
      <c r="O1359" s="207">
        <f t="shared" si="6"/>
        <v>0.000469924812</v>
      </c>
    </row>
    <row r="1360" ht="15.75" customHeight="1">
      <c r="A1360" s="207">
        <v>73.0</v>
      </c>
      <c r="B1360" s="6" t="str">
        <f>VLOOKUP($A1360, 'Completion rates'!$A:$E, 2, FALSE)</f>
        <v>Opening master caskets</v>
      </c>
      <c r="C1360" s="207">
        <v>23348.0</v>
      </c>
      <c r="D1360" s="6" t="str">
        <f>VLOOKUP($C1360, 'List of log slots'!$A:$E, 2, FALSE)</f>
        <v>Tormented ornament kit</v>
      </c>
      <c r="E1360" s="207">
        <f>VLOOKUP($C1360, 'List of log slots'!$A:$E, 5, FALSE)</f>
        <v>7</v>
      </c>
      <c r="F1360" s="209" t="b">
        <f>VLOOKUP(C1360, 'List of log slots'!$A:$C, 3, FALSE)</f>
        <v>0</v>
      </c>
      <c r="G1360" s="209" t="b">
        <f t="shared" si="1093"/>
        <v>0</v>
      </c>
      <c r="H1360" s="210" t="b">
        <f t="shared" si="7"/>
        <v>1</v>
      </c>
      <c r="I1360" s="208" t="b">
        <f t="shared" ref="I1360:J1360" si="1106">FALSE</f>
        <v>0</v>
      </c>
      <c r="J1360" s="208" t="b">
        <f t="shared" si="1106"/>
        <v>0</v>
      </c>
      <c r="K1360" s="211">
        <v>142.0</v>
      </c>
      <c r="L1360" s="207" t="str">
        <f t="shared" si="3"/>
        <v>n/a</v>
      </c>
      <c r="M1360" s="212" t="str">
        <f t="shared" si="4"/>
        <v>n/a</v>
      </c>
      <c r="N1360" s="207" t="str">
        <f t="shared" si="5"/>
        <v>n/a</v>
      </c>
      <c r="O1360" s="207">
        <f t="shared" si="6"/>
        <v>0.007042253521</v>
      </c>
    </row>
    <row r="1361" ht="15.75" customHeight="1">
      <c r="A1361" s="207">
        <v>73.0</v>
      </c>
      <c r="B1361" s="6" t="str">
        <f>VLOOKUP($A1361, 'Completion rates'!$A:$E, 2, FALSE)</f>
        <v>Opening master caskets</v>
      </c>
      <c r="C1361" s="207">
        <v>20128.0</v>
      </c>
      <c r="D1361" s="6" t="str">
        <f>VLOOKUP($C1361, 'List of log slots'!$A:$E, 2, FALSE)</f>
        <v>Hood of darkness</v>
      </c>
      <c r="E1361" s="207">
        <f>VLOOKUP($C1361, 'List of log slots'!$A:$E, 5, FALSE)</f>
        <v>7</v>
      </c>
      <c r="F1361" s="210" t="b">
        <f>VLOOKUP(C1361, 'List of log slots'!$A:$C, 3, FALSE)</f>
        <v>0</v>
      </c>
      <c r="G1361" s="209" t="b">
        <f t="shared" si="1093"/>
        <v>0</v>
      </c>
      <c r="H1361" s="209" t="b">
        <f t="shared" si="7"/>
        <v>1</v>
      </c>
      <c r="I1361" s="208" t="b">
        <f t="shared" ref="I1361:J1361" si="1107">FALSE</f>
        <v>0</v>
      </c>
      <c r="J1361" s="208" t="b">
        <f t="shared" si="1107"/>
        <v>0</v>
      </c>
      <c r="K1361" s="211">
        <v>142.0</v>
      </c>
      <c r="L1361" s="207" t="str">
        <f t="shared" si="3"/>
        <v>n/a</v>
      </c>
      <c r="M1361" s="212" t="str">
        <f t="shared" si="4"/>
        <v>n/a</v>
      </c>
      <c r="N1361" s="207" t="str">
        <f t="shared" si="5"/>
        <v>n/a</v>
      </c>
      <c r="O1361" s="207">
        <f t="shared" si="6"/>
        <v>0.007042253521</v>
      </c>
    </row>
    <row r="1362" ht="15.75" customHeight="1">
      <c r="A1362" s="207">
        <v>73.0</v>
      </c>
      <c r="B1362" s="6" t="str">
        <f>VLOOKUP($A1362, 'Completion rates'!$A:$E, 2, FALSE)</f>
        <v>Opening master caskets</v>
      </c>
      <c r="C1362" s="207">
        <v>20131.0</v>
      </c>
      <c r="D1362" s="6" t="str">
        <f>VLOOKUP($C1362, 'List of log slots'!$A:$E, 2, FALSE)</f>
        <v>Robe top of darkness</v>
      </c>
      <c r="E1362" s="207">
        <f>VLOOKUP($C1362, 'List of log slots'!$A:$E, 5, FALSE)</f>
        <v>7</v>
      </c>
      <c r="F1362" s="209" t="b">
        <f>VLOOKUP(C1362, 'List of log slots'!$A:$C, 3, FALSE)</f>
        <v>0</v>
      </c>
      <c r="G1362" s="209" t="b">
        <f t="shared" si="1093"/>
        <v>0</v>
      </c>
      <c r="H1362" s="210" t="b">
        <f t="shared" si="7"/>
        <v>1</v>
      </c>
      <c r="I1362" s="208" t="b">
        <f t="shared" ref="I1362:J1362" si="1108">FALSE</f>
        <v>0</v>
      </c>
      <c r="J1362" s="208" t="b">
        <f t="shared" si="1108"/>
        <v>0</v>
      </c>
      <c r="K1362" s="211">
        <v>142.0</v>
      </c>
      <c r="L1362" s="207" t="str">
        <f t="shared" si="3"/>
        <v>n/a</v>
      </c>
      <c r="M1362" s="212" t="str">
        <f t="shared" si="4"/>
        <v>n/a</v>
      </c>
      <c r="N1362" s="207" t="str">
        <f t="shared" si="5"/>
        <v>n/a</v>
      </c>
      <c r="O1362" s="207">
        <f t="shared" si="6"/>
        <v>0.007042253521</v>
      </c>
    </row>
    <row r="1363" ht="15.75" customHeight="1">
      <c r="A1363" s="207">
        <v>73.0</v>
      </c>
      <c r="B1363" s="6" t="str">
        <f>VLOOKUP($A1363, 'Completion rates'!$A:$E, 2, FALSE)</f>
        <v>Opening master caskets</v>
      </c>
      <c r="C1363" s="207">
        <v>20137.0</v>
      </c>
      <c r="D1363" s="6" t="str">
        <f>VLOOKUP($C1363, 'List of log slots'!$A:$E, 2, FALSE)</f>
        <v>Robe bottom of darkness</v>
      </c>
      <c r="E1363" s="207">
        <f>VLOOKUP($C1363, 'List of log slots'!$A:$E, 5, FALSE)</f>
        <v>7</v>
      </c>
      <c r="F1363" s="209" t="b">
        <f>VLOOKUP(C1363, 'List of log slots'!$A:$C, 3, FALSE)</f>
        <v>0</v>
      </c>
      <c r="G1363" s="209" t="b">
        <f t="shared" si="1093"/>
        <v>0</v>
      </c>
      <c r="H1363" s="210" t="b">
        <f t="shared" si="7"/>
        <v>1</v>
      </c>
      <c r="I1363" s="208" t="b">
        <f t="shared" ref="I1363:J1363" si="1109">FALSE</f>
        <v>0</v>
      </c>
      <c r="J1363" s="208" t="b">
        <f t="shared" si="1109"/>
        <v>0</v>
      </c>
      <c r="K1363" s="211">
        <v>142.0</v>
      </c>
      <c r="L1363" s="207" t="str">
        <f t="shared" si="3"/>
        <v>n/a</v>
      </c>
      <c r="M1363" s="212" t="str">
        <f t="shared" si="4"/>
        <v>n/a</v>
      </c>
      <c r="N1363" s="207" t="str">
        <f t="shared" si="5"/>
        <v>n/a</v>
      </c>
      <c r="O1363" s="207">
        <f t="shared" si="6"/>
        <v>0.007042253521</v>
      </c>
    </row>
    <row r="1364" ht="15.75" customHeight="1">
      <c r="A1364" s="207">
        <v>73.0</v>
      </c>
      <c r="B1364" s="6" t="str">
        <f>VLOOKUP($A1364, 'Completion rates'!$A:$E, 2, FALSE)</f>
        <v>Opening master caskets</v>
      </c>
      <c r="C1364" s="207">
        <v>20134.0</v>
      </c>
      <c r="D1364" s="6" t="str">
        <f>VLOOKUP($C1364, 'List of log slots'!$A:$E, 2, FALSE)</f>
        <v>Gloves of darkness</v>
      </c>
      <c r="E1364" s="207">
        <f>VLOOKUP($C1364, 'List of log slots'!$A:$E, 5, FALSE)</f>
        <v>7</v>
      </c>
      <c r="F1364" s="209" t="b">
        <f>VLOOKUP(C1364, 'List of log slots'!$A:$C, 3, FALSE)</f>
        <v>0</v>
      </c>
      <c r="G1364" s="209" t="b">
        <f t="shared" si="1093"/>
        <v>0</v>
      </c>
      <c r="H1364" s="210" t="b">
        <f t="shared" si="7"/>
        <v>1</v>
      </c>
      <c r="I1364" s="208" t="b">
        <f t="shared" ref="I1364:J1364" si="1110">FALSE</f>
        <v>0</v>
      </c>
      <c r="J1364" s="208" t="b">
        <f t="shared" si="1110"/>
        <v>0</v>
      </c>
      <c r="K1364" s="211">
        <v>142.0</v>
      </c>
      <c r="L1364" s="207" t="str">
        <f t="shared" si="3"/>
        <v>n/a</v>
      </c>
      <c r="M1364" s="212" t="str">
        <f t="shared" si="4"/>
        <v>n/a</v>
      </c>
      <c r="N1364" s="207" t="str">
        <f t="shared" si="5"/>
        <v>n/a</v>
      </c>
      <c r="O1364" s="207">
        <f t="shared" si="6"/>
        <v>0.007042253521</v>
      </c>
    </row>
    <row r="1365" ht="15.75" customHeight="1">
      <c r="A1365" s="207">
        <v>73.0</v>
      </c>
      <c r="B1365" s="6" t="str">
        <f>VLOOKUP($A1365, 'Completion rates'!$A:$E, 2, FALSE)</f>
        <v>Opening master caskets</v>
      </c>
      <c r="C1365" s="207">
        <v>20140.0</v>
      </c>
      <c r="D1365" s="6" t="str">
        <f>VLOOKUP($C1365, 'List of log slots'!$A:$E, 2, FALSE)</f>
        <v>Boots of darkness</v>
      </c>
      <c r="E1365" s="207">
        <f>VLOOKUP($C1365, 'List of log slots'!$A:$E, 5, FALSE)</f>
        <v>7</v>
      </c>
      <c r="F1365" s="209" t="b">
        <f>VLOOKUP(C1365, 'List of log slots'!$A:$C, 3, FALSE)</f>
        <v>0</v>
      </c>
      <c r="G1365" s="209" t="b">
        <f t="shared" si="1093"/>
        <v>0</v>
      </c>
      <c r="H1365" s="210" t="b">
        <f t="shared" si="7"/>
        <v>1</v>
      </c>
      <c r="I1365" s="208" t="b">
        <f t="shared" ref="I1365:J1365" si="1111">FALSE</f>
        <v>0</v>
      </c>
      <c r="J1365" s="208" t="b">
        <f t="shared" si="1111"/>
        <v>0</v>
      </c>
      <c r="K1365" s="211">
        <v>142.0</v>
      </c>
      <c r="L1365" s="207" t="str">
        <f t="shared" si="3"/>
        <v>n/a</v>
      </c>
      <c r="M1365" s="212" t="str">
        <f t="shared" si="4"/>
        <v>n/a</v>
      </c>
      <c r="N1365" s="207" t="str">
        <f t="shared" si="5"/>
        <v>n/a</v>
      </c>
      <c r="O1365" s="207">
        <f t="shared" si="6"/>
        <v>0.007042253521</v>
      </c>
    </row>
    <row r="1366" ht="15.75" customHeight="1">
      <c r="A1366" s="207">
        <v>73.0</v>
      </c>
      <c r="B1366" s="6" t="str">
        <f>VLOOKUP($A1366, 'Completion rates'!$A:$E, 2, FALSE)</f>
        <v>Opening master caskets</v>
      </c>
      <c r="C1366" s="207">
        <v>20035.0</v>
      </c>
      <c r="D1366" s="6" t="str">
        <f>VLOOKUP($C1366, 'List of log slots'!$A:$E, 2, FALSE)</f>
        <v>Samurai kasa</v>
      </c>
      <c r="E1366" s="207">
        <f>VLOOKUP($C1366, 'List of log slots'!$A:$E, 5, FALSE)</f>
        <v>7</v>
      </c>
      <c r="F1366" s="209" t="b">
        <f>VLOOKUP(C1366, 'List of log slots'!$A:$C, 3, FALSE)</f>
        <v>0</v>
      </c>
      <c r="G1366" s="209" t="b">
        <f t="shared" si="1093"/>
        <v>0</v>
      </c>
      <c r="H1366" s="210" t="b">
        <f t="shared" si="7"/>
        <v>1</v>
      </c>
      <c r="I1366" s="208" t="b">
        <f t="shared" ref="I1366:J1366" si="1112">FALSE</f>
        <v>0</v>
      </c>
      <c r="J1366" s="208" t="b">
        <f t="shared" si="1112"/>
        <v>0</v>
      </c>
      <c r="K1366" s="211">
        <v>142.0</v>
      </c>
      <c r="L1366" s="207" t="str">
        <f t="shared" si="3"/>
        <v>n/a</v>
      </c>
      <c r="M1366" s="212" t="str">
        <f t="shared" si="4"/>
        <v>n/a</v>
      </c>
      <c r="N1366" s="207" t="str">
        <f t="shared" si="5"/>
        <v>n/a</v>
      </c>
      <c r="O1366" s="207">
        <f t="shared" si="6"/>
        <v>0.007042253521</v>
      </c>
    </row>
    <row r="1367" ht="15.75" customHeight="1">
      <c r="A1367" s="207">
        <v>73.0</v>
      </c>
      <c r="B1367" s="6" t="str">
        <f>VLOOKUP($A1367, 'Completion rates'!$A:$E, 2, FALSE)</f>
        <v>Opening master caskets</v>
      </c>
      <c r="C1367" s="207">
        <v>20038.0</v>
      </c>
      <c r="D1367" s="6" t="str">
        <f>VLOOKUP($C1367, 'List of log slots'!$A:$E, 2, FALSE)</f>
        <v>Samurai shirt</v>
      </c>
      <c r="E1367" s="207">
        <f>VLOOKUP($C1367, 'List of log slots'!$A:$E, 5, FALSE)</f>
        <v>7</v>
      </c>
      <c r="F1367" s="209" t="b">
        <f>VLOOKUP(C1367, 'List of log slots'!$A:$C, 3, FALSE)</f>
        <v>0</v>
      </c>
      <c r="G1367" s="209" t="b">
        <f t="shared" si="1093"/>
        <v>0</v>
      </c>
      <c r="H1367" s="210" t="b">
        <f t="shared" si="7"/>
        <v>1</v>
      </c>
      <c r="I1367" s="208" t="b">
        <f t="shared" ref="I1367:J1367" si="1113">FALSE</f>
        <v>0</v>
      </c>
      <c r="J1367" s="208" t="b">
        <f t="shared" si="1113"/>
        <v>0</v>
      </c>
      <c r="K1367" s="211">
        <v>142.0</v>
      </c>
      <c r="L1367" s="207" t="str">
        <f t="shared" si="3"/>
        <v>n/a</v>
      </c>
      <c r="M1367" s="212" t="str">
        <f t="shared" si="4"/>
        <v>n/a</v>
      </c>
      <c r="N1367" s="207" t="str">
        <f t="shared" si="5"/>
        <v>n/a</v>
      </c>
      <c r="O1367" s="207">
        <f t="shared" si="6"/>
        <v>0.007042253521</v>
      </c>
    </row>
    <row r="1368" ht="15.75" customHeight="1">
      <c r="A1368" s="207">
        <v>73.0</v>
      </c>
      <c r="B1368" s="6" t="str">
        <f>VLOOKUP($A1368, 'Completion rates'!$A:$E, 2, FALSE)</f>
        <v>Opening master caskets</v>
      </c>
      <c r="C1368" s="207">
        <v>20044.0</v>
      </c>
      <c r="D1368" s="6" t="str">
        <f>VLOOKUP($C1368, 'List of log slots'!$A:$E, 2, FALSE)</f>
        <v>Samurai greaves</v>
      </c>
      <c r="E1368" s="207">
        <f>VLOOKUP($C1368, 'List of log slots'!$A:$E, 5, FALSE)</f>
        <v>7</v>
      </c>
      <c r="F1368" s="209" t="b">
        <f>VLOOKUP(C1368, 'List of log slots'!$A:$C, 3, FALSE)</f>
        <v>0</v>
      </c>
      <c r="G1368" s="209" t="b">
        <f t="shared" si="1093"/>
        <v>0</v>
      </c>
      <c r="H1368" s="210" t="b">
        <f t="shared" si="7"/>
        <v>1</v>
      </c>
      <c r="I1368" s="208" t="b">
        <f t="shared" ref="I1368:J1368" si="1114">FALSE</f>
        <v>0</v>
      </c>
      <c r="J1368" s="208" t="b">
        <f t="shared" si="1114"/>
        <v>0</v>
      </c>
      <c r="K1368" s="211">
        <v>142.0</v>
      </c>
      <c r="L1368" s="207" t="str">
        <f t="shared" si="3"/>
        <v>n/a</v>
      </c>
      <c r="M1368" s="212" t="str">
        <f t="shared" si="4"/>
        <v>n/a</v>
      </c>
      <c r="N1368" s="207" t="str">
        <f t="shared" si="5"/>
        <v>n/a</v>
      </c>
      <c r="O1368" s="207">
        <f t="shared" si="6"/>
        <v>0.007042253521</v>
      </c>
    </row>
    <row r="1369" ht="15.75" customHeight="1">
      <c r="A1369" s="207">
        <v>73.0</v>
      </c>
      <c r="B1369" s="6" t="str">
        <f>VLOOKUP($A1369, 'Completion rates'!$A:$E, 2, FALSE)</f>
        <v>Opening master caskets</v>
      </c>
      <c r="C1369" s="207">
        <v>20047.0</v>
      </c>
      <c r="D1369" s="6" t="str">
        <f>VLOOKUP($C1369, 'List of log slots'!$A:$E, 2, FALSE)</f>
        <v>Samurai boots</v>
      </c>
      <c r="E1369" s="207">
        <f>VLOOKUP($C1369, 'List of log slots'!$A:$E, 5, FALSE)</f>
        <v>7</v>
      </c>
      <c r="F1369" s="209" t="b">
        <f>VLOOKUP(C1369, 'List of log slots'!$A:$C, 3, FALSE)</f>
        <v>0</v>
      </c>
      <c r="G1369" s="209" t="b">
        <f t="shared" si="1093"/>
        <v>0</v>
      </c>
      <c r="H1369" s="210" t="b">
        <f t="shared" si="7"/>
        <v>1</v>
      </c>
      <c r="I1369" s="208" t="b">
        <f t="shared" ref="I1369:J1369" si="1115">FALSE</f>
        <v>0</v>
      </c>
      <c r="J1369" s="208" t="b">
        <f t="shared" si="1115"/>
        <v>0</v>
      </c>
      <c r="K1369" s="211">
        <v>142.0</v>
      </c>
      <c r="L1369" s="207" t="str">
        <f t="shared" si="3"/>
        <v>n/a</v>
      </c>
      <c r="M1369" s="212" t="str">
        <f t="shared" si="4"/>
        <v>n/a</v>
      </c>
      <c r="N1369" s="207" t="str">
        <f t="shared" si="5"/>
        <v>n/a</v>
      </c>
      <c r="O1369" s="207">
        <f t="shared" si="6"/>
        <v>0.007042253521</v>
      </c>
    </row>
    <row r="1370" ht="15.75" customHeight="1">
      <c r="A1370" s="207">
        <v>73.0</v>
      </c>
      <c r="B1370" s="6" t="str">
        <f>VLOOKUP($A1370, 'Completion rates'!$A:$E, 2, FALSE)</f>
        <v>Opening master caskets</v>
      </c>
      <c r="C1370" s="207">
        <v>20041.0</v>
      </c>
      <c r="D1370" s="6" t="str">
        <f>VLOOKUP($C1370, 'List of log slots'!$A:$E, 2, FALSE)</f>
        <v>Samurai gloves</v>
      </c>
      <c r="E1370" s="207">
        <f>VLOOKUP($C1370, 'List of log slots'!$A:$E, 5, FALSE)</f>
        <v>7</v>
      </c>
      <c r="F1370" s="209" t="b">
        <f>VLOOKUP(C1370, 'List of log slots'!$A:$C, 3, FALSE)</f>
        <v>0</v>
      </c>
      <c r="G1370" s="209" t="b">
        <f t="shared" si="1093"/>
        <v>0</v>
      </c>
      <c r="H1370" s="210" t="b">
        <f t="shared" si="7"/>
        <v>1</v>
      </c>
      <c r="I1370" s="208" t="b">
        <f t="shared" ref="I1370:J1370" si="1116">FALSE</f>
        <v>0</v>
      </c>
      <c r="J1370" s="208" t="b">
        <f t="shared" si="1116"/>
        <v>0</v>
      </c>
      <c r="K1370" s="211">
        <v>142.0</v>
      </c>
      <c r="L1370" s="207" t="str">
        <f t="shared" si="3"/>
        <v>n/a</v>
      </c>
      <c r="M1370" s="212" t="str">
        <f t="shared" si="4"/>
        <v>n/a</v>
      </c>
      <c r="N1370" s="207" t="str">
        <f t="shared" si="5"/>
        <v>n/a</v>
      </c>
      <c r="O1370" s="207">
        <f t="shared" si="6"/>
        <v>0.007042253521</v>
      </c>
    </row>
    <row r="1371" ht="15.75" customHeight="1">
      <c r="A1371" s="207">
        <v>73.0</v>
      </c>
      <c r="B1371" s="6" t="str">
        <f>VLOOKUP($A1371, 'Completion rates'!$A:$E, 2, FALSE)</f>
        <v>Opening master caskets</v>
      </c>
      <c r="C1371" s="207">
        <v>20095.0</v>
      </c>
      <c r="D1371" s="6" t="str">
        <f>VLOOKUP($C1371, 'List of log slots'!$A:$E, 2, FALSE)</f>
        <v>Ankou mask</v>
      </c>
      <c r="E1371" s="207">
        <f>VLOOKUP($C1371, 'List of log slots'!$A:$E, 5, FALSE)</f>
        <v>8</v>
      </c>
      <c r="F1371" s="209" t="b">
        <f>VLOOKUP(C1371, 'List of log slots'!$A:$C, 3, FALSE)</f>
        <v>0</v>
      </c>
      <c r="G1371" s="209" t="b">
        <f t="shared" si="1093"/>
        <v>0</v>
      </c>
      <c r="H1371" s="210" t="b">
        <f t="shared" si="7"/>
        <v>1</v>
      </c>
      <c r="I1371" s="208" t="b">
        <f t="shared" ref="I1371:J1371" si="1117">FALSE</f>
        <v>0</v>
      </c>
      <c r="J1371" s="208" t="b">
        <f t="shared" si="1117"/>
        <v>0</v>
      </c>
      <c r="K1371" s="211">
        <v>2128.0</v>
      </c>
      <c r="L1371" s="207" t="str">
        <f t="shared" si="3"/>
        <v>n/a</v>
      </c>
      <c r="M1371" s="212" t="str">
        <f t="shared" si="4"/>
        <v>n/a</v>
      </c>
      <c r="N1371" s="207" t="str">
        <f t="shared" si="5"/>
        <v>n/a</v>
      </c>
      <c r="O1371" s="207">
        <f t="shared" si="6"/>
        <v>0.000469924812</v>
      </c>
    </row>
    <row r="1372" ht="15.75" customHeight="1">
      <c r="A1372" s="207">
        <v>73.0</v>
      </c>
      <c r="B1372" s="6" t="str">
        <f>VLOOKUP($A1372, 'Completion rates'!$A:$E, 2, FALSE)</f>
        <v>Opening master caskets</v>
      </c>
      <c r="C1372" s="207">
        <v>20098.0</v>
      </c>
      <c r="D1372" s="6" t="str">
        <f>VLOOKUP($C1372, 'List of log slots'!$A:$E, 2, FALSE)</f>
        <v>Ankou top</v>
      </c>
      <c r="E1372" s="207">
        <f>VLOOKUP($C1372, 'List of log slots'!$A:$E, 5, FALSE)</f>
        <v>8</v>
      </c>
      <c r="F1372" s="209" t="b">
        <f>VLOOKUP(C1372, 'List of log slots'!$A:$C, 3, FALSE)</f>
        <v>0</v>
      </c>
      <c r="G1372" s="209" t="b">
        <f t="shared" si="1093"/>
        <v>0</v>
      </c>
      <c r="H1372" s="210" t="b">
        <f t="shared" si="7"/>
        <v>1</v>
      </c>
      <c r="I1372" s="208" t="b">
        <f t="shared" ref="I1372:J1372" si="1118">FALSE</f>
        <v>0</v>
      </c>
      <c r="J1372" s="208" t="b">
        <f t="shared" si="1118"/>
        <v>0</v>
      </c>
      <c r="K1372" s="211">
        <v>2128.0</v>
      </c>
      <c r="L1372" s="207" t="str">
        <f t="shared" si="3"/>
        <v>n/a</v>
      </c>
      <c r="M1372" s="212" t="str">
        <f t="shared" si="4"/>
        <v>n/a</v>
      </c>
      <c r="N1372" s="207" t="str">
        <f t="shared" si="5"/>
        <v>n/a</v>
      </c>
      <c r="O1372" s="207">
        <f t="shared" si="6"/>
        <v>0.000469924812</v>
      </c>
    </row>
    <row r="1373" ht="15.75" customHeight="1">
      <c r="A1373" s="207">
        <v>73.0</v>
      </c>
      <c r="B1373" s="6" t="str">
        <f>VLOOKUP($A1373, 'Completion rates'!$A:$E, 2, FALSE)</f>
        <v>Opening master caskets</v>
      </c>
      <c r="C1373" s="207">
        <v>20101.0</v>
      </c>
      <c r="D1373" s="6" t="str">
        <f>VLOOKUP($C1373, 'List of log slots'!$A:$E, 2, FALSE)</f>
        <v>Ankou gloves</v>
      </c>
      <c r="E1373" s="207">
        <f>VLOOKUP($C1373, 'List of log slots'!$A:$E, 5, FALSE)</f>
        <v>8</v>
      </c>
      <c r="F1373" s="209" t="b">
        <f>VLOOKUP(C1373, 'List of log slots'!$A:$C, 3, FALSE)</f>
        <v>0</v>
      </c>
      <c r="G1373" s="209" t="b">
        <f t="shared" si="1093"/>
        <v>0</v>
      </c>
      <c r="H1373" s="210" t="b">
        <f t="shared" si="7"/>
        <v>1</v>
      </c>
      <c r="I1373" s="208" t="b">
        <f t="shared" ref="I1373:J1373" si="1119">FALSE</f>
        <v>0</v>
      </c>
      <c r="J1373" s="208" t="b">
        <f t="shared" si="1119"/>
        <v>0</v>
      </c>
      <c r="K1373" s="211">
        <v>2128.0</v>
      </c>
      <c r="L1373" s="207" t="str">
        <f t="shared" si="3"/>
        <v>n/a</v>
      </c>
      <c r="M1373" s="212" t="str">
        <f t="shared" si="4"/>
        <v>n/a</v>
      </c>
      <c r="N1373" s="207" t="str">
        <f t="shared" si="5"/>
        <v>n/a</v>
      </c>
      <c r="O1373" s="207">
        <f t="shared" si="6"/>
        <v>0.000469924812</v>
      </c>
    </row>
    <row r="1374" ht="15.75" customHeight="1">
      <c r="A1374" s="207">
        <v>73.0</v>
      </c>
      <c r="B1374" s="6" t="str">
        <f>VLOOKUP($A1374, 'Completion rates'!$A:$E, 2, FALSE)</f>
        <v>Opening master caskets</v>
      </c>
      <c r="C1374" s="207">
        <v>20107.0</v>
      </c>
      <c r="D1374" s="6" t="str">
        <f>VLOOKUP($C1374, 'List of log slots'!$A:$E, 2, FALSE)</f>
        <v>Ankou socks</v>
      </c>
      <c r="E1374" s="207">
        <f>VLOOKUP($C1374, 'List of log slots'!$A:$E, 5, FALSE)</f>
        <v>8</v>
      </c>
      <c r="F1374" s="209" t="b">
        <f>VLOOKUP(C1374, 'List of log slots'!$A:$C, 3, FALSE)</f>
        <v>0</v>
      </c>
      <c r="G1374" s="209" t="b">
        <f t="shared" si="1093"/>
        <v>0</v>
      </c>
      <c r="H1374" s="210" t="b">
        <f t="shared" si="7"/>
        <v>1</v>
      </c>
      <c r="I1374" s="208" t="b">
        <f t="shared" ref="I1374:J1374" si="1120">FALSE</f>
        <v>0</v>
      </c>
      <c r="J1374" s="208" t="b">
        <f t="shared" si="1120"/>
        <v>0</v>
      </c>
      <c r="K1374" s="211">
        <v>2128.0</v>
      </c>
      <c r="L1374" s="207" t="str">
        <f t="shared" si="3"/>
        <v>n/a</v>
      </c>
      <c r="M1374" s="212" t="str">
        <f t="shared" si="4"/>
        <v>n/a</v>
      </c>
      <c r="N1374" s="207" t="str">
        <f t="shared" si="5"/>
        <v>n/a</v>
      </c>
      <c r="O1374" s="207">
        <f t="shared" si="6"/>
        <v>0.000469924812</v>
      </c>
    </row>
    <row r="1375" ht="15.75" customHeight="1">
      <c r="A1375" s="207">
        <v>73.0</v>
      </c>
      <c r="B1375" s="6" t="str">
        <f>VLOOKUP($A1375, 'Completion rates'!$A:$E, 2, FALSE)</f>
        <v>Opening master caskets</v>
      </c>
      <c r="C1375" s="207">
        <v>20104.0</v>
      </c>
      <c r="D1375" s="6" t="str">
        <f>VLOOKUP($C1375, 'List of log slots'!$A:$E, 2, FALSE)</f>
        <v>Ankou's leggings</v>
      </c>
      <c r="E1375" s="207">
        <f>VLOOKUP($C1375, 'List of log slots'!$A:$E, 5, FALSE)</f>
        <v>8</v>
      </c>
      <c r="F1375" s="209" t="b">
        <f>VLOOKUP(C1375, 'List of log slots'!$A:$C, 3, FALSE)</f>
        <v>0</v>
      </c>
      <c r="G1375" s="209" t="b">
        <f t="shared" si="1093"/>
        <v>0</v>
      </c>
      <c r="H1375" s="210" t="b">
        <f t="shared" si="7"/>
        <v>1</v>
      </c>
      <c r="I1375" s="208" t="b">
        <f t="shared" ref="I1375:J1375" si="1121">FALSE</f>
        <v>0</v>
      </c>
      <c r="J1375" s="208" t="b">
        <f t="shared" si="1121"/>
        <v>0</v>
      </c>
      <c r="K1375" s="211">
        <v>2128.0</v>
      </c>
      <c r="L1375" s="207" t="str">
        <f t="shared" si="3"/>
        <v>n/a</v>
      </c>
      <c r="M1375" s="212" t="str">
        <f t="shared" si="4"/>
        <v>n/a</v>
      </c>
      <c r="N1375" s="207" t="str">
        <f t="shared" si="5"/>
        <v>n/a</v>
      </c>
      <c r="O1375" s="207">
        <f t="shared" si="6"/>
        <v>0.000469924812</v>
      </c>
    </row>
    <row r="1376" ht="15.75" customHeight="1">
      <c r="A1376" s="207">
        <v>73.0</v>
      </c>
      <c r="B1376" s="6" t="str">
        <f>VLOOKUP($A1376, 'Completion rates'!$A:$E, 2, FALSE)</f>
        <v>Opening master caskets</v>
      </c>
      <c r="C1376" s="207">
        <v>20080.0</v>
      </c>
      <c r="D1376" s="6" t="str">
        <f>VLOOKUP($C1376, 'List of log slots'!$A:$E, 2, FALSE)</f>
        <v>Mummy's head</v>
      </c>
      <c r="E1376" s="207">
        <f>VLOOKUP($C1376, 'List of log slots'!$A:$E, 5, FALSE)</f>
        <v>8</v>
      </c>
      <c r="F1376" s="209" t="b">
        <f>VLOOKUP(C1376, 'List of log slots'!$A:$C, 3, FALSE)</f>
        <v>0</v>
      </c>
      <c r="G1376" s="209" t="b">
        <f t="shared" si="1093"/>
        <v>0</v>
      </c>
      <c r="H1376" s="210" t="b">
        <f t="shared" si="7"/>
        <v>1</v>
      </c>
      <c r="I1376" s="208" t="b">
        <f t="shared" ref="I1376:J1376" si="1122">FALSE</f>
        <v>0</v>
      </c>
      <c r="J1376" s="208" t="b">
        <f t="shared" si="1122"/>
        <v>0</v>
      </c>
      <c r="K1376" s="211">
        <v>2128.0</v>
      </c>
      <c r="L1376" s="207" t="str">
        <f t="shared" si="3"/>
        <v>n/a</v>
      </c>
      <c r="M1376" s="212" t="str">
        <f t="shared" si="4"/>
        <v>n/a</v>
      </c>
      <c r="N1376" s="207" t="str">
        <f t="shared" si="5"/>
        <v>n/a</v>
      </c>
      <c r="O1376" s="207">
        <f t="shared" si="6"/>
        <v>0.000469924812</v>
      </c>
    </row>
    <row r="1377" ht="15.75" customHeight="1">
      <c r="A1377" s="207">
        <v>73.0</v>
      </c>
      <c r="B1377" s="6" t="str">
        <f>VLOOKUP($A1377, 'Completion rates'!$A:$E, 2, FALSE)</f>
        <v>Opening master caskets</v>
      </c>
      <c r="C1377" s="207">
        <v>20092.0</v>
      </c>
      <c r="D1377" s="6" t="str">
        <f>VLOOKUP($C1377, 'List of log slots'!$A:$E, 2, FALSE)</f>
        <v>Mummy's feet</v>
      </c>
      <c r="E1377" s="207">
        <f>VLOOKUP($C1377, 'List of log slots'!$A:$E, 5, FALSE)</f>
        <v>8</v>
      </c>
      <c r="F1377" s="209" t="b">
        <f>VLOOKUP(C1377, 'List of log slots'!$A:$C, 3, FALSE)</f>
        <v>0</v>
      </c>
      <c r="G1377" s="209" t="b">
        <f t="shared" si="1093"/>
        <v>0</v>
      </c>
      <c r="H1377" s="210" t="b">
        <f t="shared" si="7"/>
        <v>1</v>
      </c>
      <c r="I1377" s="208" t="b">
        <f t="shared" ref="I1377:J1377" si="1123">FALSE</f>
        <v>0</v>
      </c>
      <c r="J1377" s="208" t="b">
        <f t="shared" si="1123"/>
        <v>0</v>
      </c>
      <c r="K1377" s="211">
        <v>2128.0</v>
      </c>
      <c r="L1377" s="207" t="str">
        <f t="shared" si="3"/>
        <v>n/a</v>
      </c>
      <c r="M1377" s="212" t="str">
        <f t="shared" si="4"/>
        <v>n/a</v>
      </c>
      <c r="N1377" s="207" t="str">
        <f t="shared" si="5"/>
        <v>n/a</v>
      </c>
      <c r="O1377" s="207">
        <f t="shared" si="6"/>
        <v>0.000469924812</v>
      </c>
    </row>
    <row r="1378" ht="15.75" customHeight="1">
      <c r="A1378" s="207">
        <v>73.0</v>
      </c>
      <c r="B1378" s="6" t="str">
        <f>VLOOKUP($A1378, 'Completion rates'!$A:$E, 2, FALSE)</f>
        <v>Opening master caskets</v>
      </c>
      <c r="C1378" s="207">
        <v>20086.0</v>
      </c>
      <c r="D1378" s="6" t="str">
        <f>VLOOKUP($C1378, 'List of log slots'!$A:$E, 2, FALSE)</f>
        <v>Mummy's hands</v>
      </c>
      <c r="E1378" s="207">
        <f>VLOOKUP($C1378, 'List of log slots'!$A:$E, 5, FALSE)</f>
        <v>8</v>
      </c>
      <c r="F1378" s="209" t="b">
        <f>VLOOKUP(C1378, 'List of log slots'!$A:$C, 3, FALSE)</f>
        <v>0</v>
      </c>
      <c r="G1378" s="209" t="b">
        <f t="shared" si="1093"/>
        <v>0</v>
      </c>
      <c r="H1378" s="210" t="b">
        <f t="shared" si="7"/>
        <v>1</v>
      </c>
      <c r="I1378" s="208" t="b">
        <f t="shared" ref="I1378:J1378" si="1124">FALSE</f>
        <v>0</v>
      </c>
      <c r="J1378" s="208" t="b">
        <f t="shared" si="1124"/>
        <v>0</v>
      </c>
      <c r="K1378" s="211">
        <v>2128.0</v>
      </c>
      <c r="L1378" s="207" t="str">
        <f t="shared" si="3"/>
        <v>n/a</v>
      </c>
      <c r="M1378" s="212" t="str">
        <f t="shared" si="4"/>
        <v>n/a</v>
      </c>
      <c r="N1378" s="207" t="str">
        <f t="shared" si="5"/>
        <v>n/a</v>
      </c>
      <c r="O1378" s="207">
        <f t="shared" si="6"/>
        <v>0.000469924812</v>
      </c>
    </row>
    <row r="1379" ht="15.75" customHeight="1">
      <c r="A1379" s="207">
        <v>73.0</v>
      </c>
      <c r="B1379" s="6" t="str">
        <f>VLOOKUP($A1379, 'Completion rates'!$A:$E, 2, FALSE)</f>
        <v>Opening master caskets</v>
      </c>
      <c r="C1379" s="207">
        <v>20089.0</v>
      </c>
      <c r="D1379" s="6" t="str">
        <f>VLOOKUP($C1379, 'List of log slots'!$A:$E, 2, FALSE)</f>
        <v>Mummy's legs</v>
      </c>
      <c r="E1379" s="207">
        <f>VLOOKUP($C1379, 'List of log slots'!$A:$E, 5, FALSE)</f>
        <v>8</v>
      </c>
      <c r="F1379" s="209" t="b">
        <f>VLOOKUP(C1379, 'List of log slots'!$A:$C, 3, FALSE)</f>
        <v>0</v>
      </c>
      <c r="G1379" s="209" t="b">
        <f t="shared" si="1093"/>
        <v>0</v>
      </c>
      <c r="H1379" s="210" t="b">
        <f t="shared" si="7"/>
        <v>1</v>
      </c>
      <c r="I1379" s="208" t="b">
        <f t="shared" ref="I1379:J1379" si="1125">FALSE</f>
        <v>0</v>
      </c>
      <c r="J1379" s="208" t="b">
        <f t="shared" si="1125"/>
        <v>0</v>
      </c>
      <c r="K1379" s="211">
        <v>2128.0</v>
      </c>
      <c r="L1379" s="207" t="str">
        <f t="shared" si="3"/>
        <v>n/a</v>
      </c>
      <c r="M1379" s="212" t="str">
        <f t="shared" si="4"/>
        <v>n/a</v>
      </c>
      <c r="N1379" s="207" t="str">
        <f t="shared" si="5"/>
        <v>n/a</v>
      </c>
      <c r="O1379" s="207">
        <f t="shared" si="6"/>
        <v>0.000469924812</v>
      </c>
    </row>
    <row r="1380" ht="15.75" customHeight="1">
      <c r="A1380" s="207">
        <v>73.0</v>
      </c>
      <c r="B1380" s="6" t="str">
        <f>VLOOKUP($A1380, 'Completion rates'!$A:$E, 2, FALSE)</f>
        <v>Opening master caskets</v>
      </c>
      <c r="C1380" s="207">
        <v>20083.0</v>
      </c>
      <c r="D1380" s="6" t="str">
        <f>VLOOKUP($C1380, 'List of log slots'!$A:$E, 2, FALSE)</f>
        <v>Mummy's body</v>
      </c>
      <c r="E1380" s="207">
        <f>VLOOKUP($C1380, 'List of log slots'!$A:$E, 5, FALSE)</f>
        <v>8</v>
      </c>
      <c r="F1380" s="209" t="b">
        <f>VLOOKUP(C1380, 'List of log slots'!$A:$C, 3, FALSE)</f>
        <v>0</v>
      </c>
      <c r="G1380" s="209" t="b">
        <f t="shared" si="1093"/>
        <v>0</v>
      </c>
      <c r="H1380" s="210" t="b">
        <f t="shared" si="7"/>
        <v>1</v>
      </c>
      <c r="I1380" s="208" t="b">
        <f t="shared" ref="I1380:J1380" si="1126">FALSE</f>
        <v>0</v>
      </c>
      <c r="J1380" s="208" t="b">
        <f t="shared" si="1126"/>
        <v>0</v>
      </c>
      <c r="K1380" s="211">
        <v>2128.0</v>
      </c>
      <c r="L1380" s="207" t="str">
        <f t="shared" si="3"/>
        <v>n/a</v>
      </c>
      <c r="M1380" s="212" t="str">
        <f t="shared" si="4"/>
        <v>n/a</v>
      </c>
      <c r="N1380" s="207" t="str">
        <f t="shared" si="5"/>
        <v>n/a</v>
      </c>
      <c r="O1380" s="207">
        <f t="shared" si="6"/>
        <v>0.000469924812</v>
      </c>
    </row>
    <row r="1381" ht="15.75" customHeight="1">
      <c r="A1381" s="207">
        <v>73.0</v>
      </c>
      <c r="B1381" s="6" t="str">
        <f>VLOOKUP($A1381, 'Completion rates'!$A:$E, 2, FALSE)</f>
        <v>Opening master caskets</v>
      </c>
      <c r="C1381" s="207">
        <v>20125.0</v>
      </c>
      <c r="D1381" s="6" t="str">
        <f>VLOOKUP($C1381, 'List of log slots'!$A:$E, 2, FALSE)</f>
        <v>Shayzien hood</v>
      </c>
      <c r="E1381" s="207">
        <f>VLOOKUP($C1381, 'List of log slots'!$A:$E, 5, FALSE)</f>
        <v>7</v>
      </c>
      <c r="F1381" s="209" t="b">
        <f>VLOOKUP(C1381, 'List of log slots'!$A:$C, 3, FALSE)</f>
        <v>0</v>
      </c>
      <c r="G1381" s="209" t="b">
        <f t="shared" si="1093"/>
        <v>0</v>
      </c>
      <c r="H1381" s="210" t="b">
        <f t="shared" si="7"/>
        <v>1</v>
      </c>
      <c r="I1381" s="208" t="b">
        <f t="shared" ref="I1381:J1381" si="1127">FALSE</f>
        <v>0</v>
      </c>
      <c r="J1381" s="208" t="b">
        <f t="shared" si="1127"/>
        <v>0</v>
      </c>
      <c r="K1381" s="211">
        <v>142.0</v>
      </c>
      <c r="L1381" s="207" t="str">
        <f t="shared" si="3"/>
        <v>n/a</v>
      </c>
      <c r="M1381" s="212" t="str">
        <f t="shared" si="4"/>
        <v>n/a</v>
      </c>
      <c r="N1381" s="207" t="str">
        <f t="shared" si="5"/>
        <v>n/a</v>
      </c>
      <c r="O1381" s="207">
        <f t="shared" si="6"/>
        <v>0.007042253521</v>
      </c>
    </row>
    <row r="1382" ht="15.75" customHeight="1">
      <c r="A1382" s="207">
        <v>73.0</v>
      </c>
      <c r="B1382" s="6" t="str">
        <f>VLOOKUP($A1382, 'Completion rates'!$A:$E, 2, FALSE)</f>
        <v>Opening master caskets</v>
      </c>
      <c r="C1382" s="207">
        <v>20116.0</v>
      </c>
      <c r="D1382" s="6" t="str">
        <f>VLOOKUP($C1382, 'List of log slots'!$A:$E, 2, FALSE)</f>
        <v>Hosidius hood</v>
      </c>
      <c r="E1382" s="207">
        <f>VLOOKUP($C1382, 'List of log slots'!$A:$E, 5, FALSE)</f>
        <v>7</v>
      </c>
      <c r="F1382" s="209" t="b">
        <f>VLOOKUP(C1382, 'List of log slots'!$A:$C, 3, FALSE)</f>
        <v>0</v>
      </c>
      <c r="G1382" s="209" t="b">
        <f t="shared" si="1093"/>
        <v>0</v>
      </c>
      <c r="H1382" s="210" t="b">
        <f t="shared" si="7"/>
        <v>1</v>
      </c>
      <c r="I1382" s="208" t="b">
        <f t="shared" ref="I1382:J1382" si="1128">FALSE</f>
        <v>0</v>
      </c>
      <c r="J1382" s="208" t="b">
        <f t="shared" si="1128"/>
        <v>0</v>
      </c>
      <c r="K1382" s="211">
        <v>142.0</v>
      </c>
      <c r="L1382" s="207" t="str">
        <f t="shared" si="3"/>
        <v>n/a</v>
      </c>
      <c r="M1382" s="212" t="str">
        <f t="shared" si="4"/>
        <v>n/a</v>
      </c>
      <c r="N1382" s="207" t="str">
        <f t="shared" si="5"/>
        <v>n/a</v>
      </c>
      <c r="O1382" s="207">
        <f t="shared" si="6"/>
        <v>0.007042253521</v>
      </c>
    </row>
    <row r="1383" ht="15.75" customHeight="1">
      <c r="A1383" s="207">
        <v>73.0</v>
      </c>
      <c r="B1383" s="6" t="str">
        <f>VLOOKUP($A1383, 'Completion rates'!$A:$E, 2, FALSE)</f>
        <v>Opening master caskets</v>
      </c>
      <c r="C1383" s="207">
        <v>20113.0</v>
      </c>
      <c r="D1383" s="6" t="str">
        <f>VLOOKUP($C1383, 'List of log slots'!$A:$E, 2, FALSE)</f>
        <v>Arceuus hood</v>
      </c>
      <c r="E1383" s="207">
        <f>VLOOKUP($C1383, 'List of log slots'!$A:$E, 5, FALSE)</f>
        <v>7</v>
      </c>
      <c r="F1383" s="209" t="b">
        <f>VLOOKUP(C1383, 'List of log slots'!$A:$C, 3, FALSE)</f>
        <v>0</v>
      </c>
      <c r="G1383" s="209" t="b">
        <f t="shared" si="1093"/>
        <v>0</v>
      </c>
      <c r="H1383" s="210" t="b">
        <f t="shared" si="7"/>
        <v>1</v>
      </c>
      <c r="I1383" s="208" t="b">
        <f t="shared" ref="I1383:J1383" si="1129">FALSE</f>
        <v>0</v>
      </c>
      <c r="J1383" s="208" t="b">
        <f t="shared" si="1129"/>
        <v>0</v>
      </c>
      <c r="K1383" s="211">
        <v>142.0</v>
      </c>
      <c r="L1383" s="207" t="str">
        <f t="shared" si="3"/>
        <v>n/a</v>
      </c>
      <c r="M1383" s="212" t="str">
        <f t="shared" si="4"/>
        <v>n/a</v>
      </c>
      <c r="N1383" s="207" t="str">
        <f t="shared" si="5"/>
        <v>n/a</v>
      </c>
      <c r="O1383" s="207">
        <f t="shared" si="6"/>
        <v>0.007042253521</v>
      </c>
    </row>
    <row r="1384" ht="15.75" customHeight="1">
      <c r="A1384" s="207">
        <v>73.0</v>
      </c>
      <c r="B1384" s="6" t="str">
        <f>VLOOKUP($A1384, 'Completion rates'!$A:$E, 2, FALSE)</f>
        <v>Opening master caskets</v>
      </c>
      <c r="C1384" s="207">
        <v>20122.0</v>
      </c>
      <c r="D1384" s="6" t="str">
        <f>VLOOKUP($C1384, 'List of log slots'!$A:$E, 2, FALSE)</f>
        <v>Piscarilius hood</v>
      </c>
      <c r="E1384" s="207">
        <f>VLOOKUP($C1384, 'List of log slots'!$A:$E, 5, FALSE)</f>
        <v>7</v>
      </c>
      <c r="F1384" s="210" t="b">
        <f>VLOOKUP(C1384, 'List of log slots'!$A:$C, 3, FALSE)</f>
        <v>0</v>
      </c>
      <c r="G1384" s="209" t="b">
        <f t="shared" si="1093"/>
        <v>0</v>
      </c>
      <c r="H1384" s="209" t="b">
        <f t="shared" si="7"/>
        <v>1</v>
      </c>
      <c r="I1384" s="208" t="b">
        <f t="shared" ref="I1384:J1384" si="1130">FALSE</f>
        <v>0</v>
      </c>
      <c r="J1384" s="208" t="b">
        <f t="shared" si="1130"/>
        <v>0</v>
      </c>
      <c r="K1384" s="211">
        <v>142.0</v>
      </c>
      <c r="L1384" s="207" t="str">
        <f t="shared" si="3"/>
        <v>n/a</v>
      </c>
      <c r="M1384" s="212" t="str">
        <f t="shared" si="4"/>
        <v>n/a</v>
      </c>
      <c r="N1384" s="207" t="str">
        <f t="shared" si="5"/>
        <v>n/a</v>
      </c>
      <c r="O1384" s="207">
        <f t="shared" si="6"/>
        <v>0.007042253521</v>
      </c>
    </row>
    <row r="1385" ht="15.75" customHeight="1">
      <c r="A1385" s="207">
        <v>73.0</v>
      </c>
      <c r="B1385" s="6" t="str">
        <f>VLOOKUP($A1385, 'Completion rates'!$A:$E, 2, FALSE)</f>
        <v>Opening master caskets</v>
      </c>
      <c r="C1385" s="207">
        <v>20119.0</v>
      </c>
      <c r="D1385" s="6" t="str">
        <f>VLOOKUP($C1385, 'List of log slots'!$A:$E, 2, FALSE)</f>
        <v>Lovakengj hood</v>
      </c>
      <c r="E1385" s="207">
        <f>VLOOKUP($C1385, 'List of log slots'!$A:$E, 5, FALSE)</f>
        <v>7</v>
      </c>
      <c r="F1385" s="209" t="b">
        <f>VLOOKUP(C1385, 'List of log slots'!$A:$C, 3, FALSE)</f>
        <v>0</v>
      </c>
      <c r="G1385" s="209" t="b">
        <f t="shared" si="1093"/>
        <v>0</v>
      </c>
      <c r="H1385" s="210" t="b">
        <f t="shared" si="7"/>
        <v>1</v>
      </c>
      <c r="I1385" s="208" t="b">
        <f t="shared" ref="I1385:J1385" si="1131">FALSE</f>
        <v>0</v>
      </c>
      <c r="J1385" s="208" t="b">
        <f t="shared" si="1131"/>
        <v>0</v>
      </c>
      <c r="K1385" s="211">
        <v>142.0</v>
      </c>
      <c r="L1385" s="207" t="str">
        <f t="shared" si="3"/>
        <v>n/a</v>
      </c>
      <c r="M1385" s="212" t="str">
        <f t="shared" si="4"/>
        <v>n/a</v>
      </c>
      <c r="N1385" s="207" t="str">
        <f t="shared" si="5"/>
        <v>n/a</v>
      </c>
      <c r="O1385" s="207">
        <f t="shared" si="6"/>
        <v>0.007042253521</v>
      </c>
    </row>
    <row r="1386" ht="15.75" customHeight="1">
      <c r="A1386" s="207">
        <v>73.0</v>
      </c>
      <c r="B1386" s="6" t="str">
        <f>VLOOKUP($A1386, 'Completion rates'!$A:$E, 2, FALSE)</f>
        <v>Opening master caskets</v>
      </c>
      <c r="C1386" s="207">
        <v>20020.0</v>
      </c>
      <c r="D1386" s="6" t="str">
        <f>VLOOKUP($C1386, 'List of log slots'!$A:$E, 2, FALSE)</f>
        <v>Lesser demon mask</v>
      </c>
      <c r="E1386" s="207">
        <f>VLOOKUP($C1386, 'List of log slots'!$A:$E, 5, FALSE)</f>
        <v>7</v>
      </c>
      <c r="F1386" s="209" t="b">
        <f>VLOOKUP(C1386, 'List of log slots'!$A:$C, 3, FALSE)</f>
        <v>0</v>
      </c>
      <c r="G1386" s="209" t="b">
        <f t="shared" si="1093"/>
        <v>0</v>
      </c>
      <c r="H1386" s="210" t="b">
        <f t="shared" si="7"/>
        <v>1</v>
      </c>
      <c r="I1386" s="208" t="b">
        <f t="shared" ref="I1386:J1386" si="1132">FALSE</f>
        <v>0</v>
      </c>
      <c r="J1386" s="208" t="b">
        <f t="shared" si="1132"/>
        <v>0</v>
      </c>
      <c r="K1386" s="211">
        <v>142.0</v>
      </c>
      <c r="L1386" s="207" t="str">
        <f t="shared" si="3"/>
        <v>n/a</v>
      </c>
      <c r="M1386" s="212" t="str">
        <f t="shared" si="4"/>
        <v>n/a</v>
      </c>
      <c r="N1386" s="207" t="str">
        <f t="shared" si="5"/>
        <v>n/a</v>
      </c>
      <c r="O1386" s="207">
        <f t="shared" si="6"/>
        <v>0.007042253521</v>
      </c>
    </row>
    <row r="1387" ht="15.75" customHeight="1">
      <c r="A1387" s="207">
        <v>73.0</v>
      </c>
      <c r="B1387" s="6" t="str">
        <f>VLOOKUP($A1387, 'Completion rates'!$A:$E, 2, FALSE)</f>
        <v>Opening master caskets</v>
      </c>
      <c r="C1387" s="207">
        <v>20023.0</v>
      </c>
      <c r="D1387" s="6" t="str">
        <f>VLOOKUP($C1387, 'List of log slots'!$A:$E, 2, FALSE)</f>
        <v>Greater demon mask</v>
      </c>
      <c r="E1387" s="207">
        <f>VLOOKUP($C1387, 'List of log slots'!$A:$E, 5, FALSE)</f>
        <v>7</v>
      </c>
      <c r="F1387" s="210" t="b">
        <f>VLOOKUP(C1387, 'List of log slots'!$A:$C, 3, FALSE)</f>
        <v>0</v>
      </c>
      <c r="G1387" s="209" t="b">
        <f t="shared" si="1093"/>
        <v>0</v>
      </c>
      <c r="H1387" s="209" t="b">
        <f t="shared" si="7"/>
        <v>1</v>
      </c>
      <c r="I1387" s="208" t="b">
        <f t="shared" ref="I1387:J1387" si="1133">FALSE</f>
        <v>0</v>
      </c>
      <c r="J1387" s="208" t="b">
        <f t="shared" si="1133"/>
        <v>0</v>
      </c>
      <c r="K1387" s="211">
        <v>142.0</v>
      </c>
      <c r="L1387" s="207" t="str">
        <f t="shared" si="3"/>
        <v>n/a</v>
      </c>
      <c r="M1387" s="212" t="str">
        <f t="shared" si="4"/>
        <v>n/a</v>
      </c>
      <c r="N1387" s="207" t="str">
        <f t="shared" si="5"/>
        <v>n/a</v>
      </c>
      <c r="O1387" s="207">
        <f t="shared" si="6"/>
        <v>0.007042253521</v>
      </c>
    </row>
    <row r="1388" ht="15.75" customHeight="1">
      <c r="A1388" s="207">
        <v>73.0</v>
      </c>
      <c r="B1388" s="6" t="str">
        <f>VLOOKUP($A1388, 'Completion rates'!$A:$E, 2, FALSE)</f>
        <v>Opening master caskets</v>
      </c>
      <c r="C1388" s="207">
        <v>20026.0</v>
      </c>
      <c r="D1388" s="6" t="str">
        <f>VLOOKUP($C1388, 'List of log slots'!$A:$E, 2, FALSE)</f>
        <v>Black demon mask</v>
      </c>
      <c r="E1388" s="207">
        <f>VLOOKUP($C1388, 'List of log slots'!$A:$E, 5, FALSE)</f>
        <v>7</v>
      </c>
      <c r="F1388" s="210" t="b">
        <f>VLOOKUP(C1388, 'List of log slots'!$A:$C, 3, FALSE)</f>
        <v>0</v>
      </c>
      <c r="G1388" s="209" t="b">
        <f t="shared" si="1093"/>
        <v>0</v>
      </c>
      <c r="H1388" s="209" t="b">
        <f t="shared" si="7"/>
        <v>1</v>
      </c>
      <c r="I1388" s="208" t="b">
        <f t="shared" ref="I1388:J1388" si="1134">FALSE</f>
        <v>0</v>
      </c>
      <c r="J1388" s="208" t="b">
        <f t="shared" si="1134"/>
        <v>0</v>
      </c>
      <c r="K1388" s="211">
        <v>142.0</v>
      </c>
      <c r="L1388" s="207" t="str">
        <f t="shared" si="3"/>
        <v>n/a</v>
      </c>
      <c r="M1388" s="212" t="str">
        <f t="shared" si="4"/>
        <v>n/a</v>
      </c>
      <c r="N1388" s="207" t="str">
        <f t="shared" si="5"/>
        <v>n/a</v>
      </c>
      <c r="O1388" s="207">
        <f t="shared" si="6"/>
        <v>0.007042253521</v>
      </c>
    </row>
    <row r="1389" ht="15.75" customHeight="1">
      <c r="A1389" s="207">
        <v>73.0</v>
      </c>
      <c r="B1389" s="6" t="str">
        <f>VLOOKUP($A1389, 'Completion rates'!$A:$E, 2, FALSE)</f>
        <v>Opening master caskets</v>
      </c>
      <c r="C1389" s="207">
        <v>20032.0</v>
      </c>
      <c r="D1389" s="6" t="str">
        <f>VLOOKUP($C1389, 'List of log slots'!$A:$E, 2, FALSE)</f>
        <v>Jungle demon mask</v>
      </c>
      <c r="E1389" s="207">
        <f>VLOOKUP($C1389, 'List of log slots'!$A:$E, 5, FALSE)</f>
        <v>7</v>
      </c>
      <c r="F1389" s="209" t="b">
        <f>VLOOKUP(C1389, 'List of log slots'!$A:$C, 3, FALSE)</f>
        <v>0</v>
      </c>
      <c r="G1389" s="209" t="b">
        <f t="shared" si="1093"/>
        <v>0</v>
      </c>
      <c r="H1389" s="210" t="b">
        <f t="shared" si="7"/>
        <v>1</v>
      </c>
      <c r="I1389" s="208" t="b">
        <f t="shared" ref="I1389:J1389" si="1135">FALSE</f>
        <v>0</v>
      </c>
      <c r="J1389" s="208" t="b">
        <f t="shared" si="1135"/>
        <v>0</v>
      </c>
      <c r="K1389" s="211">
        <v>142.0</v>
      </c>
      <c r="L1389" s="207" t="str">
        <f t="shared" si="3"/>
        <v>n/a</v>
      </c>
      <c r="M1389" s="212" t="str">
        <f t="shared" si="4"/>
        <v>n/a</v>
      </c>
      <c r="N1389" s="207" t="str">
        <f t="shared" si="5"/>
        <v>n/a</v>
      </c>
      <c r="O1389" s="207">
        <f t="shared" si="6"/>
        <v>0.007042253521</v>
      </c>
    </row>
    <row r="1390" ht="15.75" customHeight="1">
      <c r="A1390" s="207">
        <v>73.0</v>
      </c>
      <c r="B1390" s="6" t="str">
        <f>VLOOKUP($A1390, 'Completion rates'!$A:$E, 2, FALSE)</f>
        <v>Opening master caskets</v>
      </c>
      <c r="C1390" s="207">
        <v>20029.0</v>
      </c>
      <c r="D1390" s="6" t="str">
        <f>VLOOKUP($C1390, 'List of log slots'!$A:$E, 2, FALSE)</f>
        <v>Old demon mask</v>
      </c>
      <c r="E1390" s="207">
        <f>VLOOKUP($C1390, 'List of log slots'!$A:$E, 5, FALSE)</f>
        <v>7</v>
      </c>
      <c r="F1390" s="209" t="b">
        <f>VLOOKUP(C1390, 'List of log slots'!$A:$C, 3, FALSE)</f>
        <v>0</v>
      </c>
      <c r="G1390" s="209" t="b">
        <f t="shared" si="1093"/>
        <v>0</v>
      </c>
      <c r="H1390" s="210" t="b">
        <f t="shared" si="7"/>
        <v>1</v>
      </c>
      <c r="I1390" s="208" t="b">
        <f t="shared" ref="I1390:J1390" si="1136">FALSE</f>
        <v>0</v>
      </c>
      <c r="J1390" s="208" t="b">
        <f t="shared" si="1136"/>
        <v>0</v>
      </c>
      <c r="K1390" s="211">
        <v>142.0</v>
      </c>
      <c r="L1390" s="207" t="str">
        <f t="shared" si="3"/>
        <v>n/a</v>
      </c>
      <c r="M1390" s="212" t="str">
        <f t="shared" si="4"/>
        <v>n/a</v>
      </c>
      <c r="N1390" s="207" t="str">
        <f t="shared" si="5"/>
        <v>n/a</v>
      </c>
      <c r="O1390" s="207">
        <f t="shared" si="6"/>
        <v>0.007042253521</v>
      </c>
    </row>
    <row r="1391" ht="15.75" customHeight="1">
      <c r="A1391" s="207">
        <v>73.0</v>
      </c>
      <c r="B1391" s="6" t="str">
        <f>VLOOKUP($A1391, 'Completion rates'!$A:$E, 2, FALSE)</f>
        <v>Opening master caskets</v>
      </c>
      <c r="C1391" s="207">
        <v>19724.0</v>
      </c>
      <c r="D1391" s="6" t="str">
        <f>VLOOKUP($C1391, 'List of log slots'!$A:$E, 2, FALSE)</f>
        <v>Left eye patch</v>
      </c>
      <c r="E1391" s="207">
        <f>VLOOKUP($C1391, 'List of log slots'!$A:$E, 5, FALSE)</f>
        <v>7</v>
      </c>
      <c r="F1391" s="209" t="b">
        <f>VLOOKUP(C1391, 'List of log slots'!$A:$C, 3, FALSE)</f>
        <v>0</v>
      </c>
      <c r="G1391" s="209" t="b">
        <f t="shared" si="1093"/>
        <v>0</v>
      </c>
      <c r="H1391" s="210" t="b">
        <f t="shared" si="7"/>
        <v>1</v>
      </c>
      <c r="I1391" s="208" t="b">
        <f t="shared" ref="I1391:J1391" si="1137">FALSE</f>
        <v>0</v>
      </c>
      <c r="J1391" s="208" t="b">
        <f t="shared" si="1137"/>
        <v>0</v>
      </c>
      <c r="K1391" s="211">
        <v>142.0</v>
      </c>
      <c r="L1391" s="207" t="str">
        <f t="shared" si="3"/>
        <v>n/a</v>
      </c>
      <c r="M1391" s="212" t="str">
        <f t="shared" si="4"/>
        <v>n/a</v>
      </c>
      <c r="N1391" s="207" t="str">
        <f t="shared" si="5"/>
        <v>n/a</v>
      </c>
      <c r="O1391" s="207">
        <f t="shared" si="6"/>
        <v>0.007042253521</v>
      </c>
    </row>
    <row r="1392" ht="15.75" customHeight="1">
      <c r="A1392" s="207">
        <v>73.0</v>
      </c>
      <c r="B1392" s="6" t="str">
        <f>VLOOKUP($A1392, 'Completion rates'!$A:$E, 2, FALSE)</f>
        <v>Opening master caskets</v>
      </c>
      <c r="C1392" s="207">
        <v>20110.0</v>
      </c>
      <c r="D1392" s="6" t="str">
        <f>VLOOKUP($C1392, 'List of log slots'!$A:$E, 2, FALSE)</f>
        <v>Bowl wig</v>
      </c>
      <c r="E1392" s="207">
        <f>VLOOKUP($C1392, 'List of log slots'!$A:$E, 5, FALSE)</f>
        <v>7</v>
      </c>
      <c r="F1392" s="209" t="b">
        <f>VLOOKUP(C1392, 'List of log slots'!$A:$C, 3, FALSE)</f>
        <v>0</v>
      </c>
      <c r="G1392" s="209" t="b">
        <f t="shared" si="1093"/>
        <v>0</v>
      </c>
      <c r="H1392" s="210" t="b">
        <f t="shared" si="7"/>
        <v>1</v>
      </c>
      <c r="I1392" s="208" t="b">
        <f t="shared" ref="I1392:J1392" si="1138">FALSE</f>
        <v>0</v>
      </c>
      <c r="J1392" s="208" t="b">
        <f t="shared" si="1138"/>
        <v>0</v>
      </c>
      <c r="K1392" s="211">
        <v>142.0</v>
      </c>
      <c r="L1392" s="207" t="str">
        <f t="shared" si="3"/>
        <v>n/a</v>
      </c>
      <c r="M1392" s="212" t="str">
        <f t="shared" si="4"/>
        <v>n/a</v>
      </c>
      <c r="N1392" s="207" t="str">
        <f t="shared" si="5"/>
        <v>n/a</v>
      </c>
      <c r="O1392" s="207">
        <f t="shared" si="6"/>
        <v>0.007042253521</v>
      </c>
    </row>
    <row r="1393" ht="15.75" customHeight="1">
      <c r="A1393" s="207">
        <v>73.0</v>
      </c>
      <c r="B1393" s="6" t="str">
        <f>VLOOKUP($A1393, 'Completion rates'!$A:$E, 2, FALSE)</f>
        <v>Opening master caskets</v>
      </c>
      <c r="C1393" s="207">
        <v>20056.0</v>
      </c>
      <c r="D1393" s="6" t="str">
        <f>VLOOKUP($C1393, 'List of log slots'!$A:$E, 2, FALSE)</f>
        <v>Ale of the gods</v>
      </c>
      <c r="E1393" s="207">
        <f>VLOOKUP($C1393, 'List of log slots'!$A:$E, 5, FALSE)</f>
        <v>7</v>
      </c>
      <c r="F1393" s="209" t="b">
        <f>VLOOKUP(C1393, 'List of log slots'!$A:$C, 3, FALSE)</f>
        <v>0</v>
      </c>
      <c r="G1393" s="209" t="b">
        <f t="shared" si="1093"/>
        <v>0</v>
      </c>
      <c r="H1393" s="210" t="b">
        <f t="shared" si="7"/>
        <v>1</v>
      </c>
      <c r="I1393" s="208" t="b">
        <f t="shared" ref="I1393:J1393" si="1139">FALSE</f>
        <v>0</v>
      </c>
      <c r="J1393" s="208" t="b">
        <f t="shared" si="1139"/>
        <v>0</v>
      </c>
      <c r="K1393" s="211">
        <v>142.0</v>
      </c>
      <c r="L1393" s="207" t="str">
        <f t="shared" si="3"/>
        <v>n/a</v>
      </c>
      <c r="M1393" s="212" t="str">
        <f t="shared" si="4"/>
        <v>n/a</v>
      </c>
      <c r="N1393" s="207" t="str">
        <f t="shared" si="5"/>
        <v>n/a</v>
      </c>
      <c r="O1393" s="207">
        <f t="shared" si="6"/>
        <v>0.007042253521</v>
      </c>
    </row>
    <row r="1394" ht="15.75" customHeight="1">
      <c r="A1394" s="207">
        <v>73.0</v>
      </c>
      <c r="B1394" s="6" t="str">
        <f>VLOOKUP($A1394, 'Completion rates'!$A:$E, 2, FALSE)</f>
        <v>Opening master caskets</v>
      </c>
      <c r="C1394" s="207">
        <v>20050.0</v>
      </c>
      <c r="D1394" s="6" t="str">
        <f>VLOOKUP($C1394, 'List of log slots'!$A:$E, 2, FALSE)</f>
        <v>Obsidian cape (r)</v>
      </c>
      <c r="E1394" s="207">
        <f>VLOOKUP($C1394, 'List of log slots'!$A:$E, 5, FALSE)</f>
        <v>7</v>
      </c>
      <c r="F1394" s="209" t="b">
        <f>VLOOKUP(C1394, 'List of log slots'!$A:$C, 3, FALSE)</f>
        <v>0</v>
      </c>
      <c r="G1394" s="209" t="b">
        <f t="shared" si="1093"/>
        <v>0</v>
      </c>
      <c r="H1394" s="210" t="b">
        <f t="shared" si="7"/>
        <v>1</v>
      </c>
      <c r="I1394" s="208" t="b">
        <f t="shared" ref="I1394:J1394" si="1140">FALSE</f>
        <v>0</v>
      </c>
      <c r="J1394" s="208" t="b">
        <f t="shared" si="1140"/>
        <v>0</v>
      </c>
      <c r="K1394" s="211">
        <v>142.0</v>
      </c>
      <c r="L1394" s="207" t="str">
        <f t="shared" si="3"/>
        <v>n/a</v>
      </c>
      <c r="M1394" s="212" t="str">
        <f t="shared" si="4"/>
        <v>n/a</v>
      </c>
      <c r="N1394" s="207" t="str">
        <f t="shared" si="5"/>
        <v>n/a</v>
      </c>
      <c r="O1394" s="207">
        <f t="shared" si="6"/>
        <v>0.007042253521</v>
      </c>
    </row>
    <row r="1395" ht="15.75" customHeight="1">
      <c r="A1395" s="207">
        <v>73.0</v>
      </c>
      <c r="B1395" s="6" t="str">
        <f>VLOOKUP($A1395, 'Completion rates'!$A:$E, 2, FALSE)</f>
        <v>Opening master caskets</v>
      </c>
      <c r="C1395" s="207">
        <v>20053.0</v>
      </c>
      <c r="D1395" s="6" t="str">
        <f>VLOOKUP($C1395, 'List of log slots'!$A:$E, 2, FALSE)</f>
        <v>Half moon spectacles</v>
      </c>
      <c r="E1395" s="207">
        <f>VLOOKUP($C1395, 'List of log slots'!$A:$E, 5, FALSE)</f>
        <v>7</v>
      </c>
      <c r="F1395" s="208" t="b">
        <f>VLOOKUP(C1395, 'List of log slots'!$A:$C, 3, FALSE)</f>
        <v>0</v>
      </c>
      <c r="G1395" s="209" t="b">
        <f t="shared" si="1093"/>
        <v>0</v>
      </c>
      <c r="H1395" s="210" t="b">
        <f t="shared" si="7"/>
        <v>1</v>
      </c>
      <c r="I1395" s="208" t="b">
        <f t="shared" ref="I1395:J1395" si="1141">FALSE</f>
        <v>0</v>
      </c>
      <c r="J1395" s="208" t="b">
        <f t="shared" si="1141"/>
        <v>0</v>
      </c>
      <c r="K1395" s="211">
        <v>142.0</v>
      </c>
      <c r="L1395" s="207" t="str">
        <f t="shared" si="3"/>
        <v>n/a</v>
      </c>
      <c r="M1395" s="212" t="str">
        <f t="shared" si="4"/>
        <v>n/a</v>
      </c>
      <c r="N1395" s="207" t="str">
        <f t="shared" si="5"/>
        <v>n/a</v>
      </c>
      <c r="O1395" s="207">
        <f t="shared" si="6"/>
        <v>0.007042253521</v>
      </c>
    </row>
    <row r="1396" ht="15.75" customHeight="1">
      <c r="A1396" s="207">
        <v>73.0</v>
      </c>
      <c r="B1396" s="6" t="str">
        <f>VLOOKUP($A1396, 'Completion rates'!$A:$E, 2, FALSE)</f>
        <v>Opening master caskets</v>
      </c>
      <c r="C1396" s="207">
        <v>20008.0</v>
      </c>
      <c r="D1396" s="6" t="str">
        <f>VLOOKUP($C1396, 'List of log slots'!$A:$E, 2, FALSE)</f>
        <v>Fancy tiara</v>
      </c>
      <c r="E1396" s="207">
        <f>VLOOKUP($C1396, 'List of log slots'!$A:$E, 5, FALSE)</f>
        <v>7</v>
      </c>
      <c r="F1396" s="208" t="b">
        <f>VLOOKUP(C1396, 'List of log slots'!$A:$C, 3, FALSE)</f>
        <v>0</v>
      </c>
      <c r="G1396" s="209" t="b">
        <f t="shared" si="1093"/>
        <v>0</v>
      </c>
      <c r="H1396" s="210" t="b">
        <f t="shared" si="7"/>
        <v>1</v>
      </c>
      <c r="I1396" s="208" t="b">
        <f t="shared" ref="I1396:J1396" si="1142">FALSE</f>
        <v>0</v>
      </c>
      <c r="J1396" s="208" t="b">
        <f t="shared" si="1142"/>
        <v>0</v>
      </c>
      <c r="K1396" s="214">
        <v>142.0</v>
      </c>
      <c r="L1396" s="212" t="str">
        <f t="shared" si="3"/>
        <v>n/a</v>
      </c>
      <c r="M1396" s="212" t="str">
        <f t="shared" si="4"/>
        <v>n/a</v>
      </c>
      <c r="N1396" s="207" t="str">
        <f t="shared" si="5"/>
        <v>n/a</v>
      </c>
      <c r="O1396" s="207">
        <f t="shared" si="6"/>
        <v>0.007042253521</v>
      </c>
    </row>
    <row r="1397" ht="15.75" customHeight="1">
      <c r="A1397" s="207">
        <v>73.0</v>
      </c>
      <c r="B1397" s="6" t="str">
        <f>VLOOKUP($A1397, 'Completion rates'!$A:$E, 2, FALSE)</f>
        <v>Opening master caskets</v>
      </c>
      <c r="C1397" s="207">
        <v>20014.0</v>
      </c>
      <c r="D1397" s="6" t="str">
        <f>VLOOKUP($C1397, 'List of log slots'!$A:$E, 2, FALSE)</f>
        <v>3rd age pickaxe</v>
      </c>
      <c r="E1397" s="207">
        <f>VLOOKUP($C1397, 'List of log slots'!$A:$E, 5, FALSE)</f>
        <v>10</v>
      </c>
      <c r="F1397" s="208" t="b">
        <f>VLOOKUP(C1397, 'List of log slots'!$A:$C, 3, FALSE)</f>
        <v>0</v>
      </c>
      <c r="G1397" s="209" t="b">
        <f t="shared" si="1093"/>
        <v>0</v>
      </c>
      <c r="H1397" s="210" t="b">
        <f t="shared" si="7"/>
        <v>1</v>
      </c>
      <c r="I1397" s="208" t="b">
        <f t="shared" ref="I1397:J1397" si="1143">FALSE</f>
        <v>0</v>
      </c>
      <c r="J1397" s="208" t="b">
        <f t="shared" si="1143"/>
        <v>0</v>
      </c>
      <c r="K1397" s="214">
        <v>31376.0</v>
      </c>
      <c r="L1397" s="212" t="str">
        <f t="shared" si="3"/>
        <v>n/a</v>
      </c>
      <c r="M1397" s="212" t="str">
        <f t="shared" si="4"/>
        <v>n/a</v>
      </c>
      <c r="N1397" s="207" t="str">
        <f t="shared" si="5"/>
        <v>n/a</v>
      </c>
      <c r="O1397" s="207">
        <f t="shared" si="6"/>
        <v>0.00003187149414</v>
      </c>
    </row>
    <row r="1398" ht="15.75" customHeight="1">
      <c r="A1398" s="207">
        <v>73.0</v>
      </c>
      <c r="B1398" s="6" t="str">
        <f>VLOOKUP($A1398, 'Completion rates'!$A:$E, 2, FALSE)</f>
        <v>Opening master caskets</v>
      </c>
      <c r="C1398" s="207">
        <v>20011.0</v>
      </c>
      <c r="D1398" s="6" t="str">
        <f>VLOOKUP($C1398, 'List of log slots'!$A:$E, 2, FALSE)</f>
        <v>3rd age axe</v>
      </c>
      <c r="E1398" s="207">
        <f>VLOOKUP($C1398, 'List of log slots'!$A:$E, 5, FALSE)</f>
        <v>10</v>
      </c>
      <c r="F1398" s="208" t="b">
        <f>VLOOKUP(C1398, 'List of log slots'!$A:$C, 3, FALSE)</f>
        <v>0</v>
      </c>
      <c r="G1398" s="209" t="b">
        <f t="shared" si="1093"/>
        <v>0</v>
      </c>
      <c r="H1398" s="210" t="b">
        <f t="shared" si="7"/>
        <v>1</v>
      </c>
      <c r="I1398" s="208" t="b">
        <f t="shared" ref="I1398:J1398" si="1144">FALSE</f>
        <v>0</v>
      </c>
      <c r="J1398" s="208" t="b">
        <f t="shared" si="1144"/>
        <v>0</v>
      </c>
      <c r="K1398" s="214">
        <v>31376.0</v>
      </c>
      <c r="L1398" s="212" t="str">
        <f t="shared" si="3"/>
        <v>n/a</v>
      </c>
      <c r="M1398" s="212" t="str">
        <f t="shared" si="4"/>
        <v>n/a</v>
      </c>
      <c r="N1398" s="207" t="str">
        <f t="shared" si="5"/>
        <v>n/a</v>
      </c>
      <c r="O1398" s="207">
        <f t="shared" si="6"/>
        <v>0.00003187149414</v>
      </c>
    </row>
    <row r="1399" ht="15.75" customHeight="1">
      <c r="A1399" s="207">
        <v>73.0</v>
      </c>
      <c r="B1399" s="6" t="str">
        <f>VLOOKUP($A1399, 'Completion rates'!$A:$E, 2, FALSE)</f>
        <v>Opening master caskets</v>
      </c>
      <c r="C1399" s="207">
        <v>12426.0</v>
      </c>
      <c r="D1399" s="6" t="str">
        <f>VLOOKUP($C1399, 'List of log slots'!$A:$E, 2, FALSE)</f>
        <v>3rd age longsword</v>
      </c>
      <c r="E1399" s="207">
        <f>VLOOKUP($C1399, 'List of log slots'!$A:$E, 5, FALSE)</f>
        <v>10</v>
      </c>
      <c r="F1399" s="208" t="b">
        <f>VLOOKUP(C1399, 'List of log slots'!$A:$C, 3, FALSE)</f>
        <v>0</v>
      </c>
      <c r="G1399" s="209" t="b">
        <f t="shared" si="1093"/>
        <v>0</v>
      </c>
      <c r="H1399" s="210" t="b">
        <f t="shared" si="7"/>
        <v>1</v>
      </c>
      <c r="I1399" s="208" t="b">
        <f t="shared" ref="I1399:J1399" si="1145">FALSE</f>
        <v>0</v>
      </c>
      <c r="J1399" s="208" t="b">
        <f t="shared" si="1145"/>
        <v>0</v>
      </c>
      <c r="K1399" s="214">
        <v>31376.0</v>
      </c>
      <c r="L1399" s="212" t="str">
        <f t="shared" si="3"/>
        <v>n/a</v>
      </c>
      <c r="M1399" s="212" t="str">
        <f t="shared" si="4"/>
        <v>n/a</v>
      </c>
      <c r="N1399" s="207" t="str">
        <f t="shared" si="5"/>
        <v>n/a</v>
      </c>
      <c r="O1399" s="207">
        <f t="shared" si="6"/>
        <v>0.00003187149414</v>
      </c>
    </row>
    <row r="1400" ht="15.75" customHeight="1">
      <c r="A1400" s="207">
        <v>73.0</v>
      </c>
      <c r="B1400" s="6" t="str">
        <f>VLOOKUP($A1400, 'Completion rates'!$A:$E, 2, FALSE)</f>
        <v>Opening master caskets</v>
      </c>
      <c r="C1400" s="207">
        <v>12422.0</v>
      </c>
      <c r="D1400" s="6" t="str">
        <f>VLOOKUP($C1400, 'List of log slots'!$A:$E, 2, FALSE)</f>
        <v>3rd age wand</v>
      </c>
      <c r="E1400" s="207">
        <f>VLOOKUP($C1400, 'List of log slots'!$A:$E, 5, FALSE)</f>
        <v>10</v>
      </c>
      <c r="F1400" s="208" t="b">
        <f>VLOOKUP(C1400, 'List of log slots'!$A:$C, 3, FALSE)</f>
        <v>0</v>
      </c>
      <c r="G1400" s="209" t="b">
        <f t="shared" si="1093"/>
        <v>0</v>
      </c>
      <c r="H1400" s="210" t="b">
        <f t="shared" si="7"/>
        <v>1</v>
      </c>
      <c r="I1400" s="208" t="b">
        <f t="shared" ref="I1400:J1400" si="1146">FALSE</f>
        <v>0</v>
      </c>
      <c r="J1400" s="208" t="b">
        <f t="shared" si="1146"/>
        <v>0</v>
      </c>
      <c r="K1400" s="214">
        <v>31376.0</v>
      </c>
      <c r="L1400" s="212" t="str">
        <f t="shared" si="3"/>
        <v>n/a</v>
      </c>
      <c r="M1400" s="212" t="str">
        <f t="shared" si="4"/>
        <v>n/a</v>
      </c>
      <c r="N1400" s="207" t="str">
        <f t="shared" si="5"/>
        <v>n/a</v>
      </c>
      <c r="O1400" s="207">
        <f t="shared" si="6"/>
        <v>0.00003187149414</v>
      </c>
    </row>
    <row r="1401" ht="15.75" customHeight="1">
      <c r="A1401" s="207">
        <v>73.0</v>
      </c>
      <c r="B1401" s="6" t="str">
        <f>VLOOKUP($A1401, 'Completion rates'!$A:$E, 2, FALSE)</f>
        <v>Opening master caskets</v>
      </c>
      <c r="C1401" s="207">
        <v>12437.0</v>
      </c>
      <c r="D1401" s="6" t="str">
        <f>VLOOKUP($C1401, 'List of log slots'!$A:$E, 2, FALSE)</f>
        <v>3rd age cloak</v>
      </c>
      <c r="E1401" s="207">
        <f>VLOOKUP($C1401, 'List of log slots'!$A:$E, 5, FALSE)</f>
        <v>10</v>
      </c>
      <c r="F1401" s="208" t="b">
        <f>VLOOKUP(C1401, 'List of log slots'!$A:$C, 3, FALSE)</f>
        <v>0</v>
      </c>
      <c r="G1401" s="209" t="b">
        <f t="shared" si="1093"/>
        <v>0</v>
      </c>
      <c r="H1401" s="210" t="b">
        <f t="shared" si="7"/>
        <v>1</v>
      </c>
      <c r="I1401" s="208" t="b">
        <f t="shared" ref="I1401:J1401" si="1147">FALSE</f>
        <v>0</v>
      </c>
      <c r="J1401" s="208" t="b">
        <f t="shared" si="1147"/>
        <v>0</v>
      </c>
      <c r="K1401" s="214">
        <v>31376.0</v>
      </c>
      <c r="L1401" s="212" t="str">
        <f t="shared" si="3"/>
        <v>n/a</v>
      </c>
      <c r="M1401" s="212" t="str">
        <f t="shared" si="4"/>
        <v>n/a</v>
      </c>
      <c r="N1401" s="207" t="str">
        <f t="shared" si="5"/>
        <v>n/a</v>
      </c>
      <c r="O1401" s="207">
        <f t="shared" si="6"/>
        <v>0.00003187149414</v>
      </c>
    </row>
    <row r="1402" ht="15.75" customHeight="1">
      <c r="A1402" s="207">
        <v>73.0</v>
      </c>
      <c r="B1402" s="6" t="str">
        <f>VLOOKUP($A1402, 'Completion rates'!$A:$E, 2, FALSE)</f>
        <v>Opening master caskets</v>
      </c>
      <c r="C1402" s="207">
        <v>12424.0</v>
      </c>
      <c r="D1402" s="6" t="str">
        <f>VLOOKUP($C1402, 'List of log slots'!$A:$E, 2, FALSE)</f>
        <v>3rd age bow</v>
      </c>
      <c r="E1402" s="207">
        <f>VLOOKUP($C1402, 'List of log slots'!$A:$E, 5, FALSE)</f>
        <v>10</v>
      </c>
      <c r="F1402" s="208" t="b">
        <f>VLOOKUP(C1402, 'List of log slots'!$A:$C, 3, FALSE)</f>
        <v>0</v>
      </c>
      <c r="G1402" s="209" t="b">
        <f t="shared" si="1093"/>
        <v>0</v>
      </c>
      <c r="H1402" s="210" t="b">
        <f t="shared" si="7"/>
        <v>1</v>
      </c>
      <c r="I1402" s="208" t="b">
        <f t="shared" ref="I1402:J1402" si="1148">FALSE</f>
        <v>0</v>
      </c>
      <c r="J1402" s="208" t="b">
        <f t="shared" si="1148"/>
        <v>0</v>
      </c>
      <c r="K1402" s="214">
        <v>31376.0</v>
      </c>
      <c r="L1402" s="212" t="str">
        <f t="shared" si="3"/>
        <v>n/a</v>
      </c>
      <c r="M1402" s="212" t="str">
        <f t="shared" si="4"/>
        <v>n/a</v>
      </c>
      <c r="N1402" s="207" t="str">
        <f t="shared" si="5"/>
        <v>n/a</v>
      </c>
      <c r="O1402" s="207">
        <f t="shared" si="6"/>
        <v>0.00003187149414</v>
      </c>
    </row>
    <row r="1403" ht="15.75" customHeight="1">
      <c r="A1403" s="207">
        <v>73.0</v>
      </c>
      <c r="B1403" s="6" t="str">
        <f>VLOOKUP($A1403, 'Completion rates'!$A:$E, 2, FALSE)</f>
        <v>Opening master caskets</v>
      </c>
      <c r="C1403" s="207">
        <v>10334.0</v>
      </c>
      <c r="D1403" s="6" t="str">
        <f>VLOOKUP($C1403, 'List of log slots'!$A:$E, 2, FALSE)</f>
        <v>3rd age range coif</v>
      </c>
      <c r="E1403" s="207">
        <f>VLOOKUP($C1403, 'List of log slots'!$A:$E, 5, FALSE)</f>
        <v>10</v>
      </c>
      <c r="F1403" s="208" t="b">
        <f>VLOOKUP(C1403, 'List of log slots'!$A:$C, 3, FALSE)</f>
        <v>0</v>
      </c>
      <c r="G1403" s="209" t="b">
        <f t="shared" si="1093"/>
        <v>0</v>
      </c>
      <c r="H1403" s="210" t="b">
        <f t="shared" si="7"/>
        <v>1</v>
      </c>
      <c r="I1403" s="208" t="b">
        <f t="shared" ref="I1403:J1403" si="1149">FALSE</f>
        <v>0</v>
      </c>
      <c r="J1403" s="208" t="b">
        <f t="shared" si="1149"/>
        <v>0</v>
      </c>
      <c r="K1403" s="214">
        <v>31376.0</v>
      </c>
      <c r="L1403" s="212" t="str">
        <f t="shared" si="3"/>
        <v>n/a</v>
      </c>
      <c r="M1403" s="212" t="str">
        <f t="shared" si="4"/>
        <v>n/a</v>
      </c>
      <c r="N1403" s="207" t="str">
        <f t="shared" si="5"/>
        <v>n/a</v>
      </c>
      <c r="O1403" s="207">
        <f t="shared" si="6"/>
        <v>0.00003187149414</v>
      </c>
    </row>
    <row r="1404" ht="15.75" customHeight="1">
      <c r="A1404" s="207">
        <v>73.0</v>
      </c>
      <c r="B1404" s="6" t="str">
        <f>VLOOKUP($A1404, 'Completion rates'!$A:$E, 2, FALSE)</f>
        <v>Opening master caskets</v>
      </c>
      <c r="C1404" s="207">
        <v>10330.0</v>
      </c>
      <c r="D1404" s="6" t="str">
        <f>VLOOKUP($C1404, 'List of log slots'!$A:$E, 2, FALSE)</f>
        <v>3rd age range top</v>
      </c>
      <c r="E1404" s="207">
        <f>VLOOKUP($C1404, 'List of log slots'!$A:$E, 5, FALSE)</f>
        <v>10</v>
      </c>
      <c r="F1404" s="208" t="b">
        <f>VLOOKUP(C1404, 'List of log slots'!$A:$C, 3, FALSE)</f>
        <v>0</v>
      </c>
      <c r="G1404" s="209" t="b">
        <f t="shared" si="1093"/>
        <v>0</v>
      </c>
      <c r="H1404" s="210" t="b">
        <f t="shared" si="7"/>
        <v>1</v>
      </c>
      <c r="I1404" s="208" t="b">
        <f t="shared" ref="I1404:J1404" si="1150">FALSE</f>
        <v>0</v>
      </c>
      <c r="J1404" s="208" t="b">
        <f t="shared" si="1150"/>
        <v>0</v>
      </c>
      <c r="K1404" s="214">
        <v>31376.0</v>
      </c>
      <c r="L1404" s="212" t="str">
        <f t="shared" si="3"/>
        <v>n/a</v>
      </c>
      <c r="M1404" s="212" t="str">
        <f t="shared" si="4"/>
        <v>n/a</v>
      </c>
      <c r="N1404" s="207" t="str">
        <f t="shared" si="5"/>
        <v>n/a</v>
      </c>
      <c r="O1404" s="207">
        <f t="shared" si="6"/>
        <v>0.00003187149414</v>
      </c>
    </row>
    <row r="1405" ht="15.75" customHeight="1">
      <c r="A1405" s="207">
        <v>73.0</v>
      </c>
      <c r="B1405" s="6" t="str">
        <f>VLOOKUP($A1405, 'Completion rates'!$A:$E, 2, FALSE)</f>
        <v>Opening master caskets</v>
      </c>
      <c r="C1405" s="207">
        <v>10332.0</v>
      </c>
      <c r="D1405" s="6" t="str">
        <f>VLOOKUP($C1405, 'List of log slots'!$A:$E, 2, FALSE)</f>
        <v>3rd age range legs</v>
      </c>
      <c r="E1405" s="207">
        <f>VLOOKUP($C1405, 'List of log slots'!$A:$E, 5, FALSE)</f>
        <v>10</v>
      </c>
      <c r="F1405" s="208" t="b">
        <f>VLOOKUP(C1405, 'List of log slots'!$A:$C, 3, FALSE)</f>
        <v>0</v>
      </c>
      <c r="G1405" s="209" t="b">
        <f t="shared" si="1093"/>
        <v>0</v>
      </c>
      <c r="H1405" s="210" t="b">
        <f t="shared" si="7"/>
        <v>1</v>
      </c>
      <c r="I1405" s="208" t="b">
        <f t="shared" ref="I1405:J1405" si="1151">FALSE</f>
        <v>0</v>
      </c>
      <c r="J1405" s="208" t="b">
        <f t="shared" si="1151"/>
        <v>0</v>
      </c>
      <c r="K1405" s="214">
        <v>31376.0</v>
      </c>
      <c r="L1405" s="212" t="str">
        <f t="shared" si="3"/>
        <v>n/a</v>
      </c>
      <c r="M1405" s="212" t="str">
        <f t="shared" si="4"/>
        <v>n/a</v>
      </c>
      <c r="N1405" s="207" t="str">
        <f t="shared" si="5"/>
        <v>n/a</v>
      </c>
      <c r="O1405" s="207">
        <f t="shared" si="6"/>
        <v>0.00003187149414</v>
      </c>
    </row>
    <row r="1406" ht="15.75" customHeight="1">
      <c r="A1406" s="207">
        <v>73.0</v>
      </c>
      <c r="B1406" s="6" t="str">
        <f>VLOOKUP($A1406, 'Completion rates'!$A:$E, 2, FALSE)</f>
        <v>Opening master caskets</v>
      </c>
      <c r="C1406" s="207">
        <v>10336.0</v>
      </c>
      <c r="D1406" s="6" t="str">
        <f>VLOOKUP($C1406, 'List of log slots'!$A:$E, 2, FALSE)</f>
        <v>3rd age vambraces</v>
      </c>
      <c r="E1406" s="207">
        <f>VLOOKUP($C1406, 'List of log slots'!$A:$E, 5, FALSE)</f>
        <v>10</v>
      </c>
      <c r="F1406" s="208" t="b">
        <f>VLOOKUP(C1406, 'List of log slots'!$A:$C, 3, FALSE)</f>
        <v>0</v>
      </c>
      <c r="G1406" s="209" t="b">
        <f t="shared" si="1093"/>
        <v>0</v>
      </c>
      <c r="H1406" s="210" t="b">
        <f t="shared" si="7"/>
        <v>1</v>
      </c>
      <c r="I1406" s="208" t="b">
        <f t="shared" ref="I1406:J1406" si="1152">FALSE</f>
        <v>0</v>
      </c>
      <c r="J1406" s="208" t="b">
        <f t="shared" si="1152"/>
        <v>0</v>
      </c>
      <c r="K1406" s="214">
        <v>31376.0</v>
      </c>
      <c r="L1406" s="212" t="str">
        <f t="shared" si="3"/>
        <v>n/a</v>
      </c>
      <c r="M1406" s="212" t="str">
        <f t="shared" si="4"/>
        <v>n/a</v>
      </c>
      <c r="N1406" s="207" t="str">
        <f t="shared" si="5"/>
        <v>n/a</v>
      </c>
      <c r="O1406" s="207">
        <f t="shared" si="6"/>
        <v>0.00003187149414</v>
      </c>
    </row>
    <row r="1407" ht="15.75" customHeight="1">
      <c r="A1407" s="207">
        <v>73.0</v>
      </c>
      <c r="B1407" s="6" t="str">
        <f>VLOOKUP($A1407, 'Completion rates'!$A:$E, 2, FALSE)</f>
        <v>Opening master caskets</v>
      </c>
      <c r="C1407" s="207">
        <v>10338.0</v>
      </c>
      <c r="D1407" s="6" t="str">
        <f>VLOOKUP($C1407, 'List of log slots'!$A:$E, 2, FALSE)</f>
        <v>3rd age robe top</v>
      </c>
      <c r="E1407" s="207">
        <f>VLOOKUP($C1407, 'List of log slots'!$A:$E, 5, FALSE)</f>
        <v>10</v>
      </c>
      <c r="F1407" s="208" t="b">
        <f>VLOOKUP(C1407, 'List of log slots'!$A:$C, 3, FALSE)</f>
        <v>0</v>
      </c>
      <c r="G1407" s="209" t="b">
        <f t="shared" si="1093"/>
        <v>0</v>
      </c>
      <c r="H1407" s="210" t="b">
        <f t="shared" si="7"/>
        <v>1</v>
      </c>
      <c r="I1407" s="208" t="b">
        <f t="shared" ref="I1407:J1407" si="1153">FALSE</f>
        <v>0</v>
      </c>
      <c r="J1407" s="208" t="b">
        <f t="shared" si="1153"/>
        <v>0</v>
      </c>
      <c r="K1407" s="214">
        <v>31376.0</v>
      </c>
      <c r="L1407" s="212" t="str">
        <f t="shared" si="3"/>
        <v>n/a</v>
      </c>
      <c r="M1407" s="212" t="str">
        <f t="shared" si="4"/>
        <v>n/a</v>
      </c>
      <c r="N1407" s="207" t="str">
        <f t="shared" si="5"/>
        <v>n/a</v>
      </c>
      <c r="O1407" s="207">
        <f t="shared" si="6"/>
        <v>0.00003187149414</v>
      </c>
    </row>
    <row r="1408" ht="15.75" customHeight="1">
      <c r="A1408" s="207">
        <v>73.0</v>
      </c>
      <c r="B1408" s="6" t="str">
        <f>VLOOKUP($A1408, 'Completion rates'!$A:$E, 2, FALSE)</f>
        <v>Opening master caskets</v>
      </c>
      <c r="C1408" s="207">
        <v>10340.0</v>
      </c>
      <c r="D1408" s="6" t="str">
        <f>VLOOKUP($C1408, 'List of log slots'!$A:$E, 2, FALSE)</f>
        <v>3rd age robe</v>
      </c>
      <c r="E1408" s="207">
        <f>VLOOKUP($C1408, 'List of log slots'!$A:$E, 5, FALSE)</f>
        <v>10</v>
      </c>
      <c r="F1408" s="208" t="b">
        <f>VLOOKUP(C1408, 'List of log slots'!$A:$C, 3, FALSE)</f>
        <v>0</v>
      </c>
      <c r="G1408" s="209" t="b">
        <f t="shared" si="1093"/>
        <v>0</v>
      </c>
      <c r="H1408" s="210" t="b">
        <f t="shared" si="7"/>
        <v>1</v>
      </c>
      <c r="I1408" s="208" t="b">
        <f t="shared" ref="I1408:J1408" si="1154">FALSE</f>
        <v>0</v>
      </c>
      <c r="J1408" s="208" t="b">
        <f t="shared" si="1154"/>
        <v>0</v>
      </c>
      <c r="K1408" s="214">
        <v>31376.0</v>
      </c>
      <c r="L1408" s="212" t="str">
        <f t="shared" si="3"/>
        <v>n/a</v>
      </c>
      <c r="M1408" s="212" t="str">
        <f t="shared" si="4"/>
        <v>n/a</v>
      </c>
      <c r="N1408" s="207" t="str">
        <f t="shared" si="5"/>
        <v>n/a</v>
      </c>
      <c r="O1408" s="207">
        <f t="shared" si="6"/>
        <v>0.00003187149414</v>
      </c>
    </row>
    <row r="1409" ht="15.75" customHeight="1">
      <c r="A1409" s="207">
        <v>73.0</v>
      </c>
      <c r="B1409" s="6" t="str">
        <f>VLOOKUP($A1409, 'Completion rates'!$A:$E, 2, FALSE)</f>
        <v>Opening master caskets</v>
      </c>
      <c r="C1409" s="207">
        <v>10342.0</v>
      </c>
      <c r="D1409" s="6" t="str">
        <f>VLOOKUP($C1409, 'List of log slots'!$A:$E, 2, FALSE)</f>
        <v>3rd age mage hat</v>
      </c>
      <c r="E1409" s="207">
        <f>VLOOKUP($C1409, 'List of log slots'!$A:$E, 5, FALSE)</f>
        <v>10</v>
      </c>
      <c r="F1409" s="208" t="b">
        <f>VLOOKUP(C1409, 'List of log slots'!$A:$C, 3, FALSE)</f>
        <v>0</v>
      </c>
      <c r="G1409" s="209" t="b">
        <f t="shared" si="1093"/>
        <v>0</v>
      </c>
      <c r="H1409" s="210" t="b">
        <f t="shared" si="7"/>
        <v>1</v>
      </c>
      <c r="I1409" s="208" t="b">
        <f t="shared" ref="I1409:J1409" si="1155">FALSE</f>
        <v>0</v>
      </c>
      <c r="J1409" s="208" t="b">
        <f t="shared" si="1155"/>
        <v>0</v>
      </c>
      <c r="K1409" s="214">
        <v>31376.0</v>
      </c>
      <c r="L1409" s="212" t="str">
        <f t="shared" si="3"/>
        <v>n/a</v>
      </c>
      <c r="M1409" s="212" t="str">
        <f t="shared" si="4"/>
        <v>n/a</v>
      </c>
      <c r="N1409" s="207" t="str">
        <f t="shared" si="5"/>
        <v>n/a</v>
      </c>
      <c r="O1409" s="207">
        <f t="shared" si="6"/>
        <v>0.00003187149414</v>
      </c>
    </row>
    <row r="1410" ht="15.75" customHeight="1">
      <c r="A1410" s="207">
        <v>73.0</v>
      </c>
      <c r="B1410" s="6" t="str">
        <f>VLOOKUP($A1410, 'Completion rates'!$A:$E, 2, FALSE)</f>
        <v>Opening master caskets</v>
      </c>
      <c r="C1410" s="207">
        <v>10344.0</v>
      </c>
      <c r="D1410" s="6" t="str">
        <f>VLOOKUP($C1410, 'List of log slots'!$A:$E, 2, FALSE)</f>
        <v>3rd age amulet</v>
      </c>
      <c r="E1410" s="207">
        <f>VLOOKUP($C1410, 'List of log slots'!$A:$E, 5, FALSE)</f>
        <v>10</v>
      </c>
      <c r="F1410" s="208" t="b">
        <f>VLOOKUP(C1410, 'List of log slots'!$A:$C, 3, FALSE)</f>
        <v>0</v>
      </c>
      <c r="G1410" s="209" t="b">
        <f t="shared" si="1093"/>
        <v>0</v>
      </c>
      <c r="H1410" s="210" t="b">
        <f t="shared" si="7"/>
        <v>1</v>
      </c>
      <c r="I1410" s="208" t="b">
        <f t="shared" ref="I1410:J1410" si="1156">FALSE</f>
        <v>0</v>
      </c>
      <c r="J1410" s="208" t="b">
        <f t="shared" si="1156"/>
        <v>0</v>
      </c>
      <c r="K1410" s="214">
        <v>31376.0</v>
      </c>
      <c r="L1410" s="212" t="str">
        <f t="shared" si="3"/>
        <v>n/a</v>
      </c>
      <c r="M1410" s="212" t="str">
        <f t="shared" si="4"/>
        <v>n/a</v>
      </c>
      <c r="N1410" s="207" t="str">
        <f t="shared" si="5"/>
        <v>n/a</v>
      </c>
      <c r="O1410" s="207">
        <f t="shared" si="6"/>
        <v>0.00003187149414</v>
      </c>
    </row>
    <row r="1411" ht="15.75" customHeight="1">
      <c r="A1411" s="207">
        <v>73.0</v>
      </c>
      <c r="B1411" s="6" t="str">
        <f>VLOOKUP($A1411, 'Completion rates'!$A:$E, 2, FALSE)</f>
        <v>Opening master caskets</v>
      </c>
      <c r="C1411" s="207">
        <v>23242.0</v>
      </c>
      <c r="D1411" s="6" t="str">
        <f>VLOOKUP($C1411, 'List of log slots'!$A:$E, 2, FALSE)</f>
        <v>3rd age plateskirt</v>
      </c>
      <c r="E1411" s="207">
        <f>VLOOKUP($C1411, 'List of log slots'!$A:$E, 5, FALSE)</f>
        <v>10</v>
      </c>
      <c r="F1411" s="208" t="b">
        <f>VLOOKUP(C1411, 'List of log slots'!$A:$C, 3, FALSE)</f>
        <v>0</v>
      </c>
      <c r="G1411" s="209" t="b">
        <f t="shared" si="1093"/>
        <v>0</v>
      </c>
      <c r="H1411" s="210" t="b">
        <f t="shared" si="7"/>
        <v>1</v>
      </c>
      <c r="I1411" s="208" t="b">
        <f t="shared" ref="I1411:J1411" si="1157">FALSE</f>
        <v>0</v>
      </c>
      <c r="J1411" s="208" t="b">
        <f t="shared" si="1157"/>
        <v>0</v>
      </c>
      <c r="K1411" s="214">
        <v>31376.0</v>
      </c>
      <c r="L1411" s="212" t="str">
        <f t="shared" si="3"/>
        <v>n/a</v>
      </c>
      <c r="M1411" s="212" t="str">
        <f t="shared" si="4"/>
        <v>n/a</v>
      </c>
      <c r="N1411" s="207" t="str">
        <f t="shared" si="5"/>
        <v>n/a</v>
      </c>
      <c r="O1411" s="207">
        <f t="shared" si="6"/>
        <v>0.00003187149414</v>
      </c>
    </row>
    <row r="1412" ht="15.75" customHeight="1">
      <c r="A1412" s="207">
        <v>73.0</v>
      </c>
      <c r="B1412" s="6" t="str">
        <f>VLOOKUP($A1412, 'Completion rates'!$A:$E, 2, FALSE)</f>
        <v>Opening master caskets</v>
      </c>
      <c r="C1412" s="207">
        <v>10346.0</v>
      </c>
      <c r="D1412" s="6" t="str">
        <f>VLOOKUP($C1412, 'List of log slots'!$A:$E, 2, FALSE)</f>
        <v>3rd age platelegs</v>
      </c>
      <c r="E1412" s="207">
        <f>VLOOKUP($C1412, 'List of log slots'!$A:$E, 5, FALSE)</f>
        <v>10</v>
      </c>
      <c r="F1412" s="208" t="b">
        <f>VLOOKUP(C1412, 'List of log slots'!$A:$C, 3, FALSE)</f>
        <v>0</v>
      </c>
      <c r="G1412" s="209" t="b">
        <f t="shared" si="1093"/>
        <v>0</v>
      </c>
      <c r="H1412" s="210" t="b">
        <f t="shared" si="7"/>
        <v>1</v>
      </c>
      <c r="I1412" s="208" t="b">
        <f t="shared" ref="I1412:J1412" si="1158">FALSE</f>
        <v>0</v>
      </c>
      <c r="J1412" s="208" t="b">
        <f t="shared" si="1158"/>
        <v>0</v>
      </c>
      <c r="K1412" s="214">
        <v>31376.0</v>
      </c>
      <c r="L1412" s="212" t="str">
        <f t="shared" si="3"/>
        <v>n/a</v>
      </c>
      <c r="M1412" s="212" t="str">
        <f t="shared" si="4"/>
        <v>n/a</v>
      </c>
      <c r="N1412" s="207" t="str">
        <f t="shared" si="5"/>
        <v>n/a</v>
      </c>
      <c r="O1412" s="207">
        <f t="shared" si="6"/>
        <v>0.00003187149414</v>
      </c>
    </row>
    <row r="1413" ht="15.75" customHeight="1">
      <c r="A1413" s="207">
        <v>73.0</v>
      </c>
      <c r="B1413" s="6" t="str">
        <f>VLOOKUP($A1413, 'Completion rates'!$A:$E, 2, FALSE)</f>
        <v>Opening master caskets</v>
      </c>
      <c r="C1413" s="207">
        <v>10348.0</v>
      </c>
      <c r="D1413" s="6" t="str">
        <f>VLOOKUP($C1413, 'List of log slots'!$A:$E, 2, FALSE)</f>
        <v>3rd age platebody</v>
      </c>
      <c r="E1413" s="207">
        <f>VLOOKUP($C1413, 'List of log slots'!$A:$E, 5, FALSE)</f>
        <v>10</v>
      </c>
      <c r="F1413" s="208" t="b">
        <f>VLOOKUP(C1413, 'List of log slots'!$A:$C, 3, FALSE)</f>
        <v>0</v>
      </c>
      <c r="G1413" s="209" t="b">
        <f t="shared" si="1093"/>
        <v>0</v>
      </c>
      <c r="H1413" s="210" t="b">
        <f t="shared" si="7"/>
        <v>1</v>
      </c>
      <c r="I1413" s="208" t="b">
        <f t="shared" ref="I1413:J1413" si="1159">FALSE</f>
        <v>0</v>
      </c>
      <c r="J1413" s="208" t="b">
        <f t="shared" si="1159"/>
        <v>0</v>
      </c>
      <c r="K1413" s="214">
        <v>31376.0</v>
      </c>
      <c r="L1413" s="212" t="str">
        <f t="shared" si="3"/>
        <v>n/a</v>
      </c>
      <c r="M1413" s="212" t="str">
        <f t="shared" si="4"/>
        <v>n/a</v>
      </c>
      <c r="N1413" s="207" t="str">
        <f t="shared" si="5"/>
        <v>n/a</v>
      </c>
      <c r="O1413" s="207">
        <f t="shared" si="6"/>
        <v>0.00003187149414</v>
      </c>
    </row>
    <row r="1414" ht="15.75" customHeight="1">
      <c r="A1414" s="207">
        <v>73.0</v>
      </c>
      <c r="B1414" s="6" t="str">
        <f>VLOOKUP($A1414, 'Completion rates'!$A:$E, 2, FALSE)</f>
        <v>Opening master caskets</v>
      </c>
      <c r="C1414" s="207">
        <v>10350.0</v>
      </c>
      <c r="D1414" s="6" t="str">
        <f>VLOOKUP($C1414, 'List of log slots'!$A:$E, 2, FALSE)</f>
        <v>3rd age full helmet</v>
      </c>
      <c r="E1414" s="207">
        <f>VLOOKUP($C1414, 'List of log slots'!$A:$E, 5, FALSE)</f>
        <v>10</v>
      </c>
      <c r="F1414" s="208" t="b">
        <f>VLOOKUP(C1414, 'List of log slots'!$A:$C, 3, FALSE)</f>
        <v>0</v>
      </c>
      <c r="G1414" s="209" t="b">
        <f t="shared" si="1093"/>
        <v>0</v>
      </c>
      <c r="H1414" s="210" t="b">
        <f t="shared" si="7"/>
        <v>1</v>
      </c>
      <c r="I1414" s="208" t="b">
        <f t="shared" ref="I1414:J1414" si="1160">FALSE</f>
        <v>0</v>
      </c>
      <c r="J1414" s="208" t="b">
        <f t="shared" si="1160"/>
        <v>0</v>
      </c>
      <c r="K1414" s="214">
        <v>31376.0</v>
      </c>
      <c r="L1414" s="212" t="str">
        <f t="shared" si="3"/>
        <v>n/a</v>
      </c>
      <c r="M1414" s="212" t="str">
        <f t="shared" si="4"/>
        <v>n/a</v>
      </c>
      <c r="N1414" s="207" t="str">
        <f t="shared" si="5"/>
        <v>n/a</v>
      </c>
      <c r="O1414" s="207">
        <f t="shared" si="6"/>
        <v>0.00003187149414</v>
      </c>
    </row>
    <row r="1415" ht="15.75" customHeight="1">
      <c r="A1415" s="207">
        <v>73.0</v>
      </c>
      <c r="B1415" s="6" t="str">
        <f>VLOOKUP($A1415, 'Completion rates'!$A:$E, 2, FALSE)</f>
        <v>Opening master caskets</v>
      </c>
      <c r="C1415" s="207">
        <v>10352.0</v>
      </c>
      <c r="D1415" s="6" t="str">
        <f>VLOOKUP($C1415, 'List of log slots'!$A:$E, 2, FALSE)</f>
        <v>3rd age kiteshield</v>
      </c>
      <c r="E1415" s="207">
        <f>VLOOKUP($C1415, 'List of log slots'!$A:$E, 5, FALSE)</f>
        <v>10</v>
      </c>
      <c r="F1415" s="208" t="b">
        <f>VLOOKUP(C1415, 'List of log slots'!$A:$C, 3, FALSE)</f>
        <v>0</v>
      </c>
      <c r="G1415" s="209" t="b">
        <f t="shared" si="1093"/>
        <v>0</v>
      </c>
      <c r="H1415" s="210" t="b">
        <f t="shared" si="7"/>
        <v>1</v>
      </c>
      <c r="I1415" s="208" t="b">
        <f t="shared" ref="I1415:J1415" si="1161">FALSE</f>
        <v>0</v>
      </c>
      <c r="J1415" s="208" t="b">
        <f t="shared" si="1161"/>
        <v>0</v>
      </c>
      <c r="K1415" s="214">
        <v>31376.0</v>
      </c>
      <c r="L1415" s="212" t="str">
        <f t="shared" si="3"/>
        <v>n/a</v>
      </c>
      <c r="M1415" s="212" t="str">
        <f t="shared" si="4"/>
        <v>n/a</v>
      </c>
      <c r="N1415" s="207" t="str">
        <f t="shared" si="5"/>
        <v>n/a</v>
      </c>
      <c r="O1415" s="207">
        <f t="shared" si="6"/>
        <v>0.00003187149414</v>
      </c>
    </row>
    <row r="1416" ht="15.75" customHeight="1">
      <c r="A1416" s="207">
        <v>73.0</v>
      </c>
      <c r="B1416" s="6" t="str">
        <f>VLOOKUP($A1416, 'Completion rates'!$A:$E, 2, FALSE)</f>
        <v>Opening master caskets</v>
      </c>
      <c r="C1416" s="207">
        <v>23339.0</v>
      </c>
      <c r="D1416" s="6" t="str">
        <f>VLOOKUP($C1416, 'List of log slots'!$A:$E, 2, FALSE)</f>
        <v>3rd age druidic robe bottoms</v>
      </c>
      <c r="E1416" s="207">
        <f>VLOOKUP($C1416, 'List of log slots'!$A:$E, 5, FALSE)</f>
        <v>10</v>
      </c>
      <c r="F1416" s="208" t="b">
        <f>VLOOKUP(C1416, 'List of log slots'!$A:$C, 3, FALSE)</f>
        <v>0</v>
      </c>
      <c r="G1416" s="209" t="b">
        <f t="shared" si="1093"/>
        <v>0</v>
      </c>
      <c r="H1416" s="210" t="b">
        <f t="shared" si="7"/>
        <v>1</v>
      </c>
      <c r="I1416" s="208" t="b">
        <f t="shared" ref="I1416:J1416" si="1162">FALSE</f>
        <v>0</v>
      </c>
      <c r="J1416" s="208" t="b">
        <f t="shared" si="1162"/>
        <v>0</v>
      </c>
      <c r="K1416" s="214">
        <v>31376.0</v>
      </c>
      <c r="L1416" s="212" t="str">
        <f t="shared" si="3"/>
        <v>n/a</v>
      </c>
      <c r="M1416" s="212" t="str">
        <f t="shared" si="4"/>
        <v>n/a</v>
      </c>
      <c r="N1416" s="207" t="str">
        <f t="shared" si="5"/>
        <v>n/a</v>
      </c>
      <c r="O1416" s="207">
        <f t="shared" si="6"/>
        <v>0.00003187149414</v>
      </c>
    </row>
    <row r="1417" ht="15.75" customHeight="1">
      <c r="A1417" s="207">
        <v>73.0</v>
      </c>
      <c r="B1417" s="6" t="str">
        <f>VLOOKUP($A1417, 'Completion rates'!$A:$E, 2, FALSE)</f>
        <v>Opening master caskets</v>
      </c>
      <c r="C1417" s="207">
        <v>23336.0</v>
      </c>
      <c r="D1417" s="6" t="str">
        <f>VLOOKUP($C1417, 'List of log slots'!$A:$E, 2, FALSE)</f>
        <v>3rd age druidic robe top</v>
      </c>
      <c r="E1417" s="207">
        <f>VLOOKUP($C1417, 'List of log slots'!$A:$E, 5, FALSE)</f>
        <v>10</v>
      </c>
      <c r="F1417" s="208" t="b">
        <f>VLOOKUP(C1417, 'List of log slots'!$A:$C, 3, FALSE)</f>
        <v>0</v>
      </c>
      <c r="G1417" s="209" t="b">
        <f t="shared" si="1093"/>
        <v>0</v>
      </c>
      <c r="H1417" s="210" t="b">
        <f t="shared" si="7"/>
        <v>1</v>
      </c>
      <c r="I1417" s="208" t="b">
        <f t="shared" ref="I1417:J1417" si="1163">FALSE</f>
        <v>0</v>
      </c>
      <c r="J1417" s="208" t="b">
        <f t="shared" si="1163"/>
        <v>0</v>
      </c>
      <c r="K1417" s="214">
        <v>31376.0</v>
      </c>
      <c r="L1417" s="212" t="str">
        <f t="shared" si="3"/>
        <v>n/a</v>
      </c>
      <c r="M1417" s="212" t="str">
        <f t="shared" si="4"/>
        <v>n/a</v>
      </c>
      <c r="N1417" s="207" t="str">
        <f t="shared" si="5"/>
        <v>n/a</v>
      </c>
      <c r="O1417" s="207">
        <f t="shared" si="6"/>
        <v>0.00003187149414</v>
      </c>
    </row>
    <row r="1418" ht="15.75" customHeight="1">
      <c r="A1418" s="207">
        <v>73.0</v>
      </c>
      <c r="B1418" s="6" t="str">
        <f>VLOOKUP($A1418, 'Completion rates'!$A:$E, 2, FALSE)</f>
        <v>Opening master caskets</v>
      </c>
      <c r="C1418" s="207">
        <v>23342.0</v>
      </c>
      <c r="D1418" s="6" t="str">
        <f>VLOOKUP($C1418, 'List of log slots'!$A:$E, 2, FALSE)</f>
        <v>3rd age druidic staff</v>
      </c>
      <c r="E1418" s="207">
        <f>VLOOKUP($C1418, 'List of log slots'!$A:$E, 5, FALSE)</f>
        <v>10</v>
      </c>
      <c r="F1418" s="209" t="b">
        <f>VLOOKUP(C1418, 'List of log slots'!$A:$C, 3, FALSE)</f>
        <v>0</v>
      </c>
      <c r="G1418" s="209" t="b">
        <f t="shared" si="1093"/>
        <v>0</v>
      </c>
      <c r="H1418" s="210" t="b">
        <f t="shared" si="7"/>
        <v>1</v>
      </c>
      <c r="I1418" s="208" t="b">
        <f t="shared" ref="I1418:J1418" si="1164">FALSE</f>
        <v>0</v>
      </c>
      <c r="J1418" s="208" t="b">
        <f t="shared" si="1164"/>
        <v>0</v>
      </c>
      <c r="K1418" s="214">
        <v>31376.0</v>
      </c>
      <c r="L1418" s="212" t="str">
        <f t="shared" si="3"/>
        <v>n/a</v>
      </c>
      <c r="M1418" s="212" t="str">
        <f t="shared" si="4"/>
        <v>n/a</v>
      </c>
      <c r="N1418" s="207" t="str">
        <f t="shared" si="5"/>
        <v>n/a</v>
      </c>
      <c r="O1418" s="207">
        <f t="shared" si="6"/>
        <v>0.00003187149414</v>
      </c>
    </row>
    <row r="1419" ht="15.75" customHeight="1">
      <c r="A1419" s="207">
        <v>73.0</v>
      </c>
      <c r="B1419" s="6" t="str">
        <f>VLOOKUP($A1419, 'Completion rates'!$A:$E, 2, FALSE)</f>
        <v>Opening master caskets</v>
      </c>
      <c r="C1419" s="207">
        <v>23345.0</v>
      </c>
      <c r="D1419" s="6" t="str">
        <f>VLOOKUP($C1419, 'List of log slots'!$A:$E, 2, FALSE)</f>
        <v>3rd age druidic cloak</v>
      </c>
      <c r="E1419" s="207">
        <f>VLOOKUP($C1419, 'List of log slots'!$A:$E, 5, FALSE)</f>
        <v>10</v>
      </c>
      <c r="F1419" s="209" t="b">
        <f>VLOOKUP(C1419, 'List of log slots'!$A:$C, 3, FALSE)</f>
        <v>0</v>
      </c>
      <c r="G1419" s="209" t="b">
        <f t="shared" si="1093"/>
        <v>0</v>
      </c>
      <c r="H1419" s="210" t="b">
        <f t="shared" si="7"/>
        <v>1</v>
      </c>
      <c r="I1419" s="208" t="b">
        <f t="shared" ref="I1419:J1419" si="1165">FALSE</f>
        <v>0</v>
      </c>
      <c r="J1419" s="208" t="b">
        <f t="shared" si="1165"/>
        <v>0</v>
      </c>
      <c r="K1419" s="214">
        <v>31376.0</v>
      </c>
      <c r="L1419" s="212" t="str">
        <f t="shared" si="3"/>
        <v>n/a</v>
      </c>
      <c r="M1419" s="212" t="str">
        <f t="shared" si="4"/>
        <v>n/a</v>
      </c>
      <c r="N1419" s="207" t="str">
        <f t="shared" si="5"/>
        <v>n/a</v>
      </c>
      <c r="O1419" s="207">
        <f t="shared" si="6"/>
        <v>0.00003187149414</v>
      </c>
    </row>
    <row r="1420" ht="15.75" customHeight="1">
      <c r="A1420" s="207">
        <v>73.0</v>
      </c>
      <c r="B1420" s="6" t="str">
        <f>VLOOKUP($A1420, 'Completion rates'!$A:$E, 2, FALSE)</f>
        <v>Opening master caskets</v>
      </c>
      <c r="C1420" s="207">
        <v>12389.0</v>
      </c>
      <c r="D1420" s="6" t="str">
        <f>VLOOKUP($C1420, 'List of log slots'!$A:$E, 2, FALSE)</f>
        <v>Gilded scimitar</v>
      </c>
      <c r="E1420" s="207">
        <f>VLOOKUP($C1420, 'List of log slots'!$A:$E, 5, FALSE)</f>
        <v>9</v>
      </c>
      <c r="F1420" s="209" t="b">
        <f>VLOOKUP(C1420, 'List of log slots'!$A:$C, 3, FALSE)</f>
        <v>0</v>
      </c>
      <c r="G1420" s="209" t="b">
        <f t="shared" si="1093"/>
        <v>0</v>
      </c>
      <c r="H1420" s="210" t="b">
        <f t="shared" si="7"/>
        <v>1</v>
      </c>
      <c r="I1420" s="208" t="b">
        <f t="shared" ref="I1420:J1420" si="1166">FALSE</f>
        <v>0</v>
      </c>
      <c r="J1420" s="208" t="b">
        <f t="shared" si="1166"/>
        <v>0</v>
      </c>
      <c r="K1420" s="214">
        <v>2269.0</v>
      </c>
      <c r="L1420" s="212" t="str">
        <f t="shared" si="3"/>
        <v>n/a</v>
      </c>
      <c r="M1420" s="212" t="str">
        <f t="shared" si="4"/>
        <v>n/a</v>
      </c>
      <c r="N1420" s="207" t="str">
        <f t="shared" si="5"/>
        <v>n/a</v>
      </c>
      <c r="O1420" s="207">
        <f t="shared" si="6"/>
        <v>0.0004407227854</v>
      </c>
    </row>
    <row r="1421" ht="15.75" customHeight="1">
      <c r="A1421" s="207">
        <v>73.0</v>
      </c>
      <c r="B1421" s="6" t="str">
        <f>VLOOKUP($A1421, 'Completion rates'!$A:$E, 2, FALSE)</f>
        <v>Opening master caskets</v>
      </c>
      <c r="C1421" s="207">
        <v>12391.0</v>
      </c>
      <c r="D1421" s="6" t="str">
        <f>VLOOKUP($C1421, 'List of log slots'!$A:$E, 2, FALSE)</f>
        <v>Gilded boots</v>
      </c>
      <c r="E1421" s="207">
        <f>VLOOKUP($C1421, 'List of log slots'!$A:$E, 5, FALSE)</f>
        <v>9</v>
      </c>
      <c r="F1421" s="209" t="b">
        <f>VLOOKUP(C1421, 'List of log slots'!$A:$C, 3, FALSE)</f>
        <v>0</v>
      </c>
      <c r="G1421" s="209" t="b">
        <f t="shared" si="1093"/>
        <v>0</v>
      </c>
      <c r="H1421" s="210" t="b">
        <f t="shared" si="7"/>
        <v>1</v>
      </c>
      <c r="I1421" s="208" t="b">
        <f t="shared" ref="I1421:J1421" si="1167">FALSE</f>
        <v>0</v>
      </c>
      <c r="J1421" s="208" t="b">
        <f t="shared" si="1167"/>
        <v>0</v>
      </c>
      <c r="K1421" s="214">
        <v>2269.0</v>
      </c>
      <c r="L1421" s="212" t="str">
        <f t="shared" si="3"/>
        <v>n/a</v>
      </c>
      <c r="M1421" s="212" t="str">
        <f t="shared" si="4"/>
        <v>n/a</v>
      </c>
      <c r="N1421" s="207" t="str">
        <f t="shared" si="5"/>
        <v>n/a</v>
      </c>
      <c r="O1421" s="207">
        <f t="shared" si="6"/>
        <v>0.0004407227854</v>
      </c>
    </row>
    <row r="1422" ht="15.75" customHeight="1">
      <c r="A1422" s="207">
        <v>73.0</v>
      </c>
      <c r="B1422" s="6" t="str">
        <f>VLOOKUP($A1422, 'Completion rates'!$A:$E, 2, FALSE)</f>
        <v>Opening master caskets</v>
      </c>
      <c r="C1422" s="207">
        <v>3481.0</v>
      </c>
      <c r="D1422" s="6" t="str">
        <f>VLOOKUP($C1422, 'List of log slots'!$A:$E, 2, FALSE)</f>
        <v>Gilded platebody</v>
      </c>
      <c r="E1422" s="207">
        <f>VLOOKUP($C1422, 'List of log slots'!$A:$E, 5, FALSE)</f>
        <v>9</v>
      </c>
      <c r="F1422" s="209" t="b">
        <f>VLOOKUP(C1422, 'List of log slots'!$A:$C, 3, FALSE)</f>
        <v>0</v>
      </c>
      <c r="G1422" s="209" t="b">
        <f t="shared" si="1093"/>
        <v>0</v>
      </c>
      <c r="H1422" s="210" t="b">
        <f t="shared" si="7"/>
        <v>1</v>
      </c>
      <c r="I1422" s="208" t="b">
        <f t="shared" ref="I1422:J1422" si="1168">FALSE</f>
        <v>0</v>
      </c>
      <c r="J1422" s="208" t="b">
        <f t="shared" si="1168"/>
        <v>0</v>
      </c>
      <c r="K1422" s="214">
        <v>24963.0</v>
      </c>
      <c r="L1422" s="212" t="str">
        <f t="shared" si="3"/>
        <v>n/a</v>
      </c>
      <c r="M1422" s="212" t="str">
        <f t="shared" si="4"/>
        <v>n/a</v>
      </c>
      <c r="N1422" s="207" t="str">
        <f t="shared" si="5"/>
        <v>n/a</v>
      </c>
      <c r="O1422" s="207">
        <f t="shared" si="6"/>
        <v>0.00004005928775</v>
      </c>
    </row>
    <row r="1423" ht="15.75" customHeight="1">
      <c r="A1423" s="207">
        <v>73.0</v>
      </c>
      <c r="B1423" s="6" t="str">
        <f>VLOOKUP($A1423, 'Completion rates'!$A:$E, 2, FALSE)</f>
        <v>Opening master caskets</v>
      </c>
      <c r="C1423" s="207">
        <v>3483.0</v>
      </c>
      <c r="D1423" s="6" t="str">
        <f>VLOOKUP($C1423, 'List of log slots'!$A:$E, 2, FALSE)</f>
        <v>Gilded platelegs</v>
      </c>
      <c r="E1423" s="207">
        <f>VLOOKUP($C1423, 'List of log slots'!$A:$E, 5, FALSE)</f>
        <v>9</v>
      </c>
      <c r="F1423" s="210" t="b">
        <f>VLOOKUP(C1423, 'List of log slots'!$A:$C, 3, FALSE)</f>
        <v>0</v>
      </c>
      <c r="G1423" s="209" t="b">
        <f t="shared" si="1093"/>
        <v>0</v>
      </c>
      <c r="H1423" s="209" t="b">
        <f t="shared" si="7"/>
        <v>1</v>
      </c>
      <c r="I1423" s="208" t="b">
        <f t="shared" ref="I1423:J1423" si="1169">FALSE</f>
        <v>0</v>
      </c>
      <c r="J1423" s="208" t="b">
        <f t="shared" si="1169"/>
        <v>0</v>
      </c>
      <c r="K1423" s="214">
        <v>24963.0</v>
      </c>
      <c r="L1423" s="212" t="str">
        <f t="shared" si="3"/>
        <v>n/a</v>
      </c>
      <c r="M1423" s="212" t="str">
        <f t="shared" si="4"/>
        <v>n/a</v>
      </c>
      <c r="N1423" s="207" t="str">
        <f t="shared" si="5"/>
        <v>n/a</v>
      </c>
      <c r="O1423" s="207">
        <f t="shared" si="6"/>
        <v>0.00004005928775</v>
      </c>
    </row>
    <row r="1424" ht="15.75" customHeight="1">
      <c r="A1424" s="207">
        <v>73.0</v>
      </c>
      <c r="B1424" s="6" t="str">
        <f>VLOOKUP($A1424, 'Completion rates'!$A:$E, 2, FALSE)</f>
        <v>Opening master caskets</v>
      </c>
      <c r="C1424" s="207">
        <v>3485.0</v>
      </c>
      <c r="D1424" s="6" t="str">
        <f>VLOOKUP($C1424, 'List of log slots'!$A:$E, 2, FALSE)</f>
        <v>Gilded plateskirt</v>
      </c>
      <c r="E1424" s="207">
        <f>VLOOKUP($C1424, 'List of log slots'!$A:$E, 5, FALSE)</f>
        <v>9</v>
      </c>
      <c r="F1424" s="209" t="b">
        <f>VLOOKUP(C1424, 'List of log slots'!$A:$C, 3, FALSE)</f>
        <v>0</v>
      </c>
      <c r="G1424" s="209" t="b">
        <f t="shared" si="1093"/>
        <v>0</v>
      </c>
      <c r="H1424" s="210" t="b">
        <f t="shared" si="7"/>
        <v>1</v>
      </c>
      <c r="I1424" s="208" t="b">
        <f t="shared" ref="I1424:J1424" si="1170">FALSE</f>
        <v>0</v>
      </c>
      <c r="J1424" s="208" t="b">
        <f t="shared" si="1170"/>
        <v>0</v>
      </c>
      <c r="K1424" s="214">
        <v>24963.0</v>
      </c>
      <c r="L1424" s="212" t="str">
        <f t="shared" si="3"/>
        <v>n/a</v>
      </c>
      <c r="M1424" s="212" t="str">
        <f t="shared" si="4"/>
        <v>n/a</v>
      </c>
      <c r="N1424" s="207" t="str">
        <f t="shared" si="5"/>
        <v>n/a</v>
      </c>
      <c r="O1424" s="207">
        <f t="shared" si="6"/>
        <v>0.00004005928775</v>
      </c>
    </row>
    <row r="1425" ht="15.75" customHeight="1">
      <c r="A1425" s="207">
        <v>73.0</v>
      </c>
      <c r="B1425" s="6" t="str">
        <f>VLOOKUP($A1425, 'Completion rates'!$A:$E, 2, FALSE)</f>
        <v>Opening master caskets</v>
      </c>
      <c r="C1425" s="207">
        <v>3486.0</v>
      </c>
      <c r="D1425" s="6" t="str">
        <f>VLOOKUP($C1425, 'List of log slots'!$A:$E, 2, FALSE)</f>
        <v>Gilded full helm</v>
      </c>
      <c r="E1425" s="207">
        <f>VLOOKUP($C1425, 'List of log slots'!$A:$E, 5, FALSE)</f>
        <v>9</v>
      </c>
      <c r="F1425" s="209" t="b">
        <f>VLOOKUP(C1425, 'List of log slots'!$A:$C, 3, FALSE)</f>
        <v>0</v>
      </c>
      <c r="G1425" s="209" t="b">
        <f t="shared" si="1093"/>
        <v>0</v>
      </c>
      <c r="H1425" s="210" t="b">
        <f t="shared" si="7"/>
        <v>1</v>
      </c>
      <c r="I1425" s="208" t="b">
        <f t="shared" ref="I1425:J1425" si="1171">FALSE</f>
        <v>0</v>
      </c>
      <c r="J1425" s="208" t="b">
        <f t="shared" si="1171"/>
        <v>0</v>
      </c>
      <c r="K1425" s="214">
        <v>24963.0</v>
      </c>
      <c r="L1425" s="212" t="str">
        <f t="shared" si="3"/>
        <v>n/a</v>
      </c>
      <c r="M1425" s="212" t="str">
        <f t="shared" si="4"/>
        <v>n/a</v>
      </c>
      <c r="N1425" s="207" t="str">
        <f t="shared" si="5"/>
        <v>n/a</v>
      </c>
      <c r="O1425" s="207">
        <f t="shared" si="6"/>
        <v>0.00004005928775</v>
      </c>
    </row>
    <row r="1426" ht="15.75" customHeight="1">
      <c r="A1426" s="207">
        <v>73.0</v>
      </c>
      <c r="B1426" s="6" t="str">
        <f>VLOOKUP($A1426, 'Completion rates'!$A:$E, 2, FALSE)</f>
        <v>Opening master caskets</v>
      </c>
      <c r="C1426" s="207">
        <v>3488.0</v>
      </c>
      <c r="D1426" s="6" t="str">
        <f>VLOOKUP($C1426, 'List of log slots'!$A:$E, 2, FALSE)</f>
        <v>Gilded kiteshield</v>
      </c>
      <c r="E1426" s="207">
        <f>VLOOKUP($C1426, 'List of log slots'!$A:$E, 5, FALSE)</f>
        <v>9</v>
      </c>
      <c r="F1426" s="209" t="b">
        <f>VLOOKUP(C1426, 'List of log slots'!$A:$C, 3, FALSE)</f>
        <v>0</v>
      </c>
      <c r="G1426" s="209" t="b">
        <f t="shared" si="1093"/>
        <v>0</v>
      </c>
      <c r="H1426" s="210" t="b">
        <f t="shared" si="7"/>
        <v>1</v>
      </c>
      <c r="I1426" s="208" t="b">
        <f t="shared" ref="I1426:J1426" si="1172">FALSE</f>
        <v>0</v>
      </c>
      <c r="J1426" s="208" t="b">
        <f t="shared" si="1172"/>
        <v>0</v>
      </c>
      <c r="K1426" s="214">
        <v>24963.0</v>
      </c>
      <c r="L1426" s="212" t="str">
        <f t="shared" si="3"/>
        <v>n/a</v>
      </c>
      <c r="M1426" s="212" t="str">
        <f t="shared" si="4"/>
        <v>n/a</v>
      </c>
      <c r="N1426" s="207" t="str">
        <f t="shared" si="5"/>
        <v>n/a</v>
      </c>
      <c r="O1426" s="207">
        <f t="shared" si="6"/>
        <v>0.00004005928775</v>
      </c>
    </row>
    <row r="1427" ht="15.75" customHeight="1">
      <c r="A1427" s="207">
        <v>73.0</v>
      </c>
      <c r="B1427" s="6" t="str">
        <f>VLOOKUP($A1427, 'Completion rates'!$A:$E, 2, FALSE)</f>
        <v>Opening master caskets</v>
      </c>
      <c r="C1427" s="207">
        <v>20146.0</v>
      </c>
      <c r="D1427" s="6" t="str">
        <f>VLOOKUP($C1427, 'List of log slots'!$A:$E, 2, FALSE)</f>
        <v>Gilded med helm</v>
      </c>
      <c r="E1427" s="207">
        <f>VLOOKUP($C1427, 'List of log slots'!$A:$E, 5, FALSE)</f>
        <v>9</v>
      </c>
      <c r="F1427" s="209" t="b">
        <f>VLOOKUP(C1427, 'List of log slots'!$A:$C, 3, FALSE)</f>
        <v>0</v>
      </c>
      <c r="G1427" s="209" t="b">
        <f t="shared" si="1093"/>
        <v>0</v>
      </c>
      <c r="H1427" s="210" t="b">
        <f t="shared" si="7"/>
        <v>1</v>
      </c>
      <c r="I1427" s="208" t="b">
        <f t="shared" ref="I1427:J1427" si="1173">FALSE</f>
        <v>0</v>
      </c>
      <c r="J1427" s="208" t="b">
        <f t="shared" si="1173"/>
        <v>0</v>
      </c>
      <c r="K1427" s="214">
        <v>24963.0</v>
      </c>
      <c r="L1427" s="212" t="str">
        <f t="shared" si="3"/>
        <v>n/a</v>
      </c>
      <c r="M1427" s="212" t="str">
        <f t="shared" si="4"/>
        <v>n/a</v>
      </c>
      <c r="N1427" s="207" t="str">
        <f t="shared" si="5"/>
        <v>n/a</v>
      </c>
      <c r="O1427" s="207">
        <f t="shared" si="6"/>
        <v>0.00004005928775</v>
      </c>
    </row>
    <row r="1428" ht="15.75" customHeight="1">
      <c r="A1428" s="207">
        <v>73.0</v>
      </c>
      <c r="B1428" s="6" t="str">
        <f>VLOOKUP($A1428, 'Completion rates'!$A:$E, 2, FALSE)</f>
        <v>Opening master caskets</v>
      </c>
      <c r="C1428" s="207">
        <v>20149.0</v>
      </c>
      <c r="D1428" s="6" t="str">
        <f>VLOOKUP($C1428, 'List of log slots'!$A:$E, 2, FALSE)</f>
        <v>Gilded chainbody</v>
      </c>
      <c r="E1428" s="207">
        <f>VLOOKUP($C1428, 'List of log slots'!$A:$E, 5, FALSE)</f>
        <v>9</v>
      </c>
      <c r="F1428" s="209" t="b">
        <f>VLOOKUP(C1428, 'List of log slots'!$A:$C, 3, FALSE)</f>
        <v>0</v>
      </c>
      <c r="G1428" s="209" t="b">
        <f t="shared" si="1093"/>
        <v>0</v>
      </c>
      <c r="H1428" s="210" t="b">
        <f t="shared" si="7"/>
        <v>1</v>
      </c>
      <c r="I1428" s="208" t="b">
        <f t="shared" ref="I1428:J1428" si="1174">FALSE</f>
        <v>0</v>
      </c>
      <c r="J1428" s="208" t="b">
        <f t="shared" si="1174"/>
        <v>0</v>
      </c>
      <c r="K1428" s="214">
        <v>24963.0</v>
      </c>
      <c r="L1428" s="212" t="str">
        <f t="shared" si="3"/>
        <v>n/a</v>
      </c>
      <c r="M1428" s="212" t="str">
        <f t="shared" si="4"/>
        <v>n/a</v>
      </c>
      <c r="N1428" s="207" t="str">
        <f t="shared" si="5"/>
        <v>n/a</v>
      </c>
      <c r="O1428" s="207">
        <f t="shared" si="6"/>
        <v>0.00004005928775</v>
      </c>
    </row>
    <row r="1429" ht="15.75" customHeight="1">
      <c r="A1429" s="207">
        <v>73.0</v>
      </c>
      <c r="B1429" s="6" t="str">
        <f>VLOOKUP($A1429, 'Completion rates'!$A:$E, 2, FALSE)</f>
        <v>Opening master caskets</v>
      </c>
      <c r="C1429" s="207">
        <v>20152.0</v>
      </c>
      <c r="D1429" s="6" t="str">
        <f>VLOOKUP($C1429, 'List of log slots'!$A:$E, 2, FALSE)</f>
        <v>Gilded sq shield</v>
      </c>
      <c r="E1429" s="207">
        <f>VLOOKUP($C1429, 'List of log slots'!$A:$E, 5, FALSE)</f>
        <v>9</v>
      </c>
      <c r="F1429" s="209" t="b">
        <f>VLOOKUP(C1429, 'List of log slots'!$A:$C, 3, FALSE)</f>
        <v>0</v>
      </c>
      <c r="G1429" s="209" t="b">
        <f t="shared" si="1093"/>
        <v>0</v>
      </c>
      <c r="H1429" s="210" t="b">
        <f t="shared" si="7"/>
        <v>1</v>
      </c>
      <c r="I1429" s="208" t="b">
        <f t="shared" ref="I1429:J1429" si="1175">FALSE</f>
        <v>0</v>
      </c>
      <c r="J1429" s="208" t="b">
        <f t="shared" si="1175"/>
        <v>0</v>
      </c>
      <c r="K1429" s="214">
        <v>24963.0</v>
      </c>
      <c r="L1429" s="212" t="str">
        <f t="shared" si="3"/>
        <v>n/a</v>
      </c>
      <c r="M1429" s="212" t="str">
        <f t="shared" si="4"/>
        <v>n/a</v>
      </c>
      <c r="N1429" s="207" t="str">
        <f t="shared" si="5"/>
        <v>n/a</v>
      </c>
      <c r="O1429" s="207">
        <f t="shared" si="6"/>
        <v>0.00004005928775</v>
      </c>
    </row>
    <row r="1430" ht="15.75" customHeight="1">
      <c r="A1430" s="207">
        <v>73.0</v>
      </c>
      <c r="B1430" s="6" t="str">
        <f>VLOOKUP($A1430, 'Completion rates'!$A:$E, 2, FALSE)</f>
        <v>Opening master caskets</v>
      </c>
      <c r="C1430" s="207">
        <v>20155.0</v>
      </c>
      <c r="D1430" s="6" t="str">
        <f>VLOOKUP($C1430, 'List of log slots'!$A:$E, 2, FALSE)</f>
        <v>Gilded 2h sword</v>
      </c>
      <c r="E1430" s="207">
        <f>VLOOKUP($C1430, 'List of log slots'!$A:$E, 5, FALSE)</f>
        <v>9</v>
      </c>
      <c r="F1430" s="209" t="b">
        <f>VLOOKUP(C1430, 'List of log slots'!$A:$C, 3, FALSE)</f>
        <v>0</v>
      </c>
      <c r="G1430" s="209" t="b">
        <f t="shared" si="1093"/>
        <v>0</v>
      </c>
      <c r="H1430" s="210" t="b">
        <f t="shared" si="7"/>
        <v>1</v>
      </c>
      <c r="I1430" s="208" t="b">
        <f t="shared" ref="I1430:J1430" si="1176">FALSE</f>
        <v>0</v>
      </c>
      <c r="J1430" s="208" t="b">
        <f t="shared" si="1176"/>
        <v>0</v>
      </c>
      <c r="K1430" s="214">
        <v>24963.0</v>
      </c>
      <c r="L1430" s="212" t="str">
        <f t="shared" si="3"/>
        <v>n/a</v>
      </c>
      <c r="M1430" s="212" t="str">
        <f t="shared" si="4"/>
        <v>n/a</v>
      </c>
      <c r="N1430" s="207" t="str">
        <f t="shared" si="5"/>
        <v>n/a</v>
      </c>
      <c r="O1430" s="207">
        <f t="shared" si="6"/>
        <v>0.00004005928775</v>
      </c>
    </row>
    <row r="1431" ht="15.75" customHeight="1">
      <c r="A1431" s="207">
        <v>73.0</v>
      </c>
      <c r="B1431" s="6" t="str">
        <f>VLOOKUP($A1431, 'Completion rates'!$A:$E, 2, FALSE)</f>
        <v>Opening master caskets</v>
      </c>
      <c r="C1431" s="207">
        <v>20158.0</v>
      </c>
      <c r="D1431" s="6" t="str">
        <f>VLOOKUP($C1431, 'List of log slots'!$A:$E, 2, FALSE)</f>
        <v>Gilded spear</v>
      </c>
      <c r="E1431" s="207">
        <f>VLOOKUP($C1431, 'List of log slots'!$A:$E, 5, FALSE)</f>
        <v>9</v>
      </c>
      <c r="F1431" s="209" t="b">
        <f>VLOOKUP(C1431, 'List of log slots'!$A:$C, 3, FALSE)</f>
        <v>0</v>
      </c>
      <c r="G1431" s="209" t="b">
        <f t="shared" si="1093"/>
        <v>0</v>
      </c>
      <c r="H1431" s="210" t="b">
        <f t="shared" si="7"/>
        <v>1</v>
      </c>
      <c r="I1431" s="208" t="b">
        <f t="shared" ref="I1431:J1431" si="1177">FALSE</f>
        <v>0</v>
      </c>
      <c r="J1431" s="208" t="b">
        <f t="shared" si="1177"/>
        <v>0</v>
      </c>
      <c r="K1431" s="214">
        <v>24963.0</v>
      </c>
      <c r="L1431" s="212" t="str">
        <f t="shared" si="3"/>
        <v>n/a</v>
      </c>
      <c r="M1431" s="212" t="str">
        <f t="shared" si="4"/>
        <v>n/a</v>
      </c>
      <c r="N1431" s="207" t="str">
        <f t="shared" si="5"/>
        <v>n/a</v>
      </c>
      <c r="O1431" s="207">
        <f t="shared" si="6"/>
        <v>0.00004005928775</v>
      </c>
    </row>
    <row r="1432" ht="15.75" customHeight="1">
      <c r="A1432" s="207">
        <v>73.0</v>
      </c>
      <c r="B1432" s="6" t="str">
        <f>VLOOKUP($A1432, 'Completion rates'!$A:$E, 2, FALSE)</f>
        <v>Opening master caskets</v>
      </c>
      <c r="C1432" s="207">
        <v>20161.0</v>
      </c>
      <c r="D1432" s="6" t="str">
        <f>VLOOKUP($C1432, 'List of log slots'!$A:$E, 2, FALSE)</f>
        <v>Gilded hasta</v>
      </c>
      <c r="E1432" s="207">
        <f>VLOOKUP($C1432, 'List of log slots'!$A:$E, 5, FALSE)</f>
        <v>9</v>
      </c>
      <c r="F1432" s="210" t="b">
        <f>VLOOKUP(C1432, 'List of log slots'!$A:$C, 3, FALSE)</f>
        <v>0</v>
      </c>
      <c r="G1432" s="209" t="b">
        <f t="shared" si="1093"/>
        <v>0</v>
      </c>
      <c r="H1432" s="209" t="b">
        <f t="shared" si="7"/>
        <v>1</v>
      </c>
      <c r="I1432" s="208" t="b">
        <f t="shared" ref="I1432:J1432" si="1178">FALSE</f>
        <v>0</v>
      </c>
      <c r="J1432" s="208" t="b">
        <f t="shared" si="1178"/>
        <v>0</v>
      </c>
      <c r="K1432" s="214">
        <v>24963.0</v>
      </c>
      <c r="L1432" s="212" t="str">
        <f t="shared" si="3"/>
        <v>n/a</v>
      </c>
      <c r="M1432" s="212" t="str">
        <f t="shared" si="4"/>
        <v>n/a</v>
      </c>
      <c r="N1432" s="207" t="str">
        <f t="shared" si="5"/>
        <v>n/a</v>
      </c>
      <c r="O1432" s="207">
        <f t="shared" si="6"/>
        <v>0.00004005928775</v>
      </c>
    </row>
    <row r="1433" ht="15.75" customHeight="1">
      <c r="A1433" s="207">
        <v>73.0</v>
      </c>
      <c r="B1433" s="6" t="str">
        <f>VLOOKUP($A1433, 'Completion rates'!$A:$E, 2, FALSE)</f>
        <v>Opening master caskets</v>
      </c>
      <c r="C1433" s="207">
        <v>23258.0</v>
      </c>
      <c r="D1433" s="6" t="str">
        <f>VLOOKUP($C1433, 'List of log slots'!$A:$E, 2, FALSE)</f>
        <v>Gilded coif</v>
      </c>
      <c r="E1433" s="207">
        <f>VLOOKUP($C1433, 'List of log slots'!$A:$E, 5, FALSE)</f>
        <v>9</v>
      </c>
      <c r="F1433" s="209" t="b">
        <f>VLOOKUP(C1433, 'List of log slots'!$A:$C, 3, FALSE)</f>
        <v>0</v>
      </c>
      <c r="G1433" s="209" t="b">
        <f t="shared" si="1093"/>
        <v>0</v>
      </c>
      <c r="H1433" s="210" t="b">
        <f t="shared" si="7"/>
        <v>1</v>
      </c>
      <c r="I1433" s="208" t="b">
        <f t="shared" ref="I1433:J1433" si="1179">FALSE</f>
        <v>0</v>
      </c>
      <c r="J1433" s="208" t="b">
        <f t="shared" si="1179"/>
        <v>0</v>
      </c>
      <c r="K1433" s="214">
        <v>2269.0</v>
      </c>
      <c r="L1433" s="212" t="str">
        <f t="shared" si="3"/>
        <v>n/a</v>
      </c>
      <c r="M1433" s="212" t="str">
        <f t="shared" si="4"/>
        <v>n/a</v>
      </c>
      <c r="N1433" s="207" t="str">
        <f t="shared" si="5"/>
        <v>n/a</v>
      </c>
      <c r="O1433" s="207">
        <f t="shared" si="6"/>
        <v>0.0004407227854</v>
      </c>
    </row>
    <row r="1434" ht="15.75" customHeight="1">
      <c r="A1434" s="207">
        <v>73.0</v>
      </c>
      <c r="B1434" s="6" t="str">
        <f>VLOOKUP($A1434, 'Completion rates'!$A:$E, 2, FALSE)</f>
        <v>Opening master caskets</v>
      </c>
      <c r="C1434" s="207">
        <v>23261.0</v>
      </c>
      <c r="D1434" s="6" t="str">
        <f>VLOOKUP($C1434, 'List of log slots'!$A:$E, 2, FALSE)</f>
        <v>Gilded d'hide vambraces</v>
      </c>
      <c r="E1434" s="207">
        <f>VLOOKUP($C1434, 'List of log slots'!$A:$E, 5, FALSE)</f>
        <v>9</v>
      </c>
      <c r="F1434" s="209" t="b">
        <f>VLOOKUP(C1434, 'List of log slots'!$A:$C, 3, FALSE)</f>
        <v>0</v>
      </c>
      <c r="G1434" s="209" t="b">
        <f t="shared" si="1093"/>
        <v>0</v>
      </c>
      <c r="H1434" s="210" t="b">
        <f t="shared" si="7"/>
        <v>1</v>
      </c>
      <c r="I1434" s="208" t="b">
        <f t="shared" ref="I1434:J1434" si="1180">FALSE</f>
        <v>0</v>
      </c>
      <c r="J1434" s="208" t="b">
        <f t="shared" si="1180"/>
        <v>0</v>
      </c>
      <c r="K1434" s="214">
        <v>2269.0</v>
      </c>
      <c r="L1434" s="212" t="str">
        <f t="shared" si="3"/>
        <v>n/a</v>
      </c>
      <c r="M1434" s="212" t="str">
        <f t="shared" si="4"/>
        <v>n/a</v>
      </c>
      <c r="N1434" s="207" t="str">
        <f t="shared" si="5"/>
        <v>n/a</v>
      </c>
      <c r="O1434" s="207">
        <f t="shared" si="6"/>
        <v>0.0004407227854</v>
      </c>
    </row>
    <row r="1435" ht="15.75" customHeight="1">
      <c r="A1435" s="207">
        <v>73.0</v>
      </c>
      <c r="B1435" s="6" t="str">
        <f>VLOOKUP($A1435, 'Completion rates'!$A:$E, 2, FALSE)</f>
        <v>Opening master caskets</v>
      </c>
      <c r="C1435" s="207">
        <v>23264.0</v>
      </c>
      <c r="D1435" s="6" t="str">
        <f>VLOOKUP($C1435, 'List of log slots'!$A:$E, 2, FALSE)</f>
        <v>Gilded d'hide body</v>
      </c>
      <c r="E1435" s="207">
        <f>VLOOKUP($C1435, 'List of log slots'!$A:$E, 5, FALSE)</f>
        <v>9</v>
      </c>
      <c r="F1435" s="209" t="b">
        <f>VLOOKUP(C1435, 'List of log slots'!$A:$C, 3, FALSE)</f>
        <v>0</v>
      </c>
      <c r="G1435" s="209" t="b">
        <f t="shared" si="1093"/>
        <v>0</v>
      </c>
      <c r="H1435" s="210" t="b">
        <f t="shared" si="7"/>
        <v>1</v>
      </c>
      <c r="I1435" s="208" t="b">
        <f t="shared" ref="I1435:J1435" si="1181">FALSE</f>
        <v>0</v>
      </c>
      <c r="J1435" s="208" t="b">
        <f t="shared" si="1181"/>
        <v>0</v>
      </c>
      <c r="K1435" s="214">
        <v>2269.0</v>
      </c>
      <c r="L1435" s="212" t="str">
        <f t="shared" si="3"/>
        <v>n/a</v>
      </c>
      <c r="M1435" s="212" t="str">
        <f t="shared" si="4"/>
        <v>n/a</v>
      </c>
      <c r="N1435" s="207" t="str">
        <f t="shared" si="5"/>
        <v>n/a</v>
      </c>
      <c r="O1435" s="207">
        <f t="shared" si="6"/>
        <v>0.0004407227854</v>
      </c>
    </row>
    <row r="1436" ht="15.75" customHeight="1">
      <c r="A1436" s="207">
        <v>73.0</v>
      </c>
      <c r="B1436" s="6" t="str">
        <f>VLOOKUP($A1436, 'Completion rates'!$A:$E, 2, FALSE)</f>
        <v>Opening master caskets</v>
      </c>
      <c r="C1436" s="207">
        <v>23267.0</v>
      </c>
      <c r="D1436" s="6" t="str">
        <f>VLOOKUP($C1436, 'List of log slots'!$A:$E, 2, FALSE)</f>
        <v>Gilded d'hide chaps</v>
      </c>
      <c r="E1436" s="207">
        <f>VLOOKUP($C1436, 'List of log slots'!$A:$E, 5, FALSE)</f>
        <v>9</v>
      </c>
      <c r="F1436" s="209" t="b">
        <f>VLOOKUP(C1436, 'List of log slots'!$A:$C, 3, FALSE)</f>
        <v>0</v>
      </c>
      <c r="G1436" s="209" t="b">
        <f t="shared" si="1093"/>
        <v>0</v>
      </c>
      <c r="H1436" s="210" t="b">
        <f t="shared" si="7"/>
        <v>1</v>
      </c>
      <c r="I1436" s="208" t="b">
        <f t="shared" ref="I1436:J1436" si="1182">FALSE</f>
        <v>0</v>
      </c>
      <c r="J1436" s="208" t="b">
        <f t="shared" si="1182"/>
        <v>0</v>
      </c>
      <c r="K1436" s="214">
        <v>2269.0</v>
      </c>
      <c r="L1436" s="212" t="str">
        <f t="shared" si="3"/>
        <v>n/a</v>
      </c>
      <c r="M1436" s="212" t="str">
        <f t="shared" si="4"/>
        <v>n/a</v>
      </c>
      <c r="N1436" s="207" t="str">
        <f t="shared" si="5"/>
        <v>n/a</v>
      </c>
      <c r="O1436" s="207">
        <f t="shared" si="6"/>
        <v>0.0004407227854</v>
      </c>
    </row>
    <row r="1437" ht="15.75" customHeight="1">
      <c r="A1437" s="207">
        <v>73.0</v>
      </c>
      <c r="B1437" s="6" t="str">
        <f>VLOOKUP($A1437, 'Completion rates'!$A:$E, 2, FALSE)</f>
        <v>Opening master caskets</v>
      </c>
      <c r="C1437" s="207">
        <v>23276.0</v>
      </c>
      <c r="D1437" s="6" t="str">
        <f>VLOOKUP($C1437, 'List of log slots'!$A:$E, 2, FALSE)</f>
        <v>Gilded pickaxe</v>
      </c>
      <c r="E1437" s="207">
        <f>VLOOKUP($C1437, 'List of log slots'!$A:$E, 5, FALSE)</f>
        <v>9</v>
      </c>
      <c r="F1437" s="209" t="b">
        <f>VLOOKUP(C1437, 'List of log slots'!$A:$C, 3, FALSE)</f>
        <v>0</v>
      </c>
      <c r="G1437" s="209" t="b">
        <f t="shared" si="1093"/>
        <v>0</v>
      </c>
      <c r="H1437" s="210" t="b">
        <f t="shared" si="7"/>
        <v>1</v>
      </c>
      <c r="I1437" s="208" t="b">
        <f t="shared" ref="I1437:J1437" si="1183">FALSE</f>
        <v>0</v>
      </c>
      <c r="J1437" s="208" t="b">
        <f t="shared" si="1183"/>
        <v>0</v>
      </c>
      <c r="K1437" s="214">
        <v>2269.0</v>
      </c>
      <c r="L1437" s="212" t="str">
        <f t="shared" si="3"/>
        <v>n/a</v>
      </c>
      <c r="M1437" s="212" t="str">
        <f t="shared" si="4"/>
        <v>n/a</v>
      </c>
      <c r="N1437" s="207" t="str">
        <f t="shared" si="5"/>
        <v>n/a</v>
      </c>
      <c r="O1437" s="207">
        <f t="shared" si="6"/>
        <v>0.0004407227854</v>
      </c>
    </row>
    <row r="1438" ht="15.75" customHeight="1">
      <c r="A1438" s="207">
        <v>73.0</v>
      </c>
      <c r="B1438" s="6" t="str">
        <f>VLOOKUP($A1438, 'Completion rates'!$A:$E, 2, FALSE)</f>
        <v>Opening master caskets</v>
      </c>
      <c r="C1438" s="207">
        <v>23279.0</v>
      </c>
      <c r="D1438" s="6" t="str">
        <f>VLOOKUP($C1438, 'List of log slots'!$A:$E, 2, FALSE)</f>
        <v>Gilded axe</v>
      </c>
      <c r="E1438" s="207">
        <f>VLOOKUP($C1438, 'List of log slots'!$A:$E, 5, FALSE)</f>
        <v>9</v>
      </c>
      <c r="F1438" s="209" t="b">
        <f>VLOOKUP(C1438, 'List of log slots'!$A:$C, 3, FALSE)</f>
        <v>0</v>
      </c>
      <c r="G1438" s="209" t="b">
        <f t="shared" si="1093"/>
        <v>0</v>
      </c>
      <c r="H1438" s="210" t="b">
        <f t="shared" si="7"/>
        <v>1</v>
      </c>
      <c r="I1438" s="208" t="b">
        <f t="shared" ref="I1438:J1438" si="1184">FALSE</f>
        <v>0</v>
      </c>
      <c r="J1438" s="208" t="b">
        <f t="shared" si="1184"/>
        <v>0</v>
      </c>
      <c r="K1438" s="214">
        <v>2269.0</v>
      </c>
      <c r="L1438" s="212" t="str">
        <f t="shared" si="3"/>
        <v>n/a</v>
      </c>
      <c r="M1438" s="212" t="str">
        <f t="shared" si="4"/>
        <v>n/a</v>
      </c>
      <c r="N1438" s="207" t="str">
        <f t="shared" si="5"/>
        <v>n/a</v>
      </c>
      <c r="O1438" s="207">
        <f t="shared" si="6"/>
        <v>0.0004407227854</v>
      </c>
    </row>
    <row r="1439" ht="15.75" customHeight="1">
      <c r="A1439" s="207">
        <v>73.0</v>
      </c>
      <c r="B1439" s="6" t="str">
        <f>VLOOKUP($A1439, 'Completion rates'!$A:$E, 2, FALSE)</f>
        <v>Opening master caskets</v>
      </c>
      <c r="C1439" s="207">
        <v>23282.0</v>
      </c>
      <c r="D1439" s="6" t="str">
        <f>VLOOKUP($C1439, 'List of log slots'!$A:$E, 2, FALSE)</f>
        <v>Gilded spade</v>
      </c>
      <c r="E1439" s="207">
        <f>VLOOKUP($C1439, 'List of log slots'!$A:$E, 5, FALSE)</f>
        <v>9</v>
      </c>
      <c r="F1439" s="209" t="b">
        <f>VLOOKUP(C1439, 'List of log slots'!$A:$C, 3, FALSE)</f>
        <v>0</v>
      </c>
      <c r="G1439" s="209" t="b">
        <f t="shared" si="1093"/>
        <v>0</v>
      </c>
      <c r="H1439" s="210" t="b">
        <f t="shared" si="7"/>
        <v>1</v>
      </c>
      <c r="I1439" s="208" t="b">
        <f t="shared" ref="I1439:J1439" si="1185">FALSE</f>
        <v>0</v>
      </c>
      <c r="J1439" s="208" t="b">
        <f t="shared" si="1185"/>
        <v>0</v>
      </c>
      <c r="K1439" s="214">
        <v>2269.0</v>
      </c>
      <c r="L1439" s="212" t="str">
        <f t="shared" si="3"/>
        <v>n/a</v>
      </c>
      <c r="M1439" s="212" t="str">
        <f t="shared" si="4"/>
        <v>n/a</v>
      </c>
      <c r="N1439" s="207" t="str">
        <f t="shared" si="5"/>
        <v>n/a</v>
      </c>
      <c r="O1439" s="207">
        <f t="shared" si="6"/>
        <v>0.0004407227854</v>
      </c>
    </row>
    <row r="1440" ht="15.75" customHeight="1">
      <c r="A1440" s="207">
        <v>73.0</v>
      </c>
      <c r="B1440" s="6" t="str">
        <f>VLOOKUP($A1440, 'Completion rates'!$A:$E, 2, FALSE)</f>
        <v>Opening master caskets</v>
      </c>
      <c r="C1440" s="207">
        <v>20059.0</v>
      </c>
      <c r="D1440" s="6" t="str">
        <f>VLOOKUP($C1440, 'List of log slots'!$A:$E, 2, FALSE)</f>
        <v>Bucket helm (g)</v>
      </c>
      <c r="E1440" s="207">
        <f>VLOOKUP($C1440, 'List of log slots'!$A:$E, 5, FALSE)</f>
        <v>9</v>
      </c>
      <c r="F1440" s="209" t="b">
        <f>VLOOKUP(C1440, 'List of log slots'!$A:$C, 3, FALSE)</f>
        <v>0</v>
      </c>
      <c r="G1440" s="209" t="b">
        <f t="shared" si="1093"/>
        <v>0</v>
      </c>
      <c r="H1440" s="210" t="b">
        <f t="shared" si="7"/>
        <v>1</v>
      </c>
      <c r="I1440" s="208" t="b">
        <f t="shared" ref="I1440:J1440" si="1186">FALSE</f>
        <v>0</v>
      </c>
      <c r="J1440" s="208" t="b">
        <f t="shared" si="1186"/>
        <v>0</v>
      </c>
      <c r="K1440" s="214">
        <v>2269.0</v>
      </c>
      <c r="L1440" s="212" t="str">
        <f t="shared" si="3"/>
        <v>n/a</v>
      </c>
      <c r="M1440" s="212" t="str">
        <f t="shared" si="4"/>
        <v>n/a</v>
      </c>
      <c r="N1440" s="207" t="str">
        <f t="shared" si="5"/>
        <v>n/a</v>
      </c>
      <c r="O1440" s="207">
        <f t="shared" si="6"/>
        <v>0.0004407227854</v>
      </c>
    </row>
    <row r="1441" ht="15.75" customHeight="1">
      <c r="A1441" s="207">
        <v>73.0</v>
      </c>
      <c r="B1441" s="6" t="str">
        <f>VLOOKUP($A1441, 'Completion rates'!$A:$E, 2, FALSE)</f>
        <v>Opening master caskets</v>
      </c>
      <c r="C1441" s="207">
        <v>20017.0</v>
      </c>
      <c r="D1441" s="6" t="str">
        <f>VLOOKUP($C1441, 'List of log slots'!$A:$E, 2, FALSE)</f>
        <v>Ring of coins</v>
      </c>
      <c r="E1441" s="207">
        <f>VLOOKUP($C1441, 'List of log slots'!$A:$E, 5, FALSE)</f>
        <v>9</v>
      </c>
      <c r="F1441" s="209" t="b">
        <f>VLOOKUP(C1441, 'List of log slots'!$A:$C, 3, FALSE)</f>
        <v>0</v>
      </c>
      <c r="G1441" s="209" t="b">
        <f t="shared" si="1093"/>
        <v>0</v>
      </c>
      <c r="H1441" s="210" t="b">
        <f t="shared" si="7"/>
        <v>1</v>
      </c>
      <c r="I1441" s="208" t="b">
        <f t="shared" ref="I1441:J1441" si="1187">FALSE</f>
        <v>0</v>
      </c>
      <c r="J1441" s="208" t="b">
        <f t="shared" si="1187"/>
        <v>0</v>
      </c>
      <c r="K1441" s="214">
        <v>2269.0</v>
      </c>
      <c r="L1441" s="212" t="str">
        <f t="shared" si="3"/>
        <v>n/a</v>
      </c>
      <c r="M1441" s="212" t="str">
        <f t="shared" si="4"/>
        <v>n/a</v>
      </c>
      <c r="N1441" s="207" t="str">
        <f t="shared" si="5"/>
        <v>n/a</v>
      </c>
      <c r="O1441" s="207">
        <f t="shared" si="6"/>
        <v>0.0004407227854</v>
      </c>
    </row>
    <row r="1442" ht="15.75" customHeight="1">
      <c r="A1442" s="207">
        <v>73.0</v>
      </c>
      <c r="B1442" s="6" t="str">
        <f>VLOOKUP($A1442, 'Completion rates'!$A:$E, 2, FALSE)</f>
        <v>Opening master caskets</v>
      </c>
      <c r="C1442" s="207">
        <v>3827.0</v>
      </c>
      <c r="D1442" s="6" t="str">
        <f>VLOOKUP($C1442, 'List of log slots'!$A:$E, 2, FALSE)</f>
        <v>Saradomin page 1</v>
      </c>
      <c r="E1442" s="207">
        <f>VLOOKUP($C1442, 'List of log slots'!$A:$E, 5, FALSE)</f>
        <v>2</v>
      </c>
      <c r="F1442" s="210" t="b">
        <f>VLOOKUP(C1442, 'List of log slots'!$A:$C, 3, FALSE)</f>
        <v>0</v>
      </c>
      <c r="G1442" s="209" t="b">
        <f t="shared" si="1093"/>
        <v>0</v>
      </c>
      <c r="H1442" s="209" t="b">
        <f t="shared" si="7"/>
        <v>1</v>
      </c>
      <c r="I1442" s="208" t="b">
        <f t="shared" ref="I1442:J1442" si="1188">FALSE</f>
        <v>0</v>
      </c>
      <c r="J1442" s="208" t="b">
        <f t="shared" si="1188"/>
        <v>0</v>
      </c>
      <c r="K1442" s="214">
        <v>117.0</v>
      </c>
      <c r="L1442" s="212" t="str">
        <f t="shared" si="3"/>
        <v>n/a</v>
      </c>
      <c r="M1442" s="212" t="str">
        <f t="shared" si="4"/>
        <v>n/a</v>
      </c>
      <c r="N1442" s="207" t="str">
        <f t="shared" si="5"/>
        <v>n/a</v>
      </c>
      <c r="O1442" s="207">
        <f t="shared" si="6"/>
        <v>0.008547008547</v>
      </c>
    </row>
    <row r="1443" ht="15.75" customHeight="1">
      <c r="A1443" s="207">
        <v>73.0</v>
      </c>
      <c r="B1443" s="6" t="str">
        <f>VLOOKUP($A1443, 'Completion rates'!$A:$E, 2, FALSE)</f>
        <v>Opening master caskets</v>
      </c>
      <c r="C1443" s="207">
        <v>3831.0</v>
      </c>
      <c r="D1443" s="6" t="str">
        <f>VLOOKUP($C1443, 'List of log slots'!$A:$E, 2, FALSE)</f>
        <v>Zamorak page 1</v>
      </c>
      <c r="E1443" s="207">
        <f>VLOOKUP($C1443, 'List of log slots'!$A:$E, 5, FALSE)</f>
        <v>2</v>
      </c>
      <c r="F1443" s="210" t="b">
        <f>VLOOKUP(C1443, 'List of log slots'!$A:$C, 3, FALSE)</f>
        <v>0</v>
      </c>
      <c r="G1443" s="209" t="b">
        <f t="shared" si="1093"/>
        <v>0</v>
      </c>
      <c r="H1443" s="209" t="b">
        <f t="shared" si="7"/>
        <v>1</v>
      </c>
      <c r="I1443" s="208" t="b">
        <f t="shared" ref="I1443:J1443" si="1189">FALSE</f>
        <v>0</v>
      </c>
      <c r="J1443" s="208" t="b">
        <f t="shared" si="1189"/>
        <v>0</v>
      </c>
      <c r="K1443" s="214">
        <v>117.0</v>
      </c>
      <c r="L1443" s="212" t="str">
        <f t="shared" si="3"/>
        <v>n/a</v>
      </c>
      <c r="M1443" s="212" t="str">
        <f t="shared" si="4"/>
        <v>n/a</v>
      </c>
      <c r="N1443" s="207" t="str">
        <f t="shared" si="5"/>
        <v>n/a</v>
      </c>
      <c r="O1443" s="207">
        <f t="shared" si="6"/>
        <v>0.008547008547</v>
      </c>
    </row>
    <row r="1444" ht="15.75" customHeight="1">
      <c r="A1444" s="207">
        <v>73.0</v>
      </c>
      <c r="B1444" s="6" t="str">
        <f>VLOOKUP($A1444, 'Completion rates'!$A:$E, 2, FALSE)</f>
        <v>Opening master caskets</v>
      </c>
      <c r="C1444" s="207">
        <v>3835.0</v>
      </c>
      <c r="D1444" s="6" t="str">
        <f>VLOOKUP($C1444, 'List of log slots'!$A:$E, 2, FALSE)</f>
        <v>Guthix page 1</v>
      </c>
      <c r="E1444" s="207">
        <f>VLOOKUP($C1444, 'List of log slots'!$A:$E, 5, FALSE)</f>
        <v>2</v>
      </c>
      <c r="F1444" s="210" t="b">
        <f>VLOOKUP(C1444, 'List of log slots'!$A:$C, 3, FALSE)</f>
        <v>0</v>
      </c>
      <c r="G1444" s="209" t="b">
        <f t="shared" si="1093"/>
        <v>0</v>
      </c>
      <c r="H1444" s="209" t="b">
        <f t="shared" si="7"/>
        <v>1</v>
      </c>
      <c r="I1444" s="208" t="b">
        <f t="shared" ref="I1444:J1444" si="1190">FALSE</f>
        <v>0</v>
      </c>
      <c r="J1444" s="208" t="b">
        <f t="shared" si="1190"/>
        <v>0</v>
      </c>
      <c r="K1444" s="214">
        <v>117.0</v>
      </c>
      <c r="L1444" s="212" t="str">
        <f t="shared" si="3"/>
        <v>n/a</v>
      </c>
      <c r="M1444" s="212" t="str">
        <f t="shared" si="4"/>
        <v>n/a</v>
      </c>
      <c r="N1444" s="207" t="str">
        <f t="shared" si="5"/>
        <v>n/a</v>
      </c>
      <c r="O1444" s="207">
        <f t="shared" si="6"/>
        <v>0.008547008547</v>
      </c>
    </row>
    <row r="1445" ht="15.75" customHeight="1">
      <c r="A1445" s="207">
        <v>73.0</v>
      </c>
      <c r="B1445" s="6" t="str">
        <f>VLOOKUP($A1445, 'Completion rates'!$A:$E, 2, FALSE)</f>
        <v>Opening master caskets</v>
      </c>
      <c r="C1445" s="207">
        <v>12613.0</v>
      </c>
      <c r="D1445" s="6" t="str">
        <f>VLOOKUP($C1445, 'List of log slots'!$A:$E, 2, FALSE)</f>
        <v>Bandos page 1</v>
      </c>
      <c r="E1445" s="207">
        <f>VLOOKUP($C1445, 'List of log slots'!$A:$E, 5, FALSE)</f>
        <v>2</v>
      </c>
      <c r="F1445" s="210" t="b">
        <f>VLOOKUP(C1445, 'List of log slots'!$A:$C, 3, FALSE)</f>
        <v>0</v>
      </c>
      <c r="G1445" s="209" t="b">
        <f t="shared" si="1093"/>
        <v>0</v>
      </c>
      <c r="H1445" s="209" t="b">
        <f t="shared" si="7"/>
        <v>1</v>
      </c>
      <c r="I1445" s="208" t="b">
        <f t="shared" ref="I1445:J1445" si="1191">FALSE</f>
        <v>0</v>
      </c>
      <c r="J1445" s="208" t="b">
        <f t="shared" si="1191"/>
        <v>0</v>
      </c>
      <c r="K1445" s="214">
        <v>117.0</v>
      </c>
      <c r="L1445" s="212" t="str">
        <f t="shared" si="3"/>
        <v>n/a</v>
      </c>
      <c r="M1445" s="212" t="str">
        <f t="shared" si="4"/>
        <v>n/a</v>
      </c>
      <c r="N1445" s="207" t="str">
        <f t="shared" si="5"/>
        <v>n/a</v>
      </c>
      <c r="O1445" s="207">
        <f t="shared" si="6"/>
        <v>0.008547008547</v>
      </c>
    </row>
    <row r="1446" ht="15.75" customHeight="1">
      <c r="A1446" s="207">
        <v>73.0</v>
      </c>
      <c r="B1446" s="6" t="str">
        <f>VLOOKUP($A1446, 'Completion rates'!$A:$E, 2, FALSE)</f>
        <v>Opening master caskets</v>
      </c>
      <c r="C1446" s="207">
        <v>12617.0</v>
      </c>
      <c r="D1446" s="6" t="str">
        <f>VLOOKUP($C1446, 'List of log slots'!$A:$E, 2, FALSE)</f>
        <v>Armadyl page 1</v>
      </c>
      <c r="E1446" s="207">
        <f>VLOOKUP($C1446, 'List of log slots'!$A:$E, 5, FALSE)</f>
        <v>2</v>
      </c>
      <c r="F1446" s="210" t="b">
        <f>VLOOKUP(C1446, 'List of log slots'!$A:$C, 3, FALSE)</f>
        <v>0</v>
      </c>
      <c r="G1446" s="209" t="b">
        <f t="shared" si="1093"/>
        <v>0</v>
      </c>
      <c r="H1446" s="209" t="b">
        <f t="shared" si="7"/>
        <v>1</v>
      </c>
      <c r="I1446" s="208" t="b">
        <f t="shared" ref="I1446:J1446" si="1192">FALSE</f>
        <v>0</v>
      </c>
      <c r="J1446" s="208" t="b">
        <f t="shared" si="1192"/>
        <v>0</v>
      </c>
      <c r="K1446" s="214">
        <v>117.0</v>
      </c>
      <c r="L1446" s="212" t="str">
        <f t="shared" si="3"/>
        <v>n/a</v>
      </c>
      <c r="M1446" s="212" t="str">
        <f t="shared" si="4"/>
        <v>n/a</v>
      </c>
      <c r="N1446" s="207" t="str">
        <f t="shared" si="5"/>
        <v>n/a</v>
      </c>
      <c r="O1446" s="207">
        <f t="shared" si="6"/>
        <v>0.008547008547</v>
      </c>
    </row>
    <row r="1447" ht="15.75" customHeight="1">
      <c r="A1447" s="207">
        <v>73.0</v>
      </c>
      <c r="B1447" s="6" t="str">
        <f>VLOOKUP($A1447, 'Completion rates'!$A:$E, 2, FALSE)</f>
        <v>Opening master caskets</v>
      </c>
      <c r="C1447" s="207">
        <v>12621.0</v>
      </c>
      <c r="D1447" s="6" t="str">
        <f>VLOOKUP($C1447, 'List of log slots'!$A:$E, 2, FALSE)</f>
        <v>Ancient page 1</v>
      </c>
      <c r="E1447" s="207">
        <f>VLOOKUP($C1447, 'List of log slots'!$A:$E, 5, FALSE)</f>
        <v>2</v>
      </c>
      <c r="F1447" s="210" t="b">
        <f>VLOOKUP(C1447, 'List of log slots'!$A:$C, 3, FALSE)</f>
        <v>0</v>
      </c>
      <c r="G1447" s="209" t="b">
        <f t="shared" si="1093"/>
        <v>0</v>
      </c>
      <c r="H1447" s="209" t="b">
        <f t="shared" si="7"/>
        <v>1</v>
      </c>
      <c r="I1447" s="208" t="b">
        <f t="shared" ref="I1447:J1447" si="1193">FALSE</f>
        <v>0</v>
      </c>
      <c r="J1447" s="208" t="b">
        <f t="shared" si="1193"/>
        <v>0</v>
      </c>
      <c r="K1447" s="214">
        <v>117.0</v>
      </c>
      <c r="L1447" s="212" t="str">
        <f t="shared" si="3"/>
        <v>n/a</v>
      </c>
      <c r="M1447" s="212" t="str">
        <f t="shared" si="4"/>
        <v>n/a</v>
      </c>
      <c r="N1447" s="207" t="str">
        <f t="shared" si="5"/>
        <v>n/a</v>
      </c>
      <c r="O1447" s="207">
        <f t="shared" si="6"/>
        <v>0.008547008547</v>
      </c>
    </row>
    <row r="1448" ht="15.75" customHeight="1">
      <c r="A1448" s="207">
        <v>73.0</v>
      </c>
      <c r="B1448" s="6" t="str">
        <f>VLOOKUP($A1448, 'Completion rates'!$A:$E, 2, FALSE)</f>
        <v>Opening master caskets</v>
      </c>
      <c r="C1448" s="207">
        <v>3828.0</v>
      </c>
      <c r="D1448" s="6" t="str">
        <f>VLOOKUP($C1448, 'List of log slots'!$A:$E, 2, FALSE)</f>
        <v>Saradomin page 2</v>
      </c>
      <c r="E1448" s="207">
        <f>VLOOKUP($C1448, 'List of log slots'!$A:$E, 5, FALSE)</f>
        <v>2</v>
      </c>
      <c r="F1448" s="210" t="b">
        <f>VLOOKUP(C1448, 'List of log slots'!$A:$C, 3, FALSE)</f>
        <v>0</v>
      </c>
      <c r="G1448" s="209" t="b">
        <f t="shared" si="1093"/>
        <v>0</v>
      </c>
      <c r="H1448" s="209" t="b">
        <f t="shared" si="7"/>
        <v>1</v>
      </c>
      <c r="I1448" s="208" t="b">
        <f t="shared" ref="I1448:J1448" si="1194">FALSE</f>
        <v>0</v>
      </c>
      <c r="J1448" s="208" t="b">
        <f t="shared" si="1194"/>
        <v>0</v>
      </c>
      <c r="K1448" s="214">
        <v>117.0</v>
      </c>
      <c r="L1448" s="212" t="str">
        <f t="shared" si="3"/>
        <v>n/a</v>
      </c>
      <c r="M1448" s="212" t="str">
        <f t="shared" si="4"/>
        <v>n/a</v>
      </c>
      <c r="N1448" s="207" t="str">
        <f t="shared" si="5"/>
        <v>n/a</v>
      </c>
      <c r="O1448" s="207">
        <f t="shared" si="6"/>
        <v>0.008547008547</v>
      </c>
    </row>
    <row r="1449" ht="15.75" customHeight="1">
      <c r="A1449" s="207">
        <v>73.0</v>
      </c>
      <c r="B1449" s="6" t="str">
        <f>VLOOKUP($A1449, 'Completion rates'!$A:$E, 2, FALSE)</f>
        <v>Opening master caskets</v>
      </c>
      <c r="C1449" s="207">
        <v>3832.0</v>
      </c>
      <c r="D1449" s="6" t="str">
        <f>VLOOKUP($C1449, 'List of log slots'!$A:$E, 2, FALSE)</f>
        <v>Zamorak page 2</v>
      </c>
      <c r="E1449" s="207">
        <f>VLOOKUP($C1449, 'List of log slots'!$A:$E, 5, FALSE)</f>
        <v>2</v>
      </c>
      <c r="F1449" s="210" t="b">
        <f>VLOOKUP(C1449, 'List of log slots'!$A:$C, 3, FALSE)</f>
        <v>0</v>
      </c>
      <c r="G1449" s="209" t="b">
        <f t="shared" si="1093"/>
        <v>0</v>
      </c>
      <c r="H1449" s="209" t="b">
        <f t="shared" si="7"/>
        <v>1</v>
      </c>
      <c r="I1449" s="208" t="b">
        <f t="shared" ref="I1449:J1449" si="1195">FALSE</f>
        <v>0</v>
      </c>
      <c r="J1449" s="208" t="b">
        <f t="shared" si="1195"/>
        <v>0</v>
      </c>
      <c r="K1449" s="214">
        <v>117.0</v>
      </c>
      <c r="L1449" s="212" t="str">
        <f t="shared" si="3"/>
        <v>n/a</v>
      </c>
      <c r="M1449" s="212" t="str">
        <f t="shared" si="4"/>
        <v>n/a</v>
      </c>
      <c r="N1449" s="207" t="str">
        <f t="shared" si="5"/>
        <v>n/a</v>
      </c>
      <c r="O1449" s="207">
        <f t="shared" si="6"/>
        <v>0.008547008547</v>
      </c>
    </row>
    <row r="1450" ht="15.75" customHeight="1">
      <c r="A1450" s="207">
        <v>73.0</v>
      </c>
      <c r="B1450" s="6" t="str">
        <f>VLOOKUP($A1450, 'Completion rates'!$A:$E, 2, FALSE)</f>
        <v>Opening master caskets</v>
      </c>
      <c r="C1450" s="207">
        <v>3836.0</v>
      </c>
      <c r="D1450" s="6" t="str">
        <f>VLOOKUP($C1450, 'List of log slots'!$A:$E, 2, FALSE)</f>
        <v>Guthix page 2</v>
      </c>
      <c r="E1450" s="207">
        <f>VLOOKUP($C1450, 'List of log slots'!$A:$E, 5, FALSE)</f>
        <v>2</v>
      </c>
      <c r="F1450" s="209" t="b">
        <f>VLOOKUP(C1450, 'List of log slots'!$A:$C, 3, FALSE)</f>
        <v>0</v>
      </c>
      <c r="G1450" s="209" t="b">
        <f t="shared" si="1093"/>
        <v>0</v>
      </c>
      <c r="H1450" s="210" t="b">
        <f t="shared" si="7"/>
        <v>1</v>
      </c>
      <c r="I1450" s="208" t="b">
        <f t="shared" ref="I1450:J1450" si="1196">FALSE</f>
        <v>0</v>
      </c>
      <c r="J1450" s="208" t="b">
        <f t="shared" si="1196"/>
        <v>0</v>
      </c>
      <c r="K1450" s="214">
        <v>117.0</v>
      </c>
      <c r="L1450" s="212" t="str">
        <f t="shared" si="3"/>
        <v>n/a</v>
      </c>
      <c r="M1450" s="212" t="str">
        <f t="shared" si="4"/>
        <v>n/a</v>
      </c>
      <c r="N1450" s="207" t="str">
        <f t="shared" si="5"/>
        <v>n/a</v>
      </c>
      <c r="O1450" s="207">
        <f t="shared" si="6"/>
        <v>0.008547008547</v>
      </c>
    </row>
    <row r="1451" ht="15.75" customHeight="1">
      <c r="A1451" s="207">
        <v>73.0</v>
      </c>
      <c r="B1451" s="6" t="str">
        <f>VLOOKUP($A1451, 'Completion rates'!$A:$E, 2, FALSE)</f>
        <v>Opening master caskets</v>
      </c>
      <c r="C1451" s="207">
        <v>12614.0</v>
      </c>
      <c r="D1451" s="6" t="str">
        <f>VLOOKUP($C1451, 'List of log slots'!$A:$E, 2, FALSE)</f>
        <v>Bandos page 2</v>
      </c>
      <c r="E1451" s="207">
        <f>VLOOKUP($C1451, 'List of log slots'!$A:$E, 5, FALSE)</f>
        <v>2</v>
      </c>
      <c r="F1451" s="210" t="b">
        <f>VLOOKUP(C1451, 'List of log slots'!$A:$C, 3, FALSE)</f>
        <v>0</v>
      </c>
      <c r="G1451" s="209" t="b">
        <f t="shared" si="1093"/>
        <v>0</v>
      </c>
      <c r="H1451" s="209" t="b">
        <f t="shared" si="7"/>
        <v>1</v>
      </c>
      <c r="I1451" s="208" t="b">
        <f t="shared" ref="I1451:J1451" si="1197">FALSE</f>
        <v>0</v>
      </c>
      <c r="J1451" s="208" t="b">
        <f t="shared" si="1197"/>
        <v>0</v>
      </c>
      <c r="K1451" s="214">
        <v>117.0</v>
      </c>
      <c r="L1451" s="212" t="str">
        <f t="shared" si="3"/>
        <v>n/a</v>
      </c>
      <c r="M1451" s="212" t="str">
        <f t="shared" si="4"/>
        <v>n/a</v>
      </c>
      <c r="N1451" s="207" t="str">
        <f t="shared" si="5"/>
        <v>n/a</v>
      </c>
      <c r="O1451" s="207">
        <f t="shared" si="6"/>
        <v>0.008547008547</v>
      </c>
    </row>
    <row r="1452" ht="15.75" customHeight="1">
      <c r="A1452" s="207">
        <v>73.0</v>
      </c>
      <c r="B1452" s="6" t="str">
        <f>VLOOKUP($A1452, 'Completion rates'!$A:$E, 2, FALSE)</f>
        <v>Opening master caskets</v>
      </c>
      <c r="C1452" s="207">
        <v>12618.0</v>
      </c>
      <c r="D1452" s="6" t="str">
        <f>VLOOKUP($C1452, 'List of log slots'!$A:$E, 2, FALSE)</f>
        <v>Armadyl page 2</v>
      </c>
      <c r="E1452" s="207">
        <f>VLOOKUP($C1452, 'List of log slots'!$A:$E, 5, FALSE)</f>
        <v>2</v>
      </c>
      <c r="F1452" s="210" t="b">
        <f>VLOOKUP(C1452, 'List of log slots'!$A:$C, 3, FALSE)</f>
        <v>0</v>
      </c>
      <c r="G1452" s="209" t="b">
        <f t="shared" si="1093"/>
        <v>0</v>
      </c>
      <c r="H1452" s="209" t="b">
        <f t="shared" si="7"/>
        <v>1</v>
      </c>
      <c r="I1452" s="208" t="b">
        <f t="shared" ref="I1452:J1452" si="1198">FALSE</f>
        <v>0</v>
      </c>
      <c r="J1452" s="208" t="b">
        <f t="shared" si="1198"/>
        <v>0</v>
      </c>
      <c r="K1452" s="214">
        <v>117.0</v>
      </c>
      <c r="L1452" s="212" t="str">
        <f t="shared" si="3"/>
        <v>n/a</v>
      </c>
      <c r="M1452" s="212" t="str">
        <f t="shared" si="4"/>
        <v>n/a</v>
      </c>
      <c r="N1452" s="207" t="str">
        <f t="shared" si="5"/>
        <v>n/a</v>
      </c>
      <c r="O1452" s="207">
        <f t="shared" si="6"/>
        <v>0.008547008547</v>
      </c>
    </row>
    <row r="1453" ht="15.75" customHeight="1">
      <c r="A1453" s="207">
        <v>73.0</v>
      </c>
      <c r="B1453" s="6" t="str">
        <f>VLOOKUP($A1453, 'Completion rates'!$A:$E, 2, FALSE)</f>
        <v>Opening master caskets</v>
      </c>
      <c r="C1453" s="207">
        <v>12622.0</v>
      </c>
      <c r="D1453" s="6" t="str">
        <f>VLOOKUP($C1453, 'List of log slots'!$A:$E, 2, FALSE)</f>
        <v>Ancient page 2</v>
      </c>
      <c r="E1453" s="207">
        <f>VLOOKUP($C1453, 'List of log slots'!$A:$E, 5, FALSE)</f>
        <v>2</v>
      </c>
      <c r="F1453" s="213" t="b">
        <f>VLOOKUP(C1453, 'List of log slots'!$A:$C, 3, FALSE)</f>
        <v>0</v>
      </c>
      <c r="G1453" s="209" t="b">
        <f t="shared" si="1093"/>
        <v>0</v>
      </c>
      <c r="H1453" s="209" t="b">
        <f t="shared" si="7"/>
        <v>1</v>
      </c>
      <c r="I1453" s="208" t="b">
        <f t="shared" ref="I1453:J1453" si="1199">FALSE</f>
        <v>0</v>
      </c>
      <c r="J1453" s="208" t="b">
        <f t="shared" si="1199"/>
        <v>0</v>
      </c>
      <c r="K1453" s="214">
        <v>117.0</v>
      </c>
      <c r="L1453" s="212" t="str">
        <f t="shared" si="3"/>
        <v>n/a</v>
      </c>
      <c r="M1453" s="212" t="str">
        <f t="shared" si="4"/>
        <v>n/a</v>
      </c>
      <c r="N1453" s="207" t="str">
        <f t="shared" si="5"/>
        <v>n/a</v>
      </c>
      <c r="O1453" s="207">
        <f t="shared" si="6"/>
        <v>0.008547008547</v>
      </c>
    </row>
    <row r="1454" ht="15.75" customHeight="1">
      <c r="A1454" s="207">
        <v>73.0</v>
      </c>
      <c r="B1454" s="6" t="str">
        <f>VLOOKUP($A1454, 'Completion rates'!$A:$E, 2, FALSE)</f>
        <v>Opening master caskets</v>
      </c>
      <c r="C1454" s="207">
        <v>3829.0</v>
      </c>
      <c r="D1454" s="6" t="str">
        <f>VLOOKUP($C1454, 'List of log slots'!$A:$E, 2, FALSE)</f>
        <v>Saradomin page 3</v>
      </c>
      <c r="E1454" s="207">
        <f>VLOOKUP($C1454, 'List of log slots'!$A:$E, 5, FALSE)</f>
        <v>2</v>
      </c>
      <c r="F1454" s="213" t="b">
        <f>VLOOKUP(C1454, 'List of log slots'!$A:$C, 3, FALSE)</f>
        <v>0</v>
      </c>
      <c r="G1454" s="209" t="b">
        <f t="shared" si="1093"/>
        <v>0</v>
      </c>
      <c r="H1454" s="209" t="b">
        <f t="shared" si="7"/>
        <v>1</v>
      </c>
      <c r="I1454" s="208" t="b">
        <f t="shared" ref="I1454:J1454" si="1200">FALSE</f>
        <v>0</v>
      </c>
      <c r="J1454" s="208" t="b">
        <f t="shared" si="1200"/>
        <v>0</v>
      </c>
      <c r="K1454" s="214">
        <v>117.0</v>
      </c>
      <c r="L1454" s="212" t="str">
        <f t="shared" si="3"/>
        <v>n/a</v>
      </c>
      <c r="M1454" s="212" t="str">
        <f t="shared" si="4"/>
        <v>n/a</v>
      </c>
      <c r="N1454" s="207" t="str">
        <f t="shared" si="5"/>
        <v>n/a</v>
      </c>
      <c r="O1454" s="207">
        <f t="shared" si="6"/>
        <v>0.008547008547</v>
      </c>
    </row>
    <row r="1455" ht="15.75" customHeight="1">
      <c r="A1455" s="207">
        <v>73.0</v>
      </c>
      <c r="B1455" s="6" t="str">
        <f>VLOOKUP($A1455, 'Completion rates'!$A:$E, 2, FALSE)</f>
        <v>Opening master caskets</v>
      </c>
      <c r="C1455" s="207">
        <v>3833.0</v>
      </c>
      <c r="D1455" s="6" t="str">
        <f>VLOOKUP($C1455, 'List of log slots'!$A:$E, 2, FALSE)</f>
        <v>Zamorak page 3</v>
      </c>
      <c r="E1455" s="207">
        <f>VLOOKUP($C1455, 'List of log slots'!$A:$E, 5, FALSE)</f>
        <v>2</v>
      </c>
      <c r="F1455" s="213" t="b">
        <f>VLOOKUP(C1455, 'List of log slots'!$A:$C, 3, FALSE)</f>
        <v>0</v>
      </c>
      <c r="G1455" s="209" t="b">
        <f t="shared" si="1093"/>
        <v>0</v>
      </c>
      <c r="H1455" s="209" t="b">
        <f t="shared" si="7"/>
        <v>1</v>
      </c>
      <c r="I1455" s="208" t="b">
        <f t="shared" ref="I1455:J1455" si="1201">FALSE</f>
        <v>0</v>
      </c>
      <c r="J1455" s="208" t="b">
        <f t="shared" si="1201"/>
        <v>0</v>
      </c>
      <c r="K1455" s="214">
        <v>117.0</v>
      </c>
      <c r="L1455" s="212" t="str">
        <f t="shared" si="3"/>
        <v>n/a</v>
      </c>
      <c r="M1455" s="212" t="str">
        <f t="shared" si="4"/>
        <v>n/a</v>
      </c>
      <c r="N1455" s="207" t="str">
        <f t="shared" si="5"/>
        <v>n/a</v>
      </c>
      <c r="O1455" s="207">
        <f t="shared" si="6"/>
        <v>0.008547008547</v>
      </c>
    </row>
    <row r="1456" ht="15.75" customHeight="1">
      <c r="A1456" s="207">
        <v>73.0</v>
      </c>
      <c r="B1456" s="6" t="str">
        <f>VLOOKUP($A1456, 'Completion rates'!$A:$E, 2, FALSE)</f>
        <v>Opening master caskets</v>
      </c>
      <c r="C1456" s="207">
        <v>3837.0</v>
      </c>
      <c r="D1456" s="6" t="str">
        <f>VLOOKUP($C1456, 'List of log slots'!$A:$E, 2, FALSE)</f>
        <v>Guthix page 3</v>
      </c>
      <c r="E1456" s="207">
        <f>VLOOKUP($C1456, 'List of log slots'!$A:$E, 5, FALSE)</f>
        <v>2</v>
      </c>
      <c r="F1456" s="213" t="b">
        <f>VLOOKUP(C1456, 'List of log slots'!$A:$C, 3, FALSE)</f>
        <v>0</v>
      </c>
      <c r="G1456" s="209" t="b">
        <f t="shared" si="1093"/>
        <v>0</v>
      </c>
      <c r="H1456" s="209" t="b">
        <f t="shared" si="7"/>
        <v>1</v>
      </c>
      <c r="I1456" s="208" t="b">
        <f t="shared" ref="I1456:J1456" si="1202">FALSE</f>
        <v>0</v>
      </c>
      <c r="J1456" s="208" t="b">
        <f t="shared" si="1202"/>
        <v>0</v>
      </c>
      <c r="K1456" s="214">
        <v>117.0</v>
      </c>
      <c r="L1456" s="212" t="str">
        <f t="shared" si="3"/>
        <v>n/a</v>
      </c>
      <c r="M1456" s="212" t="str">
        <f t="shared" si="4"/>
        <v>n/a</v>
      </c>
      <c r="N1456" s="207" t="str">
        <f t="shared" si="5"/>
        <v>n/a</v>
      </c>
      <c r="O1456" s="207">
        <f t="shared" si="6"/>
        <v>0.008547008547</v>
      </c>
    </row>
    <row r="1457" ht="15.75" customHeight="1">
      <c r="A1457" s="207">
        <v>73.0</v>
      </c>
      <c r="B1457" s="6" t="str">
        <f>VLOOKUP($A1457, 'Completion rates'!$A:$E, 2, FALSE)</f>
        <v>Opening master caskets</v>
      </c>
      <c r="C1457" s="207">
        <v>12615.0</v>
      </c>
      <c r="D1457" s="6" t="str">
        <f>VLOOKUP($C1457, 'List of log slots'!$A:$E, 2, FALSE)</f>
        <v>Bandos page 3</v>
      </c>
      <c r="E1457" s="207">
        <f>VLOOKUP($C1457, 'List of log slots'!$A:$E, 5, FALSE)</f>
        <v>2</v>
      </c>
      <c r="F1457" s="213" t="b">
        <f>VLOOKUP(C1457, 'List of log slots'!$A:$C, 3, FALSE)</f>
        <v>0</v>
      </c>
      <c r="G1457" s="209" t="b">
        <f t="shared" si="1093"/>
        <v>0</v>
      </c>
      <c r="H1457" s="209" t="b">
        <f t="shared" si="7"/>
        <v>1</v>
      </c>
      <c r="I1457" s="208" t="b">
        <f t="shared" ref="I1457:J1457" si="1203">FALSE</f>
        <v>0</v>
      </c>
      <c r="J1457" s="208" t="b">
        <f t="shared" si="1203"/>
        <v>0</v>
      </c>
      <c r="K1457" s="214">
        <v>117.0</v>
      </c>
      <c r="L1457" s="212" t="str">
        <f t="shared" si="3"/>
        <v>n/a</v>
      </c>
      <c r="M1457" s="212" t="str">
        <f t="shared" si="4"/>
        <v>n/a</v>
      </c>
      <c r="N1457" s="207" t="str">
        <f t="shared" si="5"/>
        <v>n/a</v>
      </c>
      <c r="O1457" s="207">
        <f t="shared" si="6"/>
        <v>0.008547008547</v>
      </c>
    </row>
    <row r="1458" ht="15.75" customHeight="1">
      <c r="A1458" s="207">
        <v>73.0</v>
      </c>
      <c r="B1458" s="6" t="str">
        <f>VLOOKUP($A1458, 'Completion rates'!$A:$E, 2, FALSE)</f>
        <v>Opening master caskets</v>
      </c>
      <c r="C1458" s="207">
        <v>12619.0</v>
      </c>
      <c r="D1458" s="6" t="str">
        <f>VLOOKUP($C1458, 'List of log slots'!$A:$E, 2, FALSE)</f>
        <v>Armadyl page 3</v>
      </c>
      <c r="E1458" s="207">
        <f>VLOOKUP($C1458, 'List of log slots'!$A:$E, 5, FALSE)</f>
        <v>2</v>
      </c>
      <c r="F1458" s="213" t="b">
        <f>VLOOKUP(C1458, 'List of log slots'!$A:$C, 3, FALSE)</f>
        <v>0</v>
      </c>
      <c r="G1458" s="209" t="b">
        <f t="shared" si="1093"/>
        <v>0</v>
      </c>
      <c r="H1458" s="209" t="b">
        <f t="shared" si="7"/>
        <v>1</v>
      </c>
      <c r="I1458" s="208" t="b">
        <f t="shared" ref="I1458:J1458" si="1204">FALSE</f>
        <v>0</v>
      </c>
      <c r="J1458" s="208" t="b">
        <f t="shared" si="1204"/>
        <v>0</v>
      </c>
      <c r="K1458" s="214">
        <v>117.0</v>
      </c>
      <c r="L1458" s="212" t="str">
        <f t="shared" si="3"/>
        <v>n/a</v>
      </c>
      <c r="M1458" s="212" t="str">
        <f t="shared" si="4"/>
        <v>n/a</v>
      </c>
      <c r="N1458" s="207" t="str">
        <f t="shared" si="5"/>
        <v>n/a</v>
      </c>
      <c r="O1458" s="207">
        <f t="shared" si="6"/>
        <v>0.008547008547</v>
      </c>
    </row>
    <row r="1459" ht="15.75" customHeight="1">
      <c r="A1459" s="207">
        <v>73.0</v>
      </c>
      <c r="B1459" s="6" t="str">
        <f>VLOOKUP($A1459, 'Completion rates'!$A:$E, 2, FALSE)</f>
        <v>Opening master caskets</v>
      </c>
      <c r="C1459" s="207">
        <v>12623.0</v>
      </c>
      <c r="D1459" s="6" t="str">
        <f>VLOOKUP($C1459, 'List of log slots'!$A:$E, 2, FALSE)</f>
        <v>Ancient page 3</v>
      </c>
      <c r="E1459" s="207">
        <f>VLOOKUP($C1459, 'List of log slots'!$A:$E, 5, FALSE)</f>
        <v>2</v>
      </c>
      <c r="F1459" s="213" t="b">
        <f>VLOOKUP(C1459, 'List of log slots'!$A:$C, 3, FALSE)</f>
        <v>0</v>
      </c>
      <c r="G1459" s="209" t="b">
        <f t="shared" si="1093"/>
        <v>0</v>
      </c>
      <c r="H1459" s="209" t="b">
        <f t="shared" si="7"/>
        <v>1</v>
      </c>
      <c r="I1459" s="208" t="b">
        <f t="shared" ref="I1459:J1459" si="1205">FALSE</f>
        <v>0</v>
      </c>
      <c r="J1459" s="208" t="b">
        <f t="shared" si="1205"/>
        <v>0</v>
      </c>
      <c r="K1459" s="214">
        <v>117.0</v>
      </c>
      <c r="L1459" s="212" t="str">
        <f t="shared" si="3"/>
        <v>n/a</v>
      </c>
      <c r="M1459" s="212" t="str">
        <f t="shared" si="4"/>
        <v>n/a</v>
      </c>
      <c r="N1459" s="207" t="str">
        <f t="shared" si="5"/>
        <v>n/a</v>
      </c>
      <c r="O1459" s="207">
        <f t="shared" si="6"/>
        <v>0.008547008547</v>
      </c>
    </row>
    <row r="1460" ht="15.75" customHeight="1">
      <c r="A1460" s="207">
        <v>73.0</v>
      </c>
      <c r="B1460" s="6" t="str">
        <f>VLOOKUP($A1460, 'Completion rates'!$A:$E, 2, FALSE)</f>
        <v>Opening master caskets</v>
      </c>
      <c r="C1460" s="207">
        <v>3830.0</v>
      </c>
      <c r="D1460" s="6" t="str">
        <f>VLOOKUP($C1460, 'List of log slots'!$A:$E, 2, FALSE)</f>
        <v>Saradomin page 4</v>
      </c>
      <c r="E1460" s="207">
        <f>VLOOKUP($C1460, 'List of log slots'!$A:$E, 5, FALSE)</f>
        <v>2</v>
      </c>
      <c r="F1460" s="213" t="b">
        <f>VLOOKUP(C1460, 'List of log slots'!$A:$C, 3, FALSE)</f>
        <v>0</v>
      </c>
      <c r="G1460" s="209" t="b">
        <f t="shared" si="1093"/>
        <v>0</v>
      </c>
      <c r="H1460" s="209" t="b">
        <f t="shared" si="7"/>
        <v>1</v>
      </c>
      <c r="I1460" s="208" t="b">
        <f t="shared" ref="I1460:J1460" si="1206">FALSE</f>
        <v>0</v>
      </c>
      <c r="J1460" s="208" t="b">
        <f t="shared" si="1206"/>
        <v>0</v>
      </c>
      <c r="K1460" s="214">
        <v>117.0</v>
      </c>
      <c r="L1460" s="212" t="str">
        <f t="shared" si="3"/>
        <v>n/a</v>
      </c>
      <c r="M1460" s="212" t="str">
        <f t="shared" si="4"/>
        <v>n/a</v>
      </c>
      <c r="N1460" s="207" t="str">
        <f t="shared" si="5"/>
        <v>n/a</v>
      </c>
      <c r="O1460" s="207">
        <f t="shared" si="6"/>
        <v>0.008547008547</v>
      </c>
    </row>
    <row r="1461" ht="15.75" customHeight="1">
      <c r="A1461" s="207">
        <v>73.0</v>
      </c>
      <c r="B1461" s="6" t="str">
        <f>VLOOKUP($A1461, 'Completion rates'!$A:$E, 2, FALSE)</f>
        <v>Opening master caskets</v>
      </c>
      <c r="C1461" s="207">
        <v>3834.0</v>
      </c>
      <c r="D1461" s="6" t="str">
        <f>VLOOKUP($C1461, 'List of log slots'!$A:$E, 2, FALSE)</f>
        <v>Zamorak page 4</v>
      </c>
      <c r="E1461" s="207">
        <f>VLOOKUP($C1461, 'List of log slots'!$A:$E, 5, FALSE)</f>
        <v>2</v>
      </c>
      <c r="F1461" s="213" t="b">
        <f>VLOOKUP(C1461, 'List of log slots'!$A:$C, 3, FALSE)</f>
        <v>0</v>
      </c>
      <c r="G1461" s="209" t="b">
        <f t="shared" si="1093"/>
        <v>0</v>
      </c>
      <c r="H1461" s="209" t="b">
        <f t="shared" si="7"/>
        <v>1</v>
      </c>
      <c r="I1461" s="208" t="b">
        <f t="shared" ref="I1461:J1461" si="1207">FALSE</f>
        <v>0</v>
      </c>
      <c r="J1461" s="208" t="b">
        <f t="shared" si="1207"/>
        <v>0</v>
      </c>
      <c r="K1461" s="214">
        <v>117.0</v>
      </c>
      <c r="L1461" s="212" t="str">
        <f t="shared" si="3"/>
        <v>n/a</v>
      </c>
      <c r="M1461" s="212" t="str">
        <f t="shared" si="4"/>
        <v>n/a</v>
      </c>
      <c r="N1461" s="207" t="str">
        <f t="shared" si="5"/>
        <v>n/a</v>
      </c>
      <c r="O1461" s="207">
        <f t="shared" si="6"/>
        <v>0.008547008547</v>
      </c>
    </row>
    <row r="1462" ht="15.75" customHeight="1">
      <c r="A1462" s="207">
        <v>73.0</v>
      </c>
      <c r="B1462" s="6" t="str">
        <f>VLOOKUP($A1462, 'Completion rates'!$A:$E, 2, FALSE)</f>
        <v>Opening master caskets</v>
      </c>
      <c r="C1462" s="207">
        <v>3838.0</v>
      </c>
      <c r="D1462" s="6" t="str">
        <f>VLOOKUP($C1462, 'List of log slots'!$A:$E, 2, FALSE)</f>
        <v>Guthix page 4</v>
      </c>
      <c r="E1462" s="207">
        <f>VLOOKUP($C1462, 'List of log slots'!$A:$E, 5, FALSE)</f>
        <v>2</v>
      </c>
      <c r="F1462" s="208" t="b">
        <f>VLOOKUP(C1462, 'List of log slots'!$A:$C, 3, FALSE)</f>
        <v>0</v>
      </c>
      <c r="G1462" s="209" t="b">
        <f t="shared" si="1093"/>
        <v>0</v>
      </c>
      <c r="H1462" s="210" t="b">
        <f t="shared" si="7"/>
        <v>1</v>
      </c>
      <c r="I1462" s="208" t="b">
        <f t="shared" ref="I1462:J1462" si="1208">FALSE</f>
        <v>0</v>
      </c>
      <c r="J1462" s="208" t="b">
        <f t="shared" si="1208"/>
        <v>0</v>
      </c>
      <c r="K1462" s="214">
        <v>117.0</v>
      </c>
      <c r="L1462" s="212" t="str">
        <f t="shared" si="3"/>
        <v>n/a</v>
      </c>
      <c r="M1462" s="212" t="str">
        <f t="shared" si="4"/>
        <v>n/a</v>
      </c>
      <c r="N1462" s="207" t="str">
        <f t="shared" si="5"/>
        <v>n/a</v>
      </c>
      <c r="O1462" s="207">
        <f t="shared" si="6"/>
        <v>0.008547008547</v>
      </c>
    </row>
    <row r="1463" ht="15.75" customHeight="1">
      <c r="A1463" s="207">
        <v>73.0</v>
      </c>
      <c r="B1463" s="6" t="str">
        <f>VLOOKUP($A1463, 'Completion rates'!$A:$E, 2, FALSE)</f>
        <v>Opening master caskets</v>
      </c>
      <c r="C1463" s="207">
        <v>12616.0</v>
      </c>
      <c r="D1463" s="6" t="str">
        <f>VLOOKUP($C1463, 'List of log slots'!$A:$E, 2, FALSE)</f>
        <v>Bandos page 4</v>
      </c>
      <c r="E1463" s="207">
        <f>VLOOKUP($C1463, 'List of log slots'!$A:$E, 5, FALSE)</f>
        <v>2</v>
      </c>
      <c r="F1463" s="213" t="b">
        <f>VLOOKUP(C1463, 'List of log slots'!$A:$C, 3, FALSE)</f>
        <v>0</v>
      </c>
      <c r="G1463" s="209" t="b">
        <f t="shared" si="1093"/>
        <v>0</v>
      </c>
      <c r="H1463" s="209" t="b">
        <f t="shared" si="7"/>
        <v>1</v>
      </c>
      <c r="I1463" s="208" t="b">
        <f t="shared" ref="I1463:J1463" si="1209">FALSE</f>
        <v>0</v>
      </c>
      <c r="J1463" s="208" t="b">
        <f t="shared" si="1209"/>
        <v>0</v>
      </c>
      <c r="K1463" s="214">
        <v>117.0</v>
      </c>
      <c r="L1463" s="212" t="str">
        <f t="shared" si="3"/>
        <v>n/a</v>
      </c>
      <c r="M1463" s="212" t="str">
        <f t="shared" si="4"/>
        <v>n/a</v>
      </c>
      <c r="N1463" s="207" t="str">
        <f t="shared" si="5"/>
        <v>n/a</v>
      </c>
      <c r="O1463" s="207">
        <f t="shared" si="6"/>
        <v>0.008547008547</v>
      </c>
    </row>
    <row r="1464" ht="15.75" customHeight="1">
      <c r="A1464" s="207">
        <v>73.0</v>
      </c>
      <c r="B1464" s="6" t="str">
        <f>VLOOKUP($A1464, 'Completion rates'!$A:$E, 2, FALSE)</f>
        <v>Opening master caskets</v>
      </c>
      <c r="C1464" s="207">
        <v>12620.0</v>
      </c>
      <c r="D1464" s="6" t="str">
        <f>VLOOKUP($C1464, 'List of log slots'!$A:$E, 2, FALSE)</f>
        <v>Armadyl page 4</v>
      </c>
      <c r="E1464" s="207">
        <f>VLOOKUP($C1464, 'List of log slots'!$A:$E, 5, FALSE)</f>
        <v>2</v>
      </c>
      <c r="F1464" s="213" t="b">
        <f>VLOOKUP(C1464, 'List of log slots'!$A:$C, 3, FALSE)</f>
        <v>0</v>
      </c>
      <c r="G1464" s="209" t="b">
        <f t="shared" si="1093"/>
        <v>0</v>
      </c>
      <c r="H1464" s="209" t="b">
        <f t="shared" si="7"/>
        <v>1</v>
      </c>
      <c r="I1464" s="208" t="b">
        <f t="shared" ref="I1464:J1464" si="1210">FALSE</f>
        <v>0</v>
      </c>
      <c r="J1464" s="208" t="b">
        <f t="shared" si="1210"/>
        <v>0</v>
      </c>
      <c r="K1464" s="214">
        <v>117.0</v>
      </c>
      <c r="L1464" s="212" t="str">
        <f t="shared" si="3"/>
        <v>n/a</v>
      </c>
      <c r="M1464" s="212" t="str">
        <f t="shared" si="4"/>
        <v>n/a</v>
      </c>
      <c r="N1464" s="207" t="str">
        <f t="shared" si="5"/>
        <v>n/a</v>
      </c>
      <c r="O1464" s="207">
        <f t="shared" si="6"/>
        <v>0.008547008547</v>
      </c>
    </row>
    <row r="1465" ht="15.75" customHeight="1">
      <c r="A1465" s="207">
        <v>73.0</v>
      </c>
      <c r="B1465" s="6" t="str">
        <f>VLOOKUP($A1465, 'Completion rates'!$A:$E, 2, FALSE)</f>
        <v>Opening master caskets</v>
      </c>
      <c r="C1465" s="207">
        <v>12624.0</v>
      </c>
      <c r="D1465" s="6" t="str">
        <f>VLOOKUP($C1465, 'List of log slots'!$A:$E, 2, FALSE)</f>
        <v>Ancient page 4</v>
      </c>
      <c r="E1465" s="207">
        <f>VLOOKUP($C1465, 'List of log slots'!$A:$E, 5, FALSE)</f>
        <v>2</v>
      </c>
      <c r="F1465" s="213" t="b">
        <f>VLOOKUP(C1465, 'List of log slots'!$A:$C, 3, FALSE)</f>
        <v>0</v>
      </c>
      <c r="G1465" s="209" t="b">
        <f t="shared" si="1093"/>
        <v>0</v>
      </c>
      <c r="H1465" s="209" t="b">
        <f t="shared" si="7"/>
        <v>1</v>
      </c>
      <c r="I1465" s="208" t="b">
        <f t="shared" ref="I1465:J1465" si="1211">FALSE</f>
        <v>0</v>
      </c>
      <c r="J1465" s="208" t="b">
        <f t="shared" si="1211"/>
        <v>0</v>
      </c>
      <c r="K1465" s="214">
        <v>117.0</v>
      </c>
      <c r="L1465" s="212" t="str">
        <f t="shared" si="3"/>
        <v>n/a</v>
      </c>
      <c r="M1465" s="212" t="str">
        <f t="shared" si="4"/>
        <v>n/a</v>
      </c>
      <c r="N1465" s="207" t="str">
        <f t="shared" si="5"/>
        <v>n/a</v>
      </c>
      <c r="O1465" s="207">
        <f t="shared" si="6"/>
        <v>0.008547008547</v>
      </c>
    </row>
    <row r="1466" ht="15.75" customHeight="1">
      <c r="A1466" s="207">
        <v>73.0</v>
      </c>
      <c r="B1466" s="6" t="str">
        <f>VLOOKUP($A1466, 'Completion rates'!$A:$E, 2, FALSE)</f>
        <v>Opening master caskets</v>
      </c>
      <c r="C1466" s="207">
        <v>20220.0</v>
      </c>
      <c r="D1466" s="6" t="str">
        <f>VLOOKUP($C1466, 'List of log slots'!$A:$E, 2, FALSE)</f>
        <v>Holy blessing</v>
      </c>
      <c r="E1466" s="207">
        <f>VLOOKUP($C1466, 'List of log slots'!$A:$E, 5, FALSE)</f>
        <v>2</v>
      </c>
      <c r="F1466" s="213" t="b">
        <f>VLOOKUP(C1466, 'List of log slots'!$A:$C, 3, FALSE)</f>
        <v>0</v>
      </c>
      <c r="G1466" s="209" t="b">
        <f t="shared" si="1093"/>
        <v>0</v>
      </c>
      <c r="H1466" s="209" t="b">
        <f t="shared" si="7"/>
        <v>1</v>
      </c>
      <c r="I1466" s="208" t="b">
        <f t="shared" ref="I1466:J1466" si="1212">FALSE</f>
        <v>0</v>
      </c>
      <c r="J1466" s="208" t="b">
        <f t="shared" si="1212"/>
        <v>0</v>
      </c>
      <c r="K1466" s="214">
        <v>101.0</v>
      </c>
      <c r="L1466" s="212" t="str">
        <f t="shared" si="3"/>
        <v>n/a</v>
      </c>
      <c r="M1466" s="212" t="str">
        <f t="shared" si="4"/>
        <v>n/a</v>
      </c>
      <c r="N1466" s="207" t="str">
        <f t="shared" si="5"/>
        <v>n/a</v>
      </c>
      <c r="O1466" s="207">
        <f t="shared" si="6"/>
        <v>0.009900990099</v>
      </c>
    </row>
    <row r="1467" ht="15.75" customHeight="1">
      <c r="A1467" s="207">
        <v>73.0</v>
      </c>
      <c r="B1467" s="6" t="str">
        <f>VLOOKUP($A1467, 'Completion rates'!$A:$E, 2, FALSE)</f>
        <v>Opening master caskets</v>
      </c>
      <c r="C1467" s="207">
        <v>20223.0</v>
      </c>
      <c r="D1467" s="6" t="str">
        <f>VLOOKUP($C1467, 'List of log slots'!$A:$E, 2, FALSE)</f>
        <v>Unholy blessing</v>
      </c>
      <c r="E1467" s="207">
        <f>VLOOKUP($C1467, 'List of log slots'!$A:$E, 5, FALSE)</f>
        <v>2</v>
      </c>
      <c r="F1467" s="213" t="b">
        <f>VLOOKUP(C1467, 'List of log slots'!$A:$C, 3, FALSE)</f>
        <v>0</v>
      </c>
      <c r="G1467" s="209" t="b">
        <f t="shared" si="1093"/>
        <v>0</v>
      </c>
      <c r="H1467" s="209" t="b">
        <f t="shared" si="7"/>
        <v>1</v>
      </c>
      <c r="I1467" s="208" t="b">
        <f t="shared" ref="I1467:J1467" si="1213">FALSE</f>
        <v>0</v>
      </c>
      <c r="J1467" s="208" t="b">
        <f t="shared" si="1213"/>
        <v>0</v>
      </c>
      <c r="K1467" s="214">
        <v>101.0</v>
      </c>
      <c r="L1467" s="212" t="str">
        <f t="shared" si="3"/>
        <v>n/a</v>
      </c>
      <c r="M1467" s="212" t="str">
        <f t="shared" si="4"/>
        <v>n/a</v>
      </c>
      <c r="N1467" s="207" t="str">
        <f t="shared" si="5"/>
        <v>n/a</v>
      </c>
      <c r="O1467" s="207">
        <f t="shared" si="6"/>
        <v>0.009900990099</v>
      </c>
    </row>
    <row r="1468" ht="15.75" customHeight="1">
      <c r="A1468" s="207">
        <v>73.0</v>
      </c>
      <c r="B1468" s="6" t="str">
        <f>VLOOKUP($A1468, 'Completion rates'!$A:$E, 2, FALSE)</f>
        <v>Opening master caskets</v>
      </c>
      <c r="C1468" s="207">
        <v>20226.0</v>
      </c>
      <c r="D1468" s="6" t="str">
        <f>VLOOKUP($C1468, 'List of log slots'!$A:$E, 2, FALSE)</f>
        <v>Peaceful blessing</v>
      </c>
      <c r="E1468" s="207">
        <f>VLOOKUP($C1468, 'List of log slots'!$A:$E, 5, FALSE)</f>
        <v>2</v>
      </c>
      <c r="F1468" s="213" t="b">
        <f>VLOOKUP(C1468, 'List of log slots'!$A:$C, 3, FALSE)</f>
        <v>0</v>
      </c>
      <c r="G1468" s="209" t="b">
        <f t="shared" si="1093"/>
        <v>0</v>
      </c>
      <c r="H1468" s="209" t="b">
        <f t="shared" si="7"/>
        <v>1</v>
      </c>
      <c r="I1468" s="208" t="b">
        <f t="shared" ref="I1468:J1468" si="1214">FALSE</f>
        <v>0</v>
      </c>
      <c r="J1468" s="208" t="b">
        <f t="shared" si="1214"/>
        <v>0</v>
      </c>
      <c r="K1468" s="214">
        <v>101.0</v>
      </c>
      <c r="L1468" s="212" t="str">
        <f t="shared" si="3"/>
        <v>n/a</v>
      </c>
      <c r="M1468" s="212" t="str">
        <f t="shared" si="4"/>
        <v>n/a</v>
      </c>
      <c r="N1468" s="207" t="str">
        <f t="shared" si="5"/>
        <v>n/a</v>
      </c>
      <c r="O1468" s="207">
        <f t="shared" si="6"/>
        <v>0.009900990099</v>
      </c>
    </row>
    <row r="1469" ht="15.75" customHeight="1">
      <c r="A1469" s="207">
        <v>73.0</v>
      </c>
      <c r="B1469" s="6" t="str">
        <f>VLOOKUP($A1469, 'Completion rates'!$A:$E, 2, FALSE)</f>
        <v>Opening master caskets</v>
      </c>
      <c r="C1469" s="207">
        <v>20232.0</v>
      </c>
      <c r="D1469" s="6" t="str">
        <f>VLOOKUP($C1469, 'List of log slots'!$A:$E, 2, FALSE)</f>
        <v>War blessing</v>
      </c>
      <c r="E1469" s="207">
        <f>VLOOKUP($C1469, 'List of log slots'!$A:$E, 5, FALSE)</f>
        <v>2</v>
      </c>
      <c r="F1469" s="213" t="b">
        <f>VLOOKUP(C1469, 'List of log slots'!$A:$C, 3, FALSE)</f>
        <v>0</v>
      </c>
      <c r="G1469" s="209" t="b">
        <f t="shared" si="1093"/>
        <v>0</v>
      </c>
      <c r="H1469" s="209" t="b">
        <f t="shared" si="7"/>
        <v>1</v>
      </c>
      <c r="I1469" s="208" t="b">
        <f t="shared" ref="I1469:J1469" si="1215">FALSE</f>
        <v>0</v>
      </c>
      <c r="J1469" s="208" t="b">
        <f t="shared" si="1215"/>
        <v>0</v>
      </c>
      <c r="K1469" s="214">
        <v>101.0</v>
      </c>
      <c r="L1469" s="212" t="str">
        <f t="shared" si="3"/>
        <v>n/a</v>
      </c>
      <c r="M1469" s="212" t="str">
        <f t="shared" si="4"/>
        <v>n/a</v>
      </c>
      <c r="N1469" s="207" t="str">
        <f t="shared" si="5"/>
        <v>n/a</v>
      </c>
      <c r="O1469" s="207">
        <f t="shared" si="6"/>
        <v>0.009900990099</v>
      </c>
    </row>
    <row r="1470" ht="15.75" customHeight="1">
      <c r="A1470" s="207">
        <v>73.0</v>
      </c>
      <c r="B1470" s="6" t="str">
        <f>VLOOKUP($A1470, 'Completion rates'!$A:$E, 2, FALSE)</f>
        <v>Opening master caskets</v>
      </c>
      <c r="C1470" s="207">
        <v>20229.0</v>
      </c>
      <c r="D1470" s="6" t="str">
        <f>VLOOKUP($C1470, 'List of log slots'!$A:$E, 2, FALSE)</f>
        <v>Honourable blessing</v>
      </c>
      <c r="E1470" s="207">
        <f>VLOOKUP($C1470, 'List of log slots'!$A:$E, 5, FALSE)</f>
        <v>2</v>
      </c>
      <c r="F1470" s="213" t="b">
        <f>VLOOKUP(C1470, 'List of log slots'!$A:$C, 3, FALSE)</f>
        <v>0</v>
      </c>
      <c r="G1470" s="209" t="b">
        <f t="shared" si="1093"/>
        <v>0</v>
      </c>
      <c r="H1470" s="209" t="b">
        <f t="shared" si="7"/>
        <v>1</v>
      </c>
      <c r="I1470" s="208" t="b">
        <f t="shared" ref="I1470:J1470" si="1216">FALSE</f>
        <v>0</v>
      </c>
      <c r="J1470" s="208" t="b">
        <f t="shared" si="1216"/>
        <v>0</v>
      </c>
      <c r="K1470" s="214">
        <v>101.0</v>
      </c>
      <c r="L1470" s="212" t="str">
        <f t="shared" si="3"/>
        <v>n/a</v>
      </c>
      <c r="M1470" s="212" t="str">
        <f t="shared" si="4"/>
        <v>n/a</v>
      </c>
      <c r="N1470" s="207" t="str">
        <f t="shared" si="5"/>
        <v>n/a</v>
      </c>
      <c r="O1470" s="207">
        <f t="shared" si="6"/>
        <v>0.009900990099</v>
      </c>
    </row>
    <row r="1471" ht="15.75" customHeight="1">
      <c r="A1471" s="207">
        <v>73.0</v>
      </c>
      <c r="B1471" s="6" t="str">
        <f>VLOOKUP($A1471, 'Completion rates'!$A:$E, 2, FALSE)</f>
        <v>Opening master caskets</v>
      </c>
      <c r="C1471" s="207">
        <v>20235.0</v>
      </c>
      <c r="D1471" s="6" t="str">
        <f>VLOOKUP($C1471, 'List of log slots'!$A:$E, 2, FALSE)</f>
        <v>Ancient blessing</v>
      </c>
      <c r="E1471" s="207">
        <f>VLOOKUP($C1471, 'List of log slots'!$A:$E, 5, FALSE)</f>
        <v>2</v>
      </c>
      <c r="F1471" s="213" t="b">
        <f>VLOOKUP(C1471, 'List of log slots'!$A:$C, 3, FALSE)</f>
        <v>0</v>
      </c>
      <c r="G1471" s="209" t="b">
        <f t="shared" si="1093"/>
        <v>0</v>
      </c>
      <c r="H1471" s="209" t="b">
        <f t="shared" si="7"/>
        <v>1</v>
      </c>
      <c r="I1471" s="208" t="b">
        <f t="shared" ref="I1471:J1471" si="1217">FALSE</f>
        <v>0</v>
      </c>
      <c r="J1471" s="208" t="b">
        <f t="shared" si="1217"/>
        <v>0</v>
      </c>
      <c r="K1471" s="214">
        <v>101.0</v>
      </c>
      <c r="L1471" s="212" t="str">
        <f t="shared" si="3"/>
        <v>n/a</v>
      </c>
      <c r="M1471" s="212" t="str">
        <f t="shared" si="4"/>
        <v>n/a</v>
      </c>
      <c r="N1471" s="207" t="str">
        <f t="shared" si="5"/>
        <v>n/a</v>
      </c>
      <c r="O1471" s="207">
        <f t="shared" si="6"/>
        <v>0.009900990099</v>
      </c>
    </row>
    <row r="1472" ht="15.75" customHeight="1">
      <c r="A1472" s="207">
        <v>73.0</v>
      </c>
      <c r="B1472" s="6" t="str">
        <f>VLOOKUP($A1472, 'Completion rates'!$A:$E, 2, FALSE)</f>
        <v>Opening master caskets</v>
      </c>
      <c r="C1472" s="207">
        <v>12402.0</v>
      </c>
      <c r="D1472" s="6" t="str">
        <f>VLOOKUP($C1472, 'List of log slots'!$A:$E, 2, FALSE)</f>
        <v>Nardah teleport</v>
      </c>
      <c r="E1472" s="207">
        <f>VLOOKUP($C1472, 'List of log slots'!$A:$E, 5, FALSE)</f>
        <v>2</v>
      </c>
      <c r="F1472" s="210" t="b">
        <f>VLOOKUP(C1472, 'List of log slots'!$A:$C, 3, FALSE)</f>
        <v>0</v>
      </c>
      <c r="G1472" s="209" t="b">
        <f t="shared" si="1093"/>
        <v>0</v>
      </c>
      <c r="H1472" s="209" t="b">
        <f t="shared" si="7"/>
        <v>1</v>
      </c>
      <c r="I1472" s="208" t="b">
        <f t="shared" ref="I1472:J1472" si="1218">FALSE</f>
        <v>0</v>
      </c>
      <c r="J1472" s="208" t="b">
        <f t="shared" si="1218"/>
        <v>0</v>
      </c>
      <c r="K1472" s="214">
        <v>32.0</v>
      </c>
      <c r="L1472" s="212" t="str">
        <f t="shared" si="3"/>
        <v>n/a</v>
      </c>
      <c r="M1472" s="212" t="str">
        <f t="shared" si="4"/>
        <v>n/a</v>
      </c>
      <c r="N1472" s="207" t="str">
        <f t="shared" si="5"/>
        <v>n/a</v>
      </c>
      <c r="O1472" s="207">
        <f t="shared" si="6"/>
        <v>0.03125</v>
      </c>
    </row>
    <row r="1473" ht="15.75" customHeight="1">
      <c r="A1473" s="207">
        <v>73.0</v>
      </c>
      <c r="B1473" s="6" t="str">
        <f>VLOOKUP($A1473, 'Completion rates'!$A:$E, 2, FALSE)</f>
        <v>Opening master caskets</v>
      </c>
      <c r="C1473" s="207">
        <v>12411.0</v>
      </c>
      <c r="D1473" s="6" t="str">
        <f>VLOOKUP($C1473, 'List of log slots'!$A:$E, 2, FALSE)</f>
        <v>Mos le'harmless teleport</v>
      </c>
      <c r="E1473" s="207">
        <f>VLOOKUP($C1473, 'List of log slots'!$A:$E, 5, FALSE)</f>
        <v>2</v>
      </c>
      <c r="F1473" s="213" t="b">
        <f>VLOOKUP(C1473, 'List of log slots'!$A:$C, 3, FALSE)</f>
        <v>0</v>
      </c>
      <c r="G1473" s="209" t="b">
        <f t="shared" si="1093"/>
        <v>0</v>
      </c>
      <c r="H1473" s="209" t="b">
        <f t="shared" si="7"/>
        <v>1</v>
      </c>
      <c r="I1473" s="208" t="b">
        <f t="shared" ref="I1473:J1473" si="1219">FALSE</f>
        <v>0</v>
      </c>
      <c r="J1473" s="208" t="b">
        <f t="shared" si="1219"/>
        <v>0</v>
      </c>
      <c r="K1473" s="214">
        <v>32.0</v>
      </c>
      <c r="L1473" s="212" t="str">
        <f t="shared" si="3"/>
        <v>n/a</v>
      </c>
      <c r="M1473" s="212" t="str">
        <f t="shared" si="4"/>
        <v>n/a</v>
      </c>
      <c r="N1473" s="207" t="str">
        <f t="shared" si="5"/>
        <v>n/a</v>
      </c>
      <c r="O1473" s="207">
        <f t="shared" si="6"/>
        <v>0.03125</v>
      </c>
    </row>
    <row r="1474" ht="15.75" customHeight="1">
      <c r="A1474" s="207">
        <v>73.0</v>
      </c>
      <c r="B1474" s="6" t="str">
        <f>VLOOKUP($A1474, 'Completion rates'!$A:$E, 2, FALSE)</f>
        <v>Opening master caskets</v>
      </c>
      <c r="C1474" s="207">
        <v>12406.0</v>
      </c>
      <c r="D1474" s="6" t="str">
        <f>VLOOKUP($C1474, 'List of log slots'!$A:$E, 2, FALSE)</f>
        <v>Mort'ton teleport</v>
      </c>
      <c r="E1474" s="207">
        <f>VLOOKUP($C1474, 'List of log slots'!$A:$E, 5, FALSE)</f>
        <v>2</v>
      </c>
      <c r="F1474" s="213" t="b">
        <f>VLOOKUP(C1474, 'List of log slots'!$A:$C, 3, FALSE)</f>
        <v>0</v>
      </c>
      <c r="G1474" s="209" t="b">
        <f t="shared" si="1093"/>
        <v>0</v>
      </c>
      <c r="H1474" s="209" t="b">
        <f t="shared" si="7"/>
        <v>1</v>
      </c>
      <c r="I1474" s="208" t="b">
        <f t="shared" ref="I1474:J1474" si="1220">FALSE</f>
        <v>0</v>
      </c>
      <c r="J1474" s="208" t="b">
        <f t="shared" si="1220"/>
        <v>0</v>
      </c>
      <c r="K1474" s="214">
        <v>32.0</v>
      </c>
      <c r="L1474" s="212" t="str">
        <f t="shared" si="3"/>
        <v>n/a</v>
      </c>
      <c r="M1474" s="212" t="str">
        <f t="shared" si="4"/>
        <v>n/a</v>
      </c>
      <c r="N1474" s="207" t="str">
        <f t="shared" si="5"/>
        <v>n/a</v>
      </c>
      <c r="O1474" s="207">
        <f t="shared" si="6"/>
        <v>0.03125</v>
      </c>
    </row>
    <row r="1475" ht="15.75" customHeight="1">
      <c r="A1475" s="207">
        <v>73.0</v>
      </c>
      <c r="B1475" s="6" t="str">
        <f>VLOOKUP($A1475, 'Completion rates'!$A:$E, 2, FALSE)</f>
        <v>Opening master caskets</v>
      </c>
      <c r="C1475" s="212">
        <v>12404.0</v>
      </c>
      <c r="D1475" s="6" t="str">
        <f>VLOOKUP($C1475, 'List of log slots'!$A:$E, 2, FALSE)</f>
        <v>Feldip hills teleport</v>
      </c>
      <c r="E1475" s="207">
        <f>VLOOKUP($C1475, 'List of log slots'!$A:$E, 5, FALSE)</f>
        <v>2</v>
      </c>
      <c r="F1475" s="213" t="b">
        <f>VLOOKUP(C1475, 'List of log slots'!$A:$C, 3, FALSE)</f>
        <v>0</v>
      </c>
      <c r="G1475" s="209" t="b">
        <f t="shared" si="1093"/>
        <v>0</v>
      </c>
      <c r="H1475" s="209" t="b">
        <f t="shared" si="7"/>
        <v>1</v>
      </c>
      <c r="I1475" s="209" t="b">
        <f t="shared" ref="I1475:J1475" si="1221">FALSE</f>
        <v>0</v>
      </c>
      <c r="J1475" s="208" t="b">
        <f t="shared" si="1221"/>
        <v>0</v>
      </c>
      <c r="K1475" s="214">
        <v>32.0</v>
      </c>
      <c r="L1475" s="212" t="str">
        <f t="shared" si="3"/>
        <v>n/a</v>
      </c>
      <c r="M1475" s="212" t="str">
        <f t="shared" si="4"/>
        <v>n/a</v>
      </c>
      <c r="N1475" s="207" t="str">
        <f t="shared" si="5"/>
        <v>n/a</v>
      </c>
      <c r="O1475" s="207">
        <f t="shared" si="6"/>
        <v>0.03125</v>
      </c>
    </row>
    <row r="1476" ht="15.75" customHeight="1">
      <c r="A1476" s="207">
        <v>73.0</v>
      </c>
      <c r="B1476" s="6" t="str">
        <f>VLOOKUP($A1476, 'Completion rates'!$A:$E, 2, FALSE)</f>
        <v>Opening master caskets</v>
      </c>
      <c r="C1476" s="212">
        <v>12405.0</v>
      </c>
      <c r="D1476" s="6" t="str">
        <f>VLOOKUP($C1476, 'List of log slots'!$A:$E, 2, FALSE)</f>
        <v>Lunar isle teleport</v>
      </c>
      <c r="E1476" s="207">
        <f>VLOOKUP($C1476, 'List of log slots'!$A:$E, 5, FALSE)</f>
        <v>2</v>
      </c>
      <c r="F1476" s="213" t="b">
        <f>VLOOKUP(C1476, 'List of log slots'!$A:$C, 3, FALSE)</f>
        <v>0</v>
      </c>
      <c r="G1476" s="209" t="b">
        <f t="shared" si="1093"/>
        <v>0</v>
      </c>
      <c r="H1476" s="209" t="b">
        <f t="shared" si="7"/>
        <v>1</v>
      </c>
      <c r="I1476" s="209" t="b">
        <f t="shared" ref="I1476:J1476" si="1222">FALSE</f>
        <v>0</v>
      </c>
      <c r="J1476" s="208" t="b">
        <f t="shared" si="1222"/>
        <v>0</v>
      </c>
      <c r="K1476" s="214">
        <v>32.0</v>
      </c>
      <c r="L1476" s="212" t="str">
        <f t="shared" si="3"/>
        <v>n/a</v>
      </c>
      <c r="M1476" s="212" t="str">
        <f t="shared" si="4"/>
        <v>n/a</v>
      </c>
      <c r="N1476" s="207" t="str">
        <f t="shared" si="5"/>
        <v>n/a</v>
      </c>
      <c r="O1476" s="207">
        <f t="shared" si="6"/>
        <v>0.03125</v>
      </c>
    </row>
    <row r="1477" ht="15.75" customHeight="1">
      <c r="A1477" s="207">
        <v>73.0</v>
      </c>
      <c r="B1477" s="6" t="str">
        <f>VLOOKUP($A1477, 'Completion rates'!$A:$E, 2, FALSE)</f>
        <v>Opening master caskets</v>
      </c>
      <c r="C1477" s="212">
        <v>12403.0</v>
      </c>
      <c r="D1477" s="6" t="str">
        <f>VLOOKUP($C1477, 'List of log slots'!$A:$E, 2, FALSE)</f>
        <v>Digsite teleport</v>
      </c>
      <c r="E1477" s="207">
        <f>VLOOKUP($C1477, 'List of log slots'!$A:$E, 5, FALSE)</f>
        <v>2</v>
      </c>
      <c r="F1477" s="213" t="b">
        <f>VLOOKUP(C1477, 'List of log slots'!$A:$C, 3, FALSE)</f>
        <v>0</v>
      </c>
      <c r="G1477" s="209" t="b">
        <f t="shared" si="1093"/>
        <v>0</v>
      </c>
      <c r="H1477" s="209" t="b">
        <f t="shared" si="7"/>
        <v>1</v>
      </c>
      <c r="I1477" s="208" t="b">
        <f t="shared" ref="I1477:J1477" si="1223">FALSE</f>
        <v>0</v>
      </c>
      <c r="J1477" s="208" t="b">
        <f t="shared" si="1223"/>
        <v>0</v>
      </c>
      <c r="K1477" s="214">
        <v>32.0</v>
      </c>
      <c r="L1477" s="212" t="str">
        <f t="shared" si="3"/>
        <v>n/a</v>
      </c>
      <c r="M1477" s="212" t="str">
        <f t="shared" si="4"/>
        <v>n/a</v>
      </c>
      <c r="N1477" s="207" t="str">
        <f t="shared" si="5"/>
        <v>n/a</v>
      </c>
      <c r="O1477" s="207">
        <f t="shared" si="6"/>
        <v>0.03125</v>
      </c>
    </row>
    <row r="1478" ht="15.75" customHeight="1">
      <c r="A1478" s="207">
        <v>73.0</v>
      </c>
      <c r="B1478" s="6" t="str">
        <f>VLOOKUP($A1478, 'Completion rates'!$A:$E, 2, FALSE)</f>
        <v>Opening master caskets</v>
      </c>
      <c r="C1478" s="207">
        <v>12408.0</v>
      </c>
      <c r="D1478" s="6" t="str">
        <f>VLOOKUP($C1478, 'List of log slots'!$A:$E, 2, FALSE)</f>
        <v>Piscatoris teleport</v>
      </c>
      <c r="E1478" s="207">
        <f>VLOOKUP($C1478, 'List of log slots'!$A:$E, 5, FALSE)</f>
        <v>2</v>
      </c>
      <c r="F1478" s="213" t="b">
        <f>VLOOKUP(C1478, 'List of log slots'!$A:$C, 3, FALSE)</f>
        <v>0</v>
      </c>
      <c r="G1478" s="209" t="b">
        <f t="shared" si="1093"/>
        <v>0</v>
      </c>
      <c r="H1478" s="209" t="b">
        <f t="shared" si="7"/>
        <v>1</v>
      </c>
      <c r="I1478" s="208" t="b">
        <f t="shared" ref="I1478:J1478" si="1224">FALSE</f>
        <v>0</v>
      </c>
      <c r="J1478" s="208" t="b">
        <f t="shared" si="1224"/>
        <v>0</v>
      </c>
      <c r="K1478" s="214">
        <v>32.0</v>
      </c>
      <c r="L1478" s="212" t="str">
        <f t="shared" si="3"/>
        <v>n/a</v>
      </c>
      <c r="M1478" s="212" t="str">
        <f t="shared" si="4"/>
        <v>n/a</v>
      </c>
      <c r="N1478" s="207" t="str">
        <f t="shared" si="5"/>
        <v>n/a</v>
      </c>
      <c r="O1478" s="207">
        <f t="shared" si="6"/>
        <v>0.03125</v>
      </c>
    </row>
    <row r="1479" ht="15.75" customHeight="1">
      <c r="A1479" s="207">
        <v>73.0</v>
      </c>
      <c r="B1479" s="6" t="str">
        <f>VLOOKUP($A1479, 'Completion rates'!$A:$E, 2, FALSE)</f>
        <v>Opening master caskets</v>
      </c>
      <c r="C1479" s="207">
        <v>12407.0</v>
      </c>
      <c r="D1479" s="6" t="str">
        <f>VLOOKUP($C1479, 'List of log slots'!$A:$E, 2, FALSE)</f>
        <v>Pest control teleport</v>
      </c>
      <c r="E1479" s="207">
        <f>VLOOKUP($C1479, 'List of log slots'!$A:$E, 5, FALSE)</f>
        <v>2</v>
      </c>
      <c r="F1479" s="213" t="b">
        <f>VLOOKUP(C1479, 'List of log slots'!$A:$C, 3, FALSE)</f>
        <v>0</v>
      </c>
      <c r="G1479" s="209" t="b">
        <f t="shared" si="1093"/>
        <v>0</v>
      </c>
      <c r="H1479" s="209" t="b">
        <f t="shared" si="7"/>
        <v>1</v>
      </c>
      <c r="I1479" s="208" t="b">
        <f t="shared" ref="I1479:J1479" si="1225">FALSE</f>
        <v>0</v>
      </c>
      <c r="J1479" s="208" t="b">
        <f t="shared" si="1225"/>
        <v>0</v>
      </c>
      <c r="K1479" s="214">
        <v>32.0</v>
      </c>
      <c r="L1479" s="212" t="str">
        <f t="shared" si="3"/>
        <v>n/a</v>
      </c>
      <c r="M1479" s="212" t="str">
        <f t="shared" si="4"/>
        <v>n/a</v>
      </c>
      <c r="N1479" s="207" t="str">
        <f t="shared" si="5"/>
        <v>n/a</v>
      </c>
      <c r="O1479" s="207">
        <f t="shared" si="6"/>
        <v>0.03125</v>
      </c>
    </row>
    <row r="1480" ht="15.75" customHeight="1">
      <c r="A1480" s="207">
        <v>73.0</v>
      </c>
      <c r="B1480" s="6" t="str">
        <f>VLOOKUP($A1480, 'Completion rates'!$A:$E, 2, FALSE)</f>
        <v>Opening master caskets</v>
      </c>
      <c r="C1480" s="207">
        <v>12409.0</v>
      </c>
      <c r="D1480" s="6" t="str">
        <f>VLOOKUP($C1480, 'List of log slots'!$A:$E, 2, FALSE)</f>
        <v>Tai bwo wannai teleport</v>
      </c>
      <c r="E1480" s="207">
        <f>VLOOKUP($C1480, 'List of log slots'!$A:$E, 5, FALSE)</f>
        <v>2</v>
      </c>
      <c r="F1480" s="213" t="b">
        <f>VLOOKUP(C1480, 'List of log slots'!$A:$C, 3, FALSE)</f>
        <v>0</v>
      </c>
      <c r="G1480" s="209" t="b">
        <f t="shared" si="1093"/>
        <v>0</v>
      </c>
      <c r="H1480" s="209" t="b">
        <f t="shared" si="7"/>
        <v>1</v>
      </c>
      <c r="I1480" s="208" t="b">
        <f t="shared" ref="I1480:J1480" si="1226">FALSE</f>
        <v>0</v>
      </c>
      <c r="J1480" s="208" t="b">
        <f t="shared" si="1226"/>
        <v>0</v>
      </c>
      <c r="K1480" s="214">
        <v>32.0</v>
      </c>
      <c r="L1480" s="212" t="str">
        <f t="shared" si="3"/>
        <v>n/a</v>
      </c>
      <c r="M1480" s="212" t="str">
        <f t="shared" si="4"/>
        <v>n/a</v>
      </c>
      <c r="N1480" s="207" t="str">
        <f t="shared" si="5"/>
        <v>n/a</v>
      </c>
      <c r="O1480" s="207">
        <f t="shared" si="6"/>
        <v>0.03125</v>
      </c>
    </row>
    <row r="1481" ht="15.75" customHeight="1">
      <c r="A1481" s="207">
        <v>73.0</v>
      </c>
      <c r="B1481" s="6" t="str">
        <f>VLOOKUP($A1481, 'Completion rates'!$A:$E, 2, FALSE)</f>
        <v>Opening master caskets</v>
      </c>
      <c r="C1481" s="207">
        <v>12642.0</v>
      </c>
      <c r="D1481" s="6" t="str">
        <f>VLOOKUP($C1481, 'List of log slots'!$A:$E, 2, FALSE)</f>
        <v>Lumberyard teleport</v>
      </c>
      <c r="E1481" s="207">
        <f>VLOOKUP($C1481, 'List of log slots'!$A:$E, 5, FALSE)</f>
        <v>2</v>
      </c>
      <c r="F1481" s="213" t="b">
        <f>VLOOKUP(C1481, 'List of log slots'!$A:$C, 3, FALSE)</f>
        <v>0</v>
      </c>
      <c r="G1481" s="209" t="b">
        <f t="shared" si="1093"/>
        <v>0</v>
      </c>
      <c r="H1481" s="209" t="b">
        <f t="shared" si="7"/>
        <v>1</v>
      </c>
      <c r="I1481" s="208" t="b">
        <f t="shared" ref="I1481:J1481" si="1227">FALSE</f>
        <v>0</v>
      </c>
      <c r="J1481" s="208" t="b">
        <f t="shared" si="1227"/>
        <v>0</v>
      </c>
      <c r="K1481" s="214">
        <v>32.0</v>
      </c>
      <c r="L1481" s="212" t="str">
        <f t="shared" si="3"/>
        <v>n/a</v>
      </c>
      <c r="M1481" s="212" t="str">
        <f t="shared" si="4"/>
        <v>n/a</v>
      </c>
      <c r="N1481" s="207" t="str">
        <f t="shared" si="5"/>
        <v>n/a</v>
      </c>
      <c r="O1481" s="207">
        <f t="shared" si="6"/>
        <v>0.03125</v>
      </c>
    </row>
    <row r="1482" ht="15.75" customHeight="1">
      <c r="A1482" s="207">
        <v>73.0</v>
      </c>
      <c r="B1482" s="6" t="str">
        <f>VLOOKUP($A1482, 'Completion rates'!$A:$E, 2, FALSE)</f>
        <v>Opening master caskets</v>
      </c>
      <c r="C1482" s="207">
        <v>12410.0</v>
      </c>
      <c r="D1482" s="6" t="str">
        <f>VLOOKUP($C1482, 'List of log slots'!$A:$E, 2, FALSE)</f>
        <v>Iorwerth camp teleport</v>
      </c>
      <c r="E1482" s="207">
        <f>VLOOKUP($C1482, 'List of log slots'!$A:$E, 5, FALSE)</f>
        <v>2</v>
      </c>
      <c r="F1482" s="213" t="b">
        <f>VLOOKUP(C1482, 'List of log slots'!$A:$C, 3, FALSE)</f>
        <v>0</v>
      </c>
      <c r="G1482" s="209" t="b">
        <f t="shared" si="1093"/>
        <v>0</v>
      </c>
      <c r="H1482" s="209" t="b">
        <f t="shared" si="7"/>
        <v>1</v>
      </c>
      <c r="I1482" s="208" t="b">
        <f t="shared" ref="I1482:J1482" si="1228">FALSE</f>
        <v>0</v>
      </c>
      <c r="J1482" s="208" t="b">
        <f t="shared" si="1228"/>
        <v>0</v>
      </c>
      <c r="K1482" s="214">
        <v>32.0</v>
      </c>
      <c r="L1482" s="212" t="str">
        <f t="shared" si="3"/>
        <v>n/a</v>
      </c>
      <c r="M1482" s="212" t="str">
        <f t="shared" si="4"/>
        <v>n/a</v>
      </c>
      <c r="N1482" s="207" t="str">
        <f t="shared" si="5"/>
        <v>n/a</v>
      </c>
      <c r="O1482" s="207">
        <f t="shared" si="6"/>
        <v>0.03125</v>
      </c>
    </row>
    <row r="1483" ht="15.75" customHeight="1">
      <c r="A1483" s="207">
        <v>73.0</v>
      </c>
      <c r="B1483" s="6" t="str">
        <f>VLOOKUP($A1483, 'Completion rates'!$A:$E, 2, FALSE)</f>
        <v>Opening master caskets</v>
      </c>
      <c r="C1483" s="207">
        <v>21387.0</v>
      </c>
      <c r="D1483" s="6" t="str">
        <f>VLOOKUP($C1483, 'List of log slots'!$A:$E, 2, FALSE)</f>
        <v>Master scroll book (empty)</v>
      </c>
      <c r="E1483" s="207">
        <f>VLOOKUP($C1483, 'List of log slots'!$A:$E, 5, FALSE)</f>
        <v>2</v>
      </c>
      <c r="F1483" s="213" t="b">
        <f>VLOOKUP(C1483, 'List of log slots'!$A:$C, 3, FALSE)</f>
        <v>0</v>
      </c>
      <c r="G1483" s="209" t="b">
        <f t="shared" si="1093"/>
        <v>0</v>
      </c>
      <c r="H1483" s="209" t="b">
        <f t="shared" si="7"/>
        <v>1</v>
      </c>
      <c r="I1483" s="208" t="b">
        <f t="shared" ref="I1483:J1483" si="1229">FALSE</f>
        <v>0</v>
      </c>
      <c r="J1483" s="208" t="b">
        <f t="shared" si="1229"/>
        <v>0</v>
      </c>
      <c r="K1483" s="214">
        <v>55.6</v>
      </c>
      <c r="L1483" s="212" t="str">
        <f t="shared" si="3"/>
        <v>n/a</v>
      </c>
      <c r="M1483" s="212" t="str">
        <f t="shared" si="4"/>
        <v>n/a</v>
      </c>
      <c r="N1483" s="207" t="str">
        <f t="shared" si="5"/>
        <v>n/a</v>
      </c>
      <c r="O1483" s="207">
        <f t="shared" si="6"/>
        <v>0.01798561151</v>
      </c>
    </row>
    <row r="1484" ht="15.75" customHeight="1">
      <c r="A1484" s="207">
        <v>73.0</v>
      </c>
      <c r="B1484" s="6" t="str">
        <f>VLOOKUP($A1484, 'Completion rates'!$A:$E, 2, FALSE)</f>
        <v>Opening master caskets</v>
      </c>
      <c r="C1484" s="207">
        <v>7329.0</v>
      </c>
      <c r="D1484" s="6" t="str">
        <f>VLOOKUP($C1484, 'List of log slots'!$A:$E, 2, FALSE)</f>
        <v>Red firelighter</v>
      </c>
      <c r="E1484" s="207">
        <f>VLOOKUP($C1484, 'List of log slots'!$A:$E, 5, FALSE)</f>
        <v>2</v>
      </c>
      <c r="F1484" s="213" t="b">
        <f>VLOOKUP(C1484, 'List of log slots'!$A:$C, 3, FALSE)</f>
        <v>0</v>
      </c>
      <c r="G1484" s="209" t="b">
        <f t="shared" si="1093"/>
        <v>0</v>
      </c>
      <c r="H1484" s="209" t="b">
        <f t="shared" si="7"/>
        <v>1</v>
      </c>
      <c r="I1484" s="208" t="b">
        <f t="shared" ref="I1484:J1484" si="1230">FALSE</f>
        <v>0</v>
      </c>
      <c r="J1484" s="208" t="b">
        <f t="shared" si="1230"/>
        <v>0</v>
      </c>
      <c r="K1484" s="214">
        <v>25.0</v>
      </c>
      <c r="L1484" s="212" t="str">
        <f t="shared" si="3"/>
        <v>n/a</v>
      </c>
      <c r="M1484" s="212" t="str">
        <f t="shared" si="4"/>
        <v>n/a</v>
      </c>
      <c r="N1484" s="207" t="str">
        <f t="shared" si="5"/>
        <v>n/a</v>
      </c>
      <c r="O1484" s="207">
        <f t="shared" si="6"/>
        <v>0.04</v>
      </c>
    </row>
    <row r="1485" ht="15.75" customHeight="1">
      <c r="A1485" s="207">
        <v>73.0</v>
      </c>
      <c r="B1485" s="6" t="str">
        <f>VLOOKUP($A1485, 'Completion rates'!$A:$E, 2, FALSE)</f>
        <v>Opening master caskets</v>
      </c>
      <c r="C1485" s="207">
        <v>7330.0</v>
      </c>
      <c r="D1485" s="6" t="str">
        <f>VLOOKUP($C1485, 'List of log slots'!$A:$E, 2, FALSE)</f>
        <v>Green firelighter</v>
      </c>
      <c r="E1485" s="207">
        <f>VLOOKUP($C1485, 'List of log slots'!$A:$E, 5, FALSE)</f>
        <v>2</v>
      </c>
      <c r="F1485" s="213" t="b">
        <f>VLOOKUP(C1485, 'List of log slots'!$A:$C, 3, FALSE)</f>
        <v>0</v>
      </c>
      <c r="G1485" s="209" t="b">
        <f t="shared" si="1093"/>
        <v>0</v>
      </c>
      <c r="H1485" s="209" t="b">
        <f t="shared" si="7"/>
        <v>1</v>
      </c>
      <c r="I1485" s="208" t="b">
        <f t="shared" ref="I1485:J1485" si="1231">FALSE</f>
        <v>0</v>
      </c>
      <c r="J1485" s="208" t="b">
        <f t="shared" si="1231"/>
        <v>0</v>
      </c>
      <c r="K1485" s="214">
        <v>25.0</v>
      </c>
      <c r="L1485" s="212" t="str">
        <f t="shared" si="3"/>
        <v>n/a</v>
      </c>
      <c r="M1485" s="212" t="str">
        <f t="shared" si="4"/>
        <v>n/a</v>
      </c>
      <c r="N1485" s="207" t="str">
        <f t="shared" si="5"/>
        <v>n/a</v>
      </c>
      <c r="O1485" s="207">
        <f t="shared" si="6"/>
        <v>0.04</v>
      </c>
    </row>
    <row r="1486" ht="15.75" customHeight="1">
      <c r="A1486" s="207">
        <v>73.0</v>
      </c>
      <c r="B1486" s="6" t="str">
        <f>VLOOKUP($A1486, 'Completion rates'!$A:$E, 2, FALSE)</f>
        <v>Opening master caskets</v>
      </c>
      <c r="C1486" s="207">
        <v>7331.0</v>
      </c>
      <c r="D1486" s="6" t="str">
        <f>VLOOKUP($C1486, 'List of log slots'!$A:$E, 2, FALSE)</f>
        <v>Blue firelighter</v>
      </c>
      <c r="E1486" s="207">
        <f>VLOOKUP($C1486, 'List of log slots'!$A:$E, 5, FALSE)</f>
        <v>2</v>
      </c>
      <c r="F1486" s="213" t="b">
        <f>VLOOKUP(C1486, 'List of log slots'!$A:$C, 3, FALSE)</f>
        <v>0</v>
      </c>
      <c r="G1486" s="209" t="b">
        <f t="shared" si="1093"/>
        <v>0</v>
      </c>
      <c r="H1486" s="209" t="b">
        <f t="shared" si="7"/>
        <v>1</v>
      </c>
      <c r="I1486" s="208" t="b">
        <f t="shared" ref="I1486:J1486" si="1232">FALSE</f>
        <v>0</v>
      </c>
      <c r="J1486" s="208" t="b">
        <f t="shared" si="1232"/>
        <v>0</v>
      </c>
      <c r="K1486" s="214">
        <v>25.0</v>
      </c>
      <c r="L1486" s="212" t="str">
        <f t="shared" si="3"/>
        <v>n/a</v>
      </c>
      <c r="M1486" s="212" t="str">
        <f t="shared" si="4"/>
        <v>n/a</v>
      </c>
      <c r="N1486" s="207" t="str">
        <f t="shared" si="5"/>
        <v>n/a</v>
      </c>
      <c r="O1486" s="207">
        <f t="shared" si="6"/>
        <v>0.04</v>
      </c>
    </row>
    <row r="1487" ht="15.75" customHeight="1">
      <c r="A1487" s="207">
        <v>73.0</v>
      </c>
      <c r="B1487" s="6" t="str">
        <f>VLOOKUP($A1487, 'Completion rates'!$A:$E, 2, FALSE)</f>
        <v>Opening master caskets</v>
      </c>
      <c r="C1487" s="207">
        <v>10326.0</v>
      </c>
      <c r="D1487" s="6" t="str">
        <f>VLOOKUP($C1487, 'List of log slots'!$A:$E, 2, FALSE)</f>
        <v>Purple firelighter</v>
      </c>
      <c r="E1487" s="207">
        <f>VLOOKUP($C1487, 'List of log slots'!$A:$E, 5, FALSE)</f>
        <v>2</v>
      </c>
      <c r="F1487" s="213" t="b">
        <f>VLOOKUP(C1487, 'List of log slots'!$A:$C, 3, FALSE)</f>
        <v>0</v>
      </c>
      <c r="G1487" s="209" t="b">
        <f t="shared" si="1093"/>
        <v>0</v>
      </c>
      <c r="H1487" s="209" t="b">
        <f t="shared" si="7"/>
        <v>1</v>
      </c>
      <c r="I1487" s="208" t="b">
        <f t="shared" ref="I1487:J1487" si="1233">FALSE</f>
        <v>0</v>
      </c>
      <c r="J1487" s="208" t="b">
        <f t="shared" si="1233"/>
        <v>0</v>
      </c>
      <c r="K1487" s="214">
        <v>25.0</v>
      </c>
      <c r="L1487" s="212" t="str">
        <f t="shared" si="3"/>
        <v>n/a</v>
      </c>
      <c r="M1487" s="212" t="str">
        <f t="shared" si="4"/>
        <v>n/a</v>
      </c>
      <c r="N1487" s="207" t="str">
        <f t="shared" si="5"/>
        <v>n/a</v>
      </c>
      <c r="O1487" s="207">
        <f t="shared" si="6"/>
        <v>0.04</v>
      </c>
    </row>
    <row r="1488" ht="15.75" customHeight="1">
      <c r="A1488" s="207">
        <v>73.0</v>
      </c>
      <c r="B1488" s="6" t="str">
        <f>VLOOKUP($A1488, 'Completion rates'!$A:$E, 2, FALSE)</f>
        <v>Opening master caskets</v>
      </c>
      <c r="C1488" s="207">
        <v>10327.0</v>
      </c>
      <c r="D1488" s="6" t="str">
        <f>VLOOKUP($C1488, 'List of log slots'!$A:$E, 2, FALSE)</f>
        <v>White firelighter</v>
      </c>
      <c r="E1488" s="207">
        <f>VLOOKUP($C1488, 'List of log slots'!$A:$E, 5, FALSE)</f>
        <v>2</v>
      </c>
      <c r="F1488" s="213" t="b">
        <f>VLOOKUP(C1488, 'List of log slots'!$A:$C, 3, FALSE)</f>
        <v>0</v>
      </c>
      <c r="G1488" s="209" t="b">
        <f t="shared" si="1093"/>
        <v>0</v>
      </c>
      <c r="H1488" s="209" t="b">
        <f t="shared" si="7"/>
        <v>1</v>
      </c>
      <c r="I1488" s="208" t="b">
        <f t="shared" ref="I1488:J1488" si="1234">FALSE</f>
        <v>0</v>
      </c>
      <c r="J1488" s="208" t="b">
        <f t="shared" si="1234"/>
        <v>0</v>
      </c>
      <c r="K1488" s="214">
        <v>25.0</v>
      </c>
      <c r="L1488" s="212" t="str">
        <f t="shared" si="3"/>
        <v>n/a</v>
      </c>
      <c r="M1488" s="212" t="str">
        <f t="shared" si="4"/>
        <v>n/a</v>
      </c>
      <c r="N1488" s="207" t="str">
        <f t="shared" si="5"/>
        <v>n/a</v>
      </c>
      <c r="O1488" s="207">
        <f t="shared" si="6"/>
        <v>0.04</v>
      </c>
    </row>
    <row r="1489" ht="15.75" customHeight="1">
      <c r="A1489" s="207">
        <v>73.0</v>
      </c>
      <c r="B1489" s="6" t="str">
        <f>VLOOKUP($A1489, 'Completion rates'!$A:$E, 2, FALSE)</f>
        <v>Opening master caskets</v>
      </c>
      <c r="C1489" s="207">
        <v>20238.0</v>
      </c>
      <c r="D1489" s="6" t="str">
        <f>VLOOKUP($C1489, 'List of log slots'!$A:$E, 2, FALSE)</f>
        <v>Charge dragonstone jewellery scroll</v>
      </c>
      <c r="E1489" s="207">
        <f>VLOOKUP($C1489, 'List of log slots'!$A:$E, 5, FALSE)</f>
        <v>2</v>
      </c>
      <c r="F1489" s="213" t="b">
        <f>VLOOKUP(C1489, 'List of log slots'!$A:$C, 3, FALSE)</f>
        <v>0</v>
      </c>
      <c r="G1489" s="209" t="b">
        <f t="shared" si="1093"/>
        <v>0</v>
      </c>
      <c r="H1489" s="209" t="b">
        <f t="shared" si="7"/>
        <v>1</v>
      </c>
      <c r="I1489" s="208" t="b">
        <f t="shared" ref="I1489:J1489" si="1235">FALSE</f>
        <v>0</v>
      </c>
      <c r="J1489" s="208" t="b">
        <f t="shared" si="1235"/>
        <v>0</v>
      </c>
      <c r="K1489" s="214">
        <v>32.0</v>
      </c>
      <c r="L1489" s="212" t="str">
        <f t="shared" si="3"/>
        <v>n/a</v>
      </c>
      <c r="M1489" s="212" t="str">
        <f t="shared" si="4"/>
        <v>n/a</v>
      </c>
      <c r="N1489" s="207" t="str">
        <f t="shared" si="5"/>
        <v>n/a</v>
      </c>
      <c r="O1489" s="207">
        <f t="shared" si="6"/>
        <v>0.03125</v>
      </c>
    </row>
    <row r="1490" ht="15.75" customHeight="1">
      <c r="A1490" s="207">
        <v>73.0</v>
      </c>
      <c r="B1490" s="6" t="str">
        <f>VLOOKUP($A1490, 'Completion rates'!$A:$E, 2, FALSE)</f>
        <v>Opening master caskets</v>
      </c>
      <c r="C1490" s="207">
        <v>10476.0</v>
      </c>
      <c r="D1490" s="6" t="str">
        <f>VLOOKUP($C1490, 'List of log slots'!$A:$E, 2, FALSE)</f>
        <v>Purple sweets</v>
      </c>
      <c r="E1490" s="207">
        <f>VLOOKUP($C1490, 'List of log slots'!$A:$E, 5, FALSE)</f>
        <v>2</v>
      </c>
      <c r="F1490" s="213" t="b">
        <f>VLOOKUP(C1490, 'List of log slots'!$A:$C, 3, FALSE)</f>
        <v>0</v>
      </c>
      <c r="G1490" s="209" t="b">
        <f t="shared" si="1093"/>
        <v>0</v>
      </c>
      <c r="H1490" s="209" t="b">
        <f t="shared" si="7"/>
        <v>1</v>
      </c>
      <c r="I1490" s="208" t="b">
        <f t="shared" ref="I1490:J1490" si="1236">FALSE</f>
        <v>0</v>
      </c>
      <c r="J1490" s="208" t="b">
        <f t="shared" si="1236"/>
        <v>0</v>
      </c>
      <c r="K1490" s="214">
        <v>4.0</v>
      </c>
      <c r="L1490" s="212" t="str">
        <f t="shared" si="3"/>
        <v>n/a</v>
      </c>
      <c r="M1490" s="212" t="str">
        <f t="shared" si="4"/>
        <v>n/a</v>
      </c>
      <c r="N1490" s="207" t="str">
        <f t="shared" si="5"/>
        <v>n/a</v>
      </c>
      <c r="O1490" s="207">
        <f t="shared" si="6"/>
        <v>0.25</v>
      </c>
    </row>
    <row r="1491" ht="15.75" customHeight="1">
      <c r="A1491" s="207">
        <v>73.0</v>
      </c>
      <c r="B1491" s="6" t="str">
        <f>VLOOKUP($A1491, 'Completion rates'!$A:$E, 2, FALSE)</f>
        <v>Opening master caskets</v>
      </c>
      <c r="C1491" s="207">
        <v>30922.0</v>
      </c>
      <c r="D1491" s="6" t="str">
        <f>VLOOKUP($C1491, 'List of log slots'!$A:$E, 2, FALSE)</f>
        <v>Minor master scroll case</v>
      </c>
      <c r="E1491" s="207">
        <f>VLOOKUP($C1491, 'List of log slots'!$A:$E, 5, FALSE)</f>
        <v>6</v>
      </c>
      <c r="F1491" s="213" t="b">
        <f>VLOOKUP(C1491, 'List of log slots'!$A:$C, 3, FALSE)</f>
        <v>0</v>
      </c>
      <c r="G1491" s="209" t="b">
        <f t="shared" si="1093"/>
        <v>0</v>
      </c>
      <c r="H1491" s="209" t="b">
        <f t="shared" si="7"/>
        <v>1</v>
      </c>
      <c r="I1491" s="213" t="b">
        <f t="shared" ref="I1491:I1492" si="1237">TRUE</f>
        <v>1</v>
      </c>
      <c r="J1491" s="208" t="b">
        <f t="shared" ref="J1491:J1492" si="1238">FALSE</f>
        <v>0</v>
      </c>
      <c r="K1491" s="214">
        <v>25.0</v>
      </c>
      <c r="L1491" s="212" t="str">
        <f t="shared" si="3"/>
        <v>n/a</v>
      </c>
      <c r="M1491" s="212">
        <f t="shared" si="4"/>
        <v>25</v>
      </c>
      <c r="N1491" s="207" t="str">
        <f t="shared" si="5"/>
        <v>n/a</v>
      </c>
      <c r="O1491" s="207" t="str">
        <f t="shared" si="6"/>
        <v>n/a</v>
      </c>
    </row>
    <row r="1492" ht="15.75" customHeight="1">
      <c r="A1492" s="207">
        <v>73.0</v>
      </c>
      <c r="B1492" s="6" t="str">
        <f>VLOOKUP($A1492, 'Completion rates'!$A:$E, 2, FALSE)</f>
        <v>Opening master caskets</v>
      </c>
      <c r="C1492" s="207">
        <v>30924.0</v>
      </c>
      <c r="D1492" s="6" t="str">
        <f>VLOOKUP($C1492, 'List of log slots'!$A:$E, 2, FALSE)</f>
        <v>Major master scroll case</v>
      </c>
      <c r="E1492" s="207">
        <f>VLOOKUP($C1492, 'List of log slots'!$A:$E, 5, FALSE)</f>
        <v>7</v>
      </c>
      <c r="F1492" s="208" t="b">
        <f>VLOOKUP(C1492, 'List of log slots'!$A:$C, 3, FALSE)</f>
        <v>0</v>
      </c>
      <c r="G1492" s="210" t="b">
        <f>TRUE</f>
        <v>1</v>
      </c>
      <c r="H1492" s="210" t="b">
        <f t="shared" si="7"/>
        <v>0</v>
      </c>
      <c r="I1492" s="213" t="b">
        <f t="shared" si="1237"/>
        <v>1</v>
      </c>
      <c r="J1492" s="208" t="b">
        <f t="shared" si="1238"/>
        <v>0</v>
      </c>
      <c r="K1492" s="214">
        <v>50.0</v>
      </c>
      <c r="L1492" s="212" t="str">
        <f t="shared" si="3"/>
        <v>n/a</v>
      </c>
      <c r="M1492" s="212">
        <f t="shared" si="4"/>
        <v>50</v>
      </c>
      <c r="N1492" s="207" t="str">
        <f t="shared" si="5"/>
        <v>n/a</v>
      </c>
      <c r="O1492" s="207" t="str">
        <f t="shared" si="6"/>
        <v>n/a</v>
      </c>
    </row>
    <row r="1493" ht="15.75" customHeight="1">
      <c r="A1493" s="207">
        <v>73.0</v>
      </c>
      <c r="B1493" s="6" t="str">
        <f>VLOOKUP($A1493, 'Completion rates'!$A:$E, 2, FALSE)</f>
        <v>Opening master caskets</v>
      </c>
      <c r="C1493" s="207">
        <v>30926.0</v>
      </c>
      <c r="D1493" s="6" t="str">
        <f>VLOOKUP($C1493, 'List of log slots'!$A:$E, 2, FALSE)</f>
        <v>Mimic scroll case</v>
      </c>
      <c r="E1493" s="207">
        <f>VLOOKUP($C1493, 'List of log slots'!$A:$E, 5, FALSE)</f>
        <v>5</v>
      </c>
      <c r="F1493" s="213" t="b">
        <f>VLOOKUP(C1493, 'List of log slots'!$A:$C, 3, FALSE)</f>
        <v>0</v>
      </c>
      <c r="G1493" s="209" t="b">
        <f t="shared" ref="G1493:G1523" si="1240">FALSE</f>
        <v>0</v>
      </c>
      <c r="H1493" s="209" t="b">
        <f t="shared" si="7"/>
        <v>1</v>
      </c>
      <c r="I1493" s="208" t="b">
        <f t="shared" ref="I1493:J1493" si="1239">FALSE</f>
        <v>0</v>
      </c>
      <c r="J1493" s="208" t="b">
        <f t="shared" si="1239"/>
        <v>0</v>
      </c>
      <c r="K1493" s="214">
        <v>15.0</v>
      </c>
      <c r="L1493" s="212" t="str">
        <f t="shared" si="3"/>
        <v>n/a</v>
      </c>
      <c r="M1493" s="212" t="str">
        <f t="shared" si="4"/>
        <v>n/a</v>
      </c>
      <c r="N1493" s="207" t="str">
        <f t="shared" si="5"/>
        <v>n/a</v>
      </c>
      <c r="O1493" s="207">
        <f t="shared" si="6"/>
        <v>0.06666666667</v>
      </c>
    </row>
    <row r="1494" ht="15.75" customHeight="1">
      <c r="A1494" s="207">
        <v>74.0</v>
      </c>
      <c r="B1494" s="6" t="str">
        <f>VLOOKUP($A1494, 'Completion rates'!$A:$E, 2, FALSE)</f>
        <v>Barbarian assault high gambles (or 500 points)</v>
      </c>
      <c r="C1494" s="207">
        <v>12703.0</v>
      </c>
      <c r="D1494" s="6" t="str">
        <f>VLOOKUP($C1494, 'List of log slots'!$A:$E, 2, FALSE)</f>
        <v>Pet penance queen</v>
      </c>
      <c r="E1494" s="207">
        <f>VLOOKUP($C1494, 'List of log slots'!$A:$E, 5, FALSE)</f>
        <v>8</v>
      </c>
      <c r="F1494" s="208" t="b">
        <f>VLOOKUP(C1494, 'List of log slots'!$A:$C, 3, FALSE)</f>
        <v>0</v>
      </c>
      <c r="G1494" s="209" t="b">
        <f t="shared" si="1240"/>
        <v>0</v>
      </c>
      <c r="H1494" s="210" t="b">
        <f t="shared" si="7"/>
        <v>1</v>
      </c>
      <c r="I1494" s="208" t="b">
        <f t="shared" ref="I1494:J1494" si="1241">FALSE</f>
        <v>0</v>
      </c>
      <c r="J1494" s="208" t="b">
        <f t="shared" si="1241"/>
        <v>0</v>
      </c>
      <c r="K1494" s="214">
        <v>1000.0</v>
      </c>
      <c r="L1494" s="212" t="str">
        <f t="shared" si="3"/>
        <v>n/a</v>
      </c>
      <c r="M1494" s="212" t="str">
        <f t="shared" si="4"/>
        <v>n/a</v>
      </c>
      <c r="N1494" s="207" t="str">
        <f t="shared" si="5"/>
        <v>n/a</v>
      </c>
      <c r="O1494" s="207">
        <f t="shared" si="6"/>
        <v>0.001</v>
      </c>
    </row>
    <row r="1495" ht="15.75" customHeight="1">
      <c r="A1495" s="207">
        <v>74.0</v>
      </c>
      <c r="B1495" s="6" t="str">
        <f>VLOOKUP($A1495, 'Completion rates'!$A:$E, 2, FALSE)</f>
        <v>Barbarian assault high gambles (or 500 points)</v>
      </c>
      <c r="C1495" s="207">
        <v>10548.0</v>
      </c>
      <c r="D1495" s="6" t="str">
        <f>VLOOKUP($C1495, 'List of log slots'!$A:$E, 2, FALSE)</f>
        <v>Fighter hat</v>
      </c>
      <c r="E1495" s="207">
        <f>VLOOKUP($C1495, 'List of log slots'!$A:$E, 5, FALSE)</f>
        <v>2</v>
      </c>
      <c r="F1495" s="208" t="b">
        <f>VLOOKUP(C1495, 'List of log slots'!$A:$C, 3, FALSE)</f>
        <v>0</v>
      </c>
      <c r="G1495" s="209" t="b">
        <f t="shared" si="1240"/>
        <v>0</v>
      </c>
      <c r="H1495" s="210" t="b">
        <f t="shared" si="7"/>
        <v>1</v>
      </c>
      <c r="I1495" s="213" t="b">
        <f t="shared" ref="I1495:J1495" si="1242">TRUE</f>
        <v>1</v>
      </c>
      <c r="J1495" s="213" t="b">
        <f t="shared" si="1242"/>
        <v>1</v>
      </c>
      <c r="K1495" s="214">
        <v>2.2</v>
      </c>
      <c r="L1495" s="212">
        <f t="shared" si="3"/>
        <v>2.2</v>
      </c>
      <c r="M1495" s="212" t="str">
        <f t="shared" si="4"/>
        <v>n/a</v>
      </c>
      <c r="N1495" s="207" t="str">
        <f t="shared" si="5"/>
        <v>n/a</v>
      </c>
      <c r="O1495" s="207" t="str">
        <f t="shared" si="6"/>
        <v>n/a</v>
      </c>
    </row>
    <row r="1496" ht="15.75" customHeight="1">
      <c r="A1496" s="207">
        <v>74.0</v>
      </c>
      <c r="B1496" s="6" t="str">
        <f>VLOOKUP($A1496, 'Completion rates'!$A:$E, 2, FALSE)</f>
        <v>Barbarian assault high gambles (or 500 points)</v>
      </c>
      <c r="C1496" s="207">
        <v>10550.0</v>
      </c>
      <c r="D1496" s="6" t="str">
        <f>VLOOKUP($C1496, 'List of log slots'!$A:$E, 2, FALSE)</f>
        <v>Ranger hat</v>
      </c>
      <c r="E1496" s="207">
        <f>VLOOKUP($C1496, 'List of log slots'!$A:$E, 5, FALSE)</f>
        <v>2</v>
      </c>
      <c r="F1496" s="213" t="b">
        <f>VLOOKUP(C1496, 'List of log slots'!$A:$C, 3, FALSE)</f>
        <v>0</v>
      </c>
      <c r="G1496" s="209" t="b">
        <f t="shared" si="1240"/>
        <v>0</v>
      </c>
      <c r="H1496" s="209" t="b">
        <f t="shared" si="7"/>
        <v>1</v>
      </c>
      <c r="I1496" s="213" t="b">
        <f t="shared" ref="I1496:J1496" si="1243">TRUE</f>
        <v>1</v>
      </c>
      <c r="J1496" s="213" t="b">
        <f t="shared" si="1243"/>
        <v>1</v>
      </c>
      <c r="K1496" s="214">
        <v>2.2</v>
      </c>
      <c r="L1496" s="212">
        <f t="shared" si="3"/>
        <v>2.2</v>
      </c>
      <c r="M1496" s="212" t="str">
        <f t="shared" si="4"/>
        <v>n/a</v>
      </c>
      <c r="N1496" s="207" t="str">
        <f t="shared" si="5"/>
        <v>n/a</v>
      </c>
      <c r="O1496" s="207" t="str">
        <f t="shared" si="6"/>
        <v>n/a</v>
      </c>
    </row>
    <row r="1497" ht="15.75" customHeight="1">
      <c r="A1497" s="207">
        <v>74.0</v>
      </c>
      <c r="B1497" s="6" t="str">
        <f>VLOOKUP($A1497, 'Completion rates'!$A:$E, 2, FALSE)</f>
        <v>Barbarian assault high gambles (or 500 points)</v>
      </c>
      <c r="C1497" s="207">
        <v>10549.0</v>
      </c>
      <c r="D1497" s="6" t="str">
        <f>VLOOKUP($C1497, 'List of log slots'!$A:$E, 2, FALSE)</f>
        <v>Runner hat</v>
      </c>
      <c r="E1497" s="207">
        <f>VLOOKUP($C1497, 'List of log slots'!$A:$E, 5, FALSE)</f>
        <v>2</v>
      </c>
      <c r="F1497" s="208" t="b">
        <f>VLOOKUP(C1497, 'List of log slots'!$A:$C, 3, FALSE)</f>
        <v>0</v>
      </c>
      <c r="G1497" s="209" t="b">
        <f t="shared" si="1240"/>
        <v>0</v>
      </c>
      <c r="H1497" s="210" t="b">
        <f t="shared" si="7"/>
        <v>1</v>
      </c>
      <c r="I1497" s="213" t="b">
        <f t="shared" ref="I1497:J1497" si="1244">TRUE</f>
        <v>1</v>
      </c>
      <c r="J1497" s="213" t="b">
        <f t="shared" si="1244"/>
        <v>1</v>
      </c>
      <c r="K1497" s="214">
        <v>2.2</v>
      </c>
      <c r="L1497" s="212">
        <f t="shared" si="3"/>
        <v>2.2</v>
      </c>
      <c r="M1497" s="212" t="str">
        <f t="shared" si="4"/>
        <v>n/a</v>
      </c>
      <c r="N1497" s="207" t="str">
        <f t="shared" si="5"/>
        <v>n/a</v>
      </c>
      <c r="O1497" s="207" t="str">
        <f t="shared" si="6"/>
        <v>n/a</v>
      </c>
    </row>
    <row r="1498" ht="15.75" customHeight="1">
      <c r="A1498" s="207">
        <v>74.0</v>
      </c>
      <c r="B1498" s="6" t="str">
        <f>VLOOKUP($A1498, 'Completion rates'!$A:$E, 2, FALSE)</f>
        <v>Barbarian assault high gambles (or 500 points)</v>
      </c>
      <c r="C1498" s="207">
        <v>10547.0</v>
      </c>
      <c r="D1498" s="6" t="str">
        <f>VLOOKUP($C1498, 'List of log slots'!$A:$E, 2, FALSE)</f>
        <v>Healer hat</v>
      </c>
      <c r="E1498" s="207">
        <f>VLOOKUP($C1498, 'List of log slots'!$A:$E, 5, FALSE)</f>
        <v>2</v>
      </c>
      <c r="F1498" s="213" t="b">
        <f>VLOOKUP(C1498, 'List of log slots'!$A:$C, 3, FALSE)</f>
        <v>0</v>
      </c>
      <c r="G1498" s="209" t="b">
        <f t="shared" si="1240"/>
        <v>0</v>
      </c>
      <c r="H1498" s="209" t="b">
        <f t="shared" si="7"/>
        <v>1</v>
      </c>
      <c r="I1498" s="213" t="b">
        <f t="shared" ref="I1498:J1498" si="1245">TRUE</f>
        <v>1</v>
      </c>
      <c r="J1498" s="213" t="b">
        <f t="shared" si="1245"/>
        <v>1</v>
      </c>
      <c r="K1498" s="214">
        <v>2.2</v>
      </c>
      <c r="L1498" s="212">
        <f t="shared" si="3"/>
        <v>2.2</v>
      </c>
      <c r="M1498" s="212" t="str">
        <f t="shared" si="4"/>
        <v>n/a</v>
      </c>
      <c r="N1498" s="207" t="str">
        <f t="shared" si="5"/>
        <v>n/a</v>
      </c>
      <c r="O1498" s="207" t="str">
        <f t="shared" si="6"/>
        <v>n/a</v>
      </c>
    </row>
    <row r="1499" ht="15.75" customHeight="1">
      <c r="A1499" s="207">
        <v>74.0</v>
      </c>
      <c r="B1499" s="6" t="str">
        <f>VLOOKUP($A1499, 'Completion rates'!$A:$E, 2, FALSE)</f>
        <v>Barbarian assault high gambles (or 500 points)</v>
      </c>
      <c r="C1499" s="207">
        <v>10551.0</v>
      </c>
      <c r="D1499" s="6" t="str">
        <f>VLOOKUP($C1499, 'List of log slots'!$A:$E, 2, FALSE)</f>
        <v>Fighter torso</v>
      </c>
      <c r="E1499" s="207">
        <f>VLOOKUP($C1499, 'List of log slots'!$A:$E, 5, FALSE)</f>
        <v>2</v>
      </c>
      <c r="F1499" s="213" t="b">
        <f>VLOOKUP(C1499, 'List of log slots'!$A:$C, 3, FALSE)</f>
        <v>0</v>
      </c>
      <c r="G1499" s="209" t="b">
        <f t="shared" si="1240"/>
        <v>0</v>
      </c>
      <c r="H1499" s="209" t="b">
        <f t="shared" si="7"/>
        <v>1</v>
      </c>
      <c r="I1499" s="213" t="b">
        <f t="shared" ref="I1499:J1499" si="1246">TRUE</f>
        <v>1</v>
      </c>
      <c r="J1499" s="213" t="b">
        <f t="shared" si="1246"/>
        <v>1</v>
      </c>
      <c r="K1499" s="214">
        <v>3.0</v>
      </c>
      <c r="L1499" s="212">
        <f t="shared" si="3"/>
        <v>3</v>
      </c>
      <c r="M1499" s="212" t="str">
        <f t="shared" si="4"/>
        <v>n/a</v>
      </c>
      <c r="N1499" s="207" t="str">
        <f t="shared" si="5"/>
        <v>n/a</v>
      </c>
      <c r="O1499" s="207" t="str">
        <f t="shared" si="6"/>
        <v>n/a</v>
      </c>
    </row>
    <row r="1500" ht="15.75" customHeight="1">
      <c r="A1500" s="207">
        <v>74.0</v>
      </c>
      <c r="B1500" s="6" t="str">
        <f>VLOOKUP($A1500, 'Completion rates'!$A:$E, 2, FALSE)</f>
        <v>Barbarian assault high gambles (or 500 points)</v>
      </c>
      <c r="C1500" s="207">
        <v>10555.0</v>
      </c>
      <c r="D1500" s="6" t="str">
        <f>VLOOKUP($C1500, 'List of log slots'!$A:$E, 2, FALSE)</f>
        <v>Penance skirt</v>
      </c>
      <c r="E1500" s="207">
        <f>VLOOKUP($C1500, 'List of log slots'!$A:$E, 5, FALSE)</f>
        <v>2</v>
      </c>
      <c r="F1500" s="213" t="b">
        <f>VLOOKUP(C1500, 'List of log slots'!$A:$C, 3, FALSE)</f>
        <v>0</v>
      </c>
      <c r="G1500" s="209" t="b">
        <f t="shared" si="1240"/>
        <v>0</v>
      </c>
      <c r="H1500" s="209" t="b">
        <f t="shared" si="7"/>
        <v>1</v>
      </c>
      <c r="I1500" s="213" t="b">
        <f t="shared" ref="I1500:J1500" si="1247">TRUE</f>
        <v>1</v>
      </c>
      <c r="J1500" s="213" t="b">
        <f t="shared" si="1247"/>
        <v>1</v>
      </c>
      <c r="K1500" s="214">
        <v>3.0</v>
      </c>
      <c r="L1500" s="212">
        <f t="shared" si="3"/>
        <v>3</v>
      </c>
      <c r="M1500" s="212" t="str">
        <f t="shared" si="4"/>
        <v>n/a</v>
      </c>
      <c r="N1500" s="207" t="str">
        <f t="shared" si="5"/>
        <v>n/a</v>
      </c>
      <c r="O1500" s="207" t="str">
        <f t="shared" si="6"/>
        <v>n/a</v>
      </c>
    </row>
    <row r="1501" ht="15.75" customHeight="1">
      <c r="A1501" s="207">
        <v>74.0</v>
      </c>
      <c r="B1501" s="6" t="str">
        <f>VLOOKUP($A1501, 'Completion rates'!$A:$E, 2, FALSE)</f>
        <v>Barbarian assault high gambles (or 500 points)</v>
      </c>
      <c r="C1501" s="207">
        <v>10552.0</v>
      </c>
      <c r="D1501" s="6" t="str">
        <f>VLOOKUP($C1501, 'List of log slots'!$A:$E, 2, FALSE)</f>
        <v>Runner boots</v>
      </c>
      <c r="E1501" s="207">
        <f>VLOOKUP($C1501, 'List of log slots'!$A:$E, 5, FALSE)</f>
        <v>2</v>
      </c>
      <c r="F1501" s="213" t="b">
        <f>VLOOKUP(C1501, 'List of log slots'!$A:$C, 3, FALSE)</f>
        <v>0</v>
      </c>
      <c r="G1501" s="209" t="b">
        <f t="shared" si="1240"/>
        <v>0</v>
      </c>
      <c r="H1501" s="209" t="b">
        <f t="shared" si="7"/>
        <v>1</v>
      </c>
      <c r="I1501" s="213" t="b">
        <f t="shared" ref="I1501:J1501" si="1248">TRUE</f>
        <v>1</v>
      </c>
      <c r="J1501" s="213" t="b">
        <f t="shared" si="1248"/>
        <v>1</v>
      </c>
      <c r="K1501" s="214">
        <v>0.8</v>
      </c>
      <c r="L1501" s="212">
        <f t="shared" si="3"/>
        <v>0.8</v>
      </c>
      <c r="M1501" s="212" t="str">
        <f t="shared" si="4"/>
        <v>n/a</v>
      </c>
      <c r="N1501" s="207" t="str">
        <f t="shared" si="5"/>
        <v>n/a</v>
      </c>
      <c r="O1501" s="207" t="str">
        <f t="shared" si="6"/>
        <v>n/a</v>
      </c>
    </row>
    <row r="1502" ht="15.75" customHeight="1">
      <c r="A1502" s="207">
        <v>74.0</v>
      </c>
      <c r="B1502" s="6" t="str">
        <f>VLOOKUP($A1502, 'Completion rates'!$A:$E, 2, FALSE)</f>
        <v>Barbarian assault high gambles (or 500 points)</v>
      </c>
      <c r="C1502" s="207">
        <v>10553.0</v>
      </c>
      <c r="D1502" s="6" t="str">
        <f>VLOOKUP($C1502, 'List of log slots'!$A:$E, 2, FALSE)</f>
        <v>Penance gloves</v>
      </c>
      <c r="E1502" s="207">
        <f>VLOOKUP($C1502, 'List of log slots'!$A:$E, 5, FALSE)</f>
        <v>2</v>
      </c>
      <c r="F1502" s="213" t="b">
        <f>VLOOKUP(C1502, 'List of log slots'!$A:$C, 3, FALSE)</f>
        <v>0</v>
      </c>
      <c r="G1502" s="209" t="b">
        <f t="shared" si="1240"/>
        <v>0</v>
      </c>
      <c r="H1502" s="209" t="b">
        <f t="shared" si="7"/>
        <v>1</v>
      </c>
      <c r="I1502" s="213" t="b">
        <f t="shared" ref="I1502:J1502" si="1249">TRUE</f>
        <v>1</v>
      </c>
      <c r="J1502" s="213" t="b">
        <f t="shared" si="1249"/>
        <v>1</v>
      </c>
      <c r="K1502" s="214">
        <v>1.2</v>
      </c>
      <c r="L1502" s="212">
        <f t="shared" si="3"/>
        <v>1.2</v>
      </c>
      <c r="M1502" s="212" t="str">
        <f t="shared" si="4"/>
        <v>n/a</v>
      </c>
      <c r="N1502" s="207" t="str">
        <f t="shared" si="5"/>
        <v>n/a</v>
      </c>
      <c r="O1502" s="207" t="str">
        <f t="shared" si="6"/>
        <v>n/a</v>
      </c>
    </row>
    <row r="1503" ht="15.75" customHeight="1">
      <c r="A1503" s="207">
        <v>74.0</v>
      </c>
      <c r="B1503" s="6" t="str">
        <f>VLOOKUP($A1503, 'Completion rates'!$A:$E, 2, FALSE)</f>
        <v>Barbarian assault high gambles (or 500 points)</v>
      </c>
      <c r="C1503" s="207">
        <v>10589.0</v>
      </c>
      <c r="D1503" s="6" t="str">
        <f>VLOOKUP($C1503, 'List of log slots'!$A:$E, 2, FALSE)</f>
        <v>Granite helm</v>
      </c>
      <c r="E1503" s="207">
        <f>VLOOKUP($C1503, 'List of log slots'!$A:$E, 5, FALSE)</f>
        <v>3</v>
      </c>
      <c r="F1503" s="213" t="b">
        <f>VLOOKUP(C1503, 'List of log slots'!$A:$C, 3, FALSE)</f>
        <v>0</v>
      </c>
      <c r="G1503" s="209" t="b">
        <f t="shared" si="1240"/>
        <v>0</v>
      </c>
      <c r="H1503" s="209" t="b">
        <f t="shared" si="7"/>
        <v>1</v>
      </c>
      <c r="I1503" s="208" t="b">
        <f t="shared" ref="I1503:J1503" si="1250">FALSE</f>
        <v>0</v>
      </c>
      <c r="J1503" s="208" t="b">
        <f t="shared" si="1250"/>
        <v>0</v>
      </c>
      <c r="K1503" s="214">
        <v>32.0</v>
      </c>
      <c r="L1503" s="212" t="str">
        <f t="shared" si="3"/>
        <v>n/a</v>
      </c>
      <c r="M1503" s="212" t="str">
        <f t="shared" si="4"/>
        <v>n/a</v>
      </c>
      <c r="N1503" s="207" t="str">
        <f t="shared" si="5"/>
        <v>n/a</v>
      </c>
      <c r="O1503" s="207">
        <f t="shared" si="6"/>
        <v>0.03125</v>
      </c>
    </row>
    <row r="1504" ht="15.75" customHeight="1">
      <c r="A1504" s="207">
        <v>74.0</v>
      </c>
      <c r="B1504" s="6" t="str">
        <f>VLOOKUP($A1504, 'Completion rates'!$A:$E, 2, FALSE)</f>
        <v>Barbarian assault high gambles (or 500 points)</v>
      </c>
      <c r="C1504" s="207">
        <v>10564.0</v>
      </c>
      <c r="D1504" s="6" t="str">
        <f>VLOOKUP($C1504, 'List of log slots'!$A:$E, 2, FALSE)</f>
        <v>Granite body</v>
      </c>
      <c r="E1504" s="207">
        <f>VLOOKUP($C1504, 'List of log slots'!$A:$E, 5, FALSE)</f>
        <v>2</v>
      </c>
      <c r="F1504" s="213" t="b">
        <f>VLOOKUP(C1504, 'List of log slots'!$A:$C, 3, FALSE)</f>
        <v>0</v>
      </c>
      <c r="G1504" s="209" t="b">
        <f t="shared" si="1240"/>
        <v>0</v>
      </c>
      <c r="H1504" s="209" t="b">
        <f t="shared" si="7"/>
        <v>1</v>
      </c>
      <c r="I1504" s="213" t="b">
        <f t="shared" ref="I1504:I1507" si="1251">TRUE</f>
        <v>1</v>
      </c>
      <c r="J1504" s="208" t="b">
        <f>FALSE</f>
        <v>0</v>
      </c>
      <c r="K1504" s="214">
        <v>1.0</v>
      </c>
      <c r="L1504" s="212" t="str">
        <f t="shared" si="3"/>
        <v>n/a</v>
      </c>
      <c r="M1504" s="212">
        <f t="shared" si="4"/>
        <v>1</v>
      </c>
      <c r="N1504" s="207" t="str">
        <f t="shared" si="5"/>
        <v>n/a</v>
      </c>
      <c r="O1504" s="207" t="str">
        <f t="shared" si="6"/>
        <v>n/a</v>
      </c>
    </row>
    <row r="1505" ht="15.75" customHeight="1">
      <c r="A1505" s="207">
        <v>75.0</v>
      </c>
      <c r="B1505" s="6" t="str">
        <f>VLOOKUP($A1505, 'Completion rates'!$A:$E, 2, FALSE)</f>
        <v>Completing tempor tantrum barracuda trials</v>
      </c>
      <c r="C1505" s="207">
        <v>31732.0</v>
      </c>
      <c r="D1505" s="6" t="str">
        <f>VLOOKUP($C1505, 'List of log slots'!$A:$E, 2, FALSE)</f>
        <v>Stormy key</v>
      </c>
      <c r="E1505" s="207">
        <f>VLOOKUP($C1505, 'List of log slots'!$A:$E, 5, FALSE)</f>
        <v>3</v>
      </c>
      <c r="F1505" s="213" t="b">
        <f>VLOOKUP(C1505, 'List of log slots'!$A:$C, 3, FALSE)</f>
        <v>0</v>
      </c>
      <c r="G1505" s="209" t="b">
        <f t="shared" si="1240"/>
        <v>0</v>
      </c>
      <c r="H1505" s="209" t="b">
        <f t="shared" si="7"/>
        <v>1</v>
      </c>
      <c r="I1505" s="213" t="b">
        <f t="shared" si="1251"/>
        <v>1</v>
      </c>
      <c r="J1505" s="213" t="b">
        <f t="shared" ref="J1505:J1506" si="1252">TRUE</f>
        <v>1</v>
      </c>
      <c r="K1505" s="214">
        <v>0.4</v>
      </c>
      <c r="L1505" s="212">
        <f t="shared" si="3"/>
        <v>0.4</v>
      </c>
      <c r="M1505" s="212" t="str">
        <f t="shared" si="4"/>
        <v>n/a</v>
      </c>
      <c r="N1505" s="207" t="str">
        <f t="shared" si="5"/>
        <v>n/a</v>
      </c>
      <c r="O1505" s="207" t="str">
        <f t="shared" si="6"/>
        <v>n/a</v>
      </c>
    </row>
    <row r="1506" ht="15.75" customHeight="1">
      <c r="A1506" s="207">
        <v>75.0</v>
      </c>
      <c r="B1506" s="6" t="str">
        <f>VLOOKUP($A1506, 'Completion rates'!$A:$E, 2, FALSE)</f>
        <v>Completing tempor tantrum barracuda trials</v>
      </c>
      <c r="C1506" s="207">
        <v>31733.0</v>
      </c>
      <c r="D1506" s="6" t="str">
        <f>VLOOKUP($C1506, 'List of log slots'!$A:$E, 2, FALSE)</f>
        <v>Barrel stand</v>
      </c>
      <c r="E1506" s="207">
        <f>VLOOKUP($C1506, 'List of log slots'!$A:$E, 5, FALSE)</f>
        <v>3</v>
      </c>
      <c r="F1506" s="213" t="b">
        <f>VLOOKUP(C1506, 'List of log slots'!$A:$C, 3, FALSE)</f>
        <v>0</v>
      </c>
      <c r="G1506" s="209" t="b">
        <f t="shared" si="1240"/>
        <v>0</v>
      </c>
      <c r="H1506" s="209" t="b">
        <f t="shared" si="7"/>
        <v>1</v>
      </c>
      <c r="I1506" s="213" t="b">
        <f t="shared" si="1251"/>
        <v>1</v>
      </c>
      <c r="J1506" s="213" t="b">
        <f t="shared" si="1252"/>
        <v>1</v>
      </c>
      <c r="K1506" s="214">
        <v>0.633</v>
      </c>
      <c r="L1506" s="212">
        <f t="shared" si="3"/>
        <v>0.633</v>
      </c>
      <c r="M1506" s="212" t="str">
        <f t="shared" si="4"/>
        <v>n/a</v>
      </c>
      <c r="N1506" s="207" t="str">
        <f t="shared" si="5"/>
        <v>n/a</v>
      </c>
      <c r="O1506" s="207" t="str">
        <f t="shared" si="6"/>
        <v>n/a</v>
      </c>
    </row>
    <row r="1507" ht="15.75" customHeight="1">
      <c r="A1507" s="207">
        <v>75.0</v>
      </c>
      <c r="B1507" s="6" t="str">
        <f>VLOOKUP($A1507, 'Completion rates'!$A:$E, 2, FALSE)</f>
        <v>Completing tempor tantrum barracuda trials</v>
      </c>
      <c r="C1507" s="207">
        <v>31734.0</v>
      </c>
      <c r="D1507" s="6" t="str">
        <f>VLOOKUP($C1507, 'List of log slots'!$A:$E, 2, FALSE)</f>
        <v>Ralph's fabric roll</v>
      </c>
      <c r="E1507" s="207">
        <f>VLOOKUP($C1507, 'List of log slots'!$A:$E, 5, FALSE)</f>
        <v>3</v>
      </c>
      <c r="F1507" s="213" t="b">
        <f>VLOOKUP(C1507, 'List of log slots'!$A:$C, 3, FALSE)</f>
        <v>0</v>
      </c>
      <c r="G1507" s="209" t="b">
        <f t="shared" si="1240"/>
        <v>0</v>
      </c>
      <c r="H1507" s="209" t="b">
        <f t="shared" si="7"/>
        <v>1</v>
      </c>
      <c r="I1507" s="213" t="b">
        <f t="shared" si="1251"/>
        <v>1</v>
      </c>
      <c r="J1507" s="208" t="b">
        <f>FALSE</f>
        <v>0</v>
      </c>
      <c r="K1507" s="214">
        <v>1.0</v>
      </c>
      <c r="L1507" s="212" t="str">
        <f t="shared" si="3"/>
        <v>n/a</v>
      </c>
      <c r="M1507" s="212">
        <f t="shared" si="4"/>
        <v>1</v>
      </c>
      <c r="N1507" s="207" t="str">
        <f t="shared" si="5"/>
        <v>n/a</v>
      </c>
      <c r="O1507" s="207" t="str">
        <f t="shared" si="6"/>
        <v>n/a</v>
      </c>
    </row>
    <row r="1508" ht="15.75" customHeight="1">
      <c r="A1508" s="207">
        <v>75.0</v>
      </c>
      <c r="B1508" s="6" t="str">
        <f>VLOOKUP($A1508, 'Completion rates'!$A:$E, 2, FALSE)</f>
        <v>Completing tempor tantrum barracuda trials</v>
      </c>
      <c r="C1508" s="207">
        <v>32087.0</v>
      </c>
      <c r="D1508" s="6" t="str">
        <f>VLOOKUP($C1508, 'List of log slots'!$A:$E, 2, FALSE)</f>
        <v>Barracuda paint</v>
      </c>
      <c r="E1508" s="207">
        <f>VLOOKUP($C1508, 'List of log slots'!$A:$E, 5, FALSE)</f>
        <v>6</v>
      </c>
      <c r="F1508" s="209" t="b">
        <f>VLOOKUP(C1508, 'List of log slots'!$A:$C, 3, FALSE)</f>
        <v>0</v>
      </c>
      <c r="G1508" s="209" t="b">
        <f t="shared" si="1240"/>
        <v>0</v>
      </c>
      <c r="H1508" s="210" t="b">
        <f t="shared" si="7"/>
        <v>1</v>
      </c>
      <c r="I1508" s="208" t="b">
        <f t="shared" ref="I1508:J1508" si="1253">FALSE</f>
        <v>0</v>
      </c>
      <c r="J1508" s="208" t="b">
        <f t="shared" si="1253"/>
        <v>0</v>
      </c>
      <c r="K1508" s="214">
        <v>240.0</v>
      </c>
      <c r="L1508" s="212" t="str">
        <f t="shared" si="3"/>
        <v>n/a</v>
      </c>
      <c r="M1508" s="212" t="str">
        <f t="shared" si="4"/>
        <v>n/a</v>
      </c>
      <c r="N1508" s="207" t="str">
        <f t="shared" si="5"/>
        <v>n/a</v>
      </c>
      <c r="O1508" s="207">
        <f t="shared" si="6"/>
        <v>0.004166666667</v>
      </c>
    </row>
    <row r="1509" ht="15.75" customHeight="1">
      <c r="A1509" s="207">
        <v>75.0</v>
      </c>
      <c r="B1509" s="6" t="str">
        <f>VLOOKUP($A1509, 'Completion rates'!$A:$E, 2, FALSE)</f>
        <v>Completing tempor tantrum barracuda trials</v>
      </c>
      <c r="C1509" s="207">
        <v>31283.0</v>
      </c>
      <c r="D1509" s="6" t="str">
        <f>VLOOKUP($C1509, 'List of log slots'!$A:$E, 2, FALSE)</f>
        <v>Soup</v>
      </c>
      <c r="E1509" s="207">
        <f>VLOOKUP($C1509, 'List of log slots'!$A:$E, 5, FALSE)</f>
        <v>7</v>
      </c>
      <c r="F1509" s="209" t="b">
        <f>VLOOKUP(C1509, 'List of log slots'!$A:$C, 3, FALSE)</f>
        <v>0</v>
      </c>
      <c r="G1509" s="209" t="b">
        <f t="shared" si="1240"/>
        <v>0</v>
      </c>
      <c r="H1509" s="210" t="b">
        <f t="shared" si="7"/>
        <v>1</v>
      </c>
      <c r="I1509" s="208" t="b">
        <f t="shared" ref="I1509:J1509" si="1254">FALSE</f>
        <v>0</v>
      </c>
      <c r="J1509" s="208" t="b">
        <f t="shared" si="1254"/>
        <v>0</v>
      </c>
      <c r="K1509" s="214">
        <v>4000.0</v>
      </c>
      <c r="L1509" s="212" t="str">
        <f t="shared" si="3"/>
        <v>n/a</v>
      </c>
      <c r="M1509" s="212" t="str">
        <f t="shared" si="4"/>
        <v>n/a</v>
      </c>
      <c r="N1509" s="207" t="str">
        <f t="shared" si="5"/>
        <v>n/a</v>
      </c>
      <c r="O1509" s="207">
        <f t="shared" si="6"/>
        <v>0.00025</v>
      </c>
    </row>
    <row r="1510" ht="15.75" customHeight="1">
      <c r="A1510" s="207">
        <v>76.0</v>
      </c>
      <c r="B1510" s="6" t="str">
        <f>VLOOKUP($A1510, 'Completion rates'!$A:$E, 2, FALSE)</f>
        <v>Completing jubbly jive barracuda trials</v>
      </c>
      <c r="C1510" s="207">
        <v>31744.0</v>
      </c>
      <c r="D1510" s="6" t="str">
        <f>VLOOKUP($C1510, 'List of log slots'!$A:$E, 2, FALSE)</f>
        <v>Fetid key</v>
      </c>
      <c r="E1510" s="207">
        <f>VLOOKUP($C1510, 'List of log slots'!$A:$E, 5, FALSE)</f>
        <v>4</v>
      </c>
      <c r="F1510" s="210" t="b">
        <f>VLOOKUP(C1510, 'List of log slots'!$A:$C, 3, FALSE)</f>
        <v>0</v>
      </c>
      <c r="G1510" s="209" t="b">
        <f t="shared" si="1240"/>
        <v>0</v>
      </c>
      <c r="H1510" s="209" t="b">
        <f t="shared" si="7"/>
        <v>1</v>
      </c>
      <c r="I1510" s="213" t="b">
        <f t="shared" ref="I1510:J1510" si="1255">TRUE</f>
        <v>1</v>
      </c>
      <c r="J1510" s="213" t="b">
        <f t="shared" si="1255"/>
        <v>1</v>
      </c>
      <c r="K1510" s="214">
        <v>0.383</v>
      </c>
      <c r="L1510" s="212">
        <f t="shared" si="3"/>
        <v>0.383</v>
      </c>
      <c r="M1510" s="212" t="str">
        <f t="shared" si="4"/>
        <v>n/a</v>
      </c>
      <c r="N1510" s="207" t="str">
        <f t="shared" si="5"/>
        <v>n/a</v>
      </c>
      <c r="O1510" s="207" t="str">
        <f t="shared" si="6"/>
        <v>n/a</v>
      </c>
    </row>
    <row r="1511" ht="15.75" customHeight="1">
      <c r="A1511" s="207">
        <v>76.0</v>
      </c>
      <c r="B1511" s="6" t="str">
        <f>VLOOKUP($A1511, 'Completion rates'!$A:$E, 2, FALSE)</f>
        <v>Completing jubbly jive barracuda trials</v>
      </c>
      <c r="C1511" s="207">
        <v>31745.0</v>
      </c>
      <c r="D1511" s="6" t="str">
        <f>VLOOKUP($C1511, 'List of log slots'!$A:$E, 2, FALSE)</f>
        <v>Captured wind mote</v>
      </c>
      <c r="E1511" s="207">
        <f>VLOOKUP($C1511, 'List of log slots'!$A:$E, 5, FALSE)</f>
        <v>4</v>
      </c>
      <c r="F1511" s="210" t="b">
        <f>VLOOKUP(C1511, 'List of log slots'!$A:$C, 3, FALSE)</f>
        <v>0</v>
      </c>
      <c r="G1511" s="209" t="b">
        <f t="shared" si="1240"/>
        <v>0</v>
      </c>
      <c r="H1511" s="209" t="b">
        <f t="shared" si="7"/>
        <v>1</v>
      </c>
      <c r="I1511" s="213" t="b">
        <f t="shared" ref="I1511:J1511" si="1256">TRUE</f>
        <v>1</v>
      </c>
      <c r="J1511" s="213" t="b">
        <f t="shared" si="1256"/>
        <v>1</v>
      </c>
      <c r="K1511" s="214">
        <v>0.561</v>
      </c>
      <c r="L1511" s="212">
        <f t="shared" si="3"/>
        <v>0.561</v>
      </c>
      <c r="M1511" s="212" t="str">
        <f t="shared" si="4"/>
        <v>n/a</v>
      </c>
      <c r="N1511" s="207" t="str">
        <f t="shared" si="5"/>
        <v>n/a</v>
      </c>
      <c r="O1511" s="207" t="str">
        <f t="shared" si="6"/>
        <v>n/a</v>
      </c>
    </row>
    <row r="1512" ht="15.75" customHeight="1">
      <c r="A1512" s="207">
        <v>76.0</v>
      </c>
      <c r="B1512" s="6" t="str">
        <f>VLOOKUP($A1512, 'Completion rates'!$A:$E, 2, FALSE)</f>
        <v>Completing jubbly jive barracuda trials</v>
      </c>
      <c r="C1512" s="207">
        <v>31746.0</v>
      </c>
      <c r="D1512" s="6" t="str">
        <f>VLOOKUP($C1512, 'List of log slots'!$A:$E, 2, FALSE)</f>
        <v>Gurtob's fabric roll</v>
      </c>
      <c r="E1512" s="207">
        <f>VLOOKUP($C1512, 'List of log slots'!$A:$E, 5, FALSE)</f>
        <v>4</v>
      </c>
      <c r="F1512" s="210" t="b">
        <f>VLOOKUP(C1512, 'List of log slots'!$A:$C, 3, FALSE)</f>
        <v>0</v>
      </c>
      <c r="G1512" s="209" t="b">
        <f t="shared" si="1240"/>
        <v>0</v>
      </c>
      <c r="H1512" s="209" t="b">
        <f t="shared" si="7"/>
        <v>1</v>
      </c>
      <c r="I1512" s="213" t="b">
        <f>TRUE</f>
        <v>1</v>
      </c>
      <c r="J1512" s="208" t="b">
        <f>FALSE</f>
        <v>0</v>
      </c>
      <c r="K1512" s="214">
        <v>1.0</v>
      </c>
      <c r="L1512" s="212" t="str">
        <f t="shared" si="3"/>
        <v>n/a</v>
      </c>
      <c r="M1512" s="212">
        <f t="shared" si="4"/>
        <v>1</v>
      </c>
      <c r="N1512" s="207" t="str">
        <f t="shared" si="5"/>
        <v>n/a</v>
      </c>
      <c r="O1512" s="207" t="str">
        <f t="shared" si="6"/>
        <v>n/a</v>
      </c>
    </row>
    <row r="1513" ht="15.75" customHeight="1">
      <c r="A1513" s="207">
        <v>76.0</v>
      </c>
      <c r="B1513" s="6" t="str">
        <f>VLOOKUP($A1513, 'Completion rates'!$A:$E, 2, FALSE)</f>
        <v>Completing jubbly jive barracuda trials</v>
      </c>
      <c r="C1513" s="207">
        <v>32087.0</v>
      </c>
      <c r="D1513" s="6" t="str">
        <f>VLOOKUP($C1513, 'List of log slots'!$A:$E, 2, FALSE)</f>
        <v>Barracuda paint</v>
      </c>
      <c r="E1513" s="207">
        <f>VLOOKUP($C1513, 'List of log slots'!$A:$E, 5, FALSE)</f>
        <v>6</v>
      </c>
      <c r="F1513" s="209" t="b">
        <f>VLOOKUP(C1513, 'List of log slots'!$A:$C, 3, FALSE)</f>
        <v>0</v>
      </c>
      <c r="G1513" s="209" t="b">
        <f t="shared" si="1240"/>
        <v>0</v>
      </c>
      <c r="H1513" s="210" t="b">
        <f t="shared" si="7"/>
        <v>1</v>
      </c>
      <c r="I1513" s="208" t="b">
        <f t="shared" ref="I1513:J1513" si="1257">FALSE</f>
        <v>0</v>
      </c>
      <c r="J1513" s="208" t="b">
        <f t="shared" si="1257"/>
        <v>0</v>
      </c>
      <c r="K1513" s="214">
        <v>220.0</v>
      </c>
      <c r="L1513" s="212" t="str">
        <f t="shared" si="3"/>
        <v>n/a</v>
      </c>
      <c r="M1513" s="212" t="str">
        <f t="shared" si="4"/>
        <v>n/a</v>
      </c>
      <c r="N1513" s="207" t="str">
        <f t="shared" si="5"/>
        <v>n/a</v>
      </c>
      <c r="O1513" s="207">
        <f t="shared" si="6"/>
        <v>0.004545454545</v>
      </c>
    </row>
    <row r="1514" ht="15.75" customHeight="1">
      <c r="A1514" s="207">
        <v>76.0</v>
      </c>
      <c r="B1514" s="6" t="str">
        <f>VLOOKUP($A1514, 'Completion rates'!$A:$E, 2, FALSE)</f>
        <v>Completing jubbly jive barracuda trials</v>
      </c>
      <c r="C1514" s="207">
        <v>31283.0</v>
      </c>
      <c r="D1514" s="6" t="str">
        <f>VLOOKUP($C1514, 'List of log slots'!$A:$E, 2, FALSE)</f>
        <v>Soup</v>
      </c>
      <c r="E1514" s="207">
        <f>VLOOKUP($C1514, 'List of log slots'!$A:$E, 5, FALSE)</f>
        <v>7</v>
      </c>
      <c r="F1514" s="209" t="b">
        <f>VLOOKUP(C1514, 'List of log slots'!$A:$C, 3, FALSE)</f>
        <v>0</v>
      </c>
      <c r="G1514" s="209" t="b">
        <f t="shared" si="1240"/>
        <v>0</v>
      </c>
      <c r="H1514" s="210" t="b">
        <f t="shared" si="7"/>
        <v>1</v>
      </c>
      <c r="I1514" s="208" t="b">
        <f t="shared" ref="I1514:J1514" si="1258">FALSE</f>
        <v>0</v>
      </c>
      <c r="J1514" s="208" t="b">
        <f t="shared" si="1258"/>
        <v>0</v>
      </c>
      <c r="K1514" s="214">
        <v>2875.0</v>
      </c>
      <c r="L1514" s="212" t="str">
        <f t="shared" si="3"/>
        <v>n/a</v>
      </c>
      <c r="M1514" s="212" t="str">
        <f t="shared" si="4"/>
        <v>n/a</v>
      </c>
      <c r="N1514" s="207" t="str">
        <f t="shared" si="5"/>
        <v>n/a</v>
      </c>
      <c r="O1514" s="207">
        <f t="shared" si="6"/>
        <v>0.000347826087</v>
      </c>
    </row>
    <row r="1515" ht="15.75" customHeight="1">
      <c r="A1515" s="207">
        <v>77.0</v>
      </c>
      <c r="B1515" s="6" t="str">
        <f>VLOOKUP($A1515, 'Completion rates'!$A:$E, 2, FALSE)</f>
        <v>Completing gwenith glide barracuda trials</v>
      </c>
      <c r="C1515" s="207">
        <v>31756.0</v>
      </c>
      <c r="D1515" s="6" t="str">
        <f>VLOOKUP($C1515, 'List of log slots'!$A:$E, 2, FALSE)</f>
        <v>Serrated key</v>
      </c>
      <c r="E1515" s="207">
        <f>VLOOKUP($C1515, 'List of log slots'!$A:$E, 5, FALSE)</f>
        <v>5</v>
      </c>
      <c r="F1515" s="210" t="b">
        <f>VLOOKUP(C1515, 'List of log slots'!$A:$C, 3, FALSE)</f>
        <v>0</v>
      </c>
      <c r="G1515" s="209" t="b">
        <f t="shared" si="1240"/>
        <v>0</v>
      </c>
      <c r="H1515" s="209" t="b">
        <f t="shared" si="7"/>
        <v>1</v>
      </c>
      <c r="I1515" s="213" t="b">
        <f t="shared" ref="I1515:J1515" si="1259">TRUE</f>
        <v>1</v>
      </c>
      <c r="J1515" s="213" t="b">
        <f t="shared" si="1259"/>
        <v>1</v>
      </c>
      <c r="K1515" s="214">
        <v>0.325</v>
      </c>
      <c r="L1515" s="212">
        <f t="shared" si="3"/>
        <v>0.325</v>
      </c>
      <c r="M1515" s="212" t="str">
        <f t="shared" si="4"/>
        <v>n/a</v>
      </c>
      <c r="N1515" s="207" t="str">
        <f t="shared" si="5"/>
        <v>n/a</v>
      </c>
      <c r="O1515" s="207" t="str">
        <f t="shared" si="6"/>
        <v>n/a</v>
      </c>
    </row>
    <row r="1516" ht="15.75" customHeight="1">
      <c r="A1516" s="207">
        <v>77.0</v>
      </c>
      <c r="B1516" s="6" t="str">
        <f>VLOOKUP($A1516, 'Completion rates'!$A:$E, 2, FALSE)</f>
        <v>Completing gwenith glide barracuda trials</v>
      </c>
      <c r="C1516" s="207">
        <v>31757.0</v>
      </c>
      <c r="D1516" s="6" t="str">
        <f>VLOOKUP($C1516, 'List of log slots'!$A:$E, 2, FALSE)</f>
        <v>Heart of ithell</v>
      </c>
      <c r="E1516" s="207">
        <f>VLOOKUP($C1516, 'List of log slots'!$A:$E, 5, FALSE)</f>
        <v>5</v>
      </c>
      <c r="F1516" s="210" t="b">
        <f>VLOOKUP(C1516, 'List of log slots'!$A:$C, 3, FALSE)</f>
        <v>0</v>
      </c>
      <c r="G1516" s="209" t="b">
        <f t="shared" si="1240"/>
        <v>0</v>
      </c>
      <c r="H1516" s="209" t="b">
        <f t="shared" si="7"/>
        <v>1</v>
      </c>
      <c r="I1516" s="213" t="b">
        <f t="shared" ref="I1516:J1516" si="1260">TRUE</f>
        <v>1</v>
      </c>
      <c r="J1516" s="213" t="b">
        <f t="shared" si="1260"/>
        <v>1</v>
      </c>
      <c r="K1516" s="214">
        <v>0.602</v>
      </c>
      <c r="L1516" s="212">
        <f t="shared" si="3"/>
        <v>0.602</v>
      </c>
      <c r="M1516" s="212" t="str">
        <f t="shared" si="4"/>
        <v>n/a</v>
      </c>
      <c r="N1516" s="207" t="str">
        <f t="shared" si="5"/>
        <v>n/a</v>
      </c>
      <c r="O1516" s="207" t="str">
        <f t="shared" si="6"/>
        <v>n/a</v>
      </c>
    </row>
    <row r="1517" ht="15.75" customHeight="1">
      <c r="A1517" s="207">
        <v>77.0</v>
      </c>
      <c r="B1517" s="6" t="str">
        <f>VLOOKUP($A1517, 'Completion rates'!$A:$E, 2, FALSE)</f>
        <v>Completing gwenith glide barracuda trials</v>
      </c>
      <c r="C1517" s="207">
        <v>31758.0</v>
      </c>
      <c r="D1517" s="6" t="str">
        <f>VLOOKUP($C1517, 'List of log slots'!$A:$E, 2, FALSE)</f>
        <v>Gwyna's fabric roll</v>
      </c>
      <c r="E1517" s="207">
        <f>VLOOKUP($C1517, 'List of log slots'!$A:$E, 5, FALSE)</f>
        <v>5</v>
      </c>
      <c r="F1517" s="210" t="b">
        <f>VLOOKUP(C1517, 'List of log slots'!$A:$C, 3, FALSE)</f>
        <v>0</v>
      </c>
      <c r="G1517" s="209" t="b">
        <f t="shared" si="1240"/>
        <v>0</v>
      </c>
      <c r="H1517" s="209" t="b">
        <f t="shared" si="7"/>
        <v>1</v>
      </c>
      <c r="I1517" s="213" t="b">
        <f>TRUE</f>
        <v>1</v>
      </c>
      <c r="J1517" s="208" t="b">
        <f>FALSE</f>
        <v>0</v>
      </c>
      <c r="K1517" s="214">
        <v>1.0</v>
      </c>
      <c r="L1517" s="212" t="str">
        <f t="shared" si="3"/>
        <v>n/a</v>
      </c>
      <c r="M1517" s="212">
        <f t="shared" si="4"/>
        <v>1</v>
      </c>
      <c r="N1517" s="207" t="str">
        <f t="shared" si="5"/>
        <v>n/a</v>
      </c>
      <c r="O1517" s="207" t="str">
        <f t="shared" si="6"/>
        <v>n/a</v>
      </c>
    </row>
    <row r="1518" ht="15.75" customHeight="1">
      <c r="A1518" s="207">
        <v>77.0</v>
      </c>
      <c r="B1518" s="6" t="str">
        <f>VLOOKUP($A1518, 'Completion rates'!$A:$E, 2, FALSE)</f>
        <v>Completing gwenith glide barracuda trials</v>
      </c>
      <c r="C1518" s="207">
        <v>32087.0</v>
      </c>
      <c r="D1518" s="6" t="str">
        <f>VLOOKUP($C1518, 'List of log slots'!$A:$E, 2, FALSE)</f>
        <v>Barracuda paint</v>
      </c>
      <c r="E1518" s="207">
        <f>VLOOKUP($C1518, 'List of log slots'!$A:$E, 5, FALSE)</f>
        <v>6</v>
      </c>
      <c r="F1518" s="209" t="b">
        <f>VLOOKUP(C1518, 'List of log slots'!$A:$C, 3, FALSE)</f>
        <v>0</v>
      </c>
      <c r="G1518" s="209" t="b">
        <f t="shared" si="1240"/>
        <v>0</v>
      </c>
      <c r="H1518" s="210" t="b">
        <f t="shared" si="7"/>
        <v>1</v>
      </c>
      <c r="I1518" s="208" t="b">
        <f t="shared" ref="I1518:J1518" si="1261">FALSE</f>
        <v>0</v>
      </c>
      <c r="J1518" s="208" t="b">
        <f t="shared" si="1261"/>
        <v>0</v>
      </c>
      <c r="K1518" s="214">
        <v>400.0</v>
      </c>
      <c r="L1518" s="212" t="str">
        <f t="shared" si="3"/>
        <v>n/a</v>
      </c>
      <c r="M1518" s="212" t="str">
        <f t="shared" si="4"/>
        <v>n/a</v>
      </c>
      <c r="N1518" s="207" t="str">
        <f t="shared" si="5"/>
        <v>n/a</v>
      </c>
      <c r="O1518" s="207">
        <f t="shared" si="6"/>
        <v>0.0025</v>
      </c>
    </row>
    <row r="1519" ht="15.75" customHeight="1">
      <c r="A1519" s="207">
        <v>77.0</v>
      </c>
      <c r="B1519" s="6" t="str">
        <f>VLOOKUP($A1519, 'Completion rates'!$A:$E, 2, FALSE)</f>
        <v>Completing gwenith glide barracuda trials</v>
      </c>
      <c r="C1519" s="207">
        <v>31283.0</v>
      </c>
      <c r="D1519" s="6" t="str">
        <f>VLOOKUP($C1519, 'List of log slots'!$A:$E, 2, FALSE)</f>
        <v>Soup</v>
      </c>
      <c r="E1519" s="207">
        <f>VLOOKUP($C1519, 'List of log slots'!$A:$E, 5, FALSE)</f>
        <v>7</v>
      </c>
      <c r="F1519" s="209" t="b">
        <f>VLOOKUP(C1519, 'List of log slots'!$A:$C, 3, FALSE)</f>
        <v>0</v>
      </c>
      <c r="G1519" s="209" t="b">
        <f t="shared" si="1240"/>
        <v>0</v>
      </c>
      <c r="H1519" s="210" t="b">
        <f t="shared" si="7"/>
        <v>1</v>
      </c>
      <c r="I1519" s="208" t="b">
        <f t="shared" ref="I1519:J1519" si="1262">FALSE</f>
        <v>0</v>
      </c>
      <c r="J1519" s="208" t="b">
        <f t="shared" si="1262"/>
        <v>0</v>
      </c>
      <c r="K1519" s="214">
        <v>2250.0</v>
      </c>
      <c r="L1519" s="212" t="str">
        <f t="shared" si="3"/>
        <v>n/a</v>
      </c>
      <c r="M1519" s="212" t="str">
        <f t="shared" si="4"/>
        <v>n/a</v>
      </c>
      <c r="N1519" s="207" t="str">
        <f t="shared" si="5"/>
        <v>n/a</v>
      </c>
      <c r="O1519" s="207">
        <f t="shared" si="6"/>
        <v>0.0004444444444</v>
      </c>
    </row>
    <row r="1520" ht="15.75" customHeight="1">
      <c r="A1520" s="207">
        <v>78.0</v>
      </c>
      <c r="B1520" s="6" t="str">
        <f>VLOOKUP($A1520, 'Completion rates'!$A:$E, 2, FALSE)</f>
        <v>Getting brimhaven vouchers</v>
      </c>
      <c r="C1520" s="207">
        <v>2996.0</v>
      </c>
      <c r="D1520" s="6" t="str">
        <f>VLOOKUP($C1520, 'List of log slots'!$A:$E, 2, FALSE)</f>
        <v>Agility arena ticket</v>
      </c>
      <c r="E1520" s="207">
        <f>VLOOKUP($C1520, 'List of log slots'!$A:$E, 5, FALSE)</f>
        <v>1</v>
      </c>
      <c r="F1520" s="210" t="b">
        <f>VLOOKUP(C1520, 'List of log slots'!$A:$C, 3, FALSE)</f>
        <v>0</v>
      </c>
      <c r="G1520" s="209" t="b">
        <f t="shared" si="1240"/>
        <v>0</v>
      </c>
      <c r="H1520" s="209" t="b">
        <f t="shared" si="7"/>
        <v>1</v>
      </c>
      <c r="I1520" s="208" t="b">
        <f t="shared" ref="I1520:J1520" si="1263">FALSE</f>
        <v>0</v>
      </c>
      <c r="J1520" s="208" t="b">
        <f t="shared" si="1263"/>
        <v>0</v>
      </c>
      <c r="K1520" s="214">
        <v>1.0</v>
      </c>
      <c r="L1520" s="212" t="str">
        <f t="shared" si="3"/>
        <v>n/a</v>
      </c>
      <c r="M1520" s="212" t="str">
        <f t="shared" si="4"/>
        <v>n/a</v>
      </c>
      <c r="N1520" s="207" t="str">
        <f t="shared" si="5"/>
        <v>n/a</v>
      </c>
      <c r="O1520" s="207">
        <f t="shared" si="6"/>
        <v>1</v>
      </c>
    </row>
    <row r="1521" ht="15.75" customHeight="1">
      <c r="A1521" s="207">
        <v>78.0</v>
      </c>
      <c r="B1521" s="6" t="str">
        <f>VLOOKUP($A1521, 'Completion rates'!$A:$E, 2, FALSE)</f>
        <v>Getting brimhaven vouchers</v>
      </c>
      <c r="C1521" s="207">
        <v>29482.0</v>
      </c>
      <c r="D1521" s="6" t="str">
        <f>VLOOKUP($C1521, 'List of log slots'!$A:$E, 2, FALSE)</f>
        <v>Brimhaven voucher</v>
      </c>
      <c r="E1521" s="207">
        <f>VLOOKUP($C1521, 'List of log slots'!$A:$E, 5, FALSE)</f>
        <v>1</v>
      </c>
      <c r="F1521" s="209" t="b">
        <f>VLOOKUP(C1521, 'List of log slots'!$A:$C, 3, FALSE)</f>
        <v>0</v>
      </c>
      <c r="G1521" s="209" t="b">
        <f t="shared" si="1240"/>
        <v>0</v>
      </c>
      <c r="H1521" s="210" t="b">
        <f t="shared" si="7"/>
        <v>1</v>
      </c>
      <c r="I1521" s="213" t="b">
        <f t="shared" ref="I1521:I1567" si="1264">TRUE</f>
        <v>1</v>
      </c>
      <c r="J1521" s="208" t="b">
        <f>FALSE</f>
        <v>0</v>
      </c>
      <c r="K1521" s="214">
        <v>1.0</v>
      </c>
      <c r="L1521" s="212" t="str">
        <f t="shared" si="3"/>
        <v>n/a</v>
      </c>
      <c r="M1521" s="212">
        <f t="shared" si="4"/>
        <v>1</v>
      </c>
      <c r="N1521" s="207" t="str">
        <f t="shared" si="5"/>
        <v>n/a</v>
      </c>
      <c r="O1521" s="207" t="str">
        <f t="shared" si="6"/>
        <v>n/a</v>
      </c>
    </row>
    <row r="1522" ht="15.75" customHeight="1">
      <c r="A1522" s="207">
        <v>78.0</v>
      </c>
      <c r="B1522" s="6" t="str">
        <f>VLOOKUP($A1522, 'Completion rates'!$A:$E, 2, FALSE)</f>
        <v>Getting brimhaven vouchers</v>
      </c>
      <c r="C1522" s="207">
        <v>2997.0</v>
      </c>
      <c r="D1522" s="6" t="str">
        <f>VLOOKUP($C1522, 'List of log slots'!$A:$E, 2, FALSE)</f>
        <v>Pirate's hook</v>
      </c>
      <c r="E1522" s="207">
        <f>VLOOKUP($C1522, 'List of log slots'!$A:$E, 5, FALSE)</f>
        <v>4</v>
      </c>
      <c r="F1522" s="209" t="b">
        <f>VLOOKUP(C1522, 'List of log slots'!$A:$C, 3, FALSE)</f>
        <v>0</v>
      </c>
      <c r="G1522" s="209" t="b">
        <f t="shared" si="1240"/>
        <v>0</v>
      </c>
      <c r="H1522" s="210" t="b">
        <f t="shared" si="7"/>
        <v>1</v>
      </c>
      <c r="I1522" s="213" t="b">
        <f t="shared" si="1264"/>
        <v>1</v>
      </c>
      <c r="J1522" s="213" t="b">
        <f t="shared" ref="J1522:J1528" si="1265">TRUE</f>
        <v>1</v>
      </c>
      <c r="K1522" s="214">
        <v>800.0</v>
      </c>
      <c r="L1522" s="212">
        <f t="shared" si="3"/>
        <v>800</v>
      </c>
      <c r="M1522" s="212" t="str">
        <f t="shared" si="4"/>
        <v>n/a</v>
      </c>
      <c r="N1522" s="207" t="str">
        <f t="shared" si="5"/>
        <v>n/a</v>
      </c>
      <c r="O1522" s="207" t="str">
        <f t="shared" si="6"/>
        <v>n/a</v>
      </c>
    </row>
    <row r="1523" ht="15.75" customHeight="1">
      <c r="A1523" s="207">
        <v>78.0</v>
      </c>
      <c r="B1523" s="6" t="str">
        <f>VLOOKUP($A1523, 'Completion rates'!$A:$E, 2, FALSE)</f>
        <v>Getting brimhaven vouchers</v>
      </c>
      <c r="C1523" s="207">
        <v>21061.0</v>
      </c>
      <c r="D1523" s="6" t="str">
        <f>VLOOKUP($C1523, 'List of log slots'!$A:$E, 2, FALSE)</f>
        <v>Graceful hood</v>
      </c>
      <c r="E1523" s="207">
        <f>VLOOKUP($C1523, 'List of log slots'!$A:$E, 5, FALSE)</f>
        <v>3</v>
      </c>
      <c r="F1523" s="209" t="b">
        <f>VLOOKUP(C1523, 'List of log slots'!$A:$C, 3, FALSE)</f>
        <v>0</v>
      </c>
      <c r="G1523" s="209" t="b">
        <f t="shared" si="1240"/>
        <v>0</v>
      </c>
      <c r="H1523" s="210" t="b">
        <f t="shared" si="7"/>
        <v>1</v>
      </c>
      <c r="I1523" s="213" t="b">
        <f t="shared" si="1264"/>
        <v>1</v>
      </c>
      <c r="J1523" s="213" t="b">
        <f t="shared" si="1265"/>
        <v>1</v>
      </c>
      <c r="K1523" s="214">
        <v>250.0</v>
      </c>
      <c r="L1523" s="212">
        <f t="shared" si="3"/>
        <v>250</v>
      </c>
      <c r="M1523" s="212" t="str">
        <f t="shared" si="4"/>
        <v>n/a</v>
      </c>
      <c r="N1523" s="207" t="str">
        <f t="shared" si="5"/>
        <v>n/a</v>
      </c>
      <c r="O1523" s="207" t="str">
        <f t="shared" si="6"/>
        <v>n/a</v>
      </c>
    </row>
    <row r="1524" ht="15.75" customHeight="1">
      <c r="A1524" s="207">
        <v>78.0</v>
      </c>
      <c r="B1524" s="6" t="str">
        <f>VLOOKUP($A1524, 'Completion rates'!$A:$E, 2, FALSE)</f>
        <v>Getting brimhaven vouchers</v>
      </c>
      <c r="C1524" s="207">
        <v>21067.0</v>
      </c>
      <c r="D1524" s="6" t="str">
        <f>VLOOKUP($C1524, 'List of log slots'!$A:$E, 2, FALSE)</f>
        <v>Graceful top</v>
      </c>
      <c r="E1524" s="207">
        <f>VLOOKUP($C1524, 'List of log slots'!$A:$E, 5, FALSE)</f>
        <v>3</v>
      </c>
      <c r="F1524" s="209" t="b">
        <f>VLOOKUP(C1524, 'List of log slots'!$A:$C, 3, FALSE)</f>
        <v>0</v>
      </c>
      <c r="G1524" s="210" t="b">
        <f t="shared" ref="G1524:G1528" si="1266">TRUE</f>
        <v>1</v>
      </c>
      <c r="H1524" s="209" t="b">
        <f t="shared" si="7"/>
        <v>0</v>
      </c>
      <c r="I1524" s="213" t="b">
        <f t="shared" si="1264"/>
        <v>1</v>
      </c>
      <c r="J1524" s="213" t="b">
        <f t="shared" si="1265"/>
        <v>1</v>
      </c>
      <c r="K1524" s="214">
        <v>0.0</v>
      </c>
      <c r="L1524" s="212">
        <f t="shared" si="3"/>
        <v>0</v>
      </c>
      <c r="M1524" s="212" t="str">
        <f t="shared" si="4"/>
        <v>n/a</v>
      </c>
      <c r="N1524" s="207" t="str">
        <f t="shared" si="5"/>
        <v>n/a</v>
      </c>
      <c r="O1524" s="207" t="str">
        <f t="shared" si="6"/>
        <v>n/a</v>
      </c>
    </row>
    <row r="1525" ht="15.75" customHeight="1">
      <c r="A1525" s="207">
        <v>78.0</v>
      </c>
      <c r="B1525" s="6" t="str">
        <f>VLOOKUP($A1525, 'Completion rates'!$A:$E, 2, FALSE)</f>
        <v>Getting brimhaven vouchers</v>
      </c>
      <c r="C1525" s="207">
        <v>21070.0</v>
      </c>
      <c r="D1525" s="6" t="str">
        <f>VLOOKUP($C1525, 'List of log slots'!$A:$E, 2, FALSE)</f>
        <v>Graceful legs</v>
      </c>
      <c r="E1525" s="207">
        <f>VLOOKUP($C1525, 'List of log slots'!$A:$E, 5, FALSE)</f>
        <v>3</v>
      </c>
      <c r="F1525" s="209" t="b">
        <f>VLOOKUP(C1525, 'List of log slots'!$A:$C, 3, FALSE)</f>
        <v>0</v>
      </c>
      <c r="G1525" s="210" t="b">
        <f t="shared" si="1266"/>
        <v>1</v>
      </c>
      <c r="H1525" s="209" t="b">
        <f t="shared" si="7"/>
        <v>0</v>
      </c>
      <c r="I1525" s="213" t="b">
        <f t="shared" si="1264"/>
        <v>1</v>
      </c>
      <c r="J1525" s="213" t="b">
        <f t="shared" si="1265"/>
        <v>1</v>
      </c>
      <c r="K1525" s="214">
        <v>0.0</v>
      </c>
      <c r="L1525" s="212">
        <f t="shared" si="3"/>
        <v>0</v>
      </c>
      <c r="M1525" s="212" t="str">
        <f t="shared" si="4"/>
        <v>n/a</v>
      </c>
      <c r="N1525" s="207" t="str">
        <f t="shared" si="5"/>
        <v>n/a</v>
      </c>
      <c r="O1525" s="207" t="str">
        <f t="shared" si="6"/>
        <v>n/a</v>
      </c>
    </row>
    <row r="1526" ht="15.75" customHeight="1">
      <c r="A1526" s="207">
        <v>78.0</v>
      </c>
      <c r="B1526" s="6" t="str">
        <f>VLOOKUP($A1526, 'Completion rates'!$A:$E, 2, FALSE)</f>
        <v>Getting brimhaven vouchers</v>
      </c>
      <c r="C1526" s="207">
        <v>21073.0</v>
      </c>
      <c r="D1526" s="6" t="str">
        <f>VLOOKUP($C1526, 'List of log slots'!$A:$E, 2, FALSE)</f>
        <v>Graceful gloves</v>
      </c>
      <c r="E1526" s="207">
        <f>VLOOKUP($C1526, 'List of log slots'!$A:$E, 5, FALSE)</f>
        <v>3</v>
      </c>
      <c r="F1526" s="209" t="b">
        <f>VLOOKUP(C1526, 'List of log slots'!$A:$C, 3, FALSE)</f>
        <v>0</v>
      </c>
      <c r="G1526" s="210" t="b">
        <f t="shared" si="1266"/>
        <v>1</v>
      </c>
      <c r="H1526" s="209" t="b">
        <f t="shared" si="7"/>
        <v>0</v>
      </c>
      <c r="I1526" s="213" t="b">
        <f t="shared" si="1264"/>
        <v>1</v>
      </c>
      <c r="J1526" s="213" t="b">
        <f t="shared" si="1265"/>
        <v>1</v>
      </c>
      <c r="K1526" s="214">
        <v>0.0</v>
      </c>
      <c r="L1526" s="212">
        <f t="shared" si="3"/>
        <v>0</v>
      </c>
      <c r="M1526" s="212" t="str">
        <f t="shared" si="4"/>
        <v>n/a</v>
      </c>
      <c r="N1526" s="207" t="str">
        <f t="shared" si="5"/>
        <v>n/a</v>
      </c>
      <c r="O1526" s="207" t="str">
        <f t="shared" si="6"/>
        <v>n/a</v>
      </c>
    </row>
    <row r="1527" ht="15.75" customHeight="1">
      <c r="A1527" s="207">
        <v>78.0</v>
      </c>
      <c r="B1527" s="6" t="str">
        <f>VLOOKUP($A1527, 'Completion rates'!$A:$E, 2, FALSE)</f>
        <v>Getting brimhaven vouchers</v>
      </c>
      <c r="C1527" s="207">
        <v>21076.0</v>
      </c>
      <c r="D1527" s="6" t="str">
        <f>VLOOKUP($C1527, 'List of log slots'!$A:$E, 2, FALSE)</f>
        <v>Graceful boots</v>
      </c>
      <c r="E1527" s="207">
        <f>VLOOKUP($C1527, 'List of log slots'!$A:$E, 5, FALSE)</f>
        <v>3</v>
      </c>
      <c r="F1527" s="209" t="b">
        <f>VLOOKUP(C1527, 'List of log slots'!$A:$C, 3, FALSE)</f>
        <v>0</v>
      </c>
      <c r="G1527" s="210" t="b">
        <f t="shared" si="1266"/>
        <v>1</v>
      </c>
      <c r="H1527" s="209" t="b">
        <f t="shared" si="7"/>
        <v>0</v>
      </c>
      <c r="I1527" s="213" t="b">
        <f t="shared" si="1264"/>
        <v>1</v>
      </c>
      <c r="J1527" s="213" t="b">
        <f t="shared" si="1265"/>
        <v>1</v>
      </c>
      <c r="K1527" s="214">
        <v>0.0</v>
      </c>
      <c r="L1527" s="212">
        <f t="shared" si="3"/>
        <v>0</v>
      </c>
      <c r="M1527" s="212" t="str">
        <f t="shared" si="4"/>
        <v>n/a</v>
      </c>
      <c r="N1527" s="207" t="str">
        <f t="shared" si="5"/>
        <v>n/a</v>
      </c>
      <c r="O1527" s="207" t="str">
        <f t="shared" si="6"/>
        <v>n/a</v>
      </c>
    </row>
    <row r="1528" ht="15.75" customHeight="1">
      <c r="A1528" s="207">
        <v>78.0</v>
      </c>
      <c r="B1528" s="6" t="str">
        <f>VLOOKUP($A1528, 'Completion rates'!$A:$E, 2, FALSE)</f>
        <v>Getting brimhaven vouchers</v>
      </c>
      <c r="C1528" s="207">
        <v>21064.0</v>
      </c>
      <c r="D1528" s="6" t="str">
        <f>VLOOKUP($C1528, 'List of log slots'!$A:$E, 2, FALSE)</f>
        <v>Graceful cape</v>
      </c>
      <c r="E1528" s="207">
        <f>VLOOKUP($C1528, 'List of log slots'!$A:$E, 5, FALSE)</f>
        <v>3</v>
      </c>
      <c r="F1528" s="209" t="b">
        <f>VLOOKUP(C1528, 'List of log slots'!$A:$C, 3, FALSE)</f>
        <v>0</v>
      </c>
      <c r="G1528" s="210" t="b">
        <f t="shared" si="1266"/>
        <v>1</v>
      </c>
      <c r="H1528" s="209" t="b">
        <f t="shared" si="7"/>
        <v>0</v>
      </c>
      <c r="I1528" s="213" t="b">
        <f t="shared" si="1264"/>
        <v>1</v>
      </c>
      <c r="J1528" s="213" t="b">
        <f t="shared" si="1265"/>
        <v>1</v>
      </c>
      <c r="K1528" s="214">
        <v>0.0</v>
      </c>
      <c r="L1528" s="212">
        <f t="shared" si="3"/>
        <v>0</v>
      </c>
      <c r="M1528" s="212" t="str">
        <f t="shared" si="4"/>
        <v>n/a</v>
      </c>
      <c r="N1528" s="207" t="str">
        <f t="shared" si="5"/>
        <v>n/a</v>
      </c>
      <c r="O1528" s="207" t="str">
        <f t="shared" si="6"/>
        <v>n/a</v>
      </c>
    </row>
    <row r="1529" ht="15.75" customHeight="1">
      <c r="A1529" s="207">
        <v>79.0</v>
      </c>
      <c r="B1529" s="6" t="str">
        <f>VLOOKUP($A1529, 'Completion rates'!$A:$E, 2, FALSE)</f>
        <v>Getting castle wars tickets</v>
      </c>
      <c r="C1529" s="207">
        <v>4071.0</v>
      </c>
      <c r="D1529" s="6" t="str">
        <f>VLOOKUP($C1529, 'List of log slots'!$A:$E, 2, FALSE)</f>
        <v>Decorative helm</v>
      </c>
      <c r="E1529" s="207">
        <f>VLOOKUP($C1529, 'List of log slots'!$A:$E, 5, FALSE)</f>
        <v>1</v>
      </c>
      <c r="F1529" s="210" t="b">
        <f>VLOOKUP(C1529, 'List of log slots'!$A:$C, 3, FALSE)</f>
        <v>0</v>
      </c>
      <c r="G1529" s="209" t="b">
        <f t="shared" ref="G1529:G1644" si="1267">FALSE</f>
        <v>0</v>
      </c>
      <c r="H1529" s="209" t="b">
        <f t="shared" si="7"/>
        <v>1</v>
      </c>
      <c r="I1529" s="213" t="b">
        <f t="shared" si="1264"/>
        <v>1</v>
      </c>
      <c r="J1529" s="208" t="b">
        <f t="shared" ref="J1529:J1567" si="1268">FALSE</f>
        <v>0</v>
      </c>
      <c r="K1529" s="214">
        <v>4.0</v>
      </c>
      <c r="L1529" s="212" t="str">
        <f t="shared" si="3"/>
        <v>n/a</v>
      </c>
      <c r="M1529" s="212">
        <f t="shared" si="4"/>
        <v>4</v>
      </c>
      <c r="N1529" s="207" t="str">
        <f t="shared" si="5"/>
        <v>n/a</v>
      </c>
      <c r="O1529" s="207" t="str">
        <f t="shared" si="6"/>
        <v>n/a</v>
      </c>
    </row>
    <row r="1530" ht="15.75" customHeight="1">
      <c r="A1530" s="207">
        <v>79.0</v>
      </c>
      <c r="B1530" s="6" t="str">
        <f>VLOOKUP($A1530, 'Completion rates'!$A:$E, 2, FALSE)</f>
        <v>Getting castle wars tickets</v>
      </c>
      <c r="C1530" s="207">
        <v>25165.0</v>
      </c>
      <c r="D1530" s="6" t="str">
        <f>VLOOKUP($C1530, 'List of log slots'!$A:$E, 2, FALSE)</f>
        <v>Decorative full helm</v>
      </c>
      <c r="E1530" s="207">
        <f>VLOOKUP($C1530, 'List of log slots'!$A:$E, 5, FALSE)</f>
        <v>1</v>
      </c>
      <c r="F1530" s="210" t="b">
        <f>VLOOKUP(C1530, 'List of log slots'!$A:$C, 3, FALSE)</f>
        <v>0</v>
      </c>
      <c r="G1530" s="209" t="b">
        <f t="shared" si="1267"/>
        <v>0</v>
      </c>
      <c r="H1530" s="209" t="b">
        <f t="shared" si="7"/>
        <v>1</v>
      </c>
      <c r="I1530" s="213" t="b">
        <f t="shared" si="1264"/>
        <v>1</v>
      </c>
      <c r="J1530" s="208" t="b">
        <f t="shared" si="1268"/>
        <v>0</v>
      </c>
      <c r="K1530" s="214">
        <v>5.0</v>
      </c>
      <c r="L1530" s="212" t="str">
        <f t="shared" si="3"/>
        <v>n/a</v>
      </c>
      <c r="M1530" s="212">
        <f t="shared" si="4"/>
        <v>5</v>
      </c>
      <c r="N1530" s="207" t="str">
        <f t="shared" si="5"/>
        <v>n/a</v>
      </c>
      <c r="O1530" s="207" t="str">
        <f t="shared" si="6"/>
        <v>n/a</v>
      </c>
    </row>
    <row r="1531" ht="15.75" customHeight="1">
      <c r="A1531" s="207">
        <v>79.0</v>
      </c>
      <c r="B1531" s="6" t="str">
        <f>VLOOKUP($A1531, 'Completion rates'!$A:$E, 2, FALSE)</f>
        <v>Getting castle wars tickets</v>
      </c>
      <c r="C1531" s="207">
        <v>4069.0</v>
      </c>
      <c r="D1531" s="6" t="str">
        <f>VLOOKUP($C1531, 'List of log slots'!$A:$E, 2, FALSE)</f>
        <v>Decorative armour</v>
      </c>
      <c r="E1531" s="207">
        <f>VLOOKUP($C1531, 'List of log slots'!$A:$E, 5, FALSE)</f>
        <v>1</v>
      </c>
      <c r="F1531" s="210" t="b">
        <f>VLOOKUP(C1531, 'List of log slots'!$A:$C, 3, FALSE)</f>
        <v>0</v>
      </c>
      <c r="G1531" s="209" t="b">
        <f t="shared" si="1267"/>
        <v>0</v>
      </c>
      <c r="H1531" s="209" t="b">
        <f t="shared" si="7"/>
        <v>1</v>
      </c>
      <c r="I1531" s="213" t="b">
        <f t="shared" si="1264"/>
        <v>1</v>
      </c>
      <c r="J1531" s="208" t="b">
        <f t="shared" si="1268"/>
        <v>0</v>
      </c>
      <c r="K1531" s="214">
        <v>8.0</v>
      </c>
      <c r="L1531" s="212" t="str">
        <f t="shared" si="3"/>
        <v>n/a</v>
      </c>
      <c r="M1531" s="212">
        <f t="shared" si="4"/>
        <v>8</v>
      </c>
      <c r="N1531" s="207" t="str">
        <f t="shared" si="5"/>
        <v>n/a</v>
      </c>
      <c r="O1531" s="207" t="str">
        <f t="shared" si="6"/>
        <v>n/a</v>
      </c>
    </row>
    <row r="1532" ht="15.75" customHeight="1">
      <c r="A1532" s="207">
        <v>79.0</v>
      </c>
      <c r="B1532" s="6" t="str">
        <f>VLOOKUP($A1532, 'Completion rates'!$A:$E, 2, FALSE)</f>
        <v>Getting castle wars tickets</v>
      </c>
      <c r="C1532" s="207">
        <v>4068.0</v>
      </c>
      <c r="D1532" s="6" t="str">
        <f>VLOOKUP($C1532, 'List of log slots'!$A:$E, 2, FALSE)</f>
        <v>Decorative sword</v>
      </c>
      <c r="E1532" s="207">
        <f>VLOOKUP($C1532, 'List of log slots'!$A:$E, 5, FALSE)</f>
        <v>1</v>
      </c>
      <c r="F1532" s="210" t="b">
        <f>VLOOKUP(C1532, 'List of log slots'!$A:$C, 3, FALSE)</f>
        <v>0</v>
      </c>
      <c r="G1532" s="209" t="b">
        <f t="shared" si="1267"/>
        <v>0</v>
      </c>
      <c r="H1532" s="209" t="b">
        <f t="shared" si="7"/>
        <v>1</v>
      </c>
      <c r="I1532" s="213" t="b">
        <f t="shared" si="1264"/>
        <v>1</v>
      </c>
      <c r="J1532" s="208" t="b">
        <f t="shared" si="1268"/>
        <v>0</v>
      </c>
      <c r="K1532" s="214">
        <v>6.0</v>
      </c>
      <c r="L1532" s="212" t="str">
        <f t="shared" si="3"/>
        <v>n/a</v>
      </c>
      <c r="M1532" s="212">
        <f t="shared" si="4"/>
        <v>6</v>
      </c>
      <c r="N1532" s="207" t="str">
        <f t="shared" si="5"/>
        <v>n/a</v>
      </c>
      <c r="O1532" s="207" t="str">
        <f t="shared" si="6"/>
        <v>n/a</v>
      </c>
    </row>
    <row r="1533" ht="15.75" customHeight="1">
      <c r="A1533" s="207">
        <v>79.0</v>
      </c>
      <c r="B1533" s="6" t="str">
        <f>VLOOKUP($A1533, 'Completion rates'!$A:$E, 2, FALSE)</f>
        <v>Getting castle wars tickets</v>
      </c>
      <c r="C1533" s="207">
        <v>4072.0</v>
      </c>
      <c r="D1533" s="6" t="str">
        <f>VLOOKUP($C1533, 'List of log slots'!$A:$E, 2, FALSE)</f>
        <v>Decorative shield</v>
      </c>
      <c r="E1533" s="207">
        <f>VLOOKUP($C1533, 'List of log slots'!$A:$E, 5, FALSE)</f>
        <v>1</v>
      </c>
      <c r="F1533" s="213" t="b">
        <f>VLOOKUP(C1533, 'List of log slots'!$A:$C, 3, FALSE)</f>
        <v>0</v>
      </c>
      <c r="G1533" s="209" t="b">
        <f t="shared" si="1267"/>
        <v>0</v>
      </c>
      <c r="H1533" s="209" t="b">
        <f t="shared" si="7"/>
        <v>1</v>
      </c>
      <c r="I1533" s="213" t="b">
        <f t="shared" si="1264"/>
        <v>1</v>
      </c>
      <c r="J1533" s="208" t="b">
        <f t="shared" si="1268"/>
        <v>0</v>
      </c>
      <c r="K1533" s="214">
        <v>6.0</v>
      </c>
      <c r="L1533" s="212" t="str">
        <f t="shared" si="3"/>
        <v>n/a</v>
      </c>
      <c r="M1533" s="212">
        <f t="shared" si="4"/>
        <v>6</v>
      </c>
      <c r="N1533" s="207" t="str">
        <f t="shared" si="5"/>
        <v>n/a</v>
      </c>
      <c r="O1533" s="207" t="str">
        <f t="shared" si="6"/>
        <v>n/a</v>
      </c>
    </row>
    <row r="1534" ht="15.75" customHeight="1">
      <c r="A1534" s="207">
        <v>79.0</v>
      </c>
      <c r="B1534" s="6" t="str">
        <f>VLOOKUP($A1534, 'Completion rates'!$A:$E, 2, FALSE)</f>
        <v>Getting castle wars tickets</v>
      </c>
      <c r="C1534" s="207">
        <v>4070.0</v>
      </c>
      <c r="D1534" s="6" t="str">
        <f>VLOOKUP($C1534, 'List of log slots'!$A:$E, 2, FALSE)</f>
        <v>Decorative armour</v>
      </c>
      <c r="E1534" s="207">
        <f>VLOOKUP($C1534, 'List of log slots'!$A:$E, 5, FALSE)</f>
        <v>1</v>
      </c>
      <c r="F1534" s="213" t="b">
        <f>VLOOKUP(C1534, 'List of log slots'!$A:$C, 3, FALSE)</f>
        <v>0</v>
      </c>
      <c r="G1534" s="209" t="b">
        <f t="shared" si="1267"/>
        <v>0</v>
      </c>
      <c r="H1534" s="209" t="b">
        <f t="shared" si="7"/>
        <v>1</v>
      </c>
      <c r="I1534" s="213" t="b">
        <f t="shared" si="1264"/>
        <v>1</v>
      </c>
      <c r="J1534" s="208" t="b">
        <f t="shared" si="1268"/>
        <v>0</v>
      </c>
      <c r="K1534" s="214">
        <v>4.0</v>
      </c>
      <c r="L1534" s="212" t="str">
        <f t="shared" si="3"/>
        <v>n/a</v>
      </c>
      <c r="M1534" s="212">
        <f t="shared" si="4"/>
        <v>4</v>
      </c>
      <c r="N1534" s="207" t="str">
        <f t="shared" si="5"/>
        <v>n/a</v>
      </c>
      <c r="O1534" s="207" t="str">
        <f t="shared" si="6"/>
        <v>n/a</v>
      </c>
    </row>
    <row r="1535" ht="15.75" customHeight="1">
      <c r="A1535" s="207">
        <v>79.0</v>
      </c>
      <c r="B1535" s="6" t="str">
        <f>VLOOKUP($A1535, 'Completion rates'!$A:$E, 2, FALSE)</f>
        <v>Getting castle wars tickets</v>
      </c>
      <c r="C1535" s="207">
        <v>11893.0</v>
      </c>
      <c r="D1535" s="6" t="str">
        <f>VLOOKUP($C1535, 'List of log slots'!$A:$E, 2, FALSE)</f>
        <v>Decorative armour</v>
      </c>
      <c r="E1535" s="207">
        <f>VLOOKUP($C1535, 'List of log slots'!$A:$E, 5, FALSE)</f>
        <v>1</v>
      </c>
      <c r="F1535" s="213" t="b">
        <f>VLOOKUP(C1535, 'List of log slots'!$A:$C, 3, FALSE)</f>
        <v>0</v>
      </c>
      <c r="G1535" s="209" t="b">
        <f t="shared" si="1267"/>
        <v>0</v>
      </c>
      <c r="H1535" s="209" t="b">
        <f t="shared" si="7"/>
        <v>1</v>
      </c>
      <c r="I1535" s="213" t="b">
        <f t="shared" si="1264"/>
        <v>1</v>
      </c>
      <c r="J1535" s="208" t="b">
        <f t="shared" si="1268"/>
        <v>0</v>
      </c>
      <c r="K1535" s="214">
        <v>6.0</v>
      </c>
      <c r="L1535" s="212" t="str">
        <f t="shared" si="3"/>
        <v>n/a</v>
      </c>
      <c r="M1535" s="212">
        <f t="shared" si="4"/>
        <v>6</v>
      </c>
      <c r="N1535" s="207" t="str">
        <f t="shared" si="5"/>
        <v>n/a</v>
      </c>
      <c r="O1535" s="207" t="str">
        <f t="shared" si="6"/>
        <v>n/a</v>
      </c>
    </row>
    <row r="1536" ht="15.75" customHeight="1">
      <c r="A1536" s="207">
        <v>79.0</v>
      </c>
      <c r="B1536" s="6" t="str">
        <f>VLOOKUP($A1536, 'Completion rates'!$A:$E, 2, FALSE)</f>
        <v>Getting castle wars tickets</v>
      </c>
      <c r="C1536" s="207">
        <v>25163.0</v>
      </c>
      <c r="D1536" s="6" t="str">
        <f>VLOOKUP($C1536, 'List of log slots'!$A:$E, 2, FALSE)</f>
        <v>Decorative boots</v>
      </c>
      <c r="E1536" s="207">
        <f>VLOOKUP($C1536, 'List of log slots'!$A:$E, 5, FALSE)</f>
        <v>1</v>
      </c>
      <c r="F1536" s="213" t="b">
        <f>VLOOKUP(C1536, 'List of log slots'!$A:$C, 3, FALSE)</f>
        <v>0</v>
      </c>
      <c r="G1536" s="209" t="b">
        <f t="shared" si="1267"/>
        <v>0</v>
      </c>
      <c r="H1536" s="209" t="b">
        <f t="shared" si="7"/>
        <v>1</v>
      </c>
      <c r="I1536" s="213" t="b">
        <f t="shared" si="1264"/>
        <v>1</v>
      </c>
      <c r="J1536" s="208" t="b">
        <f t="shared" si="1268"/>
        <v>0</v>
      </c>
      <c r="K1536" s="214">
        <v>5.0</v>
      </c>
      <c r="L1536" s="212" t="str">
        <f t="shared" si="3"/>
        <v>n/a</v>
      </c>
      <c r="M1536" s="212">
        <f t="shared" si="4"/>
        <v>5</v>
      </c>
      <c r="N1536" s="207" t="str">
        <f t="shared" si="5"/>
        <v>n/a</v>
      </c>
      <c r="O1536" s="207" t="str">
        <f t="shared" si="6"/>
        <v>n/a</v>
      </c>
    </row>
    <row r="1537" ht="15.75" customHeight="1">
      <c r="A1537" s="207">
        <v>79.0</v>
      </c>
      <c r="B1537" s="6" t="str">
        <f>VLOOKUP($A1537, 'Completion rates'!$A:$E, 2, FALSE)</f>
        <v>Getting castle wars tickets</v>
      </c>
      <c r="C1537" s="207">
        <v>4506.0</v>
      </c>
      <c r="D1537" s="6" t="str">
        <f>VLOOKUP($C1537, 'List of log slots'!$A:$E, 2, FALSE)</f>
        <v>Decorative helm</v>
      </c>
      <c r="E1537" s="207">
        <f>VLOOKUP($C1537, 'List of log slots'!$A:$E, 5, FALSE)</f>
        <v>2</v>
      </c>
      <c r="F1537" s="213" t="b">
        <f>VLOOKUP(C1537, 'List of log slots'!$A:$C, 3, FALSE)</f>
        <v>0</v>
      </c>
      <c r="G1537" s="209" t="b">
        <f t="shared" si="1267"/>
        <v>0</v>
      </c>
      <c r="H1537" s="209" t="b">
        <f t="shared" si="7"/>
        <v>1</v>
      </c>
      <c r="I1537" s="213" t="b">
        <f t="shared" si="1264"/>
        <v>1</v>
      </c>
      <c r="J1537" s="208" t="b">
        <f t="shared" si="1268"/>
        <v>0</v>
      </c>
      <c r="K1537" s="214">
        <v>40.0</v>
      </c>
      <c r="L1537" s="212" t="str">
        <f t="shared" si="3"/>
        <v>n/a</v>
      </c>
      <c r="M1537" s="212">
        <f t="shared" si="4"/>
        <v>40</v>
      </c>
      <c r="N1537" s="207" t="str">
        <f t="shared" si="5"/>
        <v>n/a</v>
      </c>
      <c r="O1537" s="207" t="str">
        <f t="shared" si="6"/>
        <v>n/a</v>
      </c>
    </row>
    <row r="1538" ht="15.75" customHeight="1">
      <c r="A1538" s="207">
        <v>79.0</v>
      </c>
      <c r="B1538" s="6" t="str">
        <f>VLOOKUP($A1538, 'Completion rates'!$A:$E, 2, FALSE)</f>
        <v>Getting castle wars tickets</v>
      </c>
      <c r="C1538" s="207">
        <v>25169.0</v>
      </c>
      <c r="D1538" s="6" t="str">
        <f>VLOOKUP($C1538, 'List of log slots'!$A:$E, 2, FALSE)</f>
        <v>Decorative full helm</v>
      </c>
      <c r="E1538" s="207">
        <f>VLOOKUP($C1538, 'List of log slots'!$A:$E, 5, FALSE)</f>
        <v>2</v>
      </c>
      <c r="F1538" s="213" t="b">
        <f>VLOOKUP(C1538, 'List of log slots'!$A:$C, 3, FALSE)</f>
        <v>0</v>
      </c>
      <c r="G1538" s="209" t="b">
        <f t="shared" si="1267"/>
        <v>0</v>
      </c>
      <c r="H1538" s="209" t="b">
        <f t="shared" si="7"/>
        <v>1</v>
      </c>
      <c r="I1538" s="213" t="b">
        <f t="shared" si="1264"/>
        <v>1</v>
      </c>
      <c r="J1538" s="208" t="b">
        <f t="shared" si="1268"/>
        <v>0</v>
      </c>
      <c r="K1538" s="214">
        <v>50.0</v>
      </c>
      <c r="L1538" s="212" t="str">
        <f t="shared" si="3"/>
        <v>n/a</v>
      </c>
      <c r="M1538" s="212">
        <f t="shared" si="4"/>
        <v>50</v>
      </c>
      <c r="N1538" s="207" t="str">
        <f t="shared" si="5"/>
        <v>n/a</v>
      </c>
      <c r="O1538" s="207" t="str">
        <f t="shared" si="6"/>
        <v>n/a</v>
      </c>
    </row>
    <row r="1539" ht="15.75" customHeight="1">
      <c r="A1539" s="207">
        <v>79.0</v>
      </c>
      <c r="B1539" s="6" t="str">
        <f>VLOOKUP($A1539, 'Completion rates'!$A:$E, 2, FALSE)</f>
        <v>Getting castle wars tickets</v>
      </c>
      <c r="C1539" s="207">
        <v>4504.0</v>
      </c>
      <c r="D1539" s="6" t="str">
        <f>VLOOKUP($C1539, 'List of log slots'!$A:$E, 2, FALSE)</f>
        <v>Decorative armour</v>
      </c>
      <c r="E1539" s="207">
        <f>VLOOKUP($C1539, 'List of log slots'!$A:$E, 5, FALSE)</f>
        <v>2</v>
      </c>
      <c r="F1539" s="213" t="b">
        <f>VLOOKUP(C1539, 'List of log slots'!$A:$C, 3, FALSE)</f>
        <v>0</v>
      </c>
      <c r="G1539" s="209" t="b">
        <f t="shared" si="1267"/>
        <v>0</v>
      </c>
      <c r="H1539" s="209" t="b">
        <f t="shared" si="7"/>
        <v>1</v>
      </c>
      <c r="I1539" s="213" t="b">
        <f t="shared" si="1264"/>
        <v>1</v>
      </c>
      <c r="J1539" s="208" t="b">
        <f t="shared" si="1268"/>
        <v>0</v>
      </c>
      <c r="K1539" s="214">
        <v>80.0</v>
      </c>
      <c r="L1539" s="212" t="str">
        <f t="shared" si="3"/>
        <v>n/a</v>
      </c>
      <c r="M1539" s="212">
        <f t="shared" si="4"/>
        <v>80</v>
      </c>
      <c r="N1539" s="207" t="str">
        <f t="shared" si="5"/>
        <v>n/a</v>
      </c>
      <c r="O1539" s="207" t="str">
        <f t="shared" si="6"/>
        <v>n/a</v>
      </c>
    </row>
    <row r="1540" ht="15.75" customHeight="1">
      <c r="A1540" s="207">
        <v>79.0</v>
      </c>
      <c r="B1540" s="6" t="str">
        <f>VLOOKUP($A1540, 'Completion rates'!$A:$E, 2, FALSE)</f>
        <v>Getting castle wars tickets</v>
      </c>
      <c r="C1540" s="207">
        <v>4503.0</v>
      </c>
      <c r="D1540" s="6" t="str">
        <f>VLOOKUP($C1540, 'List of log slots'!$A:$E, 2, FALSE)</f>
        <v>Decorative sword</v>
      </c>
      <c r="E1540" s="207">
        <f>VLOOKUP($C1540, 'List of log slots'!$A:$E, 5, FALSE)</f>
        <v>2</v>
      </c>
      <c r="F1540" s="213" t="b">
        <f>VLOOKUP(C1540, 'List of log slots'!$A:$C, 3, FALSE)</f>
        <v>0</v>
      </c>
      <c r="G1540" s="209" t="b">
        <f t="shared" si="1267"/>
        <v>0</v>
      </c>
      <c r="H1540" s="209" t="b">
        <f t="shared" si="7"/>
        <v>1</v>
      </c>
      <c r="I1540" s="213" t="b">
        <f t="shared" si="1264"/>
        <v>1</v>
      </c>
      <c r="J1540" s="208" t="b">
        <f t="shared" si="1268"/>
        <v>0</v>
      </c>
      <c r="K1540" s="214">
        <v>60.0</v>
      </c>
      <c r="L1540" s="212" t="str">
        <f t="shared" si="3"/>
        <v>n/a</v>
      </c>
      <c r="M1540" s="212">
        <f t="shared" si="4"/>
        <v>60</v>
      </c>
      <c r="N1540" s="207" t="str">
        <f t="shared" si="5"/>
        <v>n/a</v>
      </c>
      <c r="O1540" s="207" t="str">
        <f t="shared" si="6"/>
        <v>n/a</v>
      </c>
    </row>
    <row r="1541" ht="15.75" customHeight="1">
      <c r="A1541" s="207">
        <v>79.0</v>
      </c>
      <c r="B1541" s="6" t="str">
        <f>VLOOKUP($A1541, 'Completion rates'!$A:$E, 2, FALSE)</f>
        <v>Getting castle wars tickets</v>
      </c>
      <c r="C1541" s="207">
        <v>4507.0</v>
      </c>
      <c r="D1541" s="6" t="str">
        <f>VLOOKUP($C1541, 'List of log slots'!$A:$E, 2, FALSE)</f>
        <v>Decorative shield</v>
      </c>
      <c r="E1541" s="207">
        <f>VLOOKUP($C1541, 'List of log slots'!$A:$E, 5, FALSE)</f>
        <v>2</v>
      </c>
      <c r="F1541" s="213" t="b">
        <f>VLOOKUP(C1541, 'List of log slots'!$A:$C, 3, FALSE)</f>
        <v>0</v>
      </c>
      <c r="G1541" s="209" t="b">
        <f t="shared" si="1267"/>
        <v>0</v>
      </c>
      <c r="H1541" s="209" t="b">
        <f t="shared" si="7"/>
        <v>1</v>
      </c>
      <c r="I1541" s="213" t="b">
        <f t="shared" si="1264"/>
        <v>1</v>
      </c>
      <c r="J1541" s="208" t="b">
        <f t="shared" si="1268"/>
        <v>0</v>
      </c>
      <c r="K1541" s="214">
        <v>60.0</v>
      </c>
      <c r="L1541" s="212" t="str">
        <f t="shared" si="3"/>
        <v>n/a</v>
      </c>
      <c r="M1541" s="212">
        <f t="shared" si="4"/>
        <v>60</v>
      </c>
      <c r="N1541" s="207" t="str">
        <f t="shared" si="5"/>
        <v>n/a</v>
      </c>
      <c r="O1541" s="207" t="str">
        <f t="shared" si="6"/>
        <v>n/a</v>
      </c>
    </row>
    <row r="1542" ht="15.75" customHeight="1">
      <c r="A1542" s="207">
        <v>79.0</v>
      </c>
      <c r="B1542" s="6" t="str">
        <f>VLOOKUP($A1542, 'Completion rates'!$A:$E, 2, FALSE)</f>
        <v>Getting castle wars tickets</v>
      </c>
      <c r="C1542" s="207">
        <v>4505.0</v>
      </c>
      <c r="D1542" s="6" t="str">
        <f>VLOOKUP($C1542, 'List of log slots'!$A:$E, 2, FALSE)</f>
        <v>Decorative armour</v>
      </c>
      <c r="E1542" s="207">
        <f>VLOOKUP($C1542, 'List of log slots'!$A:$E, 5, FALSE)</f>
        <v>2</v>
      </c>
      <c r="F1542" s="213" t="b">
        <f>VLOOKUP(C1542, 'List of log slots'!$A:$C, 3, FALSE)</f>
        <v>0</v>
      </c>
      <c r="G1542" s="209" t="b">
        <f t="shared" si="1267"/>
        <v>0</v>
      </c>
      <c r="H1542" s="209" t="b">
        <f t="shared" si="7"/>
        <v>1</v>
      </c>
      <c r="I1542" s="213" t="b">
        <f t="shared" si="1264"/>
        <v>1</v>
      </c>
      <c r="J1542" s="208" t="b">
        <f t="shared" si="1268"/>
        <v>0</v>
      </c>
      <c r="K1542" s="214">
        <v>40.0</v>
      </c>
      <c r="L1542" s="212" t="str">
        <f t="shared" si="3"/>
        <v>n/a</v>
      </c>
      <c r="M1542" s="212">
        <f t="shared" si="4"/>
        <v>40</v>
      </c>
      <c r="N1542" s="207" t="str">
        <f t="shared" si="5"/>
        <v>n/a</v>
      </c>
      <c r="O1542" s="207" t="str">
        <f t="shared" si="6"/>
        <v>n/a</v>
      </c>
    </row>
    <row r="1543" ht="15.75" customHeight="1">
      <c r="A1543" s="207">
        <v>79.0</v>
      </c>
      <c r="B1543" s="6" t="str">
        <f>VLOOKUP($A1543, 'Completion rates'!$A:$E, 2, FALSE)</f>
        <v>Getting castle wars tickets</v>
      </c>
      <c r="C1543" s="207">
        <v>11894.0</v>
      </c>
      <c r="D1543" s="6" t="str">
        <f>VLOOKUP($C1543, 'List of log slots'!$A:$E, 2, FALSE)</f>
        <v>Decorative armour</v>
      </c>
      <c r="E1543" s="207">
        <f>VLOOKUP($C1543, 'List of log slots'!$A:$E, 5, FALSE)</f>
        <v>2</v>
      </c>
      <c r="F1543" s="213" t="b">
        <f>VLOOKUP(C1543, 'List of log slots'!$A:$C, 3, FALSE)</f>
        <v>0</v>
      </c>
      <c r="G1543" s="209" t="b">
        <f t="shared" si="1267"/>
        <v>0</v>
      </c>
      <c r="H1543" s="209" t="b">
        <f t="shared" si="7"/>
        <v>1</v>
      </c>
      <c r="I1543" s="213" t="b">
        <f t="shared" si="1264"/>
        <v>1</v>
      </c>
      <c r="J1543" s="208" t="b">
        <f t="shared" si="1268"/>
        <v>0</v>
      </c>
      <c r="K1543" s="214">
        <v>60.0</v>
      </c>
      <c r="L1543" s="212" t="str">
        <f t="shared" si="3"/>
        <v>n/a</v>
      </c>
      <c r="M1543" s="212">
        <f t="shared" si="4"/>
        <v>60</v>
      </c>
      <c r="N1543" s="207" t="str">
        <f t="shared" si="5"/>
        <v>n/a</v>
      </c>
      <c r="O1543" s="207" t="str">
        <f t="shared" si="6"/>
        <v>n/a</v>
      </c>
    </row>
    <row r="1544" ht="15.75" customHeight="1">
      <c r="A1544" s="207">
        <v>79.0</v>
      </c>
      <c r="B1544" s="6" t="str">
        <f>VLOOKUP($A1544, 'Completion rates'!$A:$E, 2, FALSE)</f>
        <v>Getting castle wars tickets</v>
      </c>
      <c r="C1544" s="207">
        <v>25167.0</v>
      </c>
      <c r="D1544" s="6" t="str">
        <f>VLOOKUP($C1544, 'List of log slots'!$A:$E, 2, FALSE)</f>
        <v>Decorative boots</v>
      </c>
      <c r="E1544" s="207">
        <f>VLOOKUP($C1544, 'List of log slots'!$A:$E, 5, FALSE)</f>
        <v>2</v>
      </c>
      <c r="F1544" s="213" t="b">
        <f>VLOOKUP(C1544, 'List of log slots'!$A:$C, 3, FALSE)</f>
        <v>0</v>
      </c>
      <c r="G1544" s="209" t="b">
        <f t="shared" si="1267"/>
        <v>0</v>
      </c>
      <c r="H1544" s="209" t="b">
        <f t="shared" si="7"/>
        <v>1</v>
      </c>
      <c r="I1544" s="213" t="b">
        <f t="shared" si="1264"/>
        <v>1</v>
      </c>
      <c r="J1544" s="208" t="b">
        <f t="shared" si="1268"/>
        <v>0</v>
      </c>
      <c r="K1544" s="214">
        <v>50.0</v>
      </c>
      <c r="L1544" s="212" t="str">
        <f t="shared" si="3"/>
        <v>n/a</v>
      </c>
      <c r="M1544" s="212">
        <f t="shared" si="4"/>
        <v>50</v>
      </c>
      <c r="N1544" s="207" t="str">
        <f t="shared" si="5"/>
        <v>n/a</v>
      </c>
      <c r="O1544" s="207" t="str">
        <f t="shared" si="6"/>
        <v>n/a</v>
      </c>
    </row>
    <row r="1545" ht="15.75" customHeight="1">
      <c r="A1545" s="207">
        <v>79.0</v>
      </c>
      <c r="B1545" s="6" t="str">
        <f>VLOOKUP($A1545, 'Completion rates'!$A:$E, 2, FALSE)</f>
        <v>Getting castle wars tickets</v>
      </c>
      <c r="C1545" s="207">
        <v>4511.0</v>
      </c>
      <c r="D1545" s="6" t="str">
        <f>VLOOKUP($C1545, 'List of log slots'!$A:$E, 2, FALSE)</f>
        <v>Decorative helm</v>
      </c>
      <c r="E1545" s="207">
        <f>VLOOKUP($C1545, 'List of log slots'!$A:$E, 5, FALSE)</f>
        <v>4</v>
      </c>
      <c r="F1545" s="208" t="b">
        <f>VLOOKUP(C1545, 'List of log slots'!$A:$C, 3, FALSE)</f>
        <v>0</v>
      </c>
      <c r="G1545" s="209" t="b">
        <f t="shared" si="1267"/>
        <v>0</v>
      </c>
      <c r="H1545" s="210" t="b">
        <f t="shared" si="7"/>
        <v>1</v>
      </c>
      <c r="I1545" s="213" t="b">
        <f t="shared" si="1264"/>
        <v>1</v>
      </c>
      <c r="J1545" s="208" t="b">
        <f t="shared" si="1268"/>
        <v>0</v>
      </c>
      <c r="K1545" s="214">
        <v>400.0</v>
      </c>
      <c r="L1545" s="212" t="str">
        <f t="shared" si="3"/>
        <v>n/a</v>
      </c>
      <c r="M1545" s="212">
        <f t="shared" si="4"/>
        <v>400</v>
      </c>
      <c r="N1545" s="207" t="str">
        <f t="shared" si="5"/>
        <v>n/a</v>
      </c>
      <c r="O1545" s="207" t="str">
        <f t="shared" si="6"/>
        <v>n/a</v>
      </c>
    </row>
    <row r="1546" ht="15.75" customHeight="1">
      <c r="A1546" s="207">
        <v>79.0</v>
      </c>
      <c r="B1546" s="6" t="str">
        <f>VLOOKUP($A1546, 'Completion rates'!$A:$E, 2, FALSE)</f>
        <v>Getting castle wars tickets</v>
      </c>
      <c r="C1546" s="207">
        <v>25174.0</v>
      </c>
      <c r="D1546" s="6" t="str">
        <f>VLOOKUP($C1546, 'List of log slots'!$A:$E, 2, FALSE)</f>
        <v>Decorative full helm</v>
      </c>
      <c r="E1546" s="207">
        <f>VLOOKUP($C1546, 'List of log slots'!$A:$E, 5, FALSE)</f>
        <v>4</v>
      </c>
      <c r="F1546" s="208" t="b">
        <f>VLOOKUP(C1546, 'List of log slots'!$A:$C, 3, FALSE)</f>
        <v>0</v>
      </c>
      <c r="G1546" s="209" t="b">
        <f t="shared" si="1267"/>
        <v>0</v>
      </c>
      <c r="H1546" s="210" t="b">
        <f t="shared" si="7"/>
        <v>1</v>
      </c>
      <c r="I1546" s="213" t="b">
        <f t="shared" si="1264"/>
        <v>1</v>
      </c>
      <c r="J1546" s="208" t="b">
        <f t="shared" si="1268"/>
        <v>0</v>
      </c>
      <c r="K1546" s="214">
        <v>500.0</v>
      </c>
      <c r="L1546" s="212" t="str">
        <f t="shared" si="3"/>
        <v>n/a</v>
      </c>
      <c r="M1546" s="212">
        <f t="shared" si="4"/>
        <v>500</v>
      </c>
      <c r="N1546" s="207" t="str">
        <f t="shared" si="5"/>
        <v>n/a</v>
      </c>
      <c r="O1546" s="207" t="str">
        <f t="shared" si="6"/>
        <v>n/a</v>
      </c>
    </row>
    <row r="1547" ht="15.75" customHeight="1">
      <c r="A1547" s="207">
        <v>79.0</v>
      </c>
      <c r="B1547" s="6" t="str">
        <f>VLOOKUP($A1547, 'Completion rates'!$A:$E, 2, FALSE)</f>
        <v>Getting castle wars tickets</v>
      </c>
      <c r="C1547" s="207">
        <v>4509.0</v>
      </c>
      <c r="D1547" s="6" t="str">
        <f>VLOOKUP($C1547, 'List of log slots'!$A:$E, 2, FALSE)</f>
        <v>Decorative armour</v>
      </c>
      <c r="E1547" s="207">
        <f>VLOOKUP($C1547, 'List of log slots'!$A:$E, 5, FALSE)</f>
        <v>4</v>
      </c>
      <c r="F1547" s="208" t="b">
        <f>VLOOKUP(C1547, 'List of log slots'!$A:$C, 3, FALSE)</f>
        <v>0</v>
      </c>
      <c r="G1547" s="209" t="b">
        <f t="shared" si="1267"/>
        <v>0</v>
      </c>
      <c r="H1547" s="210" t="b">
        <f t="shared" si="7"/>
        <v>1</v>
      </c>
      <c r="I1547" s="213" t="b">
        <f t="shared" si="1264"/>
        <v>1</v>
      </c>
      <c r="J1547" s="208" t="b">
        <f t="shared" si="1268"/>
        <v>0</v>
      </c>
      <c r="K1547" s="214">
        <v>800.0</v>
      </c>
      <c r="L1547" s="212" t="str">
        <f t="shared" si="3"/>
        <v>n/a</v>
      </c>
      <c r="M1547" s="212">
        <f t="shared" si="4"/>
        <v>800</v>
      </c>
      <c r="N1547" s="207" t="str">
        <f t="shared" si="5"/>
        <v>n/a</v>
      </c>
      <c r="O1547" s="207" t="str">
        <f t="shared" si="6"/>
        <v>n/a</v>
      </c>
    </row>
    <row r="1548" ht="15.75" customHeight="1">
      <c r="A1548" s="207">
        <v>79.0</v>
      </c>
      <c r="B1548" s="6" t="str">
        <f>VLOOKUP($A1548, 'Completion rates'!$A:$E, 2, FALSE)</f>
        <v>Getting castle wars tickets</v>
      </c>
      <c r="C1548" s="207">
        <v>4508.0</v>
      </c>
      <c r="D1548" s="6" t="str">
        <f>VLOOKUP($C1548, 'List of log slots'!$A:$E, 2, FALSE)</f>
        <v>Decorative sword</v>
      </c>
      <c r="E1548" s="207">
        <f>VLOOKUP($C1548, 'List of log slots'!$A:$E, 5, FALSE)</f>
        <v>4</v>
      </c>
      <c r="F1548" s="208" t="b">
        <f>VLOOKUP(C1548, 'List of log slots'!$A:$C, 3, FALSE)</f>
        <v>0</v>
      </c>
      <c r="G1548" s="209" t="b">
        <f t="shared" si="1267"/>
        <v>0</v>
      </c>
      <c r="H1548" s="210" t="b">
        <f t="shared" si="7"/>
        <v>1</v>
      </c>
      <c r="I1548" s="213" t="b">
        <f t="shared" si="1264"/>
        <v>1</v>
      </c>
      <c r="J1548" s="208" t="b">
        <f t="shared" si="1268"/>
        <v>0</v>
      </c>
      <c r="K1548" s="214">
        <v>600.0</v>
      </c>
      <c r="L1548" s="212" t="str">
        <f t="shared" si="3"/>
        <v>n/a</v>
      </c>
      <c r="M1548" s="212">
        <f t="shared" si="4"/>
        <v>600</v>
      </c>
      <c r="N1548" s="207" t="str">
        <f t="shared" si="5"/>
        <v>n/a</v>
      </c>
      <c r="O1548" s="207" t="str">
        <f t="shared" si="6"/>
        <v>n/a</v>
      </c>
    </row>
    <row r="1549" ht="15.75" customHeight="1">
      <c r="A1549" s="207">
        <v>79.0</v>
      </c>
      <c r="B1549" s="6" t="str">
        <f>VLOOKUP($A1549, 'Completion rates'!$A:$E, 2, FALSE)</f>
        <v>Getting castle wars tickets</v>
      </c>
      <c r="C1549" s="207">
        <v>4512.0</v>
      </c>
      <c r="D1549" s="6" t="str">
        <f>VLOOKUP($C1549, 'List of log slots'!$A:$E, 2, FALSE)</f>
        <v>Decorative shield</v>
      </c>
      <c r="E1549" s="207">
        <f>VLOOKUP($C1549, 'List of log slots'!$A:$E, 5, FALSE)</f>
        <v>4</v>
      </c>
      <c r="F1549" s="208" t="b">
        <f>VLOOKUP(C1549, 'List of log slots'!$A:$C, 3, FALSE)</f>
        <v>0</v>
      </c>
      <c r="G1549" s="209" t="b">
        <f t="shared" si="1267"/>
        <v>0</v>
      </c>
      <c r="H1549" s="210" t="b">
        <f t="shared" si="7"/>
        <v>1</v>
      </c>
      <c r="I1549" s="213" t="b">
        <f t="shared" si="1264"/>
        <v>1</v>
      </c>
      <c r="J1549" s="208" t="b">
        <f t="shared" si="1268"/>
        <v>0</v>
      </c>
      <c r="K1549" s="214">
        <v>600.0</v>
      </c>
      <c r="L1549" s="212" t="str">
        <f t="shared" si="3"/>
        <v>n/a</v>
      </c>
      <c r="M1549" s="212">
        <f t="shared" si="4"/>
        <v>600</v>
      </c>
      <c r="N1549" s="207" t="str">
        <f t="shared" si="5"/>
        <v>n/a</v>
      </c>
      <c r="O1549" s="207" t="str">
        <f t="shared" si="6"/>
        <v>n/a</v>
      </c>
    </row>
    <row r="1550" ht="15.75" customHeight="1">
      <c r="A1550" s="207">
        <v>79.0</v>
      </c>
      <c r="B1550" s="6" t="str">
        <f>VLOOKUP($A1550, 'Completion rates'!$A:$E, 2, FALSE)</f>
        <v>Getting castle wars tickets</v>
      </c>
      <c r="C1550" s="207">
        <v>4510.0</v>
      </c>
      <c r="D1550" s="6" t="str">
        <f>VLOOKUP($C1550, 'List of log slots'!$A:$E, 2, FALSE)</f>
        <v>Decorative armour</v>
      </c>
      <c r="E1550" s="207">
        <f>VLOOKUP($C1550, 'List of log slots'!$A:$E, 5, FALSE)</f>
        <v>4</v>
      </c>
      <c r="F1550" s="208" t="b">
        <f>VLOOKUP(C1550, 'List of log slots'!$A:$C, 3, FALSE)</f>
        <v>0</v>
      </c>
      <c r="G1550" s="209" t="b">
        <f t="shared" si="1267"/>
        <v>0</v>
      </c>
      <c r="H1550" s="210" t="b">
        <f t="shared" si="7"/>
        <v>1</v>
      </c>
      <c r="I1550" s="213" t="b">
        <f t="shared" si="1264"/>
        <v>1</v>
      </c>
      <c r="J1550" s="208" t="b">
        <f t="shared" si="1268"/>
        <v>0</v>
      </c>
      <c r="K1550" s="214">
        <v>400.0</v>
      </c>
      <c r="L1550" s="212" t="str">
        <f t="shared" si="3"/>
        <v>n/a</v>
      </c>
      <c r="M1550" s="212">
        <f t="shared" si="4"/>
        <v>400</v>
      </c>
      <c r="N1550" s="207" t="str">
        <f t="shared" si="5"/>
        <v>n/a</v>
      </c>
      <c r="O1550" s="207" t="str">
        <f t="shared" si="6"/>
        <v>n/a</v>
      </c>
    </row>
    <row r="1551" ht="15.75" customHeight="1">
      <c r="A1551" s="207">
        <v>79.0</v>
      </c>
      <c r="B1551" s="6" t="str">
        <f>VLOOKUP($A1551, 'Completion rates'!$A:$E, 2, FALSE)</f>
        <v>Getting castle wars tickets</v>
      </c>
      <c r="C1551" s="207">
        <v>11895.0</v>
      </c>
      <c r="D1551" s="6" t="str">
        <f>VLOOKUP($C1551, 'List of log slots'!$A:$E, 2, FALSE)</f>
        <v>Decorative armour</v>
      </c>
      <c r="E1551" s="207">
        <f>VLOOKUP($C1551, 'List of log slots'!$A:$E, 5, FALSE)</f>
        <v>4</v>
      </c>
      <c r="F1551" s="208" t="b">
        <f>VLOOKUP(C1551, 'List of log slots'!$A:$C, 3, FALSE)</f>
        <v>0</v>
      </c>
      <c r="G1551" s="209" t="b">
        <f t="shared" si="1267"/>
        <v>0</v>
      </c>
      <c r="H1551" s="210" t="b">
        <f t="shared" si="7"/>
        <v>1</v>
      </c>
      <c r="I1551" s="213" t="b">
        <f t="shared" si="1264"/>
        <v>1</v>
      </c>
      <c r="J1551" s="208" t="b">
        <f t="shared" si="1268"/>
        <v>0</v>
      </c>
      <c r="K1551" s="214">
        <v>600.0</v>
      </c>
      <c r="L1551" s="212" t="str">
        <f t="shared" si="3"/>
        <v>n/a</v>
      </c>
      <c r="M1551" s="212">
        <f t="shared" si="4"/>
        <v>600</v>
      </c>
      <c r="N1551" s="207" t="str">
        <f t="shared" si="5"/>
        <v>n/a</v>
      </c>
      <c r="O1551" s="207" t="str">
        <f t="shared" si="6"/>
        <v>n/a</v>
      </c>
    </row>
    <row r="1552" ht="15.75" customHeight="1">
      <c r="A1552" s="207">
        <v>79.0</v>
      </c>
      <c r="B1552" s="6" t="str">
        <f>VLOOKUP($A1552, 'Completion rates'!$A:$E, 2, FALSE)</f>
        <v>Getting castle wars tickets</v>
      </c>
      <c r="C1552" s="207">
        <v>25171.0</v>
      </c>
      <c r="D1552" s="6" t="str">
        <f>VLOOKUP($C1552, 'List of log slots'!$A:$E, 2, FALSE)</f>
        <v>Decorative boots</v>
      </c>
      <c r="E1552" s="207">
        <f>VLOOKUP($C1552, 'List of log slots'!$A:$E, 5, FALSE)</f>
        <v>4</v>
      </c>
      <c r="F1552" s="208" t="b">
        <f>VLOOKUP(C1552, 'List of log slots'!$A:$C, 3, FALSE)</f>
        <v>0</v>
      </c>
      <c r="G1552" s="209" t="b">
        <f t="shared" si="1267"/>
        <v>0</v>
      </c>
      <c r="H1552" s="210" t="b">
        <f t="shared" si="7"/>
        <v>1</v>
      </c>
      <c r="I1552" s="213" t="b">
        <f t="shared" si="1264"/>
        <v>1</v>
      </c>
      <c r="J1552" s="208" t="b">
        <f t="shared" si="1268"/>
        <v>0</v>
      </c>
      <c r="K1552" s="214">
        <v>500.0</v>
      </c>
      <c r="L1552" s="212" t="str">
        <f t="shared" si="3"/>
        <v>n/a</v>
      </c>
      <c r="M1552" s="212">
        <f t="shared" si="4"/>
        <v>500</v>
      </c>
      <c r="N1552" s="207" t="str">
        <f t="shared" si="5"/>
        <v>n/a</v>
      </c>
      <c r="O1552" s="207" t="str">
        <f t="shared" si="6"/>
        <v>n/a</v>
      </c>
    </row>
    <row r="1553" ht="15.75" customHeight="1">
      <c r="A1553" s="207">
        <v>79.0</v>
      </c>
      <c r="B1553" s="6" t="str">
        <f>VLOOKUP($A1553, 'Completion rates'!$A:$E, 2, FALSE)</f>
        <v>Getting castle wars tickets</v>
      </c>
      <c r="C1553" s="207">
        <v>4513.0</v>
      </c>
      <c r="D1553" s="6" t="str">
        <f>VLOOKUP($C1553, 'List of log slots'!$A:$E, 2, FALSE)</f>
        <v>Castlewars hood</v>
      </c>
      <c r="E1553" s="207">
        <f>VLOOKUP($C1553, 'List of log slots'!$A:$E, 5, FALSE)</f>
        <v>1</v>
      </c>
      <c r="F1553" s="213" t="b">
        <f>VLOOKUP(C1553, 'List of log slots'!$A:$C, 3, FALSE)</f>
        <v>0</v>
      </c>
      <c r="G1553" s="209" t="b">
        <f t="shared" si="1267"/>
        <v>0</v>
      </c>
      <c r="H1553" s="209" t="b">
        <f t="shared" si="7"/>
        <v>1</v>
      </c>
      <c r="I1553" s="213" t="b">
        <f t="shared" si="1264"/>
        <v>1</v>
      </c>
      <c r="J1553" s="208" t="b">
        <f t="shared" si="1268"/>
        <v>0</v>
      </c>
      <c r="K1553" s="214">
        <v>10.0</v>
      </c>
      <c r="L1553" s="212" t="str">
        <f t="shared" si="3"/>
        <v>n/a</v>
      </c>
      <c r="M1553" s="212">
        <f t="shared" si="4"/>
        <v>10</v>
      </c>
      <c r="N1553" s="207" t="str">
        <f t="shared" si="5"/>
        <v>n/a</v>
      </c>
      <c r="O1553" s="207" t="str">
        <f t="shared" si="6"/>
        <v>n/a</v>
      </c>
    </row>
    <row r="1554" ht="15.75" customHeight="1">
      <c r="A1554" s="207">
        <v>79.0</v>
      </c>
      <c r="B1554" s="6" t="str">
        <f>VLOOKUP($A1554, 'Completion rates'!$A:$E, 2, FALSE)</f>
        <v>Getting castle wars tickets</v>
      </c>
      <c r="C1554" s="207">
        <v>4514.0</v>
      </c>
      <c r="D1554" s="6" t="str">
        <f>VLOOKUP($C1554, 'List of log slots'!$A:$E, 2, FALSE)</f>
        <v>Castlewars cloak</v>
      </c>
      <c r="E1554" s="207">
        <f>VLOOKUP($C1554, 'List of log slots'!$A:$E, 5, FALSE)</f>
        <v>1</v>
      </c>
      <c r="F1554" s="213" t="b">
        <f>VLOOKUP(C1554, 'List of log slots'!$A:$C, 3, FALSE)</f>
        <v>0</v>
      </c>
      <c r="G1554" s="209" t="b">
        <f t="shared" si="1267"/>
        <v>0</v>
      </c>
      <c r="H1554" s="209" t="b">
        <f t="shared" si="7"/>
        <v>1</v>
      </c>
      <c r="I1554" s="213" t="b">
        <f t="shared" si="1264"/>
        <v>1</v>
      </c>
      <c r="J1554" s="208" t="b">
        <f t="shared" si="1268"/>
        <v>0</v>
      </c>
      <c r="K1554" s="214">
        <v>10.0</v>
      </c>
      <c r="L1554" s="212" t="str">
        <f t="shared" si="3"/>
        <v>n/a</v>
      </c>
      <c r="M1554" s="212">
        <f t="shared" si="4"/>
        <v>10</v>
      </c>
      <c r="N1554" s="207" t="str">
        <f t="shared" si="5"/>
        <v>n/a</v>
      </c>
      <c r="O1554" s="207" t="str">
        <f t="shared" si="6"/>
        <v>n/a</v>
      </c>
    </row>
    <row r="1555" ht="15.75" customHeight="1">
      <c r="A1555" s="207">
        <v>79.0</v>
      </c>
      <c r="B1555" s="6" t="str">
        <f>VLOOKUP($A1555, 'Completion rates'!$A:$E, 2, FALSE)</f>
        <v>Getting castle wars tickets</v>
      </c>
      <c r="C1555" s="207">
        <v>4515.0</v>
      </c>
      <c r="D1555" s="6" t="str">
        <f>VLOOKUP($C1555, 'List of log slots'!$A:$E, 2, FALSE)</f>
        <v>Castlewars hood</v>
      </c>
      <c r="E1555" s="207">
        <f>VLOOKUP($C1555, 'List of log slots'!$A:$E, 5, FALSE)</f>
        <v>1</v>
      </c>
      <c r="F1555" s="213" t="b">
        <f>VLOOKUP(C1555, 'List of log slots'!$A:$C, 3, FALSE)</f>
        <v>0</v>
      </c>
      <c r="G1555" s="209" t="b">
        <f t="shared" si="1267"/>
        <v>0</v>
      </c>
      <c r="H1555" s="209" t="b">
        <f t="shared" si="7"/>
        <v>1</v>
      </c>
      <c r="I1555" s="213" t="b">
        <f t="shared" si="1264"/>
        <v>1</v>
      </c>
      <c r="J1555" s="208" t="b">
        <f t="shared" si="1268"/>
        <v>0</v>
      </c>
      <c r="K1555" s="214">
        <v>10.0</v>
      </c>
      <c r="L1555" s="212" t="str">
        <f t="shared" si="3"/>
        <v>n/a</v>
      </c>
      <c r="M1555" s="212">
        <f t="shared" si="4"/>
        <v>10</v>
      </c>
      <c r="N1555" s="207" t="str">
        <f t="shared" si="5"/>
        <v>n/a</v>
      </c>
      <c r="O1555" s="207" t="str">
        <f t="shared" si="6"/>
        <v>n/a</v>
      </c>
    </row>
    <row r="1556" ht="15.75" customHeight="1">
      <c r="A1556" s="207">
        <v>79.0</v>
      </c>
      <c r="B1556" s="6" t="str">
        <f>VLOOKUP($A1556, 'Completion rates'!$A:$E, 2, FALSE)</f>
        <v>Getting castle wars tickets</v>
      </c>
      <c r="C1556" s="207">
        <v>4516.0</v>
      </c>
      <c r="D1556" s="6" t="str">
        <f>VLOOKUP($C1556, 'List of log slots'!$A:$E, 2, FALSE)</f>
        <v>Castlewars cloak</v>
      </c>
      <c r="E1556" s="207">
        <f>VLOOKUP($C1556, 'List of log slots'!$A:$E, 5, FALSE)</f>
        <v>1</v>
      </c>
      <c r="F1556" s="213" t="b">
        <f>VLOOKUP(C1556, 'List of log slots'!$A:$C, 3, FALSE)</f>
        <v>0</v>
      </c>
      <c r="G1556" s="209" t="b">
        <f t="shared" si="1267"/>
        <v>0</v>
      </c>
      <c r="H1556" s="209" t="b">
        <f t="shared" si="7"/>
        <v>1</v>
      </c>
      <c r="I1556" s="213" t="b">
        <f t="shared" si="1264"/>
        <v>1</v>
      </c>
      <c r="J1556" s="208" t="b">
        <f t="shared" si="1268"/>
        <v>0</v>
      </c>
      <c r="K1556" s="214">
        <v>10.0</v>
      </c>
      <c r="L1556" s="212" t="str">
        <f t="shared" si="3"/>
        <v>n/a</v>
      </c>
      <c r="M1556" s="212">
        <f t="shared" si="4"/>
        <v>10</v>
      </c>
      <c r="N1556" s="207" t="str">
        <f t="shared" si="5"/>
        <v>n/a</v>
      </c>
      <c r="O1556" s="207" t="str">
        <f t="shared" si="6"/>
        <v>n/a</v>
      </c>
    </row>
    <row r="1557" ht="15.75" customHeight="1">
      <c r="A1557" s="207">
        <v>79.0</v>
      </c>
      <c r="B1557" s="6" t="str">
        <f>VLOOKUP($A1557, 'Completion rates'!$A:$E, 2, FALSE)</f>
        <v>Getting castle wars tickets</v>
      </c>
      <c r="C1557" s="207">
        <v>11891.0</v>
      </c>
      <c r="D1557" s="6" t="str">
        <f>VLOOKUP($C1557, 'List of log slots'!$A:$E, 2, FALSE)</f>
        <v>Saradomin banner</v>
      </c>
      <c r="E1557" s="207">
        <f>VLOOKUP($C1557, 'List of log slots'!$A:$E, 5, FALSE)</f>
        <v>2</v>
      </c>
      <c r="F1557" s="213" t="b">
        <f>VLOOKUP(C1557, 'List of log slots'!$A:$C, 3, FALSE)</f>
        <v>0</v>
      </c>
      <c r="G1557" s="209" t="b">
        <f t="shared" si="1267"/>
        <v>0</v>
      </c>
      <c r="H1557" s="209" t="b">
        <f t="shared" si="7"/>
        <v>1</v>
      </c>
      <c r="I1557" s="213" t="b">
        <f t="shared" si="1264"/>
        <v>1</v>
      </c>
      <c r="J1557" s="208" t="b">
        <f t="shared" si="1268"/>
        <v>0</v>
      </c>
      <c r="K1557" s="214">
        <v>100.0</v>
      </c>
      <c r="L1557" s="212" t="str">
        <f t="shared" si="3"/>
        <v>n/a</v>
      </c>
      <c r="M1557" s="212">
        <f t="shared" si="4"/>
        <v>100</v>
      </c>
      <c r="N1557" s="207" t="str">
        <f t="shared" si="5"/>
        <v>n/a</v>
      </c>
      <c r="O1557" s="207" t="str">
        <f t="shared" si="6"/>
        <v>n/a</v>
      </c>
    </row>
    <row r="1558" ht="15.75" customHeight="1">
      <c r="A1558" s="207">
        <v>79.0</v>
      </c>
      <c r="B1558" s="6" t="str">
        <f>VLOOKUP($A1558, 'Completion rates'!$A:$E, 2, FALSE)</f>
        <v>Getting castle wars tickets</v>
      </c>
      <c r="C1558" s="207">
        <v>11892.0</v>
      </c>
      <c r="D1558" s="6" t="str">
        <f>VLOOKUP($C1558, 'List of log slots'!$A:$E, 2, FALSE)</f>
        <v>Zamorak banner</v>
      </c>
      <c r="E1558" s="207">
        <f>VLOOKUP($C1558, 'List of log slots'!$A:$E, 5, FALSE)</f>
        <v>2</v>
      </c>
      <c r="F1558" s="213" t="b">
        <f>VLOOKUP(C1558, 'List of log slots'!$A:$C, 3, FALSE)</f>
        <v>0</v>
      </c>
      <c r="G1558" s="209" t="b">
        <f t="shared" si="1267"/>
        <v>0</v>
      </c>
      <c r="H1558" s="209" t="b">
        <f t="shared" si="7"/>
        <v>1</v>
      </c>
      <c r="I1558" s="213" t="b">
        <f t="shared" si="1264"/>
        <v>1</v>
      </c>
      <c r="J1558" s="208" t="b">
        <f t="shared" si="1268"/>
        <v>0</v>
      </c>
      <c r="K1558" s="214">
        <v>100.0</v>
      </c>
      <c r="L1558" s="212" t="str">
        <f t="shared" si="3"/>
        <v>n/a</v>
      </c>
      <c r="M1558" s="212">
        <f t="shared" si="4"/>
        <v>100</v>
      </c>
      <c r="N1558" s="207" t="str">
        <f t="shared" si="5"/>
        <v>n/a</v>
      </c>
      <c r="O1558" s="207" t="str">
        <f t="shared" si="6"/>
        <v>n/a</v>
      </c>
    </row>
    <row r="1559" ht="15.75" customHeight="1">
      <c r="A1559" s="207">
        <v>79.0</v>
      </c>
      <c r="B1559" s="6" t="str">
        <f>VLOOKUP($A1559, 'Completion rates'!$A:$E, 2, FALSE)</f>
        <v>Getting castle wars tickets</v>
      </c>
      <c r="C1559" s="207">
        <v>11898.0</v>
      </c>
      <c r="D1559" s="6" t="str">
        <f>VLOOKUP($C1559, 'List of log slots'!$A:$E, 2, FALSE)</f>
        <v>Decorative armour</v>
      </c>
      <c r="E1559" s="207">
        <f>VLOOKUP($C1559, 'List of log slots'!$A:$E, 5, FALSE)</f>
        <v>2</v>
      </c>
      <c r="F1559" s="213" t="b">
        <f>VLOOKUP(C1559, 'List of log slots'!$A:$C, 3, FALSE)</f>
        <v>0</v>
      </c>
      <c r="G1559" s="209" t="b">
        <f t="shared" si="1267"/>
        <v>0</v>
      </c>
      <c r="H1559" s="209" t="b">
        <f t="shared" si="7"/>
        <v>1</v>
      </c>
      <c r="I1559" s="213" t="b">
        <f t="shared" si="1264"/>
        <v>1</v>
      </c>
      <c r="J1559" s="208" t="b">
        <f t="shared" si="1268"/>
        <v>0</v>
      </c>
      <c r="K1559" s="214">
        <v>20.0</v>
      </c>
      <c r="L1559" s="212" t="str">
        <f t="shared" si="3"/>
        <v>n/a</v>
      </c>
      <c r="M1559" s="212">
        <f t="shared" si="4"/>
        <v>20</v>
      </c>
      <c r="N1559" s="207" t="str">
        <f t="shared" si="5"/>
        <v>n/a</v>
      </c>
      <c r="O1559" s="207" t="str">
        <f t="shared" si="6"/>
        <v>n/a</v>
      </c>
    </row>
    <row r="1560" ht="15.75" customHeight="1">
      <c r="A1560" s="207">
        <v>79.0</v>
      </c>
      <c r="B1560" s="6" t="str">
        <f>VLOOKUP($A1560, 'Completion rates'!$A:$E, 2, FALSE)</f>
        <v>Getting castle wars tickets</v>
      </c>
      <c r="C1560" s="207">
        <v>11896.0</v>
      </c>
      <c r="D1560" s="6" t="str">
        <f>VLOOKUP($C1560, 'List of log slots'!$A:$E, 2, FALSE)</f>
        <v>Decorative armour</v>
      </c>
      <c r="E1560" s="207">
        <f>VLOOKUP($C1560, 'List of log slots'!$A:$E, 5, FALSE)</f>
        <v>2</v>
      </c>
      <c r="F1560" s="213" t="b">
        <f>VLOOKUP(C1560, 'List of log slots'!$A:$C, 3, FALSE)</f>
        <v>0</v>
      </c>
      <c r="G1560" s="209" t="b">
        <f t="shared" si="1267"/>
        <v>0</v>
      </c>
      <c r="H1560" s="209" t="b">
        <f t="shared" si="7"/>
        <v>1</v>
      </c>
      <c r="I1560" s="213" t="b">
        <f t="shared" si="1264"/>
        <v>1</v>
      </c>
      <c r="J1560" s="208" t="b">
        <f t="shared" si="1268"/>
        <v>0</v>
      </c>
      <c r="K1560" s="214">
        <v>40.0</v>
      </c>
      <c r="L1560" s="212" t="str">
        <f t="shared" si="3"/>
        <v>n/a</v>
      </c>
      <c r="M1560" s="212">
        <f t="shared" si="4"/>
        <v>40</v>
      </c>
      <c r="N1560" s="207" t="str">
        <f t="shared" si="5"/>
        <v>n/a</v>
      </c>
      <c r="O1560" s="207" t="str">
        <f t="shared" si="6"/>
        <v>n/a</v>
      </c>
    </row>
    <row r="1561" ht="15.75" customHeight="1">
      <c r="A1561" s="207">
        <v>79.0</v>
      </c>
      <c r="B1561" s="6" t="str">
        <f>VLOOKUP($A1561, 'Completion rates'!$A:$E, 2, FALSE)</f>
        <v>Getting castle wars tickets</v>
      </c>
      <c r="C1561" s="207">
        <v>11897.0</v>
      </c>
      <c r="D1561" s="6" t="str">
        <f>VLOOKUP($C1561, 'List of log slots'!$A:$E, 2, FALSE)</f>
        <v>Decorative armour</v>
      </c>
      <c r="E1561" s="207">
        <f>VLOOKUP($C1561, 'List of log slots'!$A:$E, 5, FALSE)</f>
        <v>2</v>
      </c>
      <c r="F1561" s="213" t="b">
        <f>VLOOKUP(C1561, 'List of log slots'!$A:$C, 3, FALSE)</f>
        <v>0</v>
      </c>
      <c r="G1561" s="209" t="b">
        <f t="shared" si="1267"/>
        <v>0</v>
      </c>
      <c r="H1561" s="209" t="b">
        <f t="shared" si="7"/>
        <v>1</v>
      </c>
      <c r="I1561" s="213" t="b">
        <f t="shared" si="1264"/>
        <v>1</v>
      </c>
      <c r="J1561" s="208" t="b">
        <f t="shared" si="1268"/>
        <v>0</v>
      </c>
      <c r="K1561" s="214">
        <v>30.0</v>
      </c>
      <c r="L1561" s="212" t="str">
        <f t="shared" si="3"/>
        <v>n/a</v>
      </c>
      <c r="M1561" s="212">
        <f t="shared" si="4"/>
        <v>30</v>
      </c>
      <c r="N1561" s="207" t="str">
        <f t="shared" si="5"/>
        <v>n/a</v>
      </c>
      <c r="O1561" s="207" t="str">
        <f t="shared" si="6"/>
        <v>n/a</v>
      </c>
    </row>
    <row r="1562" ht="15.75" customHeight="1">
      <c r="A1562" s="207">
        <v>79.0</v>
      </c>
      <c r="B1562" s="6" t="str">
        <f>VLOOKUP($A1562, 'Completion rates'!$A:$E, 2, FALSE)</f>
        <v>Getting castle wars tickets</v>
      </c>
      <c r="C1562" s="207">
        <v>11899.0</v>
      </c>
      <c r="D1562" s="6" t="str">
        <f>VLOOKUP($C1562, 'List of log slots'!$A:$E, 2, FALSE)</f>
        <v>Decorative armour</v>
      </c>
      <c r="E1562" s="207">
        <f>VLOOKUP($C1562, 'List of log slots'!$A:$E, 5, FALSE)</f>
        <v>2</v>
      </c>
      <c r="F1562" s="213" t="b">
        <f>VLOOKUP(C1562, 'List of log slots'!$A:$C, 3, FALSE)</f>
        <v>0</v>
      </c>
      <c r="G1562" s="209" t="b">
        <f t="shared" si="1267"/>
        <v>0</v>
      </c>
      <c r="H1562" s="209" t="b">
        <f t="shared" si="7"/>
        <v>1</v>
      </c>
      <c r="I1562" s="213" t="b">
        <f t="shared" si="1264"/>
        <v>1</v>
      </c>
      <c r="J1562" s="208" t="b">
        <f t="shared" si="1268"/>
        <v>0</v>
      </c>
      <c r="K1562" s="214">
        <v>40.0</v>
      </c>
      <c r="L1562" s="212" t="str">
        <f t="shared" si="3"/>
        <v>n/a</v>
      </c>
      <c r="M1562" s="212">
        <f t="shared" si="4"/>
        <v>40</v>
      </c>
      <c r="N1562" s="207" t="str">
        <f t="shared" si="5"/>
        <v>n/a</v>
      </c>
      <c r="O1562" s="207" t="str">
        <f t="shared" si="6"/>
        <v>n/a</v>
      </c>
    </row>
    <row r="1563" ht="15.75" customHeight="1">
      <c r="A1563" s="207">
        <v>79.0</v>
      </c>
      <c r="B1563" s="6" t="str">
        <f>VLOOKUP($A1563, 'Completion rates'!$A:$E, 2, FALSE)</f>
        <v>Getting castle wars tickets</v>
      </c>
      <c r="C1563" s="207">
        <v>11900.0</v>
      </c>
      <c r="D1563" s="6" t="str">
        <f>VLOOKUP($C1563, 'List of log slots'!$A:$E, 2, FALSE)</f>
        <v>Decorative armour</v>
      </c>
      <c r="E1563" s="207">
        <f>VLOOKUP($C1563, 'List of log slots'!$A:$E, 5, FALSE)</f>
        <v>2</v>
      </c>
      <c r="F1563" s="213" t="b">
        <f>VLOOKUP(C1563, 'List of log slots'!$A:$C, 3, FALSE)</f>
        <v>0</v>
      </c>
      <c r="G1563" s="209" t="b">
        <f t="shared" si="1267"/>
        <v>0</v>
      </c>
      <c r="H1563" s="209" t="b">
        <f t="shared" si="7"/>
        <v>1</v>
      </c>
      <c r="I1563" s="213" t="b">
        <f t="shared" si="1264"/>
        <v>1</v>
      </c>
      <c r="J1563" s="208" t="b">
        <f t="shared" si="1268"/>
        <v>0</v>
      </c>
      <c r="K1563" s="214">
        <v>30.0</v>
      </c>
      <c r="L1563" s="212" t="str">
        <f t="shared" si="3"/>
        <v>n/a</v>
      </c>
      <c r="M1563" s="212">
        <f t="shared" si="4"/>
        <v>30</v>
      </c>
      <c r="N1563" s="207" t="str">
        <f t="shared" si="5"/>
        <v>n/a</v>
      </c>
      <c r="O1563" s="207" t="str">
        <f t="shared" si="6"/>
        <v>n/a</v>
      </c>
    </row>
    <row r="1564" ht="15.75" customHeight="1">
      <c r="A1564" s="207">
        <v>79.0</v>
      </c>
      <c r="B1564" s="6" t="str">
        <f>VLOOKUP($A1564, 'Completion rates'!$A:$E, 2, FALSE)</f>
        <v>Getting castle wars tickets</v>
      </c>
      <c r="C1564" s="207">
        <v>11901.0</v>
      </c>
      <c r="D1564" s="6" t="str">
        <f>VLOOKUP($C1564, 'List of log slots'!$A:$E, 2, FALSE)</f>
        <v>Decorative armour</v>
      </c>
      <c r="E1564" s="207">
        <f>VLOOKUP($C1564, 'List of log slots'!$A:$E, 5, FALSE)</f>
        <v>2</v>
      </c>
      <c r="F1564" s="213" t="b">
        <f>VLOOKUP(C1564, 'List of log slots'!$A:$C, 3, FALSE)</f>
        <v>0</v>
      </c>
      <c r="G1564" s="209" t="b">
        <f t="shared" si="1267"/>
        <v>0</v>
      </c>
      <c r="H1564" s="209" t="b">
        <f t="shared" si="7"/>
        <v>1</v>
      </c>
      <c r="I1564" s="213" t="b">
        <f t="shared" si="1264"/>
        <v>1</v>
      </c>
      <c r="J1564" s="208" t="b">
        <f t="shared" si="1268"/>
        <v>0</v>
      </c>
      <c r="K1564" s="214">
        <v>40.0</v>
      </c>
      <c r="L1564" s="212" t="str">
        <f t="shared" si="3"/>
        <v>n/a</v>
      </c>
      <c r="M1564" s="212">
        <f t="shared" si="4"/>
        <v>40</v>
      </c>
      <c r="N1564" s="207" t="str">
        <f t="shared" si="5"/>
        <v>n/a</v>
      </c>
      <c r="O1564" s="207" t="str">
        <f t="shared" si="6"/>
        <v>n/a</v>
      </c>
    </row>
    <row r="1565" ht="15.75" customHeight="1">
      <c r="A1565" s="207">
        <v>79.0</v>
      </c>
      <c r="B1565" s="6" t="str">
        <f>VLOOKUP($A1565, 'Completion rates'!$A:$E, 2, FALSE)</f>
        <v>Getting castle wars tickets</v>
      </c>
      <c r="C1565" s="207">
        <v>12637.0</v>
      </c>
      <c r="D1565" s="6" t="str">
        <f>VLOOKUP($C1565, 'List of log slots'!$A:$E, 2, FALSE)</f>
        <v>Saradomin halo</v>
      </c>
      <c r="E1565" s="207">
        <f>VLOOKUP($C1565, 'List of log slots'!$A:$E, 5, FALSE)</f>
        <v>2</v>
      </c>
      <c r="F1565" s="213" t="b">
        <f>VLOOKUP(C1565, 'List of log slots'!$A:$C, 3, FALSE)</f>
        <v>0</v>
      </c>
      <c r="G1565" s="209" t="b">
        <f t="shared" si="1267"/>
        <v>0</v>
      </c>
      <c r="H1565" s="209" t="b">
        <f t="shared" si="7"/>
        <v>1</v>
      </c>
      <c r="I1565" s="213" t="b">
        <f t="shared" si="1264"/>
        <v>1</v>
      </c>
      <c r="J1565" s="208" t="b">
        <f t="shared" si="1268"/>
        <v>0</v>
      </c>
      <c r="K1565" s="214">
        <v>75.0</v>
      </c>
      <c r="L1565" s="212" t="str">
        <f t="shared" si="3"/>
        <v>n/a</v>
      </c>
      <c r="M1565" s="212">
        <f t="shared" si="4"/>
        <v>75</v>
      </c>
      <c r="N1565" s="207" t="str">
        <f t="shared" si="5"/>
        <v>n/a</v>
      </c>
      <c r="O1565" s="207" t="str">
        <f t="shared" si="6"/>
        <v>n/a</v>
      </c>
    </row>
    <row r="1566" ht="15.75" customHeight="1">
      <c r="A1566" s="207">
        <v>79.0</v>
      </c>
      <c r="B1566" s="6" t="str">
        <f>VLOOKUP($A1566, 'Completion rates'!$A:$E, 2, FALSE)</f>
        <v>Getting castle wars tickets</v>
      </c>
      <c r="C1566" s="207">
        <v>12638.0</v>
      </c>
      <c r="D1566" s="6" t="str">
        <f>VLOOKUP($C1566, 'List of log slots'!$A:$E, 2, FALSE)</f>
        <v>Zamorak halo</v>
      </c>
      <c r="E1566" s="207">
        <f>VLOOKUP($C1566, 'List of log slots'!$A:$E, 5, FALSE)</f>
        <v>2</v>
      </c>
      <c r="F1566" s="213" t="b">
        <f>VLOOKUP(C1566, 'List of log slots'!$A:$C, 3, FALSE)</f>
        <v>0</v>
      </c>
      <c r="G1566" s="209" t="b">
        <f t="shared" si="1267"/>
        <v>0</v>
      </c>
      <c r="H1566" s="209" t="b">
        <f t="shared" si="7"/>
        <v>1</v>
      </c>
      <c r="I1566" s="213" t="b">
        <f t="shared" si="1264"/>
        <v>1</v>
      </c>
      <c r="J1566" s="208" t="b">
        <f t="shared" si="1268"/>
        <v>0</v>
      </c>
      <c r="K1566" s="214">
        <v>75.0</v>
      </c>
      <c r="L1566" s="212" t="str">
        <f t="shared" si="3"/>
        <v>n/a</v>
      </c>
      <c r="M1566" s="212">
        <f t="shared" si="4"/>
        <v>75</v>
      </c>
      <c r="N1566" s="207" t="str">
        <f t="shared" si="5"/>
        <v>n/a</v>
      </c>
      <c r="O1566" s="207" t="str">
        <f t="shared" si="6"/>
        <v>n/a</v>
      </c>
    </row>
    <row r="1567" ht="15.75" customHeight="1">
      <c r="A1567" s="207">
        <v>79.0</v>
      </c>
      <c r="B1567" s="6" t="str">
        <f>VLOOKUP($A1567, 'Completion rates'!$A:$E, 2, FALSE)</f>
        <v>Getting castle wars tickets</v>
      </c>
      <c r="C1567" s="207">
        <v>12639.0</v>
      </c>
      <c r="D1567" s="6" t="str">
        <f>VLOOKUP($C1567, 'List of log slots'!$A:$E, 2, FALSE)</f>
        <v>Guthix halo</v>
      </c>
      <c r="E1567" s="207">
        <f>VLOOKUP($C1567, 'List of log slots'!$A:$E, 5, FALSE)</f>
        <v>2</v>
      </c>
      <c r="F1567" s="213" t="b">
        <f>VLOOKUP(C1567, 'List of log slots'!$A:$C, 3, FALSE)</f>
        <v>0</v>
      </c>
      <c r="G1567" s="209" t="b">
        <f t="shared" si="1267"/>
        <v>0</v>
      </c>
      <c r="H1567" s="209" t="b">
        <f t="shared" si="7"/>
        <v>1</v>
      </c>
      <c r="I1567" s="213" t="b">
        <f t="shared" si="1264"/>
        <v>1</v>
      </c>
      <c r="J1567" s="208" t="b">
        <f t="shared" si="1268"/>
        <v>0</v>
      </c>
      <c r="K1567" s="214">
        <v>75.0</v>
      </c>
      <c r="L1567" s="212" t="str">
        <f t="shared" si="3"/>
        <v>n/a</v>
      </c>
      <c r="M1567" s="212">
        <f t="shared" si="4"/>
        <v>75</v>
      </c>
      <c r="N1567" s="207" t="str">
        <f t="shared" si="5"/>
        <v>n/a</v>
      </c>
      <c r="O1567" s="207" t="str">
        <f t="shared" si="6"/>
        <v>n/a</v>
      </c>
    </row>
    <row r="1568" ht="15.75" customHeight="1">
      <c r="A1568" s="207">
        <v>80.0</v>
      </c>
      <c r="B1568" s="6" t="str">
        <f>VLOOKUP($A1568, 'Completion rates'!$A:$E, 2, FALSE)</f>
        <v>Completing rounds of fishing trawler</v>
      </c>
      <c r="C1568" s="207">
        <v>13258.0</v>
      </c>
      <c r="D1568" s="6" t="str">
        <f>VLOOKUP($C1568, 'List of log slots'!$A:$E, 2, FALSE)</f>
        <v>Angler hat</v>
      </c>
      <c r="E1568" s="207">
        <f>VLOOKUP($C1568, 'List of log slots'!$A:$E, 5, FALSE)</f>
        <v>2</v>
      </c>
      <c r="F1568" s="213" t="b">
        <f>VLOOKUP(C1568, 'List of log slots'!$A:$C, 3, FALSE)</f>
        <v>0</v>
      </c>
      <c r="G1568" s="209" t="b">
        <f t="shared" si="1267"/>
        <v>0</v>
      </c>
      <c r="H1568" s="209" t="b">
        <f t="shared" si="7"/>
        <v>1</v>
      </c>
      <c r="I1568" s="208" t="b">
        <f t="shared" ref="I1568:J1568" si="1269">FALSE</f>
        <v>0</v>
      </c>
      <c r="J1568" s="208" t="b">
        <f t="shared" si="1269"/>
        <v>0</v>
      </c>
      <c r="K1568" s="214">
        <v>12.0</v>
      </c>
      <c r="L1568" s="212" t="str">
        <f t="shared" si="3"/>
        <v>n/a</v>
      </c>
      <c r="M1568" s="212" t="str">
        <f t="shared" si="4"/>
        <v>n/a</v>
      </c>
      <c r="N1568" s="207" t="str">
        <f t="shared" si="5"/>
        <v>n/a</v>
      </c>
      <c r="O1568" s="207">
        <f t="shared" si="6"/>
        <v>0.08333333333</v>
      </c>
    </row>
    <row r="1569" ht="15.75" customHeight="1">
      <c r="A1569" s="207">
        <v>80.0</v>
      </c>
      <c r="B1569" s="6" t="str">
        <f>VLOOKUP($A1569, 'Completion rates'!$A:$E, 2, FALSE)</f>
        <v>Completing rounds of fishing trawler</v>
      </c>
      <c r="C1569" s="207">
        <v>13259.0</v>
      </c>
      <c r="D1569" s="6" t="str">
        <f>VLOOKUP($C1569, 'List of log slots'!$A:$E, 2, FALSE)</f>
        <v>Angler top</v>
      </c>
      <c r="E1569" s="207">
        <f>VLOOKUP($C1569, 'List of log slots'!$A:$E, 5, FALSE)</f>
        <v>2</v>
      </c>
      <c r="F1569" s="213" t="b">
        <f>VLOOKUP(C1569, 'List of log slots'!$A:$C, 3, FALSE)</f>
        <v>0</v>
      </c>
      <c r="G1569" s="209" t="b">
        <f t="shared" si="1267"/>
        <v>0</v>
      </c>
      <c r="H1569" s="209" t="b">
        <f t="shared" si="7"/>
        <v>1</v>
      </c>
      <c r="I1569" s="208" t="b">
        <f t="shared" ref="I1569:J1569" si="1270">FALSE</f>
        <v>0</v>
      </c>
      <c r="J1569" s="208" t="b">
        <f t="shared" si="1270"/>
        <v>0</v>
      </c>
      <c r="K1569" s="214">
        <v>12.0</v>
      </c>
      <c r="L1569" s="212" t="str">
        <f t="shared" si="3"/>
        <v>n/a</v>
      </c>
      <c r="M1569" s="212" t="str">
        <f t="shared" si="4"/>
        <v>n/a</v>
      </c>
      <c r="N1569" s="207" t="str">
        <f t="shared" si="5"/>
        <v>n/a</v>
      </c>
      <c r="O1569" s="207">
        <f t="shared" si="6"/>
        <v>0.08333333333</v>
      </c>
    </row>
    <row r="1570" ht="15.75" customHeight="1">
      <c r="A1570" s="207">
        <v>80.0</v>
      </c>
      <c r="B1570" s="6" t="str">
        <f>VLOOKUP($A1570, 'Completion rates'!$A:$E, 2, FALSE)</f>
        <v>Completing rounds of fishing trawler</v>
      </c>
      <c r="C1570" s="207">
        <v>13260.0</v>
      </c>
      <c r="D1570" s="6" t="str">
        <f>VLOOKUP($C1570, 'List of log slots'!$A:$E, 2, FALSE)</f>
        <v>Angler waders</v>
      </c>
      <c r="E1570" s="207">
        <f>VLOOKUP($C1570, 'List of log slots'!$A:$E, 5, FALSE)</f>
        <v>2</v>
      </c>
      <c r="F1570" s="213" t="b">
        <f>VLOOKUP(C1570, 'List of log slots'!$A:$C, 3, FALSE)</f>
        <v>0</v>
      </c>
      <c r="G1570" s="209" t="b">
        <f t="shared" si="1267"/>
        <v>0</v>
      </c>
      <c r="H1570" s="209" t="b">
        <f t="shared" si="7"/>
        <v>1</v>
      </c>
      <c r="I1570" s="208" t="b">
        <f t="shared" ref="I1570:J1570" si="1271">FALSE</f>
        <v>0</v>
      </c>
      <c r="J1570" s="208" t="b">
        <f t="shared" si="1271"/>
        <v>0</v>
      </c>
      <c r="K1570" s="214">
        <v>12.0</v>
      </c>
      <c r="L1570" s="212" t="str">
        <f t="shared" si="3"/>
        <v>n/a</v>
      </c>
      <c r="M1570" s="212" t="str">
        <f t="shared" si="4"/>
        <v>n/a</v>
      </c>
      <c r="N1570" s="207" t="str">
        <f t="shared" si="5"/>
        <v>n/a</v>
      </c>
      <c r="O1570" s="207">
        <f t="shared" si="6"/>
        <v>0.08333333333</v>
      </c>
    </row>
    <row r="1571" ht="15.75" customHeight="1">
      <c r="A1571" s="207">
        <v>80.0</v>
      </c>
      <c r="B1571" s="6" t="str">
        <f>VLOOKUP($A1571, 'Completion rates'!$A:$E, 2, FALSE)</f>
        <v>Completing rounds of fishing trawler</v>
      </c>
      <c r="C1571" s="207">
        <v>13261.0</v>
      </c>
      <c r="D1571" s="6" t="str">
        <f>VLOOKUP($C1571, 'List of log slots'!$A:$E, 2, FALSE)</f>
        <v>Angler boots</v>
      </c>
      <c r="E1571" s="207">
        <f>VLOOKUP($C1571, 'List of log slots'!$A:$E, 5, FALSE)</f>
        <v>2</v>
      </c>
      <c r="F1571" s="213" t="b">
        <f>VLOOKUP(C1571, 'List of log slots'!$A:$C, 3, FALSE)</f>
        <v>0</v>
      </c>
      <c r="G1571" s="209" t="b">
        <f t="shared" si="1267"/>
        <v>0</v>
      </c>
      <c r="H1571" s="209" t="b">
        <f t="shared" si="7"/>
        <v>1</v>
      </c>
      <c r="I1571" s="208" t="b">
        <f t="shared" ref="I1571:J1571" si="1272">FALSE</f>
        <v>0</v>
      </c>
      <c r="J1571" s="208" t="b">
        <f t="shared" si="1272"/>
        <v>0</v>
      </c>
      <c r="K1571" s="214">
        <v>12.0</v>
      </c>
      <c r="L1571" s="212" t="str">
        <f t="shared" si="3"/>
        <v>n/a</v>
      </c>
      <c r="M1571" s="212" t="str">
        <f t="shared" si="4"/>
        <v>n/a</v>
      </c>
      <c r="N1571" s="207" t="str">
        <f t="shared" si="5"/>
        <v>n/a</v>
      </c>
      <c r="O1571" s="207">
        <f t="shared" si="6"/>
        <v>0.08333333333</v>
      </c>
    </row>
    <row r="1572" ht="15.75" customHeight="1">
      <c r="A1572" s="207">
        <v>81.0</v>
      </c>
      <c r="B1572" s="6" t="str">
        <f>VLOOKUP($A1572, 'Completion rates'!$A:$E, 2, FALSE)</f>
        <v>Earning giants' foundry reputation</v>
      </c>
      <c r="C1572" s="207">
        <v>27023.0</v>
      </c>
      <c r="D1572" s="6" t="str">
        <f>VLOOKUP($C1572, 'List of log slots'!$A:$E, 2, FALSE)</f>
        <v>Smiths tunic</v>
      </c>
      <c r="E1572" s="207">
        <f>VLOOKUP($C1572, 'List of log slots'!$A:$E, 5, FALSE)</f>
        <v>2</v>
      </c>
      <c r="F1572" s="213" t="b">
        <f>VLOOKUP(C1572, 'List of log slots'!$A:$C, 3, FALSE)</f>
        <v>0</v>
      </c>
      <c r="G1572" s="209" t="b">
        <f t="shared" si="1267"/>
        <v>0</v>
      </c>
      <c r="H1572" s="209" t="b">
        <f t="shared" si="7"/>
        <v>1</v>
      </c>
      <c r="I1572" s="213" t="b">
        <f t="shared" ref="I1572:J1572" si="1273">TRUE</f>
        <v>1</v>
      </c>
      <c r="J1572" s="213" t="b">
        <f t="shared" si="1273"/>
        <v>1</v>
      </c>
      <c r="K1572" s="214">
        <v>4000.0</v>
      </c>
      <c r="L1572" s="212">
        <f t="shared" si="3"/>
        <v>4000</v>
      </c>
      <c r="M1572" s="212" t="str">
        <f t="shared" si="4"/>
        <v>n/a</v>
      </c>
      <c r="N1572" s="207" t="str">
        <f t="shared" si="5"/>
        <v>n/a</v>
      </c>
      <c r="O1572" s="207" t="str">
        <f t="shared" si="6"/>
        <v>n/a</v>
      </c>
    </row>
    <row r="1573" ht="15.75" customHeight="1">
      <c r="A1573" s="207">
        <v>81.0</v>
      </c>
      <c r="B1573" s="6" t="str">
        <f>VLOOKUP($A1573, 'Completion rates'!$A:$E, 2, FALSE)</f>
        <v>Earning giants' foundry reputation</v>
      </c>
      <c r="C1573" s="207">
        <v>27025.0</v>
      </c>
      <c r="D1573" s="6" t="str">
        <f>VLOOKUP($C1573, 'List of log slots'!$A:$E, 2, FALSE)</f>
        <v>Smiths trousers</v>
      </c>
      <c r="E1573" s="207">
        <f>VLOOKUP($C1573, 'List of log slots'!$A:$E, 5, FALSE)</f>
        <v>2</v>
      </c>
      <c r="F1573" s="213" t="b">
        <f>VLOOKUP(C1573, 'List of log slots'!$A:$C, 3, FALSE)</f>
        <v>0</v>
      </c>
      <c r="G1573" s="209" t="b">
        <f t="shared" si="1267"/>
        <v>0</v>
      </c>
      <c r="H1573" s="209" t="b">
        <f t="shared" si="7"/>
        <v>1</v>
      </c>
      <c r="I1573" s="213" t="b">
        <f t="shared" ref="I1573:J1573" si="1274">TRUE</f>
        <v>1</v>
      </c>
      <c r="J1573" s="213" t="b">
        <f t="shared" si="1274"/>
        <v>1</v>
      </c>
      <c r="K1573" s="214">
        <v>4000.0</v>
      </c>
      <c r="L1573" s="212">
        <f t="shared" si="3"/>
        <v>4000</v>
      </c>
      <c r="M1573" s="212" t="str">
        <f t="shared" si="4"/>
        <v>n/a</v>
      </c>
      <c r="N1573" s="207" t="str">
        <f t="shared" si="5"/>
        <v>n/a</v>
      </c>
      <c r="O1573" s="207" t="str">
        <f t="shared" si="6"/>
        <v>n/a</v>
      </c>
    </row>
    <row r="1574" ht="15.75" customHeight="1">
      <c r="A1574" s="207">
        <v>81.0</v>
      </c>
      <c r="B1574" s="6" t="str">
        <f>VLOOKUP($A1574, 'Completion rates'!$A:$E, 2, FALSE)</f>
        <v>Earning giants' foundry reputation</v>
      </c>
      <c r="C1574" s="207">
        <v>27027.0</v>
      </c>
      <c r="D1574" s="6" t="str">
        <f>VLOOKUP($C1574, 'List of log slots'!$A:$E, 2, FALSE)</f>
        <v>Smiths boots</v>
      </c>
      <c r="E1574" s="207">
        <f>VLOOKUP($C1574, 'List of log slots'!$A:$E, 5, FALSE)</f>
        <v>2</v>
      </c>
      <c r="F1574" s="210" t="b">
        <f>VLOOKUP(C1574, 'List of log slots'!$A:$C, 3, FALSE)</f>
        <v>0</v>
      </c>
      <c r="G1574" s="209" t="b">
        <f t="shared" si="1267"/>
        <v>0</v>
      </c>
      <c r="H1574" s="209" t="b">
        <f t="shared" si="7"/>
        <v>1</v>
      </c>
      <c r="I1574" s="213" t="b">
        <f t="shared" ref="I1574:J1574" si="1275">TRUE</f>
        <v>1</v>
      </c>
      <c r="J1574" s="213" t="b">
        <f t="shared" si="1275"/>
        <v>1</v>
      </c>
      <c r="K1574" s="214">
        <v>3500.0</v>
      </c>
      <c r="L1574" s="212">
        <f t="shared" si="3"/>
        <v>3500</v>
      </c>
      <c r="M1574" s="212" t="str">
        <f t="shared" si="4"/>
        <v>n/a</v>
      </c>
      <c r="N1574" s="207" t="str">
        <f t="shared" si="5"/>
        <v>n/a</v>
      </c>
      <c r="O1574" s="207" t="str">
        <f t="shared" si="6"/>
        <v>n/a</v>
      </c>
    </row>
    <row r="1575" ht="15.75" customHeight="1">
      <c r="A1575" s="207">
        <v>81.0</v>
      </c>
      <c r="B1575" s="6" t="str">
        <f>VLOOKUP($A1575, 'Completion rates'!$A:$E, 2, FALSE)</f>
        <v>Earning giants' foundry reputation</v>
      </c>
      <c r="C1575" s="207">
        <v>27029.0</v>
      </c>
      <c r="D1575" s="6" t="str">
        <f>VLOOKUP($C1575, 'List of log slots'!$A:$E, 2, FALSE)</f>
        <v>Smiths gloves</v>
      </c>
      <c r="E1575" s="207">
        <f>VLOOKUP($C1575, 'List of log slots'!$A:$E, 5, FALSE)</f>
        <v>2</v>
      </c>
      <c r="F1575" s="210" t="b">
        <f>VLOOKUP(C1575, 'List of log slots'!$A:$C, 3, FALSE)</f>
        <v>0</v>
      </c>
      <c r="G1575" s="209" t="b">
        <f t="shared" si="1267"/>
        <v>0</v>
      </c>
      <c r="H1575" s="209" t="b">
        <f t="shared" si="7"/>
        <v>1</v>
      </c>
      <c r="I1575" s="213" t="b">
        <f t="shared" ref="I1575:J1575" si="1276">TRUE</f>
        <v>1</v>
      </c>
      <c r="J1575" s="213" t="b">
        <f t="shared" si="1276"/>
        <v>1</v>
      </c>
      <c r="K1575" s="214">
        <v>3500.0</v>
      </c>
      <c r="L1575" s="212">
        <f t="shared" si="3"/>
        <v>3500</v>
      </c>
      <c r="M1575" s="212" t="str">
        <f t="shared" si="4"/>
        <v>n/a</v>
      </c>
      <c r="N1575" s="207" t="str">
        <f t="shared" si="5"/>
        <v>n/a</v>
      </c>
      <c r="O1575" s="207" t="str">
        <f t="shared" si="6"/>
        <v>n/a</v>
      </c>
    </row>
    <row r="1576" ht="15.75" customHeight="1">
      <c r="A1576" s="207">
        <v>81.0</v>
      </c>
      <c r="B1576" s="6" t="str">
        <f>VLOOKUP($A1576, 'Completion rates'!$A:$E, 2, FALSE)</f>
        <v>Earning giants' foundry reputation</v>
      </c>
      <c r="C1576" s="207">
        <v>27021.0</v>
      </c>
      <c r="D1576" s="6" t="str">
        <f>VLOOKUP($C1576, 'List of log slots'!$A:$E, 2, FALSE)</f>
        <v>Colossal blade</v>
      </c>
      <c r="E1576" s="207">
        <f>VLOOKUP($C1576, 'List of log slots'!$A:$E, 5, FALSE)</f>
        <v>3</v>
      </c>
      <c r="F1576" s="210" t="b">
        <f>VLOOKUP(C1576, 'List of log slots'!$A:$C, 3, FALSE)</f>
        <v>0</v>
      </c>
      <c r="G1576" s="209" t="b">
        <f t="shared" si="1267"/>
        <v>0</v>
      </c>
      <c r="H1576" s="209" t="b">
        <f t="shared" si="7"/>
        <v>1</v>
      </c>
      <c r="I1576" s="213" t="b">
        <f t="shared" ref="I1576:J1576" si="1277">TRUE</f>
        <v>1</v>
      </c>
      <c r="J1576" s="213" t="b">
        <f t="shared" si="1277"/>
        <v>1</v>
      </c>
      <c r="K1576" s="214">
        <v>5000.0</v>
      </c>
      <c r="L1576" s="212">
        <f t="shared" si="3"/>
        <v>5000</v>
      </c>
      <c r="M1576" s="212" t="str">
        <f t="shared" si="4"/>
        <v>n/a</v>
      </c>
      <c r="N1576" s="207" t="str">
        <f t="shared" si="5"/>
        <v>n/a</v>
      </c>
      <c r="O1576" s="207" t="str">
        <f t="shared" si="6"/>
        <v>n/a</v>
      </c>
    </row>
    <row r="1577" ht="15.75" customHeight="1">
      <c r="A1577" s="207">
        <v>81.0</v>
      </c>
      <c r="B1577" s="6" t="str">
        <f>VLOOKUP($A1577, 'Completion rates'!$A:$E, 2, FALSE)</f>
        <v>Earning giants' foundry reputation</v>
      </c>
      <c r="C1577" s="207">
        <v>27012.0</v>
      </c>
      <c r="D1577" s="6" t="str">
        <f>VLOOKUP($C1577, 'List of log slots'!$A:$E, 2, FALSE)</f>
        <v>Double ammo mould</v>
      </c>
      <c r="E1577" s="207">
        <f>VLOOKUP($C1577, 'List of log slots'!$A:$E, 5, FALSE)</f>
        <v>2</v>
      </c>
      <c r="F1577" s="210" t="b">
        <f>VLOOKUP(C1577, 'List of log slots'!$A:$C, 3, FALSE)</f>
        <v>0</v>
      </c>
      <c r="G1577" s="209" t="b">
        <f t="shared" si="1267"/>
        <v>0</v>
      </c>
      <c r="H1577" s="209" t="b">
        <f t="shared" si="7"/>
        <v>1</v>
      </c>
      <c r="I1577" s="213" t="b">
        <f t="shared" ref="I1577:J1577" si="1278">TRUE</f>
        <v>1</v>
      </c>
      <c r="J1577" s="213" t="b">
        <f t="shared" si="1278"/>
        <v>1</v>
      </c>
      <c r="K1577" s="214">
        <v>2000.0</v>
      </c>
      <c r="L1577" s="212">
        <f t="shared" si="3"/>
        <v>2000</v>
      </c>
      <c r="M1577" s="212" t="str">
        <f t="shared" si="4"/>
        <v>n/a</v>
      </c>
      <c r="N1577" s="207" t="str">
        <f t="shared" si="5"/>
        <v>n/a</v>
      </c>
      <c r="O1577" s="207" t="str">
        <f t="shared" si="6"/>
        <v>n/a</v>
      </c>
    </row>
    <row r="1578" ht="15.75" customHeight="1">
      <c r="A1578" s="207">
        <v>81.0</v>
      </c>
      <c r="B1578" s="6" t="str">
        <f>VLOOKUP($A1578, 'Completion rates'!$A:$E, 2, FALSE)</f>
        <v>Earning giants' foundry reputation</v>
      </c>
      <c r="C1578" s="207">
        <v>27014.0</v>
      </c>
      <c r="D1578" s="6" t="str">
        <f>VLOOKUP($C1578, 'List of log slots'!$A:$E, 2, FALSE)</f>
        <v>Kovac's grog</v>
      </c>
      <c r="E1578" s="207">
        <f>VLOOKUP($C1578, 'List of log slots'!$A:$E, 5, FALSE)</f>
        <v>1</v>
      </c>
      <c r="F1578" s="210" t="b">
        <f>VLOOKUP(C1578, 'List of log slots'!$A:$C, 3, FALSE)</f>
        <v>0</v>
      </c>
      <c r="G1578" s="209" t="b">
        <f t="shared" si="1267"/>
        <v>0</v>
      </c>
      <c r="H1578" s="209" t="b">
        <f t="shared" si="7"/>
        <v>1</v>
      </c>
      <c r="I1578" s="213" t="b">
        <f t="shared" ref="I1578:J1578" si="1279">TRUE</f>
        <v>1</v>
      </c>
      <c r="J1578" s="213" t="b">
        <f t="shared" si="1279"/>
        <v>1</v>
      </c>
      <c r="K1578" s="214">
        <v>300.0</v>
      </c>
      <c r="L1578" s="212">
        <f t="shared" si="3"/>
        <v>300</v>
      </c>
      <c r="M1578" s="212" t="str">
        <f t="shared" si="4"/>
        <v>n/a</v>
      </c>
      <c r="N1578" s="207" t="str">
        <f t="shared" si="5"/>
        <v>n/a</v>
      </c>
      <c r="O1578" s="207" t="str">
        <f t="shared" si="6"/>
        <v>n/a</v>
      </c>
    </row>
    <row r="1579" ht="15.75" customHeight="1">
      <c r="A1579" s="207">
        <v>81.0</v>
      </c>
      <c r="B1579" s="6" t="str">
        <f>VLOOKUP($A1579, 'Completion rates'!$A:$E, 2, FALSE)</f>
        <v>Earning giants' foundry reputation</v>
      </c>
      <c r="C1579" s="207">
        <v>27017.0</v>
      </c>
      <c r="D1579" s="6" t="str">
        <f>VLOOKUP($C1579, 'List of log slots'!$A:$E, 2, FALSE)</f>
        <v>Smithing catalyst</v>
      </c>
      <c r="E1579" s="207">
        <f>VLOOKUP($C1579, 'List of log slots'!$A:$E, 5, FALSE)</f>
        <v>1</v>
      </c>
      <c r="F1579" s="210" t="b">
        <f>VLOOKUP(C1579, 'List of log slots'!$A:$C, 3, FALSE)</f>
        <v>0</v>
      </c>
      <c r="G1579" s="209" t="b">
        <f t="shared" si="1267"/>
        <v>0</v>
      </c>
      <c r="H1579" s="209" t="b">
        <f t="shared" si="7"/>
        <v>1</v>
      </c>
      <c r="I1579" s="213" t="b">
        <f t="shared" ref="I1579:J1579" si="1280">TRUE</f>
        <v>1</v>
      </c>
      <c r="J1579" s="213" t="b">
        <f t="shared" si="1280"/>
        <v>1</v>
      </c>
      <c r="K1579" s="214">
        <v>15.0</v>
      </c>
      <c r="L1579" s="212">
        <f t="shared" si="3"/>
        <v>15</v>
      </c>
      <c r="M1579" s="212" t="str">
        <f t="shared" si="4"/>
        <v>n/a</v>
      </c>
      <c r="N1579" s="207" t="str">
        <f t="shared" si="5"/>
        <v>n/a</v>
      </c>
      <c r="O1579" s="207" t="str">
        <f t="shared" si="6"/>
        <v>n/a</v>
      </c>
    </row>
    <row r="1580" ht="15.75" customHeight="1">
      <c r="A1580" s="207">
        <v>81.0</v>
      </c>
      <c r="B1580" s="6" t="str">
        <f>VLOOKUP($A1580, 'Completion rates'!$A:$E, 2, FALSE)</f>
        <v>Earning giants' foundry reputation</v>
      </c>
      <c r="C1580" s="207">
        <v>27019.0</v>
      </c>
      <c r="D1580" s="6" t="str">
        <f>VLOOKUP($C1580, 'List of log slots'!$A:$E, 2, FALSE)</f>
        <v>Ore pack</v>
      </c>
      <c r="E1580" s="207">
        <f>VLOOKUP($C1580, 'List of log slots'!$A:$E, 5, FALSE)</f>
        <v>1</v>
      </c>
      <c r="F1580" s="210" t="b">
        <f>VLOOKUP(C1580, 'List of log slots'!$A:$C, 3, FALSE)</f>
        <v>0</v>
      </c>
      <c r="G1580" s="209" t="b">
        <f t="shared" si="1267"/>
        <v>0</v>
      </c>
      <c r="H1580" s="209" t="b">
        <f t="shared" si="7"/>
        <v>1</v>
      </c>
      <c r="I1580" s="213" t="b">
        <f t="shared" ref="I1580:J1580" si="1281">TRUE</f>
        <v>1</v>
      </c>
      <c r="J1580" s="213" t="b">
        <f t="shared" si="1281"/>
        <v>1</v>
      </c>
      <c r="K1580" s="214">
        <v>200.0</v>
      </c>
      <c r="L1580" s="212">
        <f t="shared" si="3"/>
        <v>200</v>
      </c>
      <c r="M1580" s="212" t="str">
        <f t="shared" si="4"/>
        <v>n/a</v>
      </c>
      <c r="N1580" s="207" t="str">
        <f t="shared" si="5"/>
        <v>n/a</v>
      </c>
      <c r="O1580" s="207" t="str">
        <f t="shared" si="6"/>
        <v>n/a</v>
      </c>
    </row>
    <row r="1581" ht="15.75" customHeight="1">
      <c r="A1581" s="207">
        <v>82.0</v>
      </c>
      <c r="B1581" s="6" t="str">
        <f>VLOOKUP($A1581, 'Completion rates'!$A:$E, 2, FALSE)</f>
        <v>Gnome restaurant deliveries (seed pods)</v>
      </c>
      <c r="C1581" s="207">
        <v>9469.0</v>
      </c>
      <c r="D1581" s="6" t="str">
        <f>VLOOKUP($C1581, 'List of log slots'!$A:$E, 2, FALSE)</f>
        <v>Grand seed pod</v>
      </c>
      <c r="E1581" s="207">
        <f>VLOOKUP($C1581, 'List of log slots'!$A:$E, 5, FALSE)</f>
        <v>2</v>
      </c>
      <c r="F1581" s="213" t="b">
        <f>VLOOKUP(C1581, 'List of log slots'!$A:$C, 3, FALSE)</f>
        <v>0</v>
      </c>
      <c r="G1581" s="209" t="b">
        <f t="shared" si="1267"/>
        <v>0</v>
      </c>
      <c r="H1581" s="209" t="b">
        <f t="shared" si="7"/>
        <v>1</v>
      </c>
      <c r="I1581" s="208" t="b">
        <f t="shared" ref="I1581:J1581" si="1282">FALSE</f>
        <v>0</v>
      </c>
      <c r="J1581" s="208" t="b">
        <f t="shared" si="1282"/>
        <v>0</v>
      </c>
      <c r="K1581" s="214">
        <v>23.0</v>
      </c>
      <c r="L1581" s="212" t="str">
        <f t="shared" si="3"/>
        <v>n/a</v>
      </c>
      <c r="M1581" s="212" t="str">
        <f t="shared" si="4"/>
        <v>n/a</v>
      </c>
      <c r="N1581" s="207" t="str">
        <f t="shared" si="5"/>
        <v>n/a</v>
      </c>
      <c r="O1581" s="207">
        <f t="shared" si="6"/>
        <v>0.04347826087</v>
      </c>
    </row>
    <row r="1582" ht="15.75" customHeight="1">
      <c r="A1582" s="207">
        <v>82.0</v>
      </c>
      <c r="B1582" s="6" t="str">
        <f>VLOOKUP($A1582, 'Completion rates'!$A:$E, 2, FALSE)</f>
        <v>Gnome restaurant deliveries (seed pods)</v>
      </c>
      <c r="C1582" s="207">
        <v>9475.0</v>
      </c>
      <c r="D1582" s="6" t="str">
        <f>VLOOKUP($C1582, 'List of log slots'!$A:$E, 2, FALSE)</f>
        <v>Mint cake</v>
      </c>
      <c r="E1582" s="207">
        <f>VLOOKUP($C1582, 'List of log slots'!$A:$E, 5, FALSE)</f>
        <v>2</v>
      </c>
      <c r="F1582" s="213" t="b">
        <f>VLOOKUP(C1582, 'List of log slots'!$A:$C, 3, FALSE)</f>
        <v>0</v>
      </c>
      <c r="G1582" s="209" t="b">
        <f t="shared" si="1267"/>
        <v>0</v>
      </c>
      <c r="H1582" s="209" t="b">
        <f t="shared" si="7"/>
        <v>1</v>
      </c>
      <c r="I1582" s="208" t="b">
        <f t="shared" ref="I1582:J1582" si="1283">FALSE</f>
        <v>0</v>
      </c>
      <c r="J1582" s="208" t="b">
        <f t="shared" si="1283"/>
        <v>0</v>
      </c>
      <c r="K1582" s="214">
        <v>23.0</v>
      </c>
      <c r="L1582" s="212" t="str">
        <f t="shared" si="3"/>
        <v>n/a</v>
      </c>
      <c r="M1582" s="212" t="str">
        <f t="shared" si="4"/>
        <v>n/a</v>
      </c>
      <c r="N1582" s="207" t="str">
        <f t="shared" si="5"/>
        <v>n/a</v>
      </c>
      <c r="O1582" s="207">
        <f t="shared" si="6"/>
        <v>0.04347826087</v>
      </c>
    </row>
    <row r="1583" ht="15.75" customHeight="1">
      <c r="A1583" s="207">
        <v>83.0</v>
      </c>
      <c r="B1583" s="6" t="str">
        <f>VLOOKUP($A1583, 'Completion rates'!$A:$E, 2, FALSE)</f>
        <v>Gnome restaurant deliveries (scarfs and goggles)</v>
      </c>
      <c r="C1583" s="207">
        <v>9470.0</v>
      </c>
      <c r="D1583" s="6" t="str">
        <f>VLOOKUP($C1583, 'List of log slots'!$A:$E, 2, FALSE)</f>
        <v>Gnome scarf</v>
      </c>
      <c r="E1583" s="207">
        <f>VLOOKUP($C1583, 'List of log slots'!$A:$E, 5, FALSE)</f>
        <v>2</v>
      </c>
      <c r="F1583" s="210" t="b">
        <f>VLOOKUP(C1583, 'List of log slots'!$A:$C, 3, FALSE)</f>
        <v>0</v>
      </c>
      <c r="G1583" s="209" t="b">
        <f t="shared" si="1267"/>
        <v>0</v>
      </c>
      <c r="H1583" s="209" t="b">
        <f t="shared" si="7"/>
        <v>1</v>
      </c>
      <c r="I1583" s="208" t="b">
        <f t="shared" ref="I1583:J1583" si="1284">FALSE</f>
        <v>0</v>
      </c>
      <c r="J1583" s="208" t="b">
        <f t="shared" si="1284"/>
        <v>0</v>
      </c>
      <c r="K1583" s="214">
        <v>17.0</v>
      </c>
      <c r="L1583" s="212" t="str">
        <f t="shared" si="3"/>
        <v>n/a</v>
      </c>
      <c r="M1583" s="212" t="str">
        <f t="shared" si="4"/>
        <v>n/a</v>
      </c>
      <c r="N1583" s="207" t="str">
        <f t="shared" si="5"/>
        <v>n/a</v>
      </c>
      <c r="O1583" s="207">
        <f t="shared" si="6"/>
        <v>0.05882352941</v>
      </c>
    </row>
    <row r="1584" ht="15.75" customHeight="1">
      <c r="A1584" s="207">
        <v>83.0</v>
      </c>
      <c r="B1584" s="6" t="str">
        <f>VLOOKUP($A1584, 'Completion rates'!$A:$E, 2, FALSE)</f>
        <v>Gnome restaurant deliveries (scarfs and goggles)</v>
      </c>
      <c r="C1584" s="207">
        <v>9472.0</v>
      </c>
      <c r="D1584" s="6" t="str">
        <f>VLOOKUP($C1584, 'List of log slots'!$A:$E, 2, FALSE)</f>
        <v>Gnome goggles</v>
      </c>
      <c r="E1584" s="207">
        <f>VLOOKUP($C1584, 'List of log slots'!$A:$E, 5, FALSE)</f>
        <v>2</v>
      </c>
      <c r="F1584" s="213" t="b">
        <f>VLOOKUP(C1584, 'List of log slots'!$A:$C, 3, FALSE)</f>
        <v>0</v>
      </c>
      <c r="G1584" s="209" t="b">
        <f t="shared" si="1267"/>
        <v>0</v>
      </c>
      <c r="H1584" s="209" t="b">
        <f t="shared" si="7"/>
        <v>1</v>
      </c>
      <c r="I1584" s="208" t="b">
        <f t="shared" ref="I1584:J1584" si="1285">FALSE</f>
        <v>0</v>
      </c>
      <c r="J1584" s="208" t="b">
        <f t="shared" si="1285"/>
        <v>0</v>
      </c>
      <c r="K1584" s="214">
        <v>17.0</v>
      </c>
      <c r="L1584" s="212" t="str">
        <f t="shared" si="3"/>
        <v>n/a</v>
      </c>
      <c r="M1584" s="212" t="str">
        <f t="shared" si="4"/>
        <v>n/a</v>
      </c>
      <c r="N1584" s="207" t="str">
        <f t="shared" si="5"/>
        <v>n/a</v>
      </c>
      <c r="O1584" s="207">
        <f t="shared" si="6"/>
        <v>0.05882352941</v>
      </c>
    </row>
    <row r="1585" ht="15.75" customHeight="1">
      <c r="A1585" s="207">
        <v>84.0</v>
      </c>
      <c r="B1585" s="6" t="str">
        <f>VLOOKUP($A1585, 'Completion rates'!$A:$E, 2, FALSE)</f>
        <v>Pulling from the reward guardian (guardians of the rift)</v>
      </c>
      <c r="C1585" s="207">
        <v>26901.0</v>
      </c>
      <c r="D1585" s="6" t="str">
        <f>VLOOKUP($C1585, 'List of log slots'!$A:$E, 2, FALSE)</f>
        <v>Abyssal protector</v>
      </c>
      <c r="E1585" s="207">
        <f>VLOOKUP($C1585, 'List of log slots'!$A:$E, 5, FALSE)</f>
        <v>6</v>
      </c>
      <c r="F1585" s="209" t="b">
        <f>VLOOKUP(C1585, 'List of log slots'!$A:$C, 3, FALSE)</f>
        <v>0</v>
      </c>
      <c r="G1585" s="209" t="b">
        <f t="shared" si="1267"/>
        <v>0</v>
      </c>
      <c r="H1585" s="210" t="b">
        <f t="shared" si="7"/>
        <v>1</v>
      </c>
      <c r="I1585" s="208" t="b">
        <f t="shared" ref="I1585:J1585" si="1286">FALSE</f>
        <v>0</v>
      </c>
      <c r="J1585" s="208" t="b">
        <f t="shared" si="1286"/>
        <v>0</v>
      </c>
      <c r="K1585" s="214">
        <v>4000.0</v>
      </c>
      <c r="L1585" s="212" t="str">
        <f t="shared" si="3"/>
        <v>n/a</v>
      </c>
      <c r="M1585" s="212" t="str">
        <f t="shared" si="4"/>
        <v>n/a</v>
      </c>
      <c r="N1585" s="207" t="str">
        <f t="shared" si="5"/>
        <v>n/a</v>
      </c>
      <c r="O1585" s="207">
        <f t="shared" si="6"/>
        <v>0.00025</v>
      </c>
    </row>
    <row r="1586" ht="15.75" customHeight="1">
      <c r="A1586" s="207">
        <v>84.0</v>
      </c>
      <c r="B1586" s="6" t="str">
        <f>VLOOKUP($A1586, 'Completion rates'!$A:$E, 2, FALSE)</f>
        <v>Pulling from the reward guardian (guardians of the rift)</v>
      </c>
      <c r="C1586" s="207">
        <v>26792.0</v>
      </c>
      <c r="D1586" s="6" t="str">
        <f>VLOOKUP($C1586, 'List of log slots'!$A:$E, 2, FALSE)</f>
        <v>Abyssal pearls</v>
      </c>
      <c r="E1586" s="207">
        <f>VLOOKUP($C1586, 'List of log slots'!$A:$E, 5, FALSE)</f>
        <v>2</v>
      </c>
      <c r="F1586" s="210" t="b">
        <f>VLOOKUP(C1586, 'List of log slots'!$A:$C, 3, FALSE)</f>
        <v>0</v>
      </c>
      <c r="G1586" s="209" t="b">
        <f t="shared" si="1267"/>
        <v>0</v>
      </c>
      <c r="H1586" s="209" t="b">
        <f t="shared" si="7"/>
        <v>1</v>
      </c>
      <c r="I1586" s="208" t="b">
        <f t="shared" ref="I1586:J1586" si="1287">FALSE</f>
        <v>0</v>
      </c>
      <c r="J1586" s="208" t="b">
        <f t="shared" si="1287"/>
        <v>0</v>
      </c>
      <c r="K1586" s="214">
        <v>7.0</v>
      </c>
      <c r="L1586" s="212" t="str">
        <f t="shared" si="3"/>
        <v>n/a</v>
      </c>
      <c r="M1586" s="212" t="str">
        <f t="shared" si="4"/>
        <v>n/a</v>
      </c>
      <c r="N1586" s="207" t="str">
        <f t="shared" si="5"/>
        <v>n/a</v>
      </c>
      <c r="O1586" s="207">
        <f t="shared" si="6"/>
        <v>0.1428571429</v>
      </c>
    </row>
    <row r="1587" ht="15.75" customHeight="1">
      <c r="A1587" s="207">
        <v>84.0</v>
      </c>
      <c r="B1587" s="6" t="str">
        <f>VLOOKUP($A1587, 'Completion rates'!$A:$E, 2, FALSE)</f>
        <v>Pulling from the reward guardian (guardians of the rift)</v>
      </c>
      <c r="C1587" s="207">
        <v>26798.0</v>
      </c>
      <c r="D1587" s="6" t="str">
        <f>VLOOKUP($C1587, 'List of log slots'!$A:$E, 2, FALSE)</f>
        <v>Catalytic talisman</v>
      </c>
      <c r="E1587" s="207">
        <f>VLOOKUP($C1587, 'List of log slots'!$A:$E, 5, FALSE)</f>
        <v>3</v>
      </c>
      <c r="F1587" s="213" t="b">
        <f>VLOOKUP(C1587, 'List of log slots'!$A:$C, 3, FALSE)</f>
        <v>0</v>
      </c>
      <c r="G1587" s="209" t="b">
        <f t="shared" si="1267"/>
        <v>0</v>
      </c>
      <c r="H1587" s="209" t="b">
        <f t="shared" si="7"/>
        <v>1</v>
      </c>
      <c r="I1587" s="208" t="b">
        <f t="shared" ref="I1587:J1587" si="1288">FALSE</f>
        <v>0</v>
      </c>
      <c r="J1587" s="208" t="b">
        <f t="shared" si="1288"/>
        <v>0</v>
      </c>
      <c r="K1587" s="214">
        <v>200.0</v>
      </c>
      <c r="L1587" s="212" t="str">
        <f t="shared" si="3"/>
        <v>n/a</v>
      </c>
      <c r="M1587" s="212" t="str">
        <f t="shared" si="4"/>
        <v>n/a</v>
      </c>
      <c r="N1587" s="207" t="str">
        <f t="shared" si="5"/>
        <v>n/a</v>
      </c>
      <c r="O1587" s="207">
        <f t="shared" si="6"/>
        <v>0.005</v>
      </c>
    </row>
    <row r="1588" ht="15.75" customHeight="1">
      <c r="A1588" s="207">
        <v>84.0</v>
      </c>
      <c r="B1588" s="6" t="str">
        <f>VLOOKUP($A1588, 'Completion rates'!$A:$E, 2, FALSE)</f>
        <v>Pulling from the reward guardian (guardians of the rift)</v>
      </c>
      <c r="C1588" s="207">
        <v>26813.0</v>
      </c>
      <c r="D1588" s="6" t="str">
        <f>VLOOKUP($C1588, 'List of log slots'!$A:$E, 2, FALSE)</f>
        <v>Abyssal needle</v>
      </c>
      <c r="E1588" s="207">
        <f>VLOOKUP($C1588, 'List of log slots'!$A:$E, 5, FALSE)</f>
        <v>3</v>
      </c>
      <c r="F1588" s="213" t="b">
        <f>VLOOKUP(C1588, 'List of log slots'!$A:$C, 3, FALSE)</f>
        <v>0</v>
      </c>
      <c r="G1588" s="209" t="b">
        <f t="shared" si="1267"/>
        <v>0</v>
      </c>
      <c r="H1588" s="209" t="b">
        <f t="shared" si="7"/>
        <v>1</v>
      </c>
      <c r="I1588" s="208" t="b">
        <f t="shared" ref="I1588:J1588" si="1289">FALSE</f>
        <v>0</v>
      </c>
      <c r="J1588" s="208" t="b">
        <f t="shared" si="1289"/>
        <v>0</v>
      </c>
      <c r="K1588" s="214">
        <v>300.0</v>
      </c>
      <c r="L1588" s="212" t="str">
        <f t="shared" si="3"/>
        <v>n/a</v>
      </c>
      <c r="M1588" s="212" t="str">
        <f t="shared" si="4"/>
        <v>n/a</v>
      </c>
      <c r="N1588" s="207" t="str">
        <f t="shared" si="5"/>
        <v>n/a</v>
      </c>
      <c r="O1588" s="207">
        <f t="shared" si="6"/>
        <v>0.003333333333</v>
      </c>
    </row>
    <row r="1589" ht="15.75" customHeight="1">
      <c r="A1589" s="207">
        <v>84.0</v>
      </c>
      <c r="B1589" s="6" t="str">
        <f>VLOOKUP($A1589, 'Completion rates'!$A:$E, 2, FALSE)</f>
        <v>Pulling from the reward guardian (guardians of the rift)</v>
      </c>
      <c r="C1589" s="207">
        <v>26807.0</v>
      </c>
      <c r="D1589" s="6" t="str">
        <f>VLOOKUP($C1589, 'List of log slots'!$A:$E, 2, FALSE)</f>
        <v>Abyssal green dye</v>
      </c>
      <c r="E1589" s="207">
        <f>VLOOKUP($C1589, 'List of log slots'!$A:$E, 5, FALSE)</f>
        <v>5</v>
      </c>
      <c r="F1589" s="213" t="b">
        <f>VLOOKUP(C1589, 'List of log slots'!$A:$C, 3, FALSE)</f>
        <v>0</v>
      </c>
      <c r="G1589" s="209" t="b">
        <f t="shared" si="1267"/>
        <v>0</v>
      </c>
      <c r="H1589" s="209" t="b">
        <f t="shared" si="7"/>
        <v>1</v>
      </c>
      <c r="I1589" s="208" t="b">
        <f t="shared" ref="I1589:J1589" si="1290">FALSE</f>
        <v>0</v>
      </c>
      <c r="J1589" s="208" t="b">
        <f t="shared" si="1290"/>
        <v>0</v>
      </c>
      <c r="K1589" s="214">
        <v>1200.0</v>
      </c>
      <c r="L1589" s="212" t="str">
        <f t="shared" si="3"/>
        <v>n/a</v>
      </c>
      <c r="M1589" s="212" t="str">
        <f t="shared" si="4"/>
        <v>n/a</v>
      </c>
      <c r="N1589" s="207" t="str">
        <f t="shared" si="5"/>
        <v>n/a</v>
      </c>
      <c r="O1589" s="207">
        <f t="shared" si="6"/>
        <v>0.0008333333333</v>
      </c>
    </row>
    <row r="1590" ht="15.75" customHeight="1">
      <c r="A1590" s="207">
        <v>84.0</v>
      </c>
      <c r="B1590" s="6" t="str">
        <f>VLOOKUP($A1590, 'Completion rates'!$A:$E, 2, FALSE)</f>
        <v>Pulling from the reward guardian (guardians of the rift)</v>
      </c>
      <c r="C1590" s="207">
        <v>26809.0</v>
      </c>
      <c r="D1590" s="6" t="str">
        <f>VLOOKUP($C1590, 'List of log slots'!$A:$E, 2, FALSE)</f>
        <v>Abyssal blue dye</v>
      </c>
      <c r="E1590" s="207">
        <f>VLOOKUP($C1590, 'List of log slots'!$A:$E, 5, FALSE)</f>
        <v>5</v>
      </c>
      <c r="F1590" s="213" t="b">
        <f>VLOOKUP(C1590, 'List of log slots'!$A:$C, 3, FALSE)</f>
        <v>0</v>
      </c>
      <c r="G1590" s="209" t="b">
        <f t="shared" si="1267"/>
        <v>0</v>
      </c>
      <c r="H1590" s="209" t="b">
        <f t="shared" si="7"/>
        <v>1</v>
      </c>
      <c r="I1590" s="208" t="b">
        <f t="shared" ref="I1590:J1590" si="1291">FALSE</f>
        <v>0</v>
      </c>
      <c r="J1590" s="208" t="b">
        <f t="shared" si="1291"/>
        <v>0</v>
      </c>
      <c r="K1590" s="214">
        <v>1200.0</v>
      </c>
      <c r="L1590" s="212" t="str">
        <f t="shared" si="3"/>
        <v>n/a</v>
      </c>
      <c r="M1590" s="212" t="str">
        <f t="shared" si="4"/>
        <v>n/a</v>
      </c>
      <c r="N1590" s="207" t="str">
        <f t="shared" si="5"/>
        <v>n/a</v>
      </c>
      <c r="O1590" s="207">
        <f t="shared" si="6"/>
        <v>0.0008333333333</v>
      </c>
    </row>
    <row r="1591" ht="15.75" customHeight="1">
      <c r="A1591" s="207">
        <v>84.0</v>
      </c>
      <c r="B1591" s="6" t="str">
        <f>VLOOKUP($A1591, 'Completion rates'!$A:$E, 2, FALSE)</f>
        <v>Pulling from the reward guardian (guardians of the rift)</v>
      </c>
      <c r="C1591" s="207">
        <v>26811.0</v>
      </c>
      <c r="D1591" s="6" t="str">
        <f>VLOOKUP($C1591, 'List of log slots'!$A:$E, 2, FALSE)</f>
        <v>Abyssal red dye</v>
      </c>
      <c r="E1591" s="207">
        <f>VLOOKUP($C1591, 'List of log slots'!$A:$E, 5, FALSE)</f>
        <v>5</v>
      </c>
      <c r="F1591" s="208" t="b">
        <f>VLOOKUP(C1591, 'List of log slots'!$A:$C, 3, FALSE)</f>
        <v>0</v>
      </c>
      <c r="G1591" s="209" t="b">
        <f t="shared" si="1267"/>
        <v>0</v>
      </c>
      <c r="H1591" s="210" t="b">
        <f t="shared" si="7"/>
        <v>1</v>
      </c>
      <c r="I1591" s="208" t="b">
        <f t="shared" ref="I1591:J1591" si="1292">FALSE</f>
        <v>0</v>
      </c>
      <c r="J1591" s="208" t="b">
        <f t="shared" si="1292"/>
        <v>0</v>
      </c>
      <c r="K1591" s="214">
        <v>1200.0</v>
      </c>
      <c r="L1591" s="212" t="str">
        <f t="shared" si="3"/>
        <v>n/a</v>
      </c>
      <c r="M1591" s="212" t="str">
        <f t="shared" si="4"/>
        <v>n/a</v>
      </c>
      <c r="N1591" s="207" t="str">
        <f t="shared" si="5"/>
        <v>n/a</v>
      </c>
      <c r="O1591" s="207">
        <f t="shared" si="6"/>
        <v>0.0008333333333</v>
      </c>
    </row>
    <row r="1592" ht="15.75" customHeight="1">
      <c r="A1592" s="207">
        <v>84.0</v>
      </c>
      <c r="B1592" s="6" t="str">
        <f>VLOOKUP($A1592, 'Completion rates'!$A:$E, 2, FALSE)</f>
        <v>Pulling from the reward guardian (guardians of the rift)</v>
      </c>
      <c r="C1592" s="207">
        <v>26850.0</v>
      </c>
      <c r="D1592" s="6" t="str">
        <f>VLOOKUP($C1592, 'List of log slots'!$A:$E, 2, FALSE)</f>
        <v>Hat of the eye</v>
      </c>
      <c r="E1592" s="207">
        <f>VLOOKUP($C1592, 'List of log slots'!$A:$E, 5, FALSE)</f>
        <v>3</v>
      </c>
      <c r="F1592" s="213" t="b">
        <f>VLOOKUP(C1592, 'List of log slots'!$A:$C, 3, FALSE)</f>
        <v>0</v>
      </c>
      <c r="G1592" s="209" t="b">
        <f t="shared" si="1267"/>
        <v>0</v>
      </c>
      <c r="H1592" s="209" t="b">
        <f t="shared" si="7"/>
        <v>1</v>
      </c>
      <c r="I1592" s="208" t="b">
        <f t="shared" ref="I1592:I1601" si="1293">FALSE</f>
        <v>0</v>
      </c>
      <c r="J1592" s="213" t="b">
        <f t="shared" ref="J1592:J1596" si="1294">TRUE</f>
        <v>1</v>
      </c>
      <c r="K1592" s="214">
        <v>187.0</v>
      </c>
      <c r="L1592" s="212" t="str">
        <f t="shared" si="3"/>
        <v>n/a</v>
      </c>
      <c r="M1592" s="212" t="str">
        <f t="shared" si="4"/>
        <v>n/a</v>
      </c>
      <c r="N1592" s="207">
        <f t="shared" si="5"/>
        <v>187</v>
      </c>
      <c r="O1592" s="207" t="str">
        <f t="shared" si="6"/>
        <v>n/a</v>
      </c>
    </row>
    <row r="1593" ht="15.75" customHeight="1">
      <c r="A1593" s="207">
        <v>84.0</v>
      </c>
      <c r="B1593" s="6" t="str">
        <f>VLOOKUP($A1593, 'Completion rates'!$A:$E, 2, FALSE)</f>
        <v>Pulling from the reward guardian (guardians of the rift)</v>
      </c>
      <c r="C1593" s="207">
        <v>26852.0</v>
      </c>
      <c r="D1593" s="6" t="str">
        <f>VLOOKUP($C1593, 'List of log slots'!$A:$E, 2, FALSE)</f>
        <v>Robe top of the eye</v>
      </c>
      <c r="E1593" s="207">
        <f>VLOOKUP($C1593, 'List of log slots'!$A:$E, 5, FALSE)</f>
        <v>3</v>
      </c>
      <c r="F1593" s="213" t="b">
        <f>VLOOKUP(C1593, 'List of log slots'!$A:$C, 3, FALSE)</f>
        <v>0</v>
      </c>
      <c r="G1593" s="209" t="b">
        <f t="shared" si="1267"/>
        <v>0</v>
      </c>
      <c r="H1593" s="209" t="b">
        <f t="shared" si="7"/>
        <v>1</v>
      </c>
      <c r="I1593" s="208" t="b">
        <f t="shared" si="1293"/>
        <v>0</v>
      </c>
      <c r="J1593" s="213" t="b">
        <f t="shared" si="1294"/>
        <v>1</v>
      </c>
      <c r="K1593" s="214">
        <v>163.0</v>
      </c>
      <c r="L1593" s="212" t="str">
        <f t="shared" si="3"/>
        <v>n/a</v>
      </c>
      <c r="M1593" s="212" t="str">
        <f t="shared" si="4"/>
        <v>n/a</v>
      </c>
      <c r="N1593" s="207">
        <f t="shared" si="5"/>
        <v>163</v>
      </c>
      <c r="O1593" s="207" t="str">
        <f t="shared" si="6"/>
        <v>n/a</v>
      </c>
    </row>
    <row r="1594" ht="15.75" customHeight="1">
      <c r="A1594" s="207">
        <v>84.0</v>
      </c>
      <c r="B1594" s="6" t="str">
        <f>VLOOKUP($A1594, 'Completion rates'!$A:$E, 2, FALSE)</f>
        <v>Pulling from the reward guardian (guardians of the rift)</v>
      </c>
      <c r="C1594" s="207">
        <v>26854.0</v>
      </c>
      <c r="D1594" s="6" t="str">
        <f>VLOOKUP($C1594, 'List of log slots'!$A:$E, 2, FALSE)</f>
        <v>Robe bottoms of the eye</v>
      </c>
      <c r="E1594" s="207">
        <f>VLOOKUP($C1594, 'List of log slots'!$A:$E, 5, FALSE)</f>
        <v>3</v>
      </c>
      <c r="F1594" s="213" t="b">
        <f>VLOOKUP(C1594, 'List of log slots'!$A:$C, 3, FALSE)</f>
        <v>0</v>
      </c>
      <c r="G1594" s="209" t="b">
        <f t="shared" si="1267"/>
        <v>0</v>
      </c>
      <c r="H1594" s="209" t="b">
        <f t="shared" si="7"/>
        <v>1</v>
      </c>
      <c r="I1594" s="208" t="b">
        <f t="shared" si="1293"/>
        <v>0</v>
      </c>
      <c r="J1594" s="213" t="b">
        <f t="shared" si="1294"/>
        <v>1</v>
      </c>
      <c r="K1594" s="214">
        <v>163.0</v>
      </c>
      <c r="L1594" s="212" t="str">
        <f t="shared" si="3"/>
        <v>n/a</v>
      </c>
      <c r="M1594" s="212" t="str">
        <f t="shared" si="4"/>
        <v>n/a</v>
      </c>
      <c r="N1594" s="207">
        <f t="shared" si="5"/>
        <v>163</v>
      </c>
      <c r="O1594" s="207" t="str">
        <f t="shared" si="6"/>
        <v>n/a</v>
      </c>
    </row>
    <row r="1595" ht="15.75" customHeight="1">
      <c r="A1595" s="207">
        <v>84.0</v>
      </c>
      <c r="B1595" s="6" t="str">
        <f>VLOOKUP($A1595, 'Completion rates'!$A:$E, 2, FALSE)</f>
        <v>Pulling from the reward guardian (guardians of the rift)</v>
      </c>
      <c r="C1595" s="207">
        <v>26856.0</v>
      </c>
      <c r="D1595" s="6" t="str">
        <f>VLOOKUP($C1595, 'List of log slots'!$A:$E, 2, FALSE)</f>
        <v>Boots of the eye</v>
      </c>
      <c r="E1595" s="207">
        <f>VLOOKUP($C1595, 'List of log slots'!$A:$E, 5, FALSE)</f>
        <v>3</v>
      </c>
      <c r="F1595" s="213" t="b">
        <f>VLOOKUP(C1595, 'List of log slots'!$A:$C, 3, FALSE)</f>
        <v>0</v>
      </c>
      <c r="G1595" s="209" t="b">
        <f t="shared" si="1267"/>
        <v>0</v>
      </c>
      <c r="H1595" s="209" t="b">
        <f t="shared" si="7"/>
        <v>1</v>
      </c>
      <c r="I1595" s="208" t="b">
        <f t="shared" si="1293"/>
        <v>0</v>
      </c>
      <c r="J1595" s="213" t="b">
        <f t="shared" si="1294"/>
        <v>1</v>
      </c>
      <c r="K1595" s="214">
        <v>117.0</v>
      </c>
      <c r="L1595" s="212" t="str">
        <f t="shared" si="3"/>
        <v>n/a</v>
      </c>
      <c r="M1595" s="212" t="str">
        <f t="shared" si="4"/>
        <v>n/a</v>
      </c>
      <c r="N1595" s="207">
        <f t="shared" si="5"/>
        <v>117</v>
      </c>
      <c r="O1595" s="207" t="str">
        <f t="shared" si="6"/>
        <v>n/a</v>
      </c>
    </row>
    <row r="1596" ht="15.75" customHeight="1">
      <c r="A1596" s="207">
        <v>84.0</v>
      </c>
      <c r="B1596" s="6" t="str">
        <f>VLOOKUP($A1596, 'Completion rates'!$A:$E, 2, FALSE)</f>
        <v>Pulling from the reward guardian (guardians of the rift)</v>
      </c>
      <c r="C1596" s="207">
        <v>26815.0</v>
      </c>
      <c r="D1596" s="6" t="str">
        <f>VLOOKUP($C1596, 'List of log slots'!$A:$E, 2, FALSE)</f>
        <v>Ring of the elements</v>
      </c>
      <c r="E1596" s="207">
        <f>VLOOKUP($C1596, 'List of log slots'!$A:$E, 5, FALSE)</f>
        <v>3</v>
      </c>
      <c r="F1596" s="208" t="b">
        <f>VLOOKUP(C1596, 'List of log slots'!$A:$C, 3, FALSE)</f>
        <v>0</v>
      </c>
      <c r="G1596" s="209" t="b">
        <f t="shared" si="1267"/>
        <v>0</v>
      </c>
      <c r="H1596" s="210" t="b">
        <f t="shared" si="7"/>
        <v>1</v>
      </c>
      <c r="I1596" s="208" t="b">
        <f t="shared" si="1293"/>
        <v>0</v>
      </c>
      <c r="J1596" s="213" t="b">
        <f t="shared" si="1294"/>
        <v>1</v>
      </c>
      <c r="K1596" s="214">
        <v>187.0</v>
      </c>
      <c r="L1596" s="212" t="str">
        <f t="shared" si="3"/>
        <v>n/a</v>
      </c>
      <c r="M1596" s="212" t="str">
        <f t="shared" si="4"/>
        <v>n/a</v>
      </c>
      <c r="N1596" s="207">
        <f t="shared" si="5"/>
        <v>187</v>
      </c>
      <c r="O1596" s="207" t="str">
        <f t="shared" si="6"/>
        <v>n/a</v>
      </c>
    </row>
    <row r="1597" ht="15.75" customHeight="1">
      <c r="A1597" s="207">
        <v>84.0</v>
      </c>
      <c r="B1597" s="6" t="str">
        <f>VLOOKUP($A1597, 'Completion rates'!$A:$E, 2, FALSE)</f>
        <v>Pulling from the reward guardian (guardians of the rift)</v>
      </c>
      <c r="C1597" s="207">
        <v>26822.0</v>
      </c>
      <c r="D1597" s="6" t="str">
        <f>VLOOKUP($C1597, 'List of log slots'!$A:$E, 2, FALSE)</f>
        <v>Abyssal lantern</v>
      </c>
      <c r="E1597" s="207">
        <f>VLOOKUP($C1597, 'List of log slots'!$A:$E, 5, FALSE)</f>
        <v>3</v>
      </c>
      <c r="F1597" s="213" t="b">
        <f>VLOOKUP(C1597, 'List of log slots'!$A:$C, 3, FALSE)</f>
        <v>0</v>
      </c>
      <c r="G1597" s="209" t="b">
        <f t="shared" si="1267"/>
        <v>0</v>
      </c>
      <c r="H1597" s="209" t="b">
        <f t="shared" si="7"/>
        <v>1</v>
      </c>
      <c r="I1597" s="208" t="b">
        <f t="shared" si="1293"/>
        <v>0</v>
      </c>
      <c r="J1597" s="208" t="b">
        <f>FALSE</f>
        <v>0</v>
      </c>
      <c r="K1597" s="214">
        <v>700.0</v>
      </c>
      <c r="L1597" s="212" t="str">
        <f t="shared" si="3"/>
        <v>n/a</v>
      </c>
      <c r="M1597" s="212" t="str">
        <f t="shared" si="4"/>
        <v>n/a</v>
      </c>
      <c r="N1597" s="207" t="str">
        <f t="shared" si="5"/>
        <v>n/a</v>
      </c>
      <c r="O1597" s="207">
        <f t="shared" si="6"/>
        <v>0.001428571429</v>
      </c>
    </row>
    <row r="1598" ht="15.75" customHeight="1">
      <c r="A1598" s="207">
        <v>84.0</v>
      </c>
      <c r="B1598" s="6" t="str">
        <f>VLOOKUP($A1598, 'Completion rates'!$A:$E, 2, FALSE)</f>
        <v>Pulling from the reward guardian (guardians of the rift)</v>
      </c>
      <c r="C1598" s="207">
        <v>26820.0</v>
      </c>
      <c r="D1598" s="6" t="str">
        <f>VLOOKUP($C1598, 'List of log slots'!$A:$E, 2, FALSE)</f>
        <v>Guardian's eye</v>
      </c>
      <c r="E1598" s="207">
        <f>VLOOKUP($C1598, 'List of log slots'!$A:$E, 5, FALSE)</f>
        <v>5</v>
      </c>
      <c r="F1598" s="208" t="b">
        <f>VLOOKUP(C1598, 'List of log slots'!$A:$C, 3, FALSE)</f>
        <v>0</v>
      </c>
      <c r="G1598" s="209" t="b">
        <f t="shared" si="1267"/>
        <v>0</v>
      </c>
      <c r="H1598" s="210" t="b">
        <f t="shared" si="7"/>
        <v>1</v>
      </c>
      <c r="I1598" s="208" t="b">
        <f t="shared" si="1293"/>
        <v>0</v>
      </c>
      <c r="J1598" s="213" t="b">
        <f>TRUE</f>
        <v>1</v>
      </c>
      <c r="K1598" s="214">
        <v>1400.0</v>
      </c>
      <c r="L1598" s="212" t="str">
        <f t="shared" si="3"/>
        <v>n/a</v>
      </c>
      <c r="M1598" s="212" t="str">
        <f t="shared" si="4"/>
        <v>n/a</v>
      </c>
      <c r="N1598" s="207">
        <f t="shared" si="5"/>
        <v>1400</v>
      </c>
      <c r="O1598" s="207" t="str">
        <f t="shared" si="6"/>
        <v>n/a</v>
      </c>
    </row>
    <row r="1599" ht="15.75" customHeight="1">
      <c r="A1599" s="207">
        <v>84.0</v>
      </c>
      <c r="B1599" s="6" t="str">
        <f>VLOOKUP($A1599, 'Completion rates'!$A:$E, 2, FALSE)</f>
        <v>Pulling from the reward guardian (guardians of the rift)</v>
      </c>
      <c r="C1599" s="207">
        <v>26908.0</v>
      </c>
      <c r="D1599" s="6" t="str">
        <f>VLOOKUP($C1599, 'List of log slots'!$A:$E, 2, FALSE)</f>
        <v>Intricate pouch</v>
      </c>
      <c r="E1599" s="207">
        <f>VLOOKUP($C1599, 'List of log slots'!$A:$E, 5, FALSE)</f>
        <v>3</v>
      </c>
      <c r="F1599" s="213" t="b">
        <f>VLOOKUP(C1599, 'List of log slots'!$A:$C, 3, FALSE)</f>
        <v>0</v>
      </c>
      <c r="G1599" s="209" t="b">
        <f t="shared" si="1267"/>
        <v>0</v>
      </c>
      <c r="H1599" s="209" t="b">
        <f t="shared" si="7"/>
        <v>1</v>
      </c>
      <c r="I1599" s="208" t="b">
        <f t="shared" si="1293"/>
        <v>0</v>
      </c>
      <c r="J1599" s="208" t="b">
        <f t="shared" ref="J1599:J1602" si="1295">FALSE</f>
        <v>0</v>
      </c>
      <c r="K1599" s="214">
        <v>25.0</v>
      </c>
      <c r="L1599" s="212" t="str">
        <f t="shared" si="3"/>
        <v>n/a</v>
      </c>
      <c r="M1599" s="212" t="str">
        <f t="shared" si="4"/>
        <v>n/a</v>
      </c>
      <c r="N1599" s="207" t="str">
        <f t="shared" si="5"/>
        <v>n/a</v>
      </c>
      <c r="O1599" s="207">
        <f t="shared" si="6"/>
        <v>0.04</v>
      </c>
    </row>
    <row r="1600" ht="15.75" customHeight="1">
      <c r="A1600" s="207">
        <v>84.0</v>
      </c>
      <c r="B1600" s="6" t="str">
        <f>VLOOKUP($A1600, 'Completion rates'!$A:$E, 2, FALSE)</f>
        <v>Pulling from the reward guardian (guardians of the rift)</v>
      </c>
      <c r="C1600" s="207">
        <v>26912.0</v>
      </c>
      <c r="D1600" s="6" t="str">
        <f>VLOOKUP($C1600, 'List of log slots'!$A:$E, 2, FALSE)</f>
        <v>Lost bag</v>
      </c>
      <c r="E1600" s="207">
        <f>VLOOKUP($C1600, 'List of log slots'!$A:$E, 5, FALSE)</f>
        <v>5</v>
      </c>
      <c r="F1600" s="213" t="b">
        <f>VLOOKUP(C1600, 'List of log slots'!$A:$C, 3, FALSE)</f>
        <v>0</v>
      </c>
      <c r="G1600" s="209" t="b">
        <f t="shared" si="1267"/>
        <v>0</v>
      </c>
      <c r="H1600" s="209" t="b">
        <f t="shared" si="7"/>
        <v>1</v>
      </c>
      <c r="I1600" s="208" t="b">
        <f t="shared" si="1293"/>
        <v>0</v>
      </c>
      <c r="J1600" s="208" t="b">
        <f t="shared" si="1295"/>
        <v>0</v>
      </c>
      <c r="K1600" s="214">
        <v>1500.0</v>
      </c>
      <c r="L1600" s="212" t="str">
        <f t="shared" si="3"/>
        <v>n/a</v>
      </c>
      <c r="M1600" s="212" t="str">
        <f t="shared" si="4"/>
        <v>n/a</v>
      </c>
      <c r="N1600" s="207" t="str">
        <f t="shared" si="5"/>
        <v>n/a</v>
      </c>
      <c r="O1600" s="207">
        <f t="shared" si="6"/>
        <v>0.0006666666667</v>
      </c>
    </row>
    <row r="1601" ht="15.75" customHeight="1">
      <c r="A1601" s="207">
        <v>84.0</v>
      </c>
      <c r="B1601" s="6" t="str">
        <f>VLOOKUP($A1601, 'Completion rates'!$A:$E, 2, FALSE)</f>
        <v>Pulling from the reward guardian (guardians of the rift)</v>
      </c>
      <c r="C1601" s="207">
        <v>26910.0</v>
      </c>
      <c r="D1601" s="6" t="str">
        <f>VLOOKUP($C1601, 'List of log slots'!$A:$E, 2, FALSE)</f>
        <v>Tarnished locket</v>
      </c>
      <c r="E1601" s="207">
        <f>VLOOKUP($C1601, 'List of log slots'!$A:$E, 5, FALSE)</f>
        <v>5</v>
      </c>
      <c r="F1601" s="213" t="b">
        <f>VLOOKUP(C1601, 'List of log slots'!$A:$C, 3, FALSE)</f>
        <v>0</v>
      </c>
      <c r="G1601" s="209" t="b">
        <f t="shared" si="1267"/>
        <v>0</v>
      </c>
      <c r="H1601" s="209" t="b">
        <f t="shared" si="7"/>
        <v>1</v>
      </c>
      <c r="I1601" s="208" t="b">
        <f t="shared" si="1293"/>
        <v>0</v>
      </c>
      <c r="J1601" s="208" t="b">
        <f t="shared" si="1295"/>
        <v>0</v>
      </c>
      <c r="K1601" s="214">
        <v>1000.0</v>
      </c>
      <c r="L1601" s="212" t="str">
        <f t="shared" si="3"/>
        <v>n/a</v>
      </c>
      <c r="M1601" s="212" t="str">
        <f t="shared" si="4"/>
        <v>n/a</v>
      </c>
      <c r="N1601" s="207" t="str">
        <f t="shared" si="5"/>
        <v>n/a</v>
      </c>
      <c r="O1601" s="207">
        <f t="shared" si="6"/>
        <v>0.001</v>
      </c>
    </row>
    <row r="1602" ht="15.75" customHeight="1">
      <c r="A1602" s="207">
        <v>85.0</v>
      </c>
      <c r="B1602" s="6" t="str">
        <f>VLOOKUP($A1602, 'Completion rates'!$A:$E, 2, FALSE)</f>
        <v>Looting hallowed marks (hallowed sepulchre)</v>
      </c>
      <c r="C1602" s="207">
        <v>24711.0</v>
      </c>
      <c r="D1602" s="6" t="str">
        <f>VLOOKUP($C1602, 'List of log slots'!$A:$E, 2, FALSE)</f>
        <v>Hallowed mark</v>
      </c>
      <c r="E1602" s="207">
        <f>VLOOKUP($C1602, 'List of log slots'!$A:$E, 5, FALSE)</f>
        <v>4</v>
      </c>
      <c r="F1602" s="210" t="b">
        <f>VLOOKUP(C1602, 'List of log slots'!$A:$C, 3, FALSE)</f>
        <v>0</v>
      </c>
      <c r="G1602" s="209" t="b">
        <f t="shared" si="1267"/>
        <v>0</v>
      </c>
      <c r="H1602" s="209" t="b">
        <f t="shared" si="7"/>
        <v>1</v>
      </c>
      <c r="I1602" s="213" t="b">
        <f>TRUE</f>
        <v>1</v>
      </c>
      <c r="J1602" s="208" t="b">
        <f t="shared" si="1295"/>
        <v>0</v>
      </c>
      <c r="K1602" s="214">
        <v>1.0</v>
      </c>
      <c r="L1602" s="212" t="str">
        <f t="shared" si="3"/>
        <v>n/a</v>
      </c>
      <c r="M1602" s="212">
        <f t="shared" si="4"/>
        <v>1</v>
      </c>
      <c r="N1602" s="207" t="str">
        <f t="shared" si="5"/>
        <v>n/a</v>
      </c>
      <c r="O1602" s="207" t="str">
        <f t="shared" si="6"/>
        <v>n/a</v>
      </c>
    </row>
    <row r="1603" ht="15.75" customHeight="1">
      <c r="A1603" s="207">
        <v>85.0</v>
      </c>
      <c r="B1603" s="6" t="str">
        <f>VLOOKUP($A1603, 'Completion rates'!$A:$E, 2, FALSE)</f>
        <v>Looting hallowed marks (hallowed sepulchre)</v>
      </c>
      <c r="C1603" s="207">
        <v>24719.0</v>
      </c>
      <c r="D1603" s="6" t="str">
        <f>VLOOKUP($C1603, 'List of log slots'!$A:$E, 2, FALSE)</f>
        <v>Hallowed token</v>
      </c>
      <c r="E1603" s="207">
        <f>VLOOKUP($C1603, 'List of log slots'!$A:$E, 5, FALSE)</f>
        <v>4</v>
      </c>
      <c r="F1603" s="210" t="b">
        <f>VLOOKUP(C1603, 'List of log slots'!$A:$C, 3, FALSE)</f>
        <v>0</v>
      </c>
      <c r="G1603" s="209" t="b">
        <f t="shared" si="1267"/>
        <v>0</v>
      </c>
      <c r="H1603" s="209" t="b">
        <f t="shared" si="7"/>
        <v>1</v>
      </c>
      <c r="I1603" s="208" t="b">
        <f t="shared" ref="I1603:I1643" si="1296">FALSE</f>
        <v>0</v>
      </c>
      <c r="J1603" s="213" t="b">
        <f t="shared" ref="J1603:J1610" si="1297">TRUE</f>
        <v>1</v>
      </c>
      <c r="K1603" s="214">
        <v>10.0</v>
      </c>
      <c r="L1603" s="212" t="str">
        <f t="shared" si="3"/>
        <v>n/a</v>
      </c>
      <c r="M1603" s="212" t="str">
        <f t="shared" si="4"/>
        <v>n/a</v>
      </c>
      <c r="N1603" s="207">
        <f t="shared" si="5"/>
        <v>10</v>
      </c>
      <c r="O1603" s="207" t="str">
        <f t="shared" si="6"/>
        <v>n/a</v>
      </c>
    </row>
    <row r="1604" ht="15.75" customHeight="1">
      <c r="A1604" s="207">
        <v>85.0</v>
      </c>
      <c r="B1604" s="6" t="str">
        <f>VLOOKUP($A1604, 'Completion rates'!$A:$E, 2, FALSE)</f>
        <v>Looting hallowed marks (hallowed sepulchre)</v>
      </c>
      <c r="C1604" s="207">
        <v>24721.0</v>
      </c>
      <c r="D1604" s="6" t="str">
        <f>VLOOKUP($C1604, 'List of log slots'!$A:$E, 2, FALSE)</f>
        <v>Hallowed grapple</v>
      </c>
      <c r="E1604" s="207">
        <f>VLOOKUP($C1604, 'List of log slots'!$A:$E, 5, FALSE)</f>
        <v>4</v>
      </c>
      <c r="F1604" s="209" t="b">
        <f>VLOOKUP(C1604, 'List of log slots'!$A:$C, 3, FALSE)</f>
        <v>0</v>
      </c>
      <c r="G1604" s="209" t="b">
        <f t="shared" si="1267"/>
        <v>0</v>
      </c>
      <c r="H1604" s="210" t="b">
        <f t="shared" si="7"/>
        <v>1</v>
      </c>
      <c r="I1604" s="208" t="b">
        <f t="shared" si="1296"/>
        <v>0</v>
      </c>
      <c r="J1604" s="213" t="b">
        <f t="shared" si="1297"/>
        <v>1</v>
      </c>
      <c r="K1604" s="214">
        <v>100.0</v>
      </c>
      <c r="L1604" s="212" t="str">
        <f t="shared" si="3"/>
        <v>n/a</v>
      </c>
      <c r="M1604" s="212" t="str">
        <f t="shared" si="4"/>
        <v>n/a</v>
      </c>
      <c r="N1604" s="207">
        <f t="shared" si="5"/>
        <v>100</v>
      </c>
      <c r="O1604" s="207" t="str">
        <f t="shared" si="6"/>
        <v>n/a</v>
      </c>
    </row>
    <row r="1605" ht="15.75" customHeight="1">
      <c r="A1605" s="207">
        <v>85.0</v>
      </c>
      <c r="B1605" s="6" t="str">
        <f>VLOOKUP($A1605, 'Completion rates'!$A:$E, 2, FALSE)</f>
        <v>Looting hallowed marks (hallowed sepulchre)</v>
      </c>
      <c r="C1605" s="207">
        <v>24723.0</v>
      </c>
      <c r="D1605" s="6" t="str">
        <f>VLOOKUP($C1605, 'List of log slots'!$A:$E, 2, FALSE)</f>
        <v>Hallowed focus</v>
      </c>
      <c r="E1605" s="207">
        <f>VLOOKUP($C1605, 'List of log slots'!$A:$E, 5, FALSE)</f>
        <v>4</v>
      </c>
      <c r="F1605" s="209" t="b">
        <f>VLOOKUP(C1605, 'List of log slots'!$A:$C, 3, FALSE)</f>
        <v>0</v>
      </c>
      <c r="G1605" s="209" t="b">
        <f t="shared" si="1267"/>
        <v>0</v>
      </c>
      <c r="H1605" s="210" t="b">
        <f t="shared" si="7"/>
        <v>1</v>
      </c>
      <c r="I1605" s="208" t="b">
        <f t="shared" si="1296"/>
        <v>0</v>
      </c>
      <c r="J1605" s="213" t="b">
        <f t="shared" si="1297"/>
        <v>1</v>
      </c>
      <c r="K1605" s="214">
        <v>100.0</v>
      </c>
      <c r="L1605" s="212" t="str">
        <f t="shared" si="3"/>
        <v>n/a</v>
      </c>
      <c r="M1605" s="212" t="str">
        <f t="shared" si="4"/>
        <v>n/a</v>
      </c>
      <c r="N1605" s="207">
        <f t="shared" si="5"/>
        <v>100</v>
      </c>
      <c r="O1605" s="207" t="str">
        <f t="shared" si="6"/>
        <v>n/a</v>
      </c>
    </row>
    <row r="1606" ht="15.75" customHeight="1">
      <c r="A1606" s="207">
        <v>85.0</v>
      </c>
      <c r="B1606" s="6" t="str">
        <f>VLOOKUP($A1606, 'Completion rates'!$A:$E, 2, FALSE)</f>
        <v>Looting hallowed marks (hallowed sepulchre)</v>
      </c>
      <c r="C1606" s="207">
        <v>24725.0</v>
      </c>
      <c r="D1606" s="6" t="str">
        <f>VLOOKUP($C1606, 'List of log slots'!$A:$E, 2, FALSE)</f>
        <v>Hallowed symbol</v>
      </c>
      <c r="E1606" s="207">
        <f>VLOOKUP($C1606, 'List of log slots'!$A:$E, 5, FALSE)</f>
        <v>4</v>
      </c>
      <c r="F1606" s="209" t="b">
        <f>VLOOKUP(C1606, 'List of log slots'!$A:$C, 3, FALSE)</f>
        <v>0</v>
      </c>
      <c r="G1606" s="209" t="b">
        <f t="shared" si="1267"/>
        <v>0</v>
      </c>
      <c r="H1606" s="210" t="b">
        <f t="shared" si="7"/>
        <v>1</v>
      </c>
      <c r="I1606" s="208" t="b">
        <f t="shared" si="1296"/>
        <v>0</v>
      </c>
      <c r="J1606" s="213" t="b">
        <f t="shared" si="1297"/>
        <v>1</v>
      </c>
      <c r="K1606" s="214">
        <v>100.0</v>
      </c>
      <c r="L1606" s="212" t="str">
        <f t="shared" si="3"/>
        <v>n/a</v>
      </c>
      <c r="M1606" s="212" t="str">
        <f t="shared" si="4"/>
        <v>n/a</v>
      </c>
      <c r="N1606" s="207">
        <f t="shared" si="5"/>
        <v>100</v>
      </c>
      <c r="O1606" s="207" t="str">
        <f t="shared" si="6"/>
        <v>n/a</v>
      </c>
    </row>
    <row r="1607" ht="15.75" customHeight="1">
      <c r="A1607" s="207">
        <v>85.0</v>
      </c>
      <c r="B1607" s="6" t="str">
        <f>VLOOKUP($A1607, 'Completion rates'!$A:$E, 2, FALSE)</f>
        <v>Looting hallowed marks (hallowed sepulchre)</v>
      </c>
      <c r="C1607" s="207">
        <v>24727.0</v>
      </c>
      <c r="D1607" s="6" t="str">
        <f>VLOOKUP($C1607, 'List of log slots'!$A:$E, 2, FALSE)</f>
        <v>Hallowed hammer</v>
      </c>
      <c r="E1607" s="207">
        <f>VLOOKUP($C1607, 'List of log slots'!$A:$E, 5, FALSE)</f>
        <v>4</v>
      </c>
      <c r="F1607" s="209" t="b">
        <f>VLOOKUP(C1607, 'List of log slots'!$A:$C, 3, FALSE)</f>
        <v>0</v>
      </c>
      <c r="G1607" s="209" t="b">
        <f t="shared" si="1267"/>
        <v>0</v>
      </c>
      <c r="H1607" s="210" t="b">
        <f t="shared" si="7"/>
        <v>1</v>
      </c>
      <c r="I1607" s="208" t="b">
        <f t="shared" si="1296"/>
        <v>0</v>
      </c>
      <c r="J1607" s="213" t="b">
        <f t="shared" si="1297"/>
        <v>1</v>
      </c>
      <c r="K1607" s="214">
        <v>100.0</v>
      </c>
      <c r="L1607" s="212" t="str">
        <f t="shared" si="3"/>
        <v>n/a</v>
      </c>
      <c r="M1607" s="212" t="str">
        <f t="shared" si="4"/>
        <v>n/a</v>
      </c>
      <c r="N1607" s="207">
        <f t="shared" si="5"/>
        <v>100</v>
      </c>
      <c r="O1607" s="207" t="str">
        <f t="shared" si="6"/>
        <v>n/a</v>
      </c>
    </row>
    <row r="1608" ht="15.75" customHeight="1">
      <c r="A1608" s="207">
        <v>85.0</v>
      </c>
      <c r="B1608" s="6" t="str">
        <f>VLOOKUP($A1608, 'Completion rates'!$A:$E, 2, FALSE)</f>
        <v>Looting hallowed marks (hallowed sepulchre)</v>
      </c>
      <c r="C1608" s="207">
        <v>24731.0</v>
      </c>
      <c r="D1608" s="6" t="str">
        <f>VLOOKUP($C1608, 'List of log slots'!$A:$E, 2, FALSE)</f>
        <v>Hallowed ring</v>
      </c>
      <c r="E1608" s="207">
        <f>VLOOKUP($C1608, 'List of log slots'!$A:$E, 5, FALSE)</f>
        <v>4</v>
      </c>
      <c r="F1608" s="209" t="b">
        <f>VLOOKUP(C1608, 'List of log slots'!$A:$C, 3, FALSE)</f>
        <v>0</v>
      </c>
      <c r="G1608" s="209" t="b">
        <f t="shared" si="1267"/>
        <v>0</v>
      </c>
      <c r="H1608" s="210" t="b">
        <f t="shared" si="7"/>
        <v>1</v>
      </c>
      <c r="I1608" s="208" t="b">
        <f t="shared" si="1296"/>
        <v>0</v>
      </c>
      <c r="J1608" s="213" t="b">
        <f t="shared" si="1297"/>
        <v>1</v>
      </c>
      <c r="K1608" s="214">
        <v>250.0</v>
      </c>
      <c r="L1608" s="212" t="str">
        <f t="shared" si="3"/>
        <v>n/a</v>
      </c>
      <c r="M1608" s="212" t="str">
        <f t="shared" si="4"/>
        <v>n/a</v>
      </c>
      <c r="N1608" s="207">
        <f t="shared" si="5"/>
        <v>250</v>
      </c>
      <c r="O1608" s="207" t="str">
        <f t="shared" si="6"/>
        <v>n/a</v>
      </c>
    </row>
    <row r="1609" ht="15.75" customHeight="1">
      <c r="A1609" s="207">
        <v>85.0</v>
      </c>
      <c r="B1609" s="6" t="str">
        <f>VLOOKUP($A1609, 'Completion rates'!$A:$E, 2, FALSE)</f>
        <v>Looting hallowed marks (hallowed sepulchre)</v>
      </c>
      <c r="C1609" s="207">
        <v>24729.0</v>
      </c>
      <c r="D1609" s="6" t="str">
        <f>VLOOKUP($C1609, 'List of log slots'!$A:$E, 2, FALSE)</f>
        <v>Dark dye</v>
      </c>
      <c r="E1609" s="207">
        <f>VLOOKUP($C1609, 'List of log slots'!$A:$E, 5, FALSE)</f>
        <v>4</v>
      </c>
      <c r="F1609" s="209" t="b">
        <f>VLOOKUP(C1609, 'List of log slots'!$A:$C, 3, FALSE)</f>
        <v>0</v>
      </c>
      <c r="G1609" s="209" t="b">
        <f t="shared" si="1267"/>
        <v>0</v>
      </c>
      <c r="H1609" s="210" t="b">
        <f t="shared" si="7"/>
        <v>1</v>
      </c>
      <c r="I1609" s="208" t="b">
        <f t="shared" si="1296"/>
        <v>0</v>
      </c>
      <c r="J1609" s="213" t="b">
        <f t="shared" si="1297"/>
        <v>1</v>
      </c>
      <c r="K1609" s="214">
        <v>300.0</v>
      </c>
      <c r="L1609" s="212" t="str">
        <f t="shared" si="3"/>
        <v>n/a</v>
      </c>
      <c r="M1609" s="212" t="str">
        <f t="shared" si="4"/>
        <v>n/a</v>
      </c>
      <c r="N1609" s="207">
        <f t="shared" si="5"/>
        <v>300</v>
      </c>
      <c r="O1609" s="207" t="str">
        <f t="shared" si="6"/>
        <v>n/a</v>
      </c>
    </row>
    <row r="1610" ht="15.75" customHeight="1">
      <c r="A1610" s="207">
        <v>85.0</v>
      </c>
      <c r="B1610" s="6" t="str">
        <f>VLOOKUP($A1610, 'Completion rates'!$A:$E, 2, FALSE)</f>
        <v>Looting hallowed marks (hallowed sepulchre)</v>
      </c>
      <c r="C1610" s="207">
        <v>24733.0</v>
      </c>
      <c r="D1610" s="6" t="str">
        <f>VLOOKUP($C1610, 'List of log slots'!$A:$E, 2, FALSE)</f>
        <v>Dark acorn</v>
      </c>
      <c r="E1610" s="207">
        <f>VLOOKUP($C1610, 'List of log slots'!$A:$E, 5, FALSE)</f>
        <v>6</v>
      </c>
      <c r="F1610" s="209" t="b">
        <f>VLOOKUP(C1610, 'List of log slots'!$A:$C, 3, FALSE)</f>
        <v>0</v>
      </c>
      <c r="G1610" s="209" t="b">
        <f t="shared" si="1267"/>
        <v>0</v>
      </c>
      <c r="H1610" s="210" t="b">
        <f t="shared" si="7"/>
        <v>1</v>
      </c>
      <c r="I1610" s="208" t="b">
        <f t="shared" si="1296"/>
        <v>0</v>
      </c>
      <c r="J1610" s="213" t="b">
        <f t="shared" si="1297"/>
        <v>1</v>
      </c>
      <c r="K1610" s="214">
        <v>3000.0</v>
      </c>
      <c r="L1610" s="212" t="str">
        <f t="shared" si="3"/>
        <v>n/a</v>
      </c>
      <c r="M1610" s="212" t="str">
        <f t="shared" si="4"/>
        <v>n/a</v>
      </c>
      <c r="N1610" s="207">
        <f t="shared" si="5"/>
        <v>3000</v>
      </c>
      <c r="O1610" s="207" t="str">
        <f t="shared" si="6"/>
        <v>n/a</v>
      </c>
    </row>
    <row r="1611" ht="15.75" customHeight="1">
      <c r="A1611" s="207">
        <v>85.0</v>
      </c>
      <c r="B1611" s="6" t="str">
        <f>VLOOKUP($A1611, 'Completion rates'!$A:$E, 2, FALSE)</f>
        <v>Looting hallowed marks (hallowed sepulchre)</v>
      </c>
      <c r="C1611" s="207">
        <v>24740.0</v>
      </c>
      <c r="D1611" s="6" t="str">
        <f>VLOOKUP($C1611, 'List of log slots'!$A:$E, 2, FALSE)</f>
        <v>Strange old lockpick (full)</v>
      </c>
      <c r="E1611" s="207">
        <f>VLOOKUP($C1611, 'List of log slots'!$A:$E, 5, FALSE)</f>
        <v>4</v>
      </c>
      <c r="F1611" s="210" t="b">
        <f>VLOOKUP(C1611, 'List of log slots'!$A:$C, 3, FALSE)</f>
        <v>0</v>
      </c>
      <c r="G1611" s="209" t="b">
        <f t="shared" si="1267"/>
        <v>0</v>
      </c>
      <c r="H1611" s="209" t="b">
        <f t="shared" si="7"/>
        <v>1</v>
      </c>
      <c r="I1611" s="208" t="b">
        <f t="shared" si="1296"/>
        <v>0</v>
      </c>
      <c r="J1611" s="208" t="b">
        <f t="shared" ref="J1611:J1617" si="1298">FALSE</f>
        <v>0</v>
      </c>
      <c r="K1611" s="214">
        <v>266.0</v>
      </c>
      <c r="L1611" s="212" t="str">
        <f t="shared" si="3"/>
        <v>n/a</v>
      </c>
      <c r="M1611" s="212" t="str">
        <f t="shared" si="4"/>
        <v>n/a</v>
      </c>
      <c r="N1611" s="207" t="str">
        <f t="shared" si="5"/>
        <v>n/a</v>
      </c>
      <c r="O1611" s="207">
        <f t="shared" si="6"/>
        <v>0.003759398496</v>
      </c>
    </row>
    <row r="1612" ht="15.75" customHeight="1">
      <c r="A1612" s="207">
        <v>85.0</v>
      </c>
      <c r="B1612" s="6" t="str">
        <f>VLOOKUP($A1612, 'Completion rates'!$A:$E, 2, FALSE)</f>
        <v>Looting hallowed marks (hallowed sepulchre)</v>
      </c>
      <c r="C1612" s="207">
        <v>24763.0</v>
      </c>
      <c r="D1612" s="6" t="str">
        <f>VLOOKUP($C1612, 'List of log slots'!$A:$E, 2, FALSE)</f>
        <v>Mysterious page</v>
      </c>
      <c r="E1612" s="207">
        <f>VLOOKUP($C1612, 'List of log slots'!$A:$E, 5, FALSE)</f>
        <v>4</v>
      </c>
      <c r="F1612" s="209" t="b">
        <f>VLOOKUP(C1612, 'List of log slots'!$A:$C, 3, FALSE)</f>
        <v>0</v>
      </c>
      <c r="G1612" s="209" t="b">
        <f t="shared" si="1267"/>
        <v>0</v>
      </c>
      <c r="H1612" s="210" t="b">
        <f t="shared" si="7"/>
        <v>1</v>
      </c>
      <c r="I1612" s="208" t="b">
        <f t="shared" si="1296"/>
        <v>0</v>
      </c>
      <c r="J1612" s="208" t="b">
        <f t="shared" si="1298"/>
        <v>0</v>
      </c>
      <c r="K1612" s="214">
        <v>170.0</v>
      </c>
      <c r="L1612" s="212" t="str">
        <f t="shared" si="3"/>
        <v>n/a</v>
      </c>
      <c r="M1612" s="212" t="str">
        <f t="shared" si="4"/>
        <v>n/a</v>
      </c>
      <c r="N1612" s="207" t="str">
        <f t="shared" si="5"/>
        <v>n/a</v>
      </c>
      <c r="O1612" s="207">
        <f t="shared" si="6"/>
        <v>0.005882352941</v>
      </c>
    </row>
    <row r="1613" ht="15.75" customHeight="1">
      <c r="A1613" s="207">
        <v>85.0</v>
      </c>
      <c r="B1613" s="6" t="str">
        <f>VLOOKUP($A1613, 'Completion rates'!$A:$E, 2, FALSE)</f>
        <v>Looting hallowed marks (hallowed sepulchre)</v>
      </c>
      <c r="C1613" s="207">
        <v>24765.0</v>
      </c>
      <c r="D1613" s="6" t="str">
        <f>VLOOKUP($C1613, 'List of log slots'!$A:$E, 2, FALSE)</f>
        <v>Mysterious page</v>
      </c>
      <c r="E1613" s="207">
        <f>VLOOKUP($C1613, 'List of log slots'!$A:$E, 5, FALSE)</f>
        <v>4</v>
      </c>
      <c r="F1613" s="210" t="b">
        <f>VLOOKUP(C1613, 'List of log slots'!$A:$C, 3, FALSE)</f>
        <v>0</v>
      </c>
      <c r="G1613" s="209" t="b">
        <f t="shared" si="1267"/>
        <v>0</v>
      </c>
      <c r="H1613" s="209" t="b">
        <f t="shared" si="7"/>
        <v>1</v>
      </c>
      <c r="I1613" s="208" t="b">
        <f t="shared" si="1296"/>
        <v>0</v>
      </c>
      <c r="J1613" s="208" t="b">
        <f t="shared" si="1298"/>
        <v>0</v>
      </c>
      <c r="K1613" s="214">
        <v>170.0</v>
      </c>
      <c r="L1613" s="212" t="str">
        <f t="shared" si="3"/>
        <v>n/a</v>
      </c>
      <c r="M1613" s="212" t="str">
        <f t="shared" si="4"/>
        <v>n/a</v>
      </c>
      <c r="N1613" s="207" t="str">
        <f t="shared" si="5"/>
        <v>n/a</v>
      </c>
      <c r="O1613" s="207">
        <f t="shared" si="6"/>
        <v>0.005882352941</v>
      </c>
    </row>
    <row r="1614" ht="15.75" customHeight="1">
      <c r="A1614" s="207">
        <v>85.0</v>
      </c>
      <c r="B1614" s="6" t="str">
        <f>VLOOKUP($A1614, 'Completion rates'!$A:$E, 2, FALSE)</f>
        <v>Looting hallowed marks (hallowed sepulchre)</v>
      </c>
      <c r="C1614" s="207">
        <v>24767.0</v>
      </c>
      <c r="D1614" s="6" t="str">
        <f>VLOOKUP($C1614, 'List of log slots'!$A:$E, 2, FALSE)</f>
        <v>Mysterious page</v>
      </c>
      <c r="E1614" s="207">
        <f>VLOOKUP($C1614, 'List of log slots'!$A:$E, 5, FALSE)</f>
        <v>5</v>
      </c>
      <c r="F1614" s="209" t="b">
        <f>VLOOKUP(C1614, 'List of log slots'!$A:$C, 3, FALSE)</f>
        <v>0</v>
      </c>
      <c r="G1614" s="209" t="b">
        <f t="shared" si="1267"/>
        <v>0</v>
      </c>
      <c r="H1614" s="210" t="b">
        <f t="shared" si="7"/>
        <v>1</v>
      </c>
      <c r="I1614" s="208" t="b">
        <f t="shared" si="1296"/>
        <v>0</v>
      </c>
      <c r="J1614" s="208" t="b">
        <f t="shared" si="1298"/>
        <v>0</v>
      </c>
      <c r="K1614" s="214">
        <v>170.0</v>
      </c>
      <c r="L1614" s="212" t="str">
        <f t="shared" si="3"/>
        <v>n/a</v>
      </c>
      <c r="M1614" s="212" t="str">
        <f t="shared" si="4"/>
        <v>n/a</v>
      </c>
      <c r="N1614" s="207" t="str">
        <f t="shared" si="5"/>
        <v>n/a</v>
      </c>
      <c r="O1614" s="207">
        <f t="shared" si="6"/>
        <v>0.005882352941</v>
      </c>
    </row>
    <row r="1615" ht="15.75" customHeight="1">
      <c r="A1615" s="207">
        <v>85.0</v>
      </c>
      <c r="B1615" s="6" t="str">
        <f>VLOOKUP($A1615, 'Completion rates'!$A:$E, 2, FALSE)</f>
        <v>Looting hallowed marks (hallowed sepulchre)</v>
      </c>
      <c r="C1615" s="207">
        <v>24769.0</v>
      </c>
      <c r="D1615" s="6" t="str">
        <f>VLOOKUP($C1615, 'List of log slots'!$A:$E, 2, FALSE)</f>
        <v>Mysterious page</v>
      </c>
      <c r="E1615" s="207">
        <f>VLOOKUP($C1615, 'List of log slots'!$A:$E, 5, FALSE)</f>
        <v>5</v>
      </c>
      <c r="F1615" s="209" t="b">
        <f>VLOOKUP(C1615, 'List of log slots'!$A:$C, 3, FALSE)</f>
        <v>0</v>
      </c>
      <c r="G1615" s="209" t="b">
        <f t="shared" si="1267"/>
        <v>0</v>
      </c>
      <c r="H1615" s="210" t="b">
        <f t="shared" si="7"/>
        <v>1</v>
      </c>
      <c r="I1615" s="208" t="b">
        <f t="shared" si="1296"/>
        <v>0</v>
      </c>
      <c r="J1615" s="208" t="b">
        <f t="shared" si="1298"/>
        <v>0</v>
      </c>
      <c r="K1615" s="214">
        <v>170.0</v>
      </c>
      <c r="L1615" s="212" t="str">
        <f t="shared" si="3"/>
        <v>n/a</v>
      </c>
      <c r="M1615" s="212" t="str">
        <f t="shared" si="4"/>
        <v>n/a</v>
      </c>
      <c r="N1615" s="207" t="str">
        <f t="shared" si="5"/>
        <v>n/a</v>
      </c>
      <c r="O1615" s="207">
        <f t="shared" si="6"/>
        <v>0.005882352941</v>
      </c>
    </row>
    <row r="1616" ht="15.75" customHeight="1">
      <c r="A1616" s="207">
        <v>85.0</v>
      </c>
      <c r="B1616" s="6" t="str">
        <f>VLOOKUP($A1616, 'Completion rates'!$A:$E, 2, FALSE)</f>
        <v>Looting hallowed marks (hallowed sepulchre)</v>
      </c>
      <c r="C1616" s="207">
        <v>24771.0</v>
      </c>
      <c r="D1616" s="6" t="str">
        <f>VLOOKUP($C1616, 'List of log slots'!$A:$E, 2, FALSE)</f>
        <v>Mysterious page</v>
      </c>
      <c r="E1616" s="207">
        <f>VLOOKUP($C1616, 'List of log slots'!$A:$E, 5, FALSE)</f>
        <v>5</v>
      </c>
      <c r="F1616" s="209" t="b">
        <f>VLOOKUP(C1616, 'List of log slots'!$A:$C, 3, FALSE)</f>
        <v>0</v>
      </c>
      <c r="G1616" s="209" t="b">
        <f t="shared" si="1267"/>
        <v>0</v>
      </c>
      <c r="H1616" s="210" t="b">
        <f t="shared" si="7"/>
        <v>1</v>
      </c>
      <c r="I1616" s="208" t="b">
        <f t="shared" si="1296"/>
        <v>0</v>
      </c>
      <c r="J1616" s="208" t="b">
        <f t="shared" si="1298"/>
        <v>0</v>
      </c>
      <c r="K1616" s="214">
        <v>170.0</v>
      </c>
      <c r="L1616" s="212" t="str">
        <f t="shared" si="3"/>
        <v>n/a</v>
      </c>
      <c r="M1616" s="212" t="str">
        <f t="shared" si="4"/>
        <v>n/a</v>
      </c>
      <c r="N1616" s="207" t="str">
        <f t="shared" si="5"/>
        <v>n/a</v>
      </c>
      <c r="O1616" s="207">
        <f t="shared" si="6"/>
        <v>0.005882352941</v>
      </c>
    </row>
    <row r="1617" ht="15.75" customHeight="1">
      <c r="A1617" s="207">
        <v>86.0</v>
      </c>
      <c r="B1617" s="6" t="str">
        <f>VLOOKUP($A1617, 'Completion rates'!$A:$E, 2, FALSE)</f>
        <v>Looting the grand hallowed coffin (hallowed sepulchre)</v>
      </c>
      <c r="C1617" s="207">
        <v>24844.0</v>
      </c>
      <c r="D1617" s="6" t="str">
        <f>VLOOKUP($C1617, 'List of log slots'!$A:$E, 2, FALSE)</f>
        <v>Ring of endurance (uncharged)</v>
      </c>
      <c r="E1617" s="207">
        <f>VLOOKUP($C1617, 'List of log slots'!$A:$E, 5, FALSE)</f>
        <v>7</v>
      </c>
      <c r="F1617" s="209" t="b">
        <f>VLOOKUP(C1617, 'List of log slots'!$A:$C, 3, FALSE)</f>
        <v>0</v>
      </c>
      <c r="G1617" s="209" t="b">
        <f t="shared" si="1267"/>
        <v>0</v>
      </c>
      <c r="H1617" s="210" t="b">
        <f t="shared" si="7"/>
        <v>1</v>
      </c>
      <c r="I1617" s="208" t="b">
        <f t="shared" si="1296"/>
        <v>0</v>
      </c>
      <c r="J1617" s="208" t="b">
        <f t="shared" si="1298"/>
        <v>0</v>
      </c>
      <c r="K1617" s="214">
        <v>200.0</v>
      </c>
      <c r="L1617" s="212" t="str">
        <f t="shared" si="3"/>
        <v>n/a</v>
      </c>
      <c r="M1617" s="212" t="str">
        <f t="shared" si="4"/>
        <v>n/a</v>
      </c>
      <c r="N1617" s="207" t="str">
        <f t="shared" si="5"/>
        <v>n/a</v>
      </c>
      <c r="O1617" s="207">
        <f t="shared" si="6"/>
        <v>0.005</v>
      </c>
    </row>
    <row r="1618" ht="15.75" customHeight="1">
      <c r="A1618" s="207">
        <v>87.0</v>
      </c>
      <c r="B1618" s="6" t="str">
        <f>VLOOKUP($A1618, 'Completion rates'!$A:$E, 2, FALSE)</f>
        <v>Earning last man standing points</v>
      </c>
      <c r="C1618" s="207">
        <v>24189.0</v>
      </c>
      <c r="D1618" s="6" t="str">
        <f>VLOOKUP($C1618, 'List of log slots'!$A:$E, 2, FALSE)</f>
        <v>Deadman's chest</v>
      </c>
      <c r="E1618" s="207">
        <f>VLOOKUP($C1618, 'List of log slots'!$A:$E, 5, FALSE)</f>
        <v>5</v>
      </c>
      <c r="F1618" s="209" t="b">
        <f>VLOOKUP(C1618, 'List of log slots'!$A:$C, 3, FALSE)</f>
        <v>0</v>
      </c>
      <c r="G1618" s="209" t="b">
        <f t="shared" si="1267"/>
        <v>0</v>
      </c>
      <c r="H1618" s="210" t="b">
        <f t="shared" si="7"/>
        <v>1</v>
      </c>
      <c r="I1618" s="208" t="b">
        <f t="shared" si="1296"/>
        <v>0</v>
      </c>
      <c r="J1618" s="213" t="b">
        <f t="shared" ref="J1618:J1643" si="1299">TRUE</f>
        <v>1</v>
      </c>
      <c r="K1618" s="214">
        <v>160.0</v>
      </c>
      <c r="L1618" s="212" t="str">
        <f t="shared" si="3"/>
        <v>n/a</v>
      </c>
      <c r="M1618" s="212" t="str">
        <f t="shared" si="4"/>
        <v>n/a</v>
      </c>
      <c r="N1618" s="207">
        <f t="shared" si="5"/>
        <v>160</v>
      </c>
      <c r="O1618" s="207" t="str">
        <f t="shared" si="6"/>
        <v>n/a</v>
      </c>
    </row>
    <row r="1619" ht="15.75" customHeight="1">
      <c r="A1619" s="207">
        <v>87.0</v>
      </c>
      <c r="B1619" s="6" t="str">
        <f>VLOOKUP($A1619, 'Completion rates'!$A:$E, 2, FALSE)</f>
        <v>Earning last man standing points</v>
      </c>
      <c r="C1619" s="207">
        <v>24190.0</v>
      </c>
      <c r="D1619" s="6" t="str">
        <f>VLOOKUP($C1619, 'List of log slots'!$A:$E, 2, FALSE)</f>
        <v>Deadman's legs</v>
      </c>
      <c r="E1619" s="207">
        <f>VLOOKUP($C1619, 'List of log slots'!$A:$E, 5, FALSE)</f>
        <v>5</v>
      </c>
      <c r="F1619" s="209" t="b">
        <f>VLOOKUP(C1619, 'List of log slots'!$A:$C, 3, FALSE)</f>
        <v>0</v>
      </c>
      <c r="G1619" s="209" t="b">
        <f t="shared" si="1267"/>
        <v>0</v>
      </c>
      <c r="H1619" s="210" t="b">
        <f t="shared" si="7"/>
        <v>1</v>
      </c>
      <c r="I1619" s="208" t="b">
        <f t="shared" si="1296"/>
        <v>0</v>
      </c>
      <c r="J1619" s="213" t="b">
        <f t="shared" si="1299"/>
        <v>1</v>
      </c>
      <c r="K1619" s="214">
        <v>160.0</v>
      </c>
      <c r="L1619" s="212" t="str">
        <f t="shared" si="3"/>
        <v>n/a</v>
      </c>
      <c r="M1619" s="212" t="str">
        <f t="shared" si="4"/>
        <v>n/a</v>
      </c>
      <c r="N1619" s="207">
        <f t="shared" si="5"/>
        <v>160</v>
      </c>
      <c r="O1619" s="207" t="str">
        <f t="shared" si="6"/>
        <v>n/a</v>
      </c>
    </row>
    <row r="1620" ht="15.75" customHeight="1">
      <c r="A1620" s="207">
        <v>87.0</v>
      </c>
      <c r="B1620" s="6" t="str">
        <f>VLOOKUP($A1620, 'Completion rates'!$A:$E, 2, FALSE)</f>
        <v>Earning last man standing points</v>
      </c>
      <c r="C1620" s="207">
        <v>24191.0</v>
      </c>
      <c r="D1620" s="6" t="str">
        <f>VLOOKUP($C1620, 'List of log slots'!$A:$E, 2, FALSE)</f>
        <v>Deadman's cape</v>
      </c>
      <c r="E1620" s="207">
        <f>VLOOKUP($C1620, 'List of log slots'!$A:$E, 5, FALSE)</f>
        <v>5</v>
      </c>
      <c r="F1620" s="209" t="b">
        <f>VLOOKUP(C1620, 'List of log slots'!$A:$C, 3, FALSE)</f>
        <v>0</v>
      </c>
      <c r="G1620" s="209" t="b">
        <f t="shared" si="1267"/>
        <v>0</v>
      </c>
      <c r="H1620" s="210" t="b">
        <f t="shared" si="7"/>
        <v>1</v>
      </c>
      <c r="I1620" s="208" t="b">
        <f t="shared" si="1296"/>
        <v>0</v>
      </c>
      <c r="J1620" s="213" t="b">
        <f t="shared" si="1299"/>
        <v>1</v>
      </c>
      <c r="K1620" s="214">
        <v>160.0</v>
      </c>
      <c r="L1620" s="212" t="str">
        <f t="shared" si="3"/>
        <v>n/a</v>
      </c>
      <c r="M1620" s="212" t="str">
        <f t="shared" si="4"/>
        <v>n/a</v>
      </c>
      <c r="N1620" s="207">
        <f t="shared" si="5"/>
        <v>160</v>
      </c>
      <c r="O1620" s="207" t="str">
        <f t="shared" si="6"/>
        <v>n/a</v>
      </c>
    </row>
    <row r="1621" ht="15.75" customHeight="1">
      <c r="A1621" s="207">
        <v>87.0</v>
      </c>
      <c r="B1621" s="6" t="str">
        <f>VLOOKUP($A1621, 'Completion rates'!$A:$E, 2, FALSE)</f>
        <v>Earning last man standing points</v>
      </c>
      <c r="C1621" s="207">
        <v>24192.0</v>
      </c>
      <c r="D1621" s="6" t="str">
        <f>VLOOKUP($C1621, 'List of log slots'!$A:$E, 2, FALSE)</f>
        <v>Armadyl halo</v>
      </c>
      <c r="E1621" s="207">
        <f>VLOOKUP($C1621, 'List of log slots'!$A:$E, 5, FALSE)</f>
        <v>5</v>
      </c>
      <c r="F1621" s="209" t="b">
        <f>VLOOKUP(C1621, 'List of log slots'!$A:$C, 3, FALSE)</f>
        <v>0</v>
      </c>
      <c r="G1621" s="209" t="b">
        <f t="shared" si="1267"/>
        <v>0</v>
      </c>
      <c r="H1621" s="210" t="b">
        <f t="shared" si="7"/>
        <v>1</v>
      </c>
      <c r="I1621" s="208" t="b">
        <f t="shared" si="1296"/>
        <v>0</v>
      </c>
      <c r="J1621" s="213" t="b">
        <f t="shared" si="1299"/>
        <v>1</v>
      </c>
      <c r="K1621" s="214">
        <v>450.0</v>
      </c>
      <c r="L1621" s="212" t="str">
        <f t="shared" si="3"/>
        <v>n/a</v>
      </c>
      <c r="M1621" s="212" t="str">
        <f t="shared" si="4"/>
        <v>n/a</v>
      </c>
      <c r="N1621" s="207">
        <f t="shared" si="5"/>
        <v>450</v>
      </c>
      <c r="O1621" s="207" t="str">
        <f t="shared" si="6"/>
        <v>n/a</v>
      </c>
    </row>
    <row r="1622" ht="15.75" customHeight="1">
      <c r="A1622" s="207">
        <v>87.0</v>
      </c>
      <c r="B1622" s="6" t="str">
        <f>VLOOKUP($A1622, 'Completion rates'!$A:$E, 2, FALSE)</f>
        <v>Earning last man standing points</v>
      </c>
      <c r="C1622" s="207">
        <v>24195.0</v>
      </c>
      <c r="D1622" s="6" t="str">
        <f>VLOOKUP($C1622, 'List of log slots'!$A:$E, 2, FALSE)</f>
        <v>Bandos halo</v>
      </c>
      <c r="E1622" s="207">
        <f>VLOOKUP($C1622, 'List of log slots'!$A:$E, 5, FALSE)</f>
        <v>5</v>
      </c>
      <c r="F1622" s="209" t="b">
        <f>VLOOKUP(C1622, 'List of log slots'!$A:$C, 3, FALSE)</f>
        <v>0</v>
      </c>
      <c r="G1622" s="209" t="b">
        <f t="shared" si="1267"/>
        <v>0</v>
      </c>
      <c r="H1622" s="210" t="b">
        <f t="shared" si="7"/>
        <v>1</v>
      </c>
      <c r="I1622" s="208" t="b">
        <f t="shared" si="1296"/>
        <v>0</v>
      </c>
      <c r="J1622" s="213" t="b">
        <f t="shared" si="1299"/>
        <v>1</v>
      </c>
      <c r="K1622" s="214">
        <v>450.0</v>
      </c>
      <c r="L1622" s="212" t="str">
        <f t="shared" si="3"/>
        <v>n/a</v>
      </c>
      <c r="M1622" s="212" t="str">
        <f t="shared" si="4"/>
        <v>n/a</v>
      </c>
      <c r="N1622" s="207">
        <f t="shared" si="5"/>
        <v>450</v>
      </c>
      <c r="O1622" s="207" t="str">
        <f t="shared" si="6"/>
        <v>n/a</v>
      </c>
    </row>
    <row r="1623" ht="15.75" customHeight="1">
      <c r="A1623" s="207">
        <v>87.0</v>
      </c>
      <c r="B1623" s="6" t="str">
        <f>VLOOKUP($A1623, 'Completion rates'!$A:$E, 2, FALSE)</f>
        <v>Earning last man standing points</v>
      </c>
      <c r="C1623" s="207">
        <v>24198.0</v>
      </c>
      <c r="D1623" s="6" t="str">
        <f>VLOOKUP($C1623, 'List of log slots'!$A:$E, 2, FALSE)</f>
        <v>Seren halo</v>
      </c>
      <c r="E1623" s="207">
        <f>VLOOKUP($C1623, 'List of log slots'!$A:$E, 5, FALSE)</f>
        <v>5</v>
      </c>
      <c r="F1623" s="209" t="b">
        <f>VLOOKUP(C1623, 'List of log slots'!$A:$C, 3, FALSE)</f>
        <v>0</v>
      </c>
      <c r="G1623" s="209" t="b">
        <f t="shared" si="1267"/>
        <v>0</v>
      </c>
      <c r="H1623" s="210" t="b">
        <f t="shared" si="7"/>
        <v>1</v>
      </c>
      <c r="I1623" s="208" t="b">
        <f t="shared" si="1296"/>
        <v>0</v>
      </c>
      <c r="J1623" s="213" t="b">
        <f t="shared" si="1299"/>
        <v>1</v>
      </c>
      <c r="K1623" s="214">
        <v>450.0</v>
      </c>
      <c r="L1623" s="212" t="str">
        <f t="shared" si="3"/>
        <v>n/a</v>
      </c>
      <c r="M1623" s="212" t="str">
        <f t="shared" si="4"/>
        <v>n/a</v>
      </c>
      <c r="N1623" s="207">
        <f t="shared" si="5"/>
        <v>450</v>
      </c>
      <c r="O1623" s="207" t="str">
        <f t="shared" si="6"/>
        <v>n/a</v>
      </c>
    </row>
    <row r="1624" ht="15.75" customHeight="1">
      <c r="A1624" s="207">
        <v>87.0</v>
      </c>
      <c r="B1624" s="6" t="str">
        <f>VLOOKUP($A1624, 'Completion rates'!$A:$E, 2, FALSE)</f>
        <v>Earning last man standing points</v>
      </c>
      <c r="C1624" s="207">
        <v>24201.0</v>
      </c>
      <c r="D1624" s="6" t="str">
        <f>VLOOKUP($C1624, 'List of log slots'!$A:$E, 2, FALSE)</f>
        <v>Ancient halo</v>
      </c>
      <c r="E1624" s="207">
        <f>VLOOKUP($C1624, 'List of log slots'!$A:$E, 5, FALSE)</f>
        <v>5</v>
      </c>
      <c r="F1624" s="209" t="b">
        <f>VLOOKUP(C1624, 'List of log slots'!$A:$C, 3, FALSE)</f>
        <v>0</v>
      </c>
      <c r="G1624" s="209" t="b">
        <f t="shared" si="1267"/>
        <v>0</v>
      </c>
      <c r="H1624" s="210" t="b">
        <f t="shared" si="7"/>
        <v>1</v>
      </c>
      <c r="I1624" s="208" t="b">
        <f t="shared" si="1296"/>
        <v>0</v>
      </c>
      <c r="J1624" s="213" t="b">
        <f t="shared" si="1299"/>
        <v>1</v>
      </c>
      <c r="K1624" s="214">
        <v>450.0</v>
      </c>
      <c r="L1624" s="212" t="str">
        <f t="shared" si="3"/>
        <v>n/a</v>
      </c>
      <c r="M1624" s="212" t="str">
        <f t="shared" si="4"/>
        <v>n/a</v>
      </c>
      <c r="N1624" s="207">
        <f t="shared" si="5"/>
        <v>450</v>
      </c>
      <c r="O1624" s="207" t="str">
        <f t="shared" si="6"/>
        <v>n/a</v>
      </c>
    </row>
    <row r="1625" ht="15.75" customHeight="1">
      <c r="A1625" s="207">
        <v>87.0</v>
      </c>
      <c r="B1625" s="6" t="str">
        <f>VLOOKUP($A1625, 'Completion rates'!$A:$E, 2, FALSE)</f>
        <v>Earning last man standing points</v>
      </c>
      <c r="C1625" s="207">
        <v>24204.0</v>
      </c>
      <c r="D1625" s="6" t="str">
        <f>VLOOKUP($C1625, 'List of log slots'!$A:$E, 2, FALSE)</f>
        <v>Brassica halo</v>
      </c>
      <c r="E1625" s="207">
        <f>VLOOKUP($C1625, 'List of log slots'!$A:$E, 5, FALSE)</f>
        <v>5</v>
      </c>
      <c r="F1625" s="209" t="b">
        <f>VLOOKUP(C1625, 'List of log slots'!$A:$C, 3, FALSE)</f>
        <v>0</v>
      </c>
      <c r="G1625" s="209" t="b">
        <f t="shared" si="1267"/>
        <v>0</v>
      </c>
      <c r="H1625" s="210" t="b">
        <f t="shared" si="7"/>
        <v>1</v>
      </c>
      <c r="I1625" s="208" t="b">
        <f t="shared" si="1296"/>
        <v>0</v>
      </c>
      <c r="J1625" s="213" t="b">
        <f t="shared" si="1299"/>
        <v>1</v>
      </c>
      <c r="K1625" s="214">
        <v>450.0</v>
      </c>
      <c r="L1625" s="212" t="str">
        <f t="shared" si="3"/>
        <v>n/a</v>
      </c>
      <c r="M1625" s="212" t="str">
        <f t="shared" si="4"/>
        <v>n/a</v>
      </c>
      <c r="N1625" s="207">
        <f t="shared" si="5"/>
        <v>450</v>
      </c>
      <c r="O1625" s="207" t="str">
        <f t="shared" si="6"/>
        <v>n/a</v>
      </c>
    </row>
    <row r="1626" ht="15.75" customHeight="1">
      <c r="A1626" s="207">
        <v>87.0</v>
      </c>
      <c r="B1626" s="6" t="str">
        <f>VLOOKUP($A1626, 'Completion rates'!$A:$E, 2, FALSE)</f>
        <v>Earning last man standing points</v>
      </c>
      <c r="C1626" s="207">
        <v>24868.0</v>
      </c>
      <c r="D1626" s="6" t="str">
        <f>VLOOKUP($C1626, 'List of log slots'!$A:$E, 2, FALSE)</f>
        <v>Golden armadyl special attack</v>
      </c>
      <c r="E1626" s="207">
        <f>VLOOKUP($C1626, 'List of log slots'!$A:$E, 5, FALSE)</f>
        <v>4</v>
      </c>
      <c r="F1626" s="209" t="b">
        <f>VLOOKUP(C1626, 'List of log slots'!$A:$C, 3, FALSE)</f>
        <v>0</v>
      </c>
      <c r="G1626" s="209" t="b">
        <f t="shared" si="1267"/>
        <v>0</v>
      </c>
      <c r="H1626" s="210" t="b">
        <f t="shared" si="7"/>
        <v>1</v>
      </c>
      <c r="I1626" s="208" t="b">
        <f t="shared" si="1296"/>
        <v>0</v>
      </c>
      <c r="J1626" s="213" t="b">
        <f t="shared" si="1299"/>
        <v>1</v>
      </c>
      <c r="K1626" s="214">
        <v>75.0</v>
      </c>
      <c r="L1626" s="212" t="str">
        <f t="shared" si="3"/>
        <v>n/a</v>
      </c>
      <c r="M1626" s="212" t="str">
        <f t="shared" si="4"/>
        <v>n/a</v>
      </c>
      <c r="N1626" s="207">
        <f t="shared" si="5"/>
        <v>75</v>
      </c>
      <c r="O1626" s="207" t="str">
        <f t="shared" si="6"/>
        <v>n/a</v>
      </c>
    </row>
    <row r="1627" ht="15.75" customHeight="1">
      <c r="A1627" s="207">
        <v>87.0</v>
      </c>
      <c r="B1627" s="6" t="str">
        <f>VLOOKUP($A1627, 'Completion rates'!$A:$E, 2, FALSE)</f>
        <v>Earning last man standing points</v>
      </c>
      <c r="C1627" s="207">
        <v>24869.0</v>
      </c>
      <c r="D1627" s="6" t="str">
        <f>VLOOKUP($C1627, 'List of log slots'!$A:$E, 2, FALSE)</f>
        <v>Golden bandos special attack</v>
      </c>
      <c r="E1627" s="207">
        <f>VLOOKUP($C1627, 'List of log slots'!$A:$E, 5, FALSE)</f>
        <v>4</v>
      </c>
      <c r="F1627" s="209" t="b">
        <f>VLOOKUP(C1627, 'List of log slots'!$A:$C, 3, FALSE)</f>
        <v>0</v>
      </c>
      <c r="G1627" s="209" t="b">
        <f t="shared" si="1267"/>
        <v>0</v>
      </c>
      <c r="H1627" s="210" t="b">
        <f t="shared" si="7"/>
        <v>1</v>
      </c>
      <c r="I1627" s="208" t="b">
        <f t="shared" si="1296"/>
        <v>0</v>
      </c>
      <c r="J1627" s="213" t="b">
        <f t="shared" si="1299"/>
        <v>1</v>
      </c>
      <c r="K1627" s="214">
        <v>75.0</v>
      </c>
      <c r="L1627" s="212" t="str">
        <f t="shared" si="3"/>
        <v>n/a</v>
      </c>
      <c r="M1627" s="212" t="str">
        <f t="shared" si="4"/>
        <v>n/a</v>
      </c>
      <c r="N1627" s="207">
        <f t="shared" si="5"/>
        <v>75</v>
      </c>
      <c r="O1627" s="207" t="str">
        <f t="shared" si="6"/>
        <v>n/a</v>
      </c>
    </row>
    <row r="1628" ht="15.75" customHeight="1">
      <c r="A1628" s="207">
        <v>87.0</v>
      </c>
      <c r="B1628" s="6" t="str">
        <f>VLOOKUP($A1628, 'Completion rates'!$A:$E, 2, FALSE)</f>
        <v>Earning last man standing points</v>
      </c>
      <c r="C1628" s="207">
        <v>24870.0</v>
      </c>
      <c r="D1628" s="6" t="str">
        <f>VLOOKUP($C1628, 'List of log slots'!$A:$E, 2, FALSE)</f>
        <v>Golden saradomin special attack</v>
      </c>
      <c r="E1628" s="207">
        <f>VLOOKUP($C1628, 'List of log slots'!$A:$E, 5, FALSE)</f>
        <v>4</v>
      </c>
      <c r="F1628" s="209" t="b">
        <f>VLOOKUP(C1628, 'List of log slots'!$A:$C, 3, FALSE)</f>
        <v>0</v>
      </c>
      <c r="G1628" s="209" t="b">
        <f t="shared" si="1267"/>
        <v>0</v>
      </c>
      <c r="H1628" s="210" t="b">
        <f t="shared" si="7"/>
        <v>1</v>
      </c>
      <c r="I1628" s="208" t="b">
        <f t="shared" si="1296"/>
        <v>0</v>
      </c>
      <c r="J1628" s="213" t="b">
        <f t="shared" si="1299"/>
        <v>1</v>
      </c>
      <c r="K1628" s="214">
        <v>75.0</v>
      </c>
      <c r="L1628" s="212" t="str">
        <f t="shared" si="3"/>
        <v>n/a</v>
      </c>
      <c r="M1628" s="212" t="str">
        <f t="shared" si="4"/>
        <v>n/a</v>
      </c>
      <c r="N1628" s="207">
        <f t="shared" si="5"/>
        <v>75</v>
      </c>
      <c r="O1628" s="207" t="str">
        <f t="shared" si="6"/>
        <v>n/a</v>
      </c>
    </row>
    <row r="1629" ht="15.75" customHeight="1">
      <c r="A1629" s="207">
        <v>87.0</v>
      </c>
      <c r="B1629" s="6" t="str">
        <f>VLOOKUP($A1629, 'Completion rates'!$A:$E, 2, FALSE)</f>
        <v>Earning last man standing points</v>
      </c>
      <c r="C1629" s="207">
        <v>24871.0</v>
      </c>
      <c r="D1629" s="6" t="str">
        <f>VLOOKUP($C1629, 'List of log slots'!$A:$E, 2, FALSE)</f>
        <v>Golden zamorak special attack</v>
      </c>
      <c r="E1629" s="207">
        <f>VLOOKUP($C1629, 'List of log slots'!$A:$E, 5, FALSE)</f>
        <v>4</v>
      </c>
      <c r="F1629" s="209" t="b">
        <f>VLOOKUP(C1629, 'List of log slots'!$A:$C, 3, FALSE)</f>
        <v>0</v>
      </c>
      <c r="G1629" s="209" t="b">
        <f t="shared" si="1267"/>
        <v>0</v>
      </c>
      <c r="H1629" s="210" t="b">
        <f t="shared" si="7"/>
        <v>1</v>
      </c>
      <c r="I1629" s="208" t="b">
        <f t="shared" si="1296"/>
        <v>0</v>
      </c>
      <c r="J1629" s="213" t="b">
        <f t="shared" si="1299"/>
        <v>1</v>
      </c>
      <c r="K1629" s="214">
        <v>75.0</v>
      </c>
      <c r="L1629" s="212" t="str">
        <f t="shared" si="3"/>
        <v>n/a</v>
      </c>
      <c r="M1629" s="212" t="str">
        <f t="shared" si="4"/>
        <v>n/a</v>
      </c>
      <c r="N1629" s="207">
        <f t="shared" si="5"/>
        <v>75</v>
      </c>
      <c r="O1629" s="207" t="str">
        <f t="shared" si="6"/>
        <v>n/a</v>
      </c>
    </row>
    <row r="1630" ht="15.75" customHeight="1">
      <c r="A1630" s="207">
        <v>87.0</v>
      </c>
      <c r="B1630" s="6" t="str">
        <f>VLOOKUP($A1630, 'Completion rates'!$A:$E, 2, FALSE)</f>
        <v>Earning last man standing points</v>
      </c>
      <c r="C1630" s="207">
        <v>12849.0</v>
      </c>
      <c r="D1630" s="6" t="str">
        <f>VLOOKUP($C1630, 'List of log slots'!$A:$E, 2, FALSE)</f>
        <v>Granite clamp</v>
      </c>
      <c r="E1630" s="207">
        <f>VLOOKUP($C1630, 'List of log slots'!$A:$E, 5, FALSE)</f>
        <v>3</v>
      </c>
      <c r="F1630" s="209" t="b">
        <f>VLOOKUP(C1630, 'List of log slots'!$A:$C, 3, FALSE)</f>
        <v>0</v>
      </c>
      <c r="G1630" s="209" t="b">
        <f t="shared" si="1267"/>
        <v>0</v>
      </c>
      <c r="H1630" s="210" t="b">
        <f t="shared" si="7"/>
        <v>1</v>
      </c>
      <c r="I1630" s="208" t="b">
        <f t="shared" si="1296"/>
        <v>0</v>
      </c>
      <c r="J1630" s="213" t="b">
        <f t="shared" si="1299"/>
        <v>1</v>
      </c>
      <c r="K1630" s="214">
        <v>25.0</v>
      </c>
      <c r="L1630" s="212" t="str">
        <f t="shared" si="3"/>
        <v>n/a</v>
      </c>
      <c r="M1630" s="212" t="str">
        <f t="shared" si="4"/>
        <v>n/a</v>
      </c>
      <c r="N1630" s="207">
        <f t="shared" si="5"/>
        <v>25</v>
      </c>
      <c r="O1630" s="207" t="str">
        <f t="shared" si="6"/>
        <v>n/a</v>
      </c>
    </row>
    <row r="1631" ht="15.75" customHeight="1">
      <c r="A1631" s="207">
        <v>87.0</v>
      </c>
      <c r="B1631" s="6" t="str">
        <f>VLOOKUP($A1631, 'Completion rates'!$A:$E, 2, FALSE)</f>
        <v>Earning last man standing points</v>
      </c>
      <c r="C1631" s="207">
        <v>24229.0</v>
      </c>
      <c r="D1631" s="6" t="str">
        <f>VLOOKUP($C1631, 'List of log slots'!$A:$E, 2, FALSE)</f>
        <v>Ornate maul handle</v>
      </c>
      <c r="E1631" s="207">
        <f>VLOOKUP($C1631, 'List of log slots'!$A:$E, 5, FALSE)</f>
        <v>3</v>
      </c>
      <c r="F1631" s="209" t="b">
        <f>VLOOKUP(C1631, 'List of log slots'!$A:$C, 3, FALSE)</f>
        <v>0</v>
      </c>
      <c r="G1631" s="209" t="b">
        <f t="shared" si="1267"/>
        <v>0</v>
      </c>
      <c r="H1631" s="210" t="b">
        <f t="shared" si="7"/>
        <v>1</v>
      </c>
      <c r="I1631" s="208" t="b">
        <f t="shared" si="1296"/>
        <v>0</v>
      </c>
      <c r="J1631" s="213" t="b">
        <f t="shared" si="1299"/>
        <v>1</v>
      </c>
      <c r="K1631" s="214">
        <v>15.0</v>
      </c>
      <c r="L1631" s="212" t="str">
        <f t="shared" si="3"/>
        <v>n/a</v>
      </c>
      <c r="M1631" s="212" t="str">
        <f t="shared" si="4"/>
        <v>n/a</v>
      </c>
      <c r="N1631" s="207">
        <f t="shared" si="5"/>
        <v>15</v>
      </c>
      <c r="O1631" s="207" t="str">
        <f t="shared" si="6"/>
        <v>n/a</v>
      </c>
    </row>
    <row r="1632" ht="15.75" customHeight="1">
      <c r="A1632" s="207">
        <v>87.0</v>
      </c>
      <c r="B1632" s="6" t="str">
        <f>VLOOKUP($A1632, 'Completion rates'!$A:$E, 2, FALSE)</f>
        <v>Earning last man standing points</v>
      </c>
      <c r="C1632" s="207">
        <v>12798.0</v>
      </c>
      <c r="D1632" s="6" t="str">
        <f>VLOOKUP($C1632, 'List of log slots'!$A:$E, 2, FALSE)</f>
        <v>Steam staff upgrade kit</v>
      </c>
      <c r="E1632" s="207">
        <f>VLOOKUP($C1632, 'List of log slots'!$A:$E, 5, FALSE)</f>
        <v>3</v>
      </c>
      <c r="F1632" s="209" t="b">
        <f>VLOOKUP(C1632, 'List of log slots'!$A:$C, 3, FALSE)</f>
        <v>0</v>
      </c>
      <c r="G1632" s="209" t="b">
        <f t="shared" si="1267"/>
        <v>0</v>
      </c>
      <c r="H1632" s="210" t="b">
        <f t="shared" si="7"/>
        <v>1</v>
      </c>
      <c r="I1632" s="208" t="b">
        <f t="shared" si="1296"/>
        <v>0</v>
      </c>
      <c r="J1632" s="213" t="b">
        <f t="shared" si="1299"/>
        <v>1</v>
      </c>
      <c r="K1632" s="214">
        <v>13.0</v>
      </c>
      <c r="L1632" s="212" t="str">
        <f t="shared" si="3"/>
        <v>n/a</v>
      </c>
      <c r="M1632" s="212" t="str">
        <f t="shared" si="4"/>
        <v>n/a</v>
      </c>
      <c r="N1632" s="207">
        <f t="shared" si="5"/>
        <v>13</v>
      </c>
      <c r="O1632" s="207" t="str">
        <f t="shared" si="6"/>
        <v>n/a</v>
      </c>
    </row>
    <row r="1633" ht="15.75" customHeight="1">
      <c r="A1633" s="207">
        <v>87.0</v>
      </c>
      <c r="B1633" s="6" t="str">
        <f>VLOOKUP($A1633, 'Completion rates'!$A:$E, 2, FALSE)</f>
        <v>Earning last man standing points</v>
      </c>
      <c r="C1633" s="207">
        <v>21202.0</v>
      </c>
      <c r="D1633" s="6" t="str">
        <f>VLOOKUP($C1633, 'List of log slots'!$A:$E, 2, FALSE)</f>
        <v>Lava staff upgrade kit</v>
      </c>
      <c r="E1633" s="207">
        <f>VLOOKUP($C1633, 'List of log slots'!$A:$E, 5, FALSE)</f>
        <v>3</v>
      </c>
      <c r="F1633" s="209" t="b">
        <f>VLOOKUP(C1633, 'List of log slots'!$A:$C, 3, FALSE)</f>
        <v>0</v>
      </c>
      <c r="G1633" s="209" t="b">
        <f t="shared" si="1267"/>
        <v>0</v>
      </c>
      <c r="H1633" s="210" t="b">
        <f t="shared" si="7"/>
        <v>1</v>
      </c>
      <c r="I1633" s="208" t="b">
        <f t="shared" si="1296"/>
        <v>0</v>
      </c>
      <c r="J1633" s="213" t="b">
        <f t="shared" si="1299"/>
        <v>1</v>
      </c>
      <c r="K1633" s="214">
        <v>13.0</v>
      </c>
      <c r="L1633" s="212" t="str">
        <f t="shared" si="3"/>
        <v>n/a</v>
      </c>
      <c r="M1633" s="212" t="str">
        <f t="shared" si="4"/>
        <v>n/a</v>
      </c>
      <c r="N1633" s="207">
        <f t="shared" si="5"/>
        <v>13</v>
      </c>
      <c r="O1633" s="207" t="str">
        <f t="shared" si="6"/>
        <v>n/a</v>
      </c>
    </row>
    <row r="1634" ht="15.75" customHeight="1">
      <c r="A1634" s="207">
        <v>87.0</v>
      </c>
      <c r="B1634" s="6" t="str">
        <f>VLOOKUP($A1634, 'Completion rates'!$A:$E, 2, FALSE)</f>
        <v>Earning last man standing points</v>
      </c>
      <c r="C1634" s="207">
        <v>12800.0</v>
      </c>
      <c r="D1634" s="6" t="str">
        <f>VLOOKUP($C1634, 'List of log slots'!$A:$E, 2, FALSE)</f>
        <v>Dragon pickaxe upgrade kit</v>
      </c>
      <c r="E1634" s="207">
        <f>VLOOKUP($C1634, 'List of log slots'!$A:$E, 5, FALSE)</f>
        <v>3</v>
      </c>
      <c r="F1634" s="209" t="b">
        <f>VLOOKUP(C1634, 'List of log slots'!$A:$C, 3, FALSE)</f>
        <v>0</v>
      </c>
      <c r="G1634" s="209" t="b">
        <f t="shared" si="1267"/>
        <v>0</v>
      </c>
      <c r="H1634" s="210" t="b">
        <f t="shared" si="7"/>
        <v>1</v>
      </c>
      <c r="I1634" s="208" t="b">
        <f t="shared" si="1296"/>
        <v>0</v>
      </c>
      <c r="J1634" s="213" t="b">
        <f t="shared" si="1299"/>
        <v>1</v>
      </c>
      <c r="K1634" s="214">
        <v>14.0</v>
      </c>
      <c r="L1634" s="212" t="str">
        <f t="shared" si="3"/>
        <v>n/a</v>
      </c>
      <c r="M1634" s="212" t="str">
        <f t="shared" si="4"/>
        <v>n/a</v>
      </c>
      <c r="N1634" s="207">
        <f t="shared" si="5"/>
        <v>14</v>
      </c>
      <c r="O1634" s="207" t="str">
        <f t="shared" si="6"/>
        <v>n/a</v>
      </c>
    </row>
    <row r="1635" ht="15.75" customHeight="1">
      <c r="A1635" s="207">
        <v>87.0</v>
      </c>
      <c r="B1635" s="6" t="str">
        <f>VLOOKUP($A1635, 'Completion rates'!$A:$E, 2, FALSE)</f>
        <v>Earning last man standing points</v>
      </c>
      <c r="C1635" s="207">
        <v>12802.0</v>
      </c>
      <c r="D1635" s="6" t="str">
        <f>VLOOKUP($C1635, 'List of log slots'!$A:$E, 2, FALSE)</f>
        <v>Ward upgrade kit</v>
      </c>
      <c r="E1635" s="207">
        <f>VLOOKUP($C1635, 'List of log slots'!$A:$E, 5, FALSE)</f>
        <v>3</v>
      </c>
      <c r="F1635" s="209" t="b">
        <f>VLOOKUP(C1635, 'List of log slots'!$A:$C, 3, FALSE)</f>
        <v>0</v>
      </c>
      <c r="G1635" s="209" t="b">
        <f t="shared" si="1267"/>
        <v>0</v>
      </c>
      <c r="H1635" s="210" t="b">
        <f t="shared" si="7"/>
        <v>1</v>
      </c>
      <c r="I1635" s="208" t="b">
        <f t="shared" si="1296"/>
        <v>0</v>
      </c>
      <c r="J1635" s="213" t="b">
        <f t="shared" si="1299"/>
        <v>1</v>
      </c>
      <c r="K1635" s="214">
        <v>20.0</v>
      </c>
      <c r="L1635" s="212" t="str">
        <f t="shared" si="3"/>
        <v>n/a</v>
      </c>
      <c r="M1635" s="212" t="str">
        <f t="shared" si="4"/>
        <v>n/a</v>
      </c>
      <c r="N1635" s="207">
        <f t="shared" si="5"/>
        <v>20</v>
      </c>
      <c r="O1635" s="207" t="str">
        <f t="shared" si="6"/>
        <v>n/a</v>
      </c>
    </row>
    <row r="1636" ht="15.75" customHeight="1">
      <c r="A1636" s="207">
        <v>87.0</v>
      </c>
      <c r="B1636" s="6" t="str">
        <f>VLOOKUP($A1636, 'Completion rates'!$A:$E, 2, FALSE)</f>
        <v>Earning last man standing points</v>
      </c>
      <c r="C1636" s="207">
        <v>12759.0</v>
      </c>
      <c r="D1636" s="6" t="str">
        <f>VLOOKUP($C1636, 'List of log slots'!$A:$E, 2, FALSE)</f>
        <v>Green dark bow paint</v>
      </c>
      <c r="E1636" s="207">
        <f>VLOOKUP($C1636, 'List of log slots'!$A:$E, 5, FALSE)</f>
        <v>3</v>
      </c>
      <c r="F1636" s="209" t="b">
        <f>VLOOKUP(C1636, 'List of log slots'!$A:$C, 3, FALSE)</f>
        <v>0</v>
      </c>
      <c r="G1636" s="209" t="b">
        <f t="shared" si="1267"/>
        <v>0</v>
      </c>
      <c r="H1636" s="210" t="b">
        <f t="shared" si="7"/>
        <v>1</v>
      </c>
      <c r="I1636" s="208" t="b">
        <f t="shared" si="1296"/>
        <v>0</v>
      </c>
      <c r="J1636" s="213" t="b">
        <f t="shared" si="1299"/>
        <v>1</v>
      </c>
      <c r="K1636" s="214">
        <v>25.0</v>
      </c>
      <c r="L1636" s="212" t="str">
        <f t="shared" si="3"/>
        <v>n/a</v>
      </c>
      <c r="M1636" s="212" t="str">
        <f t="shared" si="4"/>
        <v>n/a</v>
      </c>
      <c r="N1636" s="207">
        <f t="shared" si="5"/>
        <v>25</v>
      </c>
      <c r="O1636" s="207" t="str">
        <f t="shared" si="6"/>
        <v>n/a</v>
      </c>
    </row>
    <row r="1637" ht="15.75" customHeight="1">
      <c r="A1637" s="207">
        <v>87.0</v>
      </c>
      <c r="B1637" s="6" t="str">
        <f>VLOOKUP($A1637, 'Completion rates'!$A:$E, 2, FALSE)</f>
        <v>Earning last man standing points</v>
      </c>
      <c r="C1637" s="207">
        <v>12761.0</v>
      </c>
      <c r="D1637" s="6" t="str">
        <f>VLOOKUP($C1637, 'List of log slots'!$A:$E, 2, FALSE)</f>
        <v>Yellow dark bow paint</v>
      </c>
      <c r="E1637" s="207">
        <f>VLOOKUP($C1637, 'List of log slots'!$A:$E, 5, FALSE)</f>
        <v>3</v>
      </c>
      <c r="F1637" s="209" t="b">
        <f>VLOOKUP(C1637, 'List of log slots'!$A:$C, 3, FALSE)</f>
        <v>0</v>
      </c>
      <c r="G1637" s="209" t="b">
        <f t="shared" si="1267"/>
        <v>0</v>
      </c>
      <c r="H1637" s="210" t="b">
        <f t="shared" si="7"/>
        <v>1</v>
      </c>
      <c r="I1637" s="208" t="b">
        <f t="shared" si="1296"/>
        <v>0</v>
      </c>
      <c r="J1637" s="213" t="b">
        <f t="shared" si="1299"/>
        <v>1</v>
      </c>
      <c r="K1637" s="214">
        <v>25.0</v>
      </c>
      <c r="L1637" s="212" t="str">
        <f t="shared" si="3"/>
        <v>n/a</v>
      </c>
      <c r="M1637" s="212" t="str">
        <f t="shared" si="4"/>
        <v>n/a</v>
      </c>
      <c r="N1637" s="207">
        <f t="shared" si="5"/>
        <v>25</v>
      </c>
      <c r="O1637" s="207" t="str">
        <f t="shared" si="6"/>
        <v>n/a</v>
      </c>
    </row>
    <row r="1638" ht="15.75" customHeight="1">
      <c r="A1638" s="207">
        <v>87.0</v>
      </c>
      <c r="B1638" s="6" t="str">
        <f>VLOOKUP($A1638, 'Completion rates'!$A:$E, 2, FALSE)</f>
        <v>Earning last man standing points</v>
      </c>
      <c r="C1638" s="207">
        <v>12763.0</v>
      </c>
      <c r="D1638" s="6" t="str">
        <f>VLOOKUP($C1638, 'List of log slots'!$A:$E, 2, FALSE)</f>
        <v>White dark bow paint</v>
      </c>
      <c r="E1638" s="207">
        <f>VLOOKUP($C1638, 'List of log slots'!$A:$E, 5, FALSE)</f>
        <v>3</v>
      </c>
      <c r="F1638" s="208" t="b">
        <f>VLOOKUP(C1638, 'List of log slots'!$A:$C, 3, FALSE)</f>
        <v>0</v>
      </c>
      <c r="G1638" s="209" t="b">
        <f t="shared" si="1267"/>
        <v>0</v>
      </c>
      <c r="H1638" s="210" t="b">
        <f t="shared" si="7"/>
        <v>1</v>
      </c>
      <c r="I1638" s="208" t="b">
        <f t="shared" si="1296"/>
        <v>0</v>
      </c>
      <c r="J1638" s="213" t="b">
        <f t="shared" si="1299"/>
        <v>1</v>
      </c>
      <c r="K1638" s="214">
        <v>25.0</v>
      </c>
      <c r="L1638" s="212" t="str">
        <f t="shared" si="3"/>
        <v>n/a</v>
      </c>
      <c r="M1638" s="212" t="str">
        <f t="shared" si="4"/>
        <v>n/a</v>
      </c>
      <c r="N1638" s="207">
        <f t="shared" si="5"/>
        <v>25</v>
      </c>
      <c r="O1638" s="207" t="str">
        <f t="shared" si="6"/>
        <v>n/a</v>
      </c>
    </row>
    <row r="1639" ht="15.75" customHeight="1">
      <c r="A1639" s="207">
        <v>87.0</v>
      </c>
      <c r="B1639" s="6" t="str">
        <f>VLOOKUP($A1639, 'Completion rates'!$A:$E, 2, FALSE)</f>
        <v>Earning last man standing points</v>
      </c>
      <c r="C1639" s="207">
        <v>12757.0</v>
      </c>
      <c r="D1639" s="6" t="str">
        <f>VLOOKUP($C1639, 'List of log slots'!$A:$E, 2, FALSE)</f>
        <v>Blue dark bow paint</v>
      </c>
      <c r="E1639" s="207">
        <f>VLOOKUP($C1639, 'List of log slots'!$A:$E, 5, FALSE)</f>
        <v>3</v>
      </c>
      <c r="F1639" s="208" t="b">
        <f>VLOOKUP(C1639, 'List of log slots'!$A:$C, 3, FALSE)</f>
        <v>0</v>
      </c>
      <c r="G1639" s="209" t="b">
        <f t="shared" si="1267"/>
        <v>0</v>
      </c>
      <c r="H1639" s="210" t="b">
        <f t="shared" si="7"/>
        <v>1</v>
      </c>
      <c r="I1639" s="208" t="b">
        <f t="shared" si="1296"/>
        <v>0</v>
      </c>
      <c r="J1639" s="213" t="b">
        <f t="shared" si="1299"/>
        <v>1</v>
      </c>
      <c r="K1639" s="214">
        <v>25.0</v>
      </c>
      <c r="L1639" s="212" t="str">
        <f t="shared" si="3"/>
        <v>n/a</v>
      </c>
      <c r="M1639" s="212" t="str">
        <f t="shared" si="4"/>
        <v>n/a</v>
      </c>
      <c r="N1639" s="207">
        <f t="shared" si="5"/>
        <v>25</v>
      </c>
      <c r="O1639" s="207" t="str">
        <f t="shared" si="6"/>
        <v>n/a</v>
      </c>
    </row>
    <row r="1640" ht="15.75" customHeight="1">
      <c r="A1640" s="207">
        <v>87.0</v>
      </c>
      <c r="B1640" s="6" t="str">
        <f>VLOOKUP($A1640, 'Completion rates'!$A:$E, 2, FALSE)</f>
        <v>Earning last man standing points</v>
      </c>
      <c r="C1640" s="207">
        <v>12771.0</v>
      </c>
      <c r="D1640" s="6" t="str">
        <f>VLOOKUP($C1640, 'List of log slots'!$A:$E, 2, FALSE)</f>
        <v>Volcanic whip mix</v>
      </c>
      <c r="E1640" s="207">
        <f>VLOOKUP($C1640, 'List of log slots'!$A:$E, 5, FALSE)</f>
        <v>3</v>
      </c>
      <c r="F1640" s="208" t="b">
        <f>VLOOKUP(C1640, 'List of log slots'!$A:$C, 3, FALSE)</f>
        <v>0</v>
      </c>
      <c r="G1640" s="209" t="b">
        <f t="shared" si="1267"/>
        <v>0</v>
      </c>
      <c r="H1640" s="210" t="b">
        <f t="shared" si="7"/>
        <v>1</v>
      </c>
      <c r="I1640" s="208" t="b">
        <f t="shared" si="1296"/>
        <v>0</v>
      </c>
      <c r="J1640" s="213" t="b">
        <f t="shared" si="1299"/>
        <v>1</v>
      </c>
      <c r="K1640" s="214">
        <v>25.0</v>
      </c>
      <c r="L1640" s="212" t="str">
        <f t="shared" si="3"/>
        <v>n/a</v>
      </c>
      <c r="M1640" s="212" t="str">
        <f t="shared" si="4"/>
        <v>n/a</v>
      </c>
      <c r="N1640" s="207">
        <f t="shared" si="5"/>
        <v>25</v>
      </c>
      <c r="O1640" s="207" t="str">
        <f t="shared" si="6"/>
        <v>n/a</v>
      </c>
    </row>
    <row r="1641" ht="15.75" customHeight="1">
      <c r="A1641" s="207">
        <v>87.0</v>
      </c>
      <c r="B1641" s="6" t="str">
        <f>VLOOKUP($A1641, 'Completion rates'!$A:$E, 2, FALSE)</f>
        <v>Earning last man standing points</v>
      </c>
      <c r="C1641" s="207">
        <v>12769.0</v>
      </c>
      <c r="D1641" s="6" t="str">
        <f>VLOOKUP($C1641, 'List of log slots'!$A:$E, 2, FALSE)</f>
        <v>Frozen whip mix</v>
      </c>
      <c r="E1641" s="207">
        <f>VLOOKUP($C1641, 'List of log slots'!$A:$E, 5, FALSE)</f>
        <v>3</v>
      </c>
      <c r="F1641" s="208" t="b">
        <f>VLOOKUP(C1641, 'List of log slots'!$A:$C, 3, FALSE)</f>
        <v>0</v>
      </c>
      <c r="G1641" s="209" t="b">
        <f t="shared" si="1267"/>
        <v>0</v>
      </c>
      <c r="H1641" s="210" t="b">
        <f t="shared" si="7"/>
        <v>1</v>
      </c>
      <c r="I1641" s="208" t="b">
        <f t="shared" si="1296"/>
        <v>0</v>
      </c>
      <c r="J1641" s="213" t="b">
        <f t="shared" si="1299"/>
        <v>1</v>
      </c>
      <c r="K1641" s="214">
        <v>25.0</v>
      </c>
      <c r="L1641" s="212" t="str">
        <f t="shared" si="3"/>
        <v>n/a</v>
      </c>
      <c r="M1641" s="212" t="str">
        <f t="shared" si="4"/>
        <v>n/a</v>
      </c>
      <c r="N1641" s="207">
        <f t="shared" si="5"/>
        <v>25</v>
      </c>
      <c r="O1641" s="207" t="str">
        <f t="shared" si="6"/>
        <v>n/a</v>
      </c>
    </row>
    <row r="1642" ht="15.75" customHeight="1">
      <c r="A1642" s="207">
        <v>87.0</v>
      </c>
      <c r="B1642" s="6" t="str">
        <f>VLOOKUP($A1642, 'Completion rates'!$A:$E, 2, FALSE)</f>
        <v>Earning last man standing points</v>
      </c>
      <c r="C1642" s="207">
        <v>24217.0</v>
      </c>
      <c r="D1642" s="6" t="str">
        <f>VLOOKUP($C1642, 'List of log slots'!$A:$E, 2, FALSE)</f>
        <v>Guthixian icon</v>
      </c>
      <c r="E1642" s="207">
        <f>VLOOKUP($C1642, 'List of log slots'!$A:$E, 5, FALSE)</f>
        <v>5</v>
      </c>
      <c r="F1642" s="208" t="b">
        <f>VLOOKUP(C1642, 'List of log slots'!$A:$C, 3, FALSE)</f>
        <v>0</v>
      </c>
      <c r="G1642" s="209" t="b">
        <f t="shared" si="1267"/>
        <v>0</v>
      </c>
      <c r="H1642" s="210" t="b">
        <f t="shared" si="7"/>
        <v>1</v>
      </c>
      <c r="I1642" s="208" t="b">
        <f t="shared" si="1296"/>
        <v>0</v>
      </c>
      <c r="J1642" s="213" t="b">
        <f t="shared" si="1299"/>
        <v>1</v>
      </c>
      <c r="K1642" s="214">
        <v>500.0</v>
      </c>
      <c r="L1642" s="212" t="str">
        <f t="shared" si="3"/>
        <v>n/a</v>
      </c>
      <c r="M1642" s="212" t="str">
        <f t="shared" si="4"/>
        <v>n/a</v>
      </c>
      <c r="N1642" s="207">
        <f t="shared" si="5"/>
        <v>500</v>
      </c>
      <c r="O1642" s="207" t="str">
        <f t="shared" si="6"/>
        <v>n/a</v>
      </c>
    </row>
    <row r="1643" ht="15.75" customHeight="1">
      <c r="A1643" s="207">
        <v>87.0</v>
      </c>
      <c r="B1643" s="6" t="str">
        <f>VLOOKUP($A1643, 'Completion rates'!$A:$E, 2, FALSE)</f>
        <v>Earning last man standing points</v>
      </c>
      <c r="C1643" s="207">
        <v>24219.0</v>
      </c>
      <c r="D1643" s="6" t="str">
        <f>VLOOKUP($C1643, 'List of log slots'!$A:$E, 2, FALSE)</f>
        <v>Swift blade</v>
      </c>
      <c r="E1643" s="207">
        <f>VLOOKUP($C1643, 'List of log slots'!$A:$E, 5, FALSE)</f>
        <v>5</v>
      </c>
      <c r="F1643" s="208" t="b">
        <f>VLOOKUP(C1643, 'List of log slots'!$A:$C, 3, FALSE)</f>
        <v>0</v>
      </c>
      <c r="G1643" s="209" t="b">
        <f t="shared" si="1267"/>
        <v>0</v>
      </c>
      <c r="H1643" s="210" t="b">
        <f t="shared" si="7"/>
        <v>1</v>
      </c>
      <c r="I1643" s="208" t="b">
        <f t="shared" si="1296"/>
        <v>0</v>
      </c>
      <c r="J1643" s="213" t="b">
        <f t="shared" si="1299"/>
        <v>1</v>
      </c>
      <c r="K1643" s="214">
        <v>350.0</v>
      </c>
      <c r="L1643" s="212" t="str">
        <f t="shared" si="3"/>
        <v>n/a</v>
      </c>
      <c r="M1643" s="212" t="str">
        <f t="shared" si="4"/>
        <v>n/a</v>
      </c>
      <c r="N1643" s="207">
        <f t="shared" si="5"/>
        <v>350</v>
      </c>
      <c r="O1643" s="207" t="str">
        <f t="shared" si="6"/>
        <v>n/a</v>
      </c>
    </row>
    <row r="1644" ht="15.75" customHeight="1">
      <c r="A1644" s="207">
        <v>88.0</v>
      </c>
      <c r="B1644" s="6" t="str">
        <f>VLOOKUP($A1644, 'Completion rates'!$A:$E, 2, FALSE)</f>
        <v>Surviving the round (last man standing)</v>
      </c>
      <c r="C1644" s="207">
        <v>24207.0</v>
      </c>
      <c r="D1644" s="6" t="str">
        <f>VLOOKUP($C1644, 'List of log slots'!$A:$E, 2, FALSE)</f>
        <v>Victor's cape (1)</v>
      </c>
      <c r="E1644" s="207">
        <f>VLOOKUP($C1644, 'List of log slots'!$A:$E, 5, FALSE)</f>
        <v>3</v>
      </c>
      <c r="F1644" s="208" t="b">
        <f>VLOOKUP(C1644, 'List of log slots'!$A:$C, 3, FALSE)</f>
        <v>0</v>
      </c>
      <c r="G1644" s="209" t="b">
        <f t="shared" si="1267"/>
        <v>0</v>
      </c>
      <c r="H1644" s="210" t="b">
        <f t="shared" si="7"/>
        <v>1</v>
      </c>
      <c r="I1644" s="213" t="b">
        <f t="shared" ref="I1644:I1685" si="1300">TRUE</f>
        <v>1</v>
      </c>
      <c r="J1644" s="208" t="b">
        <f t="shared" ref="J1644:J1649" si="1301">FALSE</f>
        <v>0</v>
      </c>
      <c r="K1644" s="214">
        <v>1.0</v>
      </c>
      <c r="L1644" s="212" t="str">
        <f t="shared" si="3"/>
        <v>n/a</v>
      </c>
      <c r="M1644" s="212">
        <f t="shared" si="4"/>
        <v>1</v>
      </c>
      <c r="N1644" s="207" t="str">
        <f t="shared" si="5"/>
        <v>n/a</v>
      </c>
      <c r="O1644" s="207" t="str">
        <f t="shared" si="6"/>
        <v>n/a</v>
      </c>
    </row>
    <row r="1645" ht="15.75" customHeight="1">
      <c r="A1645" s="207">
        <v>88.0</v>
      </c>
      <c r="B1645" s="6" t="str">
        <f>VLOOKUP($A1645, 'Completion rates'!$A:$E, 2, FALSE)</f>
        <v>Surviving the round (last man standing)</v>
      </c>
      <c r="C1645" s="207">
        <v>24209.0</v>
      </c>
      <c r="D1645" s="6" t="str">
        <f>VLOOKUP($C1645, 'List of log slots'!$A:$E, 2, FALSE)</f>
        <v>Victor's cape (10)</v>
      </c>
      <c r="E1645" s="207">
        <f>VLOOKUP($C1645, 'List of log slots'!$A:$E, 5, FALSE)</f>
        <v>3</v>
      </c>
      <c r="F1645" s="208" t="b">
        <f>VLOOKUP(C1645, 'List of log slots'!$A:$C, 3, FALSE)</f>
        <v>0</v>
      </c>
      <c r="G1645" s="210" t="b">
        <f t="shared" ref="G1645:G1649" si="1302">TRUE</f>
        <v>1</v>
      </c>
      <c r="H1645" s="209" t="b">
        <f t="shared" si="7"/>
        <v>0</v>
      </c>
      <c r="I1645" s="213" t="b">
        <f t="shared" si="1300"/>
        <v>1</v>
      </c>
      <c r="J1645" s="208" t="b">
        <f t="shared" si="1301"/>
        <v>0</v>
      </c>
      <c r="K1645" s="214">
        <v>9.0</v>
      </c>
      <c r="L1645" s="212" t="str">
        <f t="shared" si="3"/>
        <v>n/a</v>
      </c>
      <c r="M1645" s="212">
        <f t="shared" si="4"/>
        <v>9</v>
      </c>
      <c r="N1645" s="207" t="str">
        <f t="shared" si="5"/>
        <v>n/a</v>
      </c>
      <c r="O1645" s="207" t="str">
        <f t="shared" si="6"/>
        <v>n/a</v>
      </c>
    </row>
    <row r="1646" ht="15.75" customHeight="1">
      <c r="A1646" s="207">
        <v>88.0</v>
      </c>
      <c r="B1646" s="6" t="str">
        <f>VLOOKUP($A1646, 'Completion rates'!$A:$E, 2, FALSE)</f>
        <v>Surviving the round (last man standing)</v>
      </c>
      <c r="C1646" s="207">
        <v>24211.0</v>
      </c>
      <c r="D1646" s="6" t="str">
        <f>VLOOKUP($C1646, 'List of log slots'!$A:$E, 2, FALSE)</f>
        <v>Victor's cape (50)</v>
      </c>
      <c r="E1646" s="207">
        <f>VLOOKUP($C1646, 'List of log slots'!$A:$E, 5, FALSE)</f>
        <v>5</v>
      </c>
      <c r="F1646" s="208" t="b">
        <f>VLOOKUP(C1646, 'List of log slots'!$A:$C, 3, FALSE)</f>
        <v>0</v>
      </c>
      <c r="G1646" s="210" t="b">
        <f t="shared" si="1302"/>
        <v>1</v>
      </c>
      <c r="H1646" s="209" t="b">
        <f t="shared" si="7"/>
        <v>0</v>
      </c>
      <c r="I1646" s="213" t="b">
        <f t="shared" si="1300"/>
        <v>1</v>
      </c>
      <c r="J1646" s="208" t="b">
        <f t="shared" si="1301"/>
        <v>0</v>
      </c>
      <c r="K1646" s="214">
        <v>40.0</v>
      </c>
      <c r="L1646" s="212" t="str">
        <f t="shared" si="3"/>
        <v>n/a</v>
      </c>
      <c r="M1646" s="212">
        <f t="shared" si="4"/>
        <v>40</v>
      </c>
      <c r="N1646" s="207" t="str">
        <f t="shared" si="5"/>
        <v>n/a</v>
      </c>
      <c r="O1646" s="207" t="str">
        <f t="shared" si="6"/>
        <v>n/a</v>
      </c>
    </row>
    <row r="1647" ht="15.75" customHeight="1">
      <c r="A1647" s="207">
        <v>88.0</v>
      </c>
      <c r="B1647" s="6" t="str">
        <f>VLOOKUP($A1647, 'Completion rates'!$A:$E, 2, FALSE)</f>
        <v>Surviving the round (last man standing)</v>
      </c>
      <c r="C1647" s="207">
        <v>24213.0</v>
      </c>
      <c r="D1647" s="6" t="str">
        <f>VLOOKUP($C1647, 'List of log slots'!$A:$E, 2, FALSE)</f>
        <v>Victor's cape (100)</v>
      </c>
      <c r="E1647" s="207">
        <f>VLOOKUP($C1647, 'List of log slots'!$A:$E, 5, FALSE)</f>
        <v>6</v>
      </c>
      <c r="F1647" s="208" t="b">
        <f>VLOOKUP(C1647, 'List of log slots'!$A:$C, 3, FALSE)</f>
        <v>0</v>
      </c>
      <c r="G1647" s="210" t="b">
        <f t="shared" si="1302"/>
        <v>1</v>
      </c>
      <c r="H1647" s="209" t="b">
        <f t="shared" si="7"/>
        <v>0</v>
      </c>
      <c r="I1647" s="213" t="b">
        <f t="shared" si="1300"/>
        <v>1</v>
      </c>
      <c r="J1647" s="208" t="b">
        <f t="shared" si="1301"/>
        <v>0</v>
      </c>
      <c r="K1647" s="214">
        <v>50.0</v>
      </c>
      <c r="L1647" s="212" t="str">
        <f t="shared" si="3"/>
        <v>n/a</v>
      </c>
      <c r="M1647" s="212">
        <f t="shared" si="4"/>
        <v>50</v>
      </c>
      <c r="N1647" s="207" t="str">
        <f t="shared" si="5"/>
        <v>n/a</v>
      </c>
      <c r="O1647" s="207" t="str">
        <f t="shared" si="6"/>
        <v>n/a</v>
      </c>
    </row>
    <row r="1648" ht="15.75" customHeight="1">
      <c r="A1648" s="207">
        <v>88.0</v>
      </c>
      <c r="B1648" s="6" t="str">
        <f>VLOOKUP($A1648, 'Completion rates'!$A:$E, 2, FALSE)</f>
        <v>Surviving the round (last man standing)</v>
      </c>
      <c r="C1648" s="207">
        <v>24215.0</v>
      </c>
      <c r="D1648" s="6" t="str">
        <f>VLOOKUP($C1648, 'List of log slots'!$A:$E, 2, FALSE)</f>
        <v>Victor's cape (500)</v>
      </c>
      <c r="E1648" s="207">
        <f>VLOOKUP($C1648, 'List of log slots'!$A:$E, 5, FALSE)</f>
        <v>8</v>
      </c>
      <c r="F1648" s="208" t="b">
        <f>VLOOKUP(C1648, 'List of log slots'!$A:$C, 3, FALSE)</f>
        <v>0</v>
      </c>
      <c r="G1648" s="210" t="b">
        <f t="shared" si="1302"/>
        <v>1</v>
      </c>
      <c r="H1648" s="209" t="b">
        <f t="shared" si="7"/>
        <v>0</v>
      </c>
      <c r="I1648" s="213" t="b">
        <f t="shared" si="1300"/>
        <v>1</v>
      </c>
      <c r="J1648" s="208" t="b">
        <f t="shared" si="1301"/>
        <v>0</v>
      </c>
      <c r="K1648" s="214">
        <v>400.0</v>
      </c>
      <c r="L1648" s="212" t="str">
        <f t="shared" si="3"/>
        <v>n/a</v>
      </c>
      <c r="M1648" s="212">
        <f t="shared" si="4"/>
        <v>400</v>
      </c>
      <c r="N1648" s="207" t="str">
        <f t="shared" si="5"/>
        <v>n/a</v>
      </c>
      <c r="O1648" s="207" t="str">
        <f t="shared" si="6"/>
        <v>n/a</v>
      </c>
    </row>
    <row r="1649" ht="15.75" customHeight="1">
      <c r="A1649" s="207">
        <v>88.0</v>
      </c>
      <c r="B1649" s="6" t="str">
        <f>VLOOKUP($A1649, 'Completion rates'!$A:$E, 2, FALSE)</f>
        <v>Surviving the round (last man standing)</v>
      </c>
      <c r="C1649" s="207">
        <v>24520.0</v>
      </c>
      <c r="D1649" s="6" t="str">
        <f>VLOOKUP($C1649, 'List of log slots'!$A:$E, 2, FALSE)</f>
        <v>Victor's cape (1000)</v>
      </c>
      <c r="E1649" s="207">
        <f>VLOOKUP($C1649, 'List of log slots'!$A:$E, 5, FALSE)</f>
        <v>9</v>
      </c>
      <c r="F1649" s="208" t="b">
        <f>VLOOKUP(C1649, 'List of log slots'!$A:$C, 3, FALSE)</f>
        <v>0</v>
      </c>
      <c r="G1649" s="210" t="b">
        <f t="shared" si="1302"/>
        <v>1</v>
      </c>
      <c r="H1649" s="209" t="b">
        <f t="shared" si="7"/>
        <v>0</v>
      </c>
      <c r="I1649" s="213" t="b">
        <f t="shared" si="1300"/>
        <v>1</v>
      </c>
      <c r="J1649" s="208" t="b">
        <f t="shared" si="1301"/>
        <v>0</v>
      </c>
      <c r="K1649" s="214">
        <v>500.0</v>
      </c>
      <c r="L1649" s="212" t="str">
        <f t="shared" si="3"/>
        <v>n/a</v>
      </c>
      <c r="M1649" s="212">
        <f t="shared" si="4"/>
        <v>500</v>
      </c>
      <c r="N1649" s="207" t="str">
        <f t="shared" si="5"/>
        <v>n/a</v>
      </c>
      <c r="O1649" s="207" t="str">
        <f t="shared" si="6"/>
        <v>n/a</v>
      </c>
    </row>
    <row r="1650" ht="15.75" customHeight="1">
      <c r="A1650" s="207">
        <v>89.0</v>
      </c>
      <c r="B1650" s="6" t="str">
        <f>VLOOKUP($A1650, 'Completion rates'!$A:$E, 2, FALSE)</f>
        <v>Wasting hours at the magic training arena</v>
      </c>
      <c r="C1650" s="207">
        <v>6908.0</v>
      </c>
      <c r="D1650" s="6" t="str">
        <f>VLOOKUP($C1650, 'List of log slots'!$A:$E, 2, FALSE)</f>
        <v>Beginner wand</v>
      </c>
      <c r="E1650" s="207">
        <f>VLOOKUP($C1650, 'List of log slots'!$A:$E, 5, FALSE)</f>
        <v>2</v>
      </c>
      <c r="F1650" s="213" t="b">
        <f>VLOOKUP(C1650, 'List of log slots'!$A:$C, 3, FALSE)</f>
        <v>0</v>
      </c>
      <c r="G1650" s="209" t="b">
        <f>FALSE</f>
        <v>0</v>
      </c>
      <c r="H1650" s="209" t="b">
        <f t="shared" si="7"/>
        <v>1</v>
      </c>
      <c r="I1650" s="213" t="b">
        <f t="shared" si="1300"/>
        <v>1</v>
      </c>
      <c r="J1650" s="213" t="b">
        <f t="shared" ref="J1650:J1690" si="1303">TRUE</f>
        <v>1</v>
      </c>
      <c r="K1650" s="214">
        <v>0.2</v>
      </c>
      <c r="L1650" s="212">
        <f t="shared" si="3"/>
        <v>0.2</v>
      </c>
      <c r="M1650" s="212" t="str">
        <f t="shared" si="4"/>
        <v>n/a</v>
      </c>
      <c r="N1650" s="207" t="str">
        <f t="shared" si="5"/>
        <v>n/a</v>
      </c>
      <c r="O1650" s="207" t="str">
        <f t="shared" si="6"/>
        <v>n/a</v>
      </c>
    </row>
    <row r="1651" ht="15.75" customHeight="1">
      <c r="A1651" s="207">
        <v>89.0</v>
      </c>
      <c r="B1651" s="6" t="str">
        <f>VLOOKUP($A1651, 'Completion rates'!$A:$E, 2, FALSE)</f>
        <v>Wasting hours at the magic training arena</v>
      </c>
      <c r="C1651" s="207">
        <v>6910.0</v>
      </c>
      <c r="D1651" s="6" t="str">
        <f>VLOOKUP($C1651, 'List of log slots'!$A:$E, 2, FALSE)</f>
        <v>Apprentice wand</v>
      </c>
      <c r="E1651" s="207">
        <f>VLOOKUP($C1651, 'List of log slots'!$A:$E, 5, FALSE)</f>
        <v>2</v>
      </c>
      <c r="F1651" s="208" t="b">
        <f>VLOOKUP(C1651, 'List of log slots'!$A:$C, 3, FALSE)</f>
        <v>0</v>
      </c>
      <c r="G1651" s="210" t="b">
        <f t="shared" ref="G1651:G1653" si="1304">TRUE</f>
        <v>1</v>
      </c>
      <c r="H1651" s="210" t="b">
        <f t="shared" si="7"/>
        <v>0</v>
      </c>
      <c r="I1651" s="213" t="b">
        <f t="shared" si="1300"/>
        <v>1</v>
      </c>
      <c r="J1651" s="213" t="b">
        <f t="shared" si="1303"/>
        <v>1</v>
      </c>
      <c r="K1651" s="214">
        <v>0.4</v>
      </c>
      <c r="L1651" s="212">
        <f t="shared" si="3"/>
        <v>0.4</v>
      </c>
      <c r="M1651" s="212" t="str">
        <f t="shared" si="4"/>
        <v>n/a</v>
      </c>
      <c r="N1651" s="207" t="str">
        <f t="shared" si="5"/>
        <v>n/a</v>
      </c>
      <c r="O1651" s="207" t="str">
        <f t="shared" si="6"/>
        <v>n/a</v>
      </c>
    </row>
    <row r="1652" ht="15.75" customHeight="1">
      <c r="A1652" s="207">
        <v>89.0</v>
      </c>
      <c r="B1652" s="6" t="str">
        <f>VLOOKUP($A1652, 'Completion rates'!$A:$E, 2, FALSE)</f>
        <v>Wasting hours at the magic training arena</v>
      </c>
      <c r="C1652" s="207">
        <v>6912.0</v>
      </c>
      <c r="D1652" s="6" t="str">
        <f>VLOOKUP($C1652, 'List of log slots'!$A:$E, 2, FALSE)</f>
        <v>Teacher wand</v>
      </c>
      <c r="E1652" s="207">
        <f>VLOOKUP($C1652, 'List of log slots'!$A:$E, 5, FALSE)</f>
        <v>2</v>
      </c>
      <c r="F1652" s="208" t="b">
        <f>VLOOKUP(C1652, 'List of log slots'!$A:$C, 3, FALSE)</f>
        <v>0</v>
      </c>
      <c r="G1652" s="210" t="b">
        <f t="shared" si="1304"/>
        <v>1</v>
      </c>
      <c r="H1652" s="209" t="b">
        <f t="shared" si="7"/>
        <v>0</v>
      </c>
      <c r="I1652" s="213" t="b">
        <f t="shared" si="1300"/>
        <v>1</v>
      </c>
      <c r="J1652" s="213" t="b">
        <f t="shared" si="1303"/>
        <v>1</v>
      </c>
      <c r="K1652" s="214">
        <v>1.2</v>
      </c>
      <c r="L1652" s="212">
        <f t="shared" si="3"/>
        <v>1.2</v>
      </c>
      <c r="M1652" s="212" t="str">
        <f t="shared" si="4"/>
        <v>n/a</v>
      </c>
      <c r="N1652" s="207" t="str">
        <f t="shared" si="5"/>
        <v>n/a</v>
      </c>
      <c r="O1652" s="207" t="str">
        <f t="shared" si="6"/>
        <v>n/a</v>
      </c>
    </row>
    <row r="1653" ht="15.75" customHeight="1">
      <c r="A1653" s="207">
        <v>89.0</v>
      </c>
      <c r="B1653" s="6" t="str">
        <f>VLOOKUP($A1653, 'Completion rates'!$A:$E, 2, FALSE)</f>
        <v>Wasting hours at the magic training arena</v>
      </c>
      <c r="C1653" s="207">
        <v>6914.0</v>
      </c>
      <c r="D1653" s="6" t="str">
        <f>VLOOKUP($C1653, 'List of log slots'!$A:$E, 2, FALSE)</f>
        <v>Master wand</v>
      </c>
      <c r="E1653" s="207">
        <f>VLOOKUP($C1653, 'List of log slots'!$A:$E, 5, FALSE)</f>
        <v>3</v>
      </c>
      <c r="F1653" s="208" t="b">
        <f>VLOOKUP(C1653, 'List of log slots'!$A:$C, 3, FALSE)</f>
        <v>0</v>
      </c>
      <c r="G1653" s="210" t="b">
        <f t="shared" si="1304"/>
        <v>1</v>
      </c>
      <c r="H1653" s="209" t="b">
        <f t="shared" si="7"/>
        <v>0</v>
      </c>
      <c r="I1653" s="213" t="b">
        <f t="shared" si="1300"/>
        <v>1</v>
      </c>
      <c r="J1653" s="213" t="b">
        <f t="shared" si="1303"/>
        <v>1</v>
      </c>
      <c r="K1653" s="214">
        <v>1.7</v>
      </c>
      <c r="L1653" s="212">
        <f t="shared" si="3"/>
        <v>1.7</v>
      </c>
      <c r="M1653" s="212" t="str">
        <f t="shared" si="4"/>
        <v>n/a</v>
      </c>
      <c r="N1653" s="207" t="str">
        <f t="shared" si="5"/>
        <v>n/a</v>
      </c>
      <c r="O1653" s="207" t="str">
        <f t="shared" si="6"/>
        <v>n/a</v>
      </c>
    </row>
    <row r="1654" ht="15.75" customHeight="1">
      <c r="A1654" s="207">
        <v>89.0</v>
      </c>
      <c r="B1654" s="6" t="str">
        <f>VLOOKUP($A1654, 'Completion rates'!$A:$E, 2, FALSE)</f>
        <v>Wasting hours at the magic training arena</v>
      </c>
      <c r="C1654" s="207">
        <v>6918.0</v>
      </c>
      <c r="D1654" s="6" t="str">
        <f>VLOOKUP($C1654, 'List of log slots'!$A:$E, 2, FALSE)</f>
        <v>Infinity hat</v>
      </c>
      <c r="E1654" s="207">
        <f>VLOOKUP($C1654, 'List of log slots'!$A:$E, 5, FALSE)</f>
        <v>3</v>
      </c>
      <c r="F1654" s="208" t="b">
        <f>VLOOKUP(C1654, 'List of log slots'!$A:$C, 3, FALSE)</f>
        <v>0</v>
      </c>
      <c r="G1654" s="209" t="b">
        <f t="shared" ref="G1654:G1677" si="1305">FALSE</f>
        <v>0</v>
      </c>
      <c r="H1654" s="210" t="b">
        <f t="shared" si="7"/>
        <v>1</v>
      </c>
      <c r="I1654" s="213" t="b">
        <f t="shared" si="1300"/>
        <v>1</v>
      </c>
      <c r="J1654" s="213" t="b">
        <f t="shared" si="1303"/>
        <v>1</v>
      </c>
      <c r="K1654" s="214">
        <v>2.5</v>
      </c>
      <c r="L1654" s="212">
        <f t="shared" si="3"/>
        <v>2.5</v>
      </c>
      <c r="M1654" s="212" t="str">
        <f t="shared" si="4"/>
        <v>n/a</v>
      </c>
      <c r="N1654" s="207" t="str">
        <f t="shared" si="5"/>
        <v>n/a</v>
      </c>
      <c r="O1654" s="207" t="str">
        <f t="shared" si="6"/>
        <v>n/a</v>
      </c>
    </row>
    <row r="1655" ht="15.75" customHeight="1">
      <c r="A1655" s="207">
        <v>89.0</v>
      </c>
      <c r="B1655" s="6" t="str">
        <f>VLOOKUP($A1655, 'Completion rates'!$A:$E, 2, FALSE)</f>
        <v>Wasting hours at the magic training arena</v>
      </c>
      <c r="C1655" s="207">
        <v>6916.0</v>
      </c>
      <c r="D1655" s="6" t="str">
        <f>VLOOKUP($C1655, 'List of log slots'!$A:$E, 2, FALSE)</f>
        <v>Infinity top</v>
      </c>
      <c r="E1655" s="207">
        <f>VLOOKUP($C1655, 'List of log slots'!$A:$E, 5, FALSE)</f>
        <v>3</v>
      </c>
      <c r="F1655" s="208" t="b">
        <f>VLOOKUP(C1655, 'List of log slots'!$A:$C, 3, FALSE)</f>
        <v>0</v>
      </c>
      <c r="G1655" s="209" t="b">
        <f t="shared" si="1305"/>
        <v>0</v>
      </c>
      <c r="H1655" s="210" t="b">
        <f t="shared" si="7"/>
        <v>1</v>
      </c>
      <c r="I1655" s="213" t="b">
        <f t="shared" si="1300"/>
        <v>1</v>
      </c>
      <c r="J1655" s="213" t="b">
        <f t="shared" si="1303"/>
        <v>1</v>
      </c>
      <c r="K1655" s="214">
        <v>2.9</v>
      </c>
      <c r="L1655" s="212">
        <f t="shared" si="3"/>
        <v>2.9</v>
      </c>
      <c r="M1655" s="212" t="str">
        <f t="shared" si="4"/>
        <v>n/a</v>
      </c>
      <c r="N1655" s="207" t="str">
        <f t="shared" si="5"/>
        <v>n/a</v>
      </c>
      <c r="O1655" s="207" t="str">
        <f t="shared" si="6"/>
        <v>n/a</v>
      </c>
    </row>
    <row r="1656" ht="15.75" customHeight="1">
      <c r="A1656" s="207">
        <v>89.0</v>
      </c>
      <c r="B1656" s="6" t="str">
        <f>VLOOKUP($A1656, 'Completion rates'!$A:$E, 2, FALSE)</f>
        <v>Wasting hours at the magic training arena</v>
      </c>
      <c r="C1656" s="207">
        <v>6924.0</v>
      </c>
      <c r="D1656" s="6" t="str">
        <f>VLOOKUP($C1656, 'List of log slots'!$A:$E, 2, FALSE)</f>
        <v>Infinity bottoms</v>
      </c>
      <c r="E1656" s="207">
        <f>VLOOKUP($C1656, 'List of log slots'!$A:$E, 5, FALSE)</f>
        <v>3</v>
      </c>
      <c r="F1656" s="208" t="b">
        <f>VLOOKUP(C1656, 'List of log slots'!$A:$C, 3, FALSE)</f>
        <v>0</v>
      </c>
      <c r="G1656" s="209" t="b">
        <f t="shared" si="1305"/>
        <v>0</v>
      </c>
      <c r="H1656" s="210" t="b">
        <f t="shared" si="7"/>
        <v>1</v>
      </c>
      <c r="I1656" s="213" t="b">
        <f t="shared" si="1300"/>
        <v>1</v>
      </c>
      <c r="J1656" s="213" t="b">
        <f t="shared" si="1303"/>
        <v>1</v>
      </c>
      <c r="K1656" s="214">
        <v>3.2</v>
      </c>
      <c r="L1656" s="212">
        <f t="shared" si="3"/>
        <v>3.2</v>
      </c>
      <c r="M1656" s="212" t="str">
        <f t="shared" si="4"/>
        <v>n/a</v>
      </c>
      <c r="N1656" s="207" t="str">
        <f t="shared" si="5"/>
        <v>n/a</v>
      </c>
      <c r="O1656" s="207" t="str">
        <f t="shared" si="6"/>
        <v>n/a</v>
      </c>
    </row>
    <row r="1657" ht="15.75" customHeight="1">
      <c r="A1657" s="207">
        <v>89.0</v>
      </c>
      <c r="B1657" s="6" t="str">
        <f>VLOOKUP($A1657, 'Completion rates'!$A:$E, 2, FALSE)</f>
        <v>Wasting hours at the magic training arena</v>
      </c>
      <c r="C1657" s="207">
        <v>6920.0</v>
      </c>
      <c r="D1657" s="6" t="str">
        <f>VLOOKUP($C1657, 'List of log slots'!$A:$E, 2, FALSE)</f>
        <v>Infinity boots</v>
      </c>
      <c r="E1657" s="207">
        <f>VLOOKUP($C1657, 'List of log slots'!$A:$E, 5, FALSE)</f>
        <v>2</v>
      </c>
      <c r="F1657" s="213" t="b">
        <f>VLOOKUP(C1657, 'List of log slots'!$A:$C, 3, FALSE)</f>
        <v>0</v>
      </c>
      <c r="G1657" s="209" t="b">
        <f t="shared" si="1305"/>
        <v>0</v>
      </c>
      <c r="H1657" s="209" t="b">
        <f t="shared" si="7"/>
        <v>1</v>
      </c>
      <c r="I1657" s="213" t="b">
        <f t="shared" si="1300"/>
        <v>1</v>
      </c>
      <c r="J1657" s="213" t="b">
        <f t="shared" si="1303"/>
        <v>1</v>
      </c>
      <c r="K1657" s="214">
        <v>0.9</v>
      </c>
      <c r="L1657" s="212">
        <f t="shared" si="3"/>
        <v>0.9</v>
      </c>
      <c r="M1657" s="212" t="str">
        <f t="shared" si="4"/>
        <v>n/a</v>
      </c>
      <c r="N1657" s="207" t="str">
        <f t="shared" si="5"/>
        <v>n/a</v>
      </c>
      <c r="O1657" s="207" t="str">
        <f t="shared" si="6"/>
        <v>n/a</v>
      </c>
    </row>
    <row r="1658" ht="15.75" customHeight="1">
      <c r="A1658" s="207">
        <v>89.0</v>
      </c>
      <c r="B1658" s="6" t="str">
        <f>VLOOKUP($A1658, 'Completion rates'!$A:$E, 2, FALSE)</f>
        <v>Wasting hours at the magic training arena</v>
      </c>
      <c r="C1658" s="207">
        <v>6922.0</v>
      </c>
      <c r="D1658" s="6" t="str">
        <f>VLOOKUP($C1658, 'List of log slots'!$A:$E, 2, FALSE)</f>
        <v>Infinity gloves</v>
      </c>
      <c r="E1658" s="207">
        <f>VLOOKUP($C1658, 'List of log slots'!$A:$E, 5, FALSE)</f>
        <v>2</v>
      </c>
      <c r="F1658" s="213" t="b">
        <f>VLOOKUP(C1658, 'List of log slots'!$A:$C, 3, FALSE)</f>
        <v>0</v>
      </c>
      <c r="G1658" s="209" t="b">
        <f t="shared" si="1305"/>
        <v>0</v>
      </c>
      <c r="H1658" s="209" t="b">
        <f t="shared" si="7"/>
        <v>1</v>
      </c>
      <c r="I1658" s="213" t="b">
        <f t="shared" si="1300"/>
        <v>1</v>
      </c>
      <c r="J1658" s="213" t="b">
        <f t="shared" si="1303"/>
        <v>1</v>
      </c>
      <c r="K1658" s="214">
        <v>1.3</v>
      </c>
      <c r="L1658" s="212">
        <f t="shared" si="3"/>
        <v>1.3</v>
      </c>
      <c r="M1658" s="212" t="str">
        <f t="shared" si="4"/>
        <v>n/a</v>
      </c>
      <c r="N1658" s="207" t="str">
        <f t="shared" si="5"/>
        <v>n/a</v>
      </c>
      <c r="O1658" s="207" t="str">
        <f t="shared" si="6"/>
        <v>n/a</v>
      </c>
    </row>
    <row r="1659" ht="15.75" customHeight="1">
      <c r="A1659" s="207">
        <v>89.0</v>
      </c>
      <c r="B1659" s="6" t="str">
        <f>VLOOKUP($A1659, 'Completion rates'!$A:$E, 2, FALSE)</f>
        <v>Wasting hours at the magic training arena</v>
      </c>
      <c r="C1659" s="207">
        <v>6889.0</v>
      </c>
      <c r="D1659" s="6" t="str">
        <f>VLOOKUP($C1659, 'List of log slots'!$A:$E, 2, FALSE)</f>
        <v>Mage's book</v>
      </c>
      <c r="E1659" s="207">
        <f>VLOOKUP($C1659, 'List of log slots'!$A:$E, 5, FALSE)</f>
        <v>3</v>
      </c>
      <c r="F1659" s="208" t="b">
        <f>VLOOKUP(C1659, 'List of log slots'!$A:$C, 3, FALSE)</f>
        <v>0</v>
      </c>
      <c r="G1659" s="209" t="b">
        <f t="shared" si="1305"/>
        <v>0</v>
      </c>
      <c r="H1659" s="210" t="b">
        <f t="shared" si="7"/>
        <v>1</v>
      </c>
      <c r="I1659" s="213" t="b">
        <f t="shared" si="1300"/>
        <v>1</v>
      </c>
      <c r="J1659" s="213" t="b">
        <f t="shared" si="1303"/>
        <v>1</v>
      </c>
      <c r="K1659" s="214">
        <v>3.7</v>
      </c>
      <c r="L1659" s="212">
        <f t="shared" si="3"/>
        <v>3.7</v>
      </c>
      <c r="M1659" s="212" t="str">
        <f t="shared" si="4"/>
        <v>n/a</v>
      </c>
      <c r="N1659" s="207" t="str">
        <f t="shared" si="5"/>
        <v>n/a</v>
      </c>
      <c r="O1659" s="207" t="str">
        <f t="shared" si="6"/>
        <v>n/a</v>
      </c>
    </row>
    <row r="1660" ht="15.75" customHeight="1">
      <c r="A1660" s="207">
        <v>89.0</v>
      </c>
      <c r="B1660" s="6" t="str">
        <f>VLOOKUP($A1660, 'Completion rates'!$A:$E, 2, FALSE)</f>
        <v>Wasting hours at the magic training arena</v>
      </c>
      <c r="C1660" s="207">
        <v>6926.0</v>
      </c>
      <c r="D1660" s="6" t="str">
        <f>VLOOKUP($C1660, 'List of log slots'!$A:$E, 2, FALSE)</f>
        <v>Bones to peaches</v>
      </c>
      <c r="E1660" s="207">
        <f>VLOOKUP($C1660, 'List of log slots'!$A:$E, 5, FALSE)</f>
        <v>2</v>
      </c>
      <c r="F1660" s="213" t="b">
        <f>VLOOKUP(C1660, 'List of log slots'!$A:$C, 3, FALSE)</f>
        <v>0</v>
      </c>
      <c r="G1660" s="209" t="b">
        <f t="shared" si="1305"/>
        <v>0</v>
      </c>
      <c r="H1660" s="209" t="b">
        <f t="shared" si="7"/>
        <v>1</v>
      </c>
      <c r="I1660" s="213" t="b">
        <f t="shared" si="1300"/>
        <v>1</v>
      </c>
      <c r="J1660" s="213" t="b">
        <f t="shared" si="1303"/>
        <v>1</v>
      </c>
      <c r="K1660" s="214">
        <v>1.6</v>
      </c>
      <c r="L1660" s="212">
        <f t="shared" si="3"/>
        <v>1.6</v>
      </c>
      <c r="M1660" s="212" t="str">
        <f t="shared" si="4"/>
        <v>n/a</v>
      </c>
      <c r="N1660" s="207" t="str">
        <f t="shared" si="5"/>
        <v>n/a</v>
      </c>
      <c r="O1660" s="207" t="str">
        <f t="shared" si="6"/>
        <v>n/a</v>
      </c>
    </row>
    <row r="1661" ht="15.75" customHeight="1">
      <c r="A1661" s="207">
        <v>90.0</v>
      </c>
      <c r="B1661" s="6" t="str">
        <f>VLOOKUP($A1661, 'Completion rates'!$A:$E, 2, FALSE)</f>
        <v>Earning mahogany homes carpenter points</v>
      </c>
      <c r="C1661" s="207">
        <v>24884.0</v>
      </c>
      <c r="D1661" s="6" t="str">
        <f>VLOOKUP($C1661, 'List of log slots'!$A:$E, 2, FALSE)</f>
        <v>Supply crate</v>
      </c>
      <c r="E1661" s="207">
        <f>VLOOKUP($C1661, 'List of log slots'!$A:$E, 5, FALSE)</f>
        <v>3</v>
      </c>
      <c r="F1661" s="213" t="b">
        <f>VLOOKUP(C1661, 'List of log slots'!$A:$C, 3, FALSE)</f>
        <v>0</v>
      </c>
      <c r="G1661" s="209" t="b">
        <f t="shared" si="1305"/>
        <v>0</v>
      </c>
      <c r="H1661" s="209" t="b">
        <f t="shared" si="7"/>
        <v>1</v>
      </c>
      <c r="I1661" s="213" t="b">
        <f t="shared" si="1300"/>
        <v>1</v>
      </c>
      <c r="J1661" s="213" t="b">
        <f t="shared" si="1303"/>
        <v>1</v>
      </c>
      <c r="K1661" s="214">
        <v>25.0</v>
      </c>
      <c r="L1661" s="212">
        <f t="shared" si="3"/>
        <v>25</v>
      </c>
      <c r="M1661" s="212" t="str">
        <f t="shared" si="4"/>
        <v>n/a</v>
      </c>
      <c r="N1661" s="207" t="str">
        <f t="shared" si="5"/>
        <v>n/a</v>
      </c>
      <c r="O1661" s="207" t="str">
        <f t="shared" si="6"/>
        <v>n/a</v>
      </c>
    </row>
    <row r="1662" ht="15.75" customHeight="1">
      <c r="A1662" s="207">
        <v>90.0</v>
      </c>
      <c r="B1662" s="6" t="str">
        <f>VLOOKUP($A1662, 'Completion rates'!$A:$E, 2, FALSE)</f>
        <v>Earning mahogany homes carpenter points</v>
      </c>
      <c r="C1662" s="207">
        <v>24872.0</v>
      </c>
      <c r="D1662" s="6" t="str">
        <f>VLOOKUP($C1662, 'List of log slots'!$A:$E, 2, FALSE)</f>
        <v>Carpenter's helmet</v>
      </c>
      <c r="E1662" s="207">
        <f>VLOOKUP($C1662, 'List of log slots'!$A:$E, 5, FALSE)</f>
        <v>4</v>
      </c>
      <c r="F1662" s="213" t="b">
        <f>VLOOKUP(C1662, 'List of log slots'!$A:$C, 3, FALSE)</f>
        <v>0</v>
      </c>
      <c r="G1662" s="209" t="b">
        <f t="shared" si="1305"/>
        <v>0</v>
      </c>
      <c r="H1662" s="209" t="b">
        <f t="shared" si="7"/>
        <v>1</v>
      </c>
      <c r="I1662" s="213" t="b">
        <f t="shared" si="1300"/>
        <v>1</v>
      </c>
      <c r="J1662" s="213" t="b">
        <f t="shared" si="1303"/>
        <v>1</v>
      </c>
      <c r="K1662" s="214">
        <v>400.0</v>
      </c>
      <c r="L1662" s="212">
        <f t="shared" si="3"/>
        <v>400</v>
      </c>
      <c r="M1662" s="212" t="str">
        <f t="shared" si="4"/>
        <v>n/a</v>
      </c>
      <c r="N1662" s="207" t="str">
        <f t="shared" si="5"/>
        <v>n/a</v>
      </c>
      <c r="O1662" s="207" t="str">
        <f t="shared" si="6"/>
        <v>n/a</v>
      </c>
    </row>
    <row r="1663" ht="15.75" customHeight="1">
      <c r="A1663" s="207">
        <v>90.0</v>
      </c>
      <c r="B1663" s="6" t="str">
        <f>VLOOKUP($A1663, 'Completion rates'!$A:$E, 2, FALSE)</f>
        <v>Earning mahogany homes carpenter points</v>
      </c>
      <c r="C1663" s="207">
        <v>24874.0</v>
      </c>
      <c r="D1663" s="6" t="str">
        <f>VLOOKUP($C1663, 'List of log slots'!$A:$E, 2, FALSE)</f>
        <v>Carpenter's shirt</v>
      </c>
      <c r="E1663" s="207">
        <f>VLOOKUP($C1663, 'List of log slots'!$A:$E, 5, FALSE)</f>
        <v>4</v>
      </c>
      <c r="F1663" s="213" t="b">
        <f>VLOOKUP(C1663, 'List of log slots'!$A:$C, 3, FALSE)</f>
        <v>0</v>
      </c>
      <c r="G1663" s="209" t="b">
        <f t="shared" si="1305"/>
        <v>0</v>
      </c>
      <c r="H1663" s="209" t="b">
        <f t="shared" si="7"/>
        <v>1</v>
      </c>
      <c r="I1663" s="213" t="b">
        <f t="shared" si="1300"/>
        <v>1</v>
      </c>
      <c r="J1663" s="213" t="b">
        <f t="shared" si="1303"/>
        <v>1</v>
      </c>
      <c r="K1663" s="214">
        <v>800.0</v>
      </c>
      <c r="L1663" s="212">
        <f t="shared" si="3"/>
        <v>800</v>
      </c>
      <c r="M1663" s="212" t="str">
        <f t="shared" si="4"/>
        <v>n/a</v>
      </c>
      <c r="N1663" s="207" t="str">
        <f t="shared" si="5"/>
        <v>n/a</v>
      </c>
      <c r="O1663" s="207" t="str">
        <f t="shared" si="6"/>
        <v>n/a</v>
      </c>
    </row>
    <row r="1664" ht="15.75" customHeight="1">
      <c r="A1664" s="207">
        <v>90.0</v>
      </c>
      <c r="B1664" s="6" t="str">
        <f>VLOOKUP($A1664, 'Completion rates'!$A:$E, 2, FALSE)</f>
        <v>Earning mahogany homes carpenter points</v>
      </c>
      <c r="C1664" s="207">
        <v>24876.0</v>
      </c>
      <c r="D1664" s="6" t="str">
        <f>VLOOKUP($C1664, 'List of log slots'!$A:$E, 2, FALSE)</f>
        <v>Carpenter's trousers</v>
      </c>
      <c r="E1664" s="207">
        <f>VLOOKUP($C1664, 'List of log slots'!$A:$E, 5, FALSE)</f>
        <v>4</v>
      </c>
      <c r="F1664" s="213" t="b">
        <f>VLOOKUP(C1664, 'List of log slots'!$A:$C, 3, FALSE)</f>
        <v>0</v>
      </c>
      <c r="G1664" s="209" t="b">
        <f t="shared" si="1305"/>
        <v>0</v>
      </c>
      <c r="H1664" s="209" t="b">
        <f t="shared" si="7"/>
        <v>1</v>
      </c>
      <c r="I1664" s="213" t="b">
        <f t="shared" si="1300"/>
        <v>1</v>
      </c>
      <c r="J1664" s="213" t="b">
        <f t="shared" si="1303"/>
        <v>1</v>
      </c>
      <c r="K1664" s="214">
        <v>600.0</v>
      </c>
      <c r="L1664" s="212">
        <f t="shared" si="3"/>
        <v>600</v>
      </c>
      <c r="M1664" s="212" t="str">
        <f t="shared" si="4"/>
        <v>n/a</v>
      </c>
      <c r="N1664" s="207" t="str">
        <f t="shared" si="5"/>
        <v>n/a</v>
      </c>
      <c r="O1664" s="207" t="str">
        <f t="shared" si="6"/>
        <v>n/a</v>
      </c>
    </row>
    <row r="1665" ht="15.75" customHeight="1">
      <c r="A1665" s="207">
        <v>90.0</v>
      </c>
      <c r="B1665" s="6" t="str">
        <f>VLOOKUP($A1665, 'Completion rates'!$A:$E, 2, FALSE)</f>
        <v>Earning mahogany homes carpenter points</v>
      </c>
      <c r="C1665" s="207">
        <v>24878.0</v>
      </c>
      <c r="D1665" s="6" t="str">
        <f>VLOOKUP($C1665, 'List of log slots'!$A:$E, 2, FALSE)</f>
        <v>Carpenter's boots</v>
      </c>
      <c r="E1665" s="207">
        <f>VLOOKUP($C1665, 'List of log slots'!$A:$E, 5, FALSE)</f>
        <v>4</v>
      </c>
      <c r="F1665" s="213" t="b">
        <f>VLOOKUP(C1665, 'List of log slots'!$A:$C, 3, FALSE)</f>
        <v>0</v>
      </c>
      <c r="G1665" s="209" t="b">
        <f t="shared" si="1305"/>
        <v>0</v>
      </c>
      <c r="H1665" s="209" t="b">
        <f t="shared" si="7"/>
        <v>1</v>
      </c>
      <c r="I1665" s="213" t="b">
        <f t="shared" si="1300"/>
        <v>1</v>
      </c>
      <c r="J1665" s="213" t="b">
        <f t="shared" si="1303"/>
        <v>1</v>
      </c>
      <c r="K1665" s="214">
        <v>200.0</v>
      </c>
      <c r="L1665" s="212">
        <f t="shared" si="3"/>
        <v>200</v>
      </c>
      <c r="M1665" s="212" t="str">
        <f t="shared" si="4"/>
        <v>n/a</v>
      </c>
      <c r="N1665" s="207" t="str">
        <f t="shared" si="5"/>
        <v>n/a</v>
      </c>
      <c r="O1665" s="207" t="str">
        <f t="shared" si="6"/>
        <v>n/a</v>
      </c>
    </row>
    <row r="1666" ht="15.75" customHeight="1">
      <c r="A1666" s="207">
        <v>90.0</v>
      </c>
      <c r="B1666" s="6" t="str">
        <f>VLOOKUP($A1666, 'Completion rates'!$A:$E, 2, FALSE)</f>
        <v>Earning mahogany homes carpenter points</v>
      </c>
      <c r="C1666" s="207">
        <v>24880.0</v>
      </c>
      <c r="D1666" s="6" t="str">
        <f>VLOOKUP($C1666, 'List of log slots'!$A:$E, 2, FALSE)</f>
        <v>Amy's saw</v>
      </c>
      <c r="E1666" s="207">
        <f>VLOOKUP($C1666, 'List of log slots'!$A:$E, 5, FALSE)</f>
        <v>4</v>
      </c>
      <c r="F1666" s="213" t="b">
        <f>VLOOKUP(C1666, 'List of log slots'!$A:$C, 3, FALSE)</f>
        <v>0</v>
      </c>
      <c r="G1666" s="209" t="b">
        <f t="shared" si="1305"/>
        <v>0</v>
      </c>
      <c r="H1666" s="209" t="b">
        <f t="shared" si="7"/>
        <v>1</v>
      </c>
      <c r="I1666" s="213" t="b">
        <f t="shared" si="1300"/>
        <v>1</v>
      </c>
      <c r="J1666" s="213" t="b">
        <f t="shared" si="1303"/>
        <v>1</v>
      </c>
      <c r="K1666" s="214">
        <v>500.0</v>
      </c>
      <c r="L1666" s="212">
        <f t="shared" si="3"/>
        <v>500</v>
      </c>
      <c r="M1666" s="212" t="str">
        <f t="shared" si="4"/>
        <v>n/a</v>
      </c>
      <c r="N1666" s="207" t="str">
        <f t="shared" si="5"/>
        <v>n/a</v>
      </c>
      <c r="O1666" s="207" t="str">
        <f t="shared" si="6"/>
        <v>n/a</v>
      </c>
    </row>
    <row r="1667" ht="15.75" customHeight="1">
      <c r="A1667" s="207">
        <v>90.0</v>
      </c>
      <c r="B1667" s="6" t="str">
        <f>VLOOKUP($A1667, 'Completion rates'!$A:$E, 2, FALSE)</f>
        <v>Earning mahogany homes carpenter points</v>
      </c>
      <c r="C1667" s="207">
        <v>25629.0</v>
      </c>
      <c r="D1667" s="6" t="str">
        <f>VLOOKUP($C1667, 'List of log slots'!$A:$E, 2, FALSE)</f>
        <v>Plank sack</v>
      </c>
      <c r="E1667" s="207">
        <f>VLOOKUP($C1667, 'List of log slots'!$A:$E, 5, FALSE)</f>
        <v>4</v>
      </c>
      <c r="F1667" s="213" t="b">
        <f>VLOOKUP(C1667, 'List of log slots'!$A:$C, 3, FALSE)</f>
        <v>0</v>
      </c>
      <c r="G1667" s="209" t="b">
        <f t="shared" si="1305"/>
        <v>0</v>
      </c>
      <c r="H1667" s="209" t="b">
        <f t="shared" si="7"/>
        <v>1</v>
      </c>
      <c r="I1667" s="213" t="b">
        <f t="shared" si="1300"/>
        <v>1</v>
      </c>
      <c r="J1667" s="213" t="b">
        <f t="shared" si="1303"/>
        <v>1</v>
      </c>
      <c r="K1667" s="214">
        <v>350.0</v>
      </c>
      <c r="L1667" s="212">
        <f t="shared" si="3"/>
        <v>350</v>
      </c>
      <c r="M1667" s="212" t="str">
        <f t="shared" si="4"/>
        <v>n/a</v>
      </c>
      <c r="N1667" s="207" t="str">
        <f t="shared" si="5"/>
        <v>n/a</v>
      </c>
      <c r="O1667" s="207" t="str">
        <f t="shared" si="6"/>
        <v>n/a</v>
      </c>
    </row>
    <row r="1668" ht="15.75" customHeight="1">
      <c r="A1668" s="207">
        <v>90.0</v>
      </c>
      <c r="B1668" s="6" t="str">
        <f>VLOOKUP($A1668, 'Completion rates'!$A:$E, 2, FALSE)</f>
        <v>Earning mahogany homes carpenter points</v>
      </c>
      <c r="C1668" s="207">
        <v>24885.0</v>
      </c>
      <c r="D1668" s="6" t="str">
        <f>VLOOKUP($C1668, 'List of log slots'!$A:$E, 2, FALSE)</f>
        <v>Hosidius blueprints</v>
      </c>
      <c r="E1668" s="207">
        <f>VLOOKUP($C1668, 'List of log slots'!$A:$E, 5, FALSE)</f>
        <v>5</v>
      </c>
      <c r="F1668" s="213" t="b">
        <f>VLOOKUP(C1668, 'List of log slots'!$A:$C, 3, FALSE)</f>
        <v>0</v>
      </c>
      <c r="G1668" s="209" t="b">
        <f t="shared" si="1305"/>
        <v>0</v>
      </c>
      <c r="H1668" s="209" t="b">
        <f t="shared" si="7"/>
        <v>1</v>
      </c>
      <c r="I1668" s="213" t="b">
        <f t="shared" si="1300"/>
        <v>1</v>
      </c>
      <c r="J1668" s="213" t="b">
        <f t="shared" si="1303"/>
        <v>1</v>
      </c>
      <c r="K1668" s="214">
        <v>2000.0</v>
      </c>
      <c r="L1668" s="212">
        <f t="shared" si="3"/>
        <v>2000</v>
      </c>
      <c r="M1668" s="212" t="str">
        <f t="shared" si="4"/>
        <v>n/a</v>
      </c>
      <c r="N1668" s="207" t="str">
        <f t="shared" si="5"/>
        <v>n/a</v>
      </c>
      <c r="O1668" s="207" t="str">
        <f t="shared" si="6"/>
        <v>n/a</v>
      </c>
    </row>
    <row r="1669" ht="15.75" customHeight="1">
      <c r="A1669" s="207">
        <v>91.0</v>
      </c>
      <c r="B1669" s="6" t="str">
        <f>VLOOKUP($A1669, 'Completion rates'!$A:$E, 2, FALSE)</f>
        <v>Collecting resin (mastering mixology)</v>
      </c>
      <c r="C1669" s="207">
        <v>29974.0</v>
      </c>
      <c r="D1669" s="6" t="str">
        <f>VLOOKUP($C1669, 'List of log slots'!$A:$E, 2, FALSE)</f>
        <v>Prescription goggles</v>
      </c>
      <c r="E1669" s="207">
        <f>VLOOKUP($C1669, 'List of log slots'!$A:$E, 5, FALSE)</f>
        <v>4</v>
      </c>
      <c r="F1669" s="213" t="b">
        <f>VLOOKUP(C1669, 'List of log slots'!$A:$C, 3, FALSE)</f>
        <v>0</v>
      </c>
      <c r="G1669" s="209" t="b">
        <f t="shared" si="1305"/>
        <v>0</v>
      </c>
      <c r="H1669" s="209" t="b">
        <f t="shared" si="7"/>
        <v>1</v>
      </c>
      <c r="I1669" s="213" t="b">
        <f t="shared" si="1300"/>
        <v>1</v>
      </c>
      <c r="J1669" s="213" t="b">
        <f t="shared" si="1303"/>
        <v>1</v>
      </c>
      <c r="K1669" s="214">
        <v>24950.0</v>
      </c>
      <c r="L1669" s="212">
        <f t="shared" si="3"/>
        <v>24950</v>
      </c>
      <c r="M1669" s="212" t="str">
        <f t="shared" si="4"/>
        <v>n/a</v>
      </c>
      <c r="N1669" s="207" t="str">
        <f t="shared" si="5"/>
        <v>n/a</v>
      </c>
      <c r="O1669" s="207" t="str">
        <f t="shared" si="6"/>
        <v>n/a</v>
      </c>
    </row>
    <row r="1670" ht="15.75" customHeight="1">
      <c r="A1670" s="207">
        <v>91.0</v>
      </c>
      <c r="B1670" s="6" t="str">
        <f>VLOOKUP($A1670, 'Completion rates'!$A:$E, 2, FALSE)</f>
        <v>Collecting resin (mastering mixology)</v>
      </c>
      <c r="C1670" s="207">
        <v>29978.0</v>
      </c>
      <c r="D1670" s="6" t="str">
        <f>VLOOKUP($C1670, 'List of log slots'!$A:$E, 2, FALSE)</f>
        <v>Alchemist labcoat</v>
      </c>
      <c r="E1670" s="207">
        <f>VLOOKUP($C1670, 'List of log slots'!$A:$E, 5, FALSE)</f>
        <v>4</v>
      </c>
      <c r="F1670" s="213" t="b">
        <f>VLOOKUP(C1670, 'List of log slots'!$A:$C, 3, FALSE)</f>
        <v>0</v>
      </c>
      <c r="G1670" s="209" t="b">
        <f t="shared" si="1305"/>
        <v>0</v>
      </c>
      <c r="H1670" s="209" t="b">
        <f t="shared" si="7"/>
        <v>1</v>
      </c>
      <c r="I1670" s="213" t="b">
        <f t="shared" si="1300"/>
        <v>1</v>
      </c>
      <c r="J1670" s="213" t="b">
        <f t="shared" si="1303"/>
        <v>1</v>
      </c>
      <c r="K1670" s="214">
        <v>8750.0</v>
      </c>
      <c r="L1670" s="212">
        <f t="shared" si="3"/>
        <v>8750</v>
      </c>
      <c r="M1670" s="212" t="str">
        <f t="shared" si="4"/>
        <v>n/a</v>
      </c>
      <c r="N1670" s="207" t="str">
        <f t="shared" si="5"/>
        <v>n/a</v>
      </c>
      <c r="O1670" s="207" t="str">
        <f t="shared" si="6"/>
        <v>n/a</v>
      </c>
    </row>
    <row r="1671" ht="15.75" customHeight="1">
      <c r="A1671" s="207">
        <v>91.0</v>
      </c>
      <c r="B1671" s="6" t="str">
        <f>VLOOKUP($A1671, 'Completion rates'!$A:$E, 2, FALSE)</f>
        <v>Collecting resin (mastering mixology)</v>
      </c>
      <c r="C1671" s="207">
        <v>29982.0</v>
      </c>
      <c r="D1671" s="6" t="str">
        <f>VLOOKUP($C1671, 'List of log slots'!$A:$E, 2, FALSE)</f>
        <v>Alchemist pants</v>
      </c>
      <c r="E1671" s="207">
        <f>VLOOKUP($C1671, 'List of log slots'!$A:$E, 5, FALSE)</f>
        <v>4</v>
      </c>
      <c r="F1671" s="213" t="b">
        <f>VLOOKUP(C1671, 'List of log slots'!$A:$C, 3, FALSE)</f>
        <v>0</v>
      </c>
      <c r="G1671" s="209" t="b">
        <f t="shared" si="1305"/>
        <v>0</v>
      </c>
      <c r="H1671" s="209" t="b">
        <f t="shared" si="7"/>
        <v>1</v>
      </c>
      <c r="I1671" s="213" t="b">
        <f t="shared" si="1300"/>
        <v>1</v>
      </c>
      <c r="J1671" s="213" t="b">
        <f t="shared" si="1303"/>
        <v>1</v>
      </c>
      <c r="K1671" s="214">
        <v>8750.0</v>
      </c>
      <c r="L1671" s="212">
        <f t="shared" si="3"/>
        <v>8750</v>
      </c>
      <c r="M1671" s="212" t="str">
        <f t="shared" si="4"/>
        <v>n/a</v>
      </c>
      <c r="N1671" s="207" t="str">
        <f t="shared" si="5"/>
        <v>n/a</v>
      </c>
      <c r="O1671" s="207" t="str">
        <f t="shared" si="6"/>
        <v>n/a</v>
      </c>
    </row>
    <row r="1672" ht="15.75" customHeight="1">
      <c r="A1672" s="207">
        <v>91.0</v>
      </c>
      <c r="B1672" s="6" t="str">
        <f>VLOOKUP($A1672, 'Completion rates'!$A:$E, 2, FALSE)</f>
        <v>Collecting resin (mastering mixology)</v>
      </c>
      <c r="C1672" s="207">
        <v>29986.0</v>
      </c>
      <c r="D1672" s="6" t="str">
        <f>VLOOKUP($C1672, 'List of log slots'!$A:$E, 2, FALSE)</f>
        <v>Alchemist gloves</v>
      </c>
      <c r="E1672" s="207">
        <f>VLOOKUP($C1672, 'List of log slots'!$A:$E, 5, FALSE)</f>
        <v>4</v>
      </c>
      <c r="F1672" s="213" t="b">
        <f>VLOOKUP(C1672, 'List of log slots'!$A:$C, 3, FALSE)</f>
        <v>0</v>
      </c>
      <c r="G1672" s="209" t="b">
        <f t="shared" si="1305"/>
        <v>0</v>
      </c>
      <c r="H1672" s="209" t="b">
        <f t="shared" si="7"/>
        <v>1</v>
      </c>
      <c r="I1672" s="213" t="b">
        <f t="shared" si="1300"/>
        <v>1</v>
      </c>
      <c r="J1672" s="213" t="b">
        <f t="shared" si="1303"/>
        <v>1</v>
      </c>
      <c r="K1672" s="214">
        <v>8750.0</v>
      </c>
      <c r="L1672" s="212">
        <f t="shared" si="3"/>
        <v>8750</v>
      </c>
      <c r="M1672" s="212" t="str">
        <f t="shared" si="4"/>
        <v>n/a</v>
      </c>
      <c r="N1672" s="207" t="str">
        <f t="shared" si="5"/>
        <v>n/a</v>
      </c>
      <c r="O1672" s="207" t="str">
        <f t="shared" si="6"/>
        <v>n/a</v>
      </c>
    </row>
    <row r="1673" ht="15.75" customHeight="1">
      <c r="A1673" s="207">
        <v>91.0</v>
      </c>
      <c r="B1673" s="6" t="str">
        <f>VLOOKUP($A1673, 'Completion rates'!$A:$E, 2, FALSE)</f>
        <v>Collecting resin (mastering mixology)</v>
      </c>
      <c r="C1673" s="207">
        <v>29992.0</v>
      </c>
      <c r="D1673" s="6" t="str">
        <f>VLOOKUP($C1673, 'List of log slots'!$A:$E, 2, FALSE)</f>
        <v>Alchemist's amulet</v>
      </c>
      <c r="E1673" s="207">
        <f>VLOOKUP($C1673, 'List of log slots'!$A:$E, 5, FALSE)</f>
        <v>4</v>
      </c>
      <c r="F1673" s="213" t="b">
        <f>VLOOKUP(C1673, 'List of log slots'!$A:$C, 3, FALSE)</f>
        <v>0</v>
      </c>
      <c r="G1673" s="209" t="b">
        <f t="shared" si="1305"/>
        <v>0</v>
      </c>
      <c r="H1673" s="209" t="b">
        <f t="shared" si="7"/>
        <v>1</v>
      </c>
      <c r="I1673" s="213" t="b">
        <f t="shared" si="1300"/>
        <v>1</v>
      </c>
      <c r="J1673" s="213" t="b">
        <f t="shared" si="1303"/>
        <v>1</v>
      </c>
      <c r="K1673" s="214">
        <v>19950.0</v>
      </c>
      <c r="L1673" s="212">
        <f t="shared" si="3"/>
        <v>19950</v>
      </c>
      <c r="M1673" s="212" t="str">
        <f t="shared" si="4"/>
        <v>n/a</v>
      </c>
      <c r="N1673" s="207" t="str">
        <f t="shared" si="5"/>
        <v>n/a</v>
      </c>
      <c r="O1673" s="207" t="str">
        <f t="shared" si="6"/>
        <v>n/a</v>
      </c>
    </row>
    <row r="1674" ht="15.75" customHeight="1">
      <c r="A1674" s="207">
        <v>91.0</v>
      </c>
      <c r="B1674" s="6" t="str">
        <f>VLOOKUP($A1674, 'Completion rates'!$A:$E, 2, FALSE)</f>
        <v>Collecting resin (mastering mixology)</v>
      </c>
      <c r="C1674" s="207">
        <v>29996.0</v>
      </c>
      <c r="D1674" s="6" t="str">
        <f>VLOOKUP($C1674, 'List of log slots'!$A:$E, 2, FALSE)</f>
        <v>Reagent pouch</v>
      </c>
      <c r="E1674" s="207">
        <f>VLOOKUP($C1674, 'List of log slots'!$A:$E, 5, FALSE)</f>
        <v>4</v>
      </c>
      <c r="F1674" s="213" t="b">
        <f>VLOOKUP(C1674, 'List of log slots'!$A:$C, 3, FALSE)</f>
        <v>0</v>
      </c>
      <c r="G1674" s="209" t="b">
        <f t="shared" si="1305"/>
        <v>0</v>
      </c>
      <c r="H1674" s="209" t="b">
        <f t="shared" si="7"/>
        <v>1</v>
      </c>
      <c r="I1674" s="213" t="b">
        <f t="shared" si="1300"/>
        <v>1</v>
      </c>
      <c r="J1674" s="213" t="b">
        <f t="shared" si="1303"/>
        <v>1</v>
      </c>
      <c r="K1674" s="214">
        <v>40100.0</v>
      </c>
      <c r="L1674" s="212">
        <f t="shared" si="3"/>
        <v>40100</v>
      </c>
      <c r="M1674" s="212" t="str">
        <f t="shared" si="4"/>
        <v>n/a</v>
      </c>
      <c r="N1674" s="207" t="str">
        <f t="shared" si="5"/>
        <v>n/a</v>
      </c>
      <c r="O1674" s="207" t="str">
        <f t="shared" si="6"/>
        <v>n/a</v>
      </c>
    </row>
    <row r="1675" ht="15.75" customHeight="1">
      <c r="A1675" s="207">
        <v>91.0</v>
      </c>
      <c r="B1675" s="6" t="str">
        <f>VLOOKUP($A1675, 'Completion rates'!$A:$E, 2, FALSE)</f>
        <v>Collecting resin (mastering mixology)</v>
      </c>
      <c r="C1675" s="207">
        <v>30002.0</v>
      </c>
      <c r="D1675" s="6" t="str">
        <f>VLOOKUP($C1675, 'List of log slots'!$A:$E, 2, FALSE)</f>
        <v>Chugging barrel (disassembled)</v>
      </c>
      <c r="E1675" s="207">
        <f>VLOOKUP($C1675, 'List of log slots'!$A:$E, 5, FALSE)</f>
        <v>5</v>
      </c>
      <c r="F1675" s="213" t="b">
        <f>VLOOKUP(C1675, 'List of log slots'!$A:$C, 3, FALSE)</f>
        <v>0</v>
      </c>
      <c r="G1675" s="209" t="b">
        <f t="shared" si="1305"/>
        <v>0</v>
      </c>
      <c r="H1675" s="209" t="b">
        <f t="shared" si="7"/>
        <v>1</v>
      </c>
      <c r="I1675" s="213" t="b">
        <f t="shared" si="1300"/>
        <v>1</v>
      </c>
      <c r="J1675" s="213" t="b">
        <f t="shared" si="1303"/>
        <v>1</v>
      </c>
      <c r="K1675" s="214">
        <v>49850.0</v>
      </c>
      <c r="L1675" s="212">
        <f t="shared" si="3"/>
        <v>49850</v>
      </c>
      <c r="M1675" s="212" t="str">
        <f t="shared" si="4"/>
        <v>n/a</v>
      </c>
      <c r="N1675" s="207" t="str">
        <f t="shared" si="5"/>
        <v>n/a</v>
      </c>
      <c r="O1675" s="207" t="str">
        <f t="shared" si="6"/>
        <v>n/a</v>
      </c>
    </row>
    <row r="1676" ht="15.75" customHeight="1">
      <c r="A1676" s="207">
        <v>92.0</v>
      </c>
      <c r="B1676" s="6" t="str">
        <f>VLOOKUP($A1676, 'Completion rates'!$A:$E, 2, FALSE)</f>
        <v>Getting commendation points (pest control)</v>
      </c>
      <c r="C1676" s="207">
        <v>8841.0</v>
      </c>
      <c r="D1676" s="6" t="str">
        <f>VLOOKUP($C1676, 'List of log slots'!$A:$E, 2, FALSE)</f>
        <v>Void knight mace</v>
      </c>
      <c r="E1676" s="207">
        <f>VLOOKUP($C1676, 'List of log slots'!$A:$E, 5, FALSE)</f>
        <v>4</v>
      </c>
      <c r="F1676" s="213" t="b">
        <f>VLOOKUP(C1676, 'List of log slots'!$A:$C, 3, FALSE)</f>
        <v>0</v>
      </c>
      <c r="G1676" s="209" t="b">
        <f t="shared" si="1305"/>
        <v>0</v>
      </c>
      <c r="H1676" s="209" t="b">
        <f t="shared" si="7"/>
        <v>1</v>
      </c>
      <c r="I1676" s="213" t="b">
        <f t="shared" si="1300"/>
        <v>1</v>
      </c>
      <c r="J1676" s="213" t="b">
        <f t="shared" si="1303"/>
        <v>1</v>
      </c>
      <c r="K1676" s="214">
        <v>250.0</v>
      </c>
      <c r="L1676" s="212">
        <f t="shared" si="3"/>
        <v>250</v>
      </c>
      <c r="M1676" s="212" t="str">
        <f t="shared" si="4"/>
        <v>n/a</v>
      </c>
      <c r="N1676" s="207" t="str">
        <f t="shared" si="5"/>
        <v>n/a</v>
      </c>
      <c r="O1676" s="207" t="str">
        <f t="shared" si="6"/>
        <v>n/a</v>
      </c>
    </row>
    <row r="1677" ht="15.75" customHeight="1">
      <c r="A1677" s="207">
        <v>92.0</v>
      </c>
      <c r="B1677" s="6" t="str">
        <f>VLOOKUP($A1677, 'Completion rates'!$A:$E, 2, FALSE)</f>
        <v>Getting commendation points (pest control)</v>
      </c>
      <c r="C1677" s="207">
        <v>8839.0</v>
      </c>
      <c r="D1677" s="6" t="str">
        <f>VLOOKUP($C1677, 'List of log slots'!$A:$E, 2, FALSE)</f>
        <v>Void knight top</v>
      </c>
      <c r="E1677" s="207">
        <f>VLOOKUP($C1677, 'List of log slots'!$A:$E, 5, FALSE)</f>
        <v>3</v>
      </c>
      <c r="F1677" s="210" t="b">
        <f>VLOOKUP(C1677, 'List of log slots'!$A:$C, 3, FALSE)</f>
        <v>0</v>
      </c>
      <c r="G1677" s="209" t="b">
        <f t="shared" si="1305"/>
        <v>0</v>
      </c>
      <c r="H1677" s="209" t="b">
        <f t="shared" si="7"/>
        <v>1</v>
      </c>
      <c r="I1677" s="213" t="b">
        <f t="shared" si="1300"/>
        <v>1</v>
      </c>
      <c r="J1677" s="213" t="b">
        <f t="shared" si="1303"/>
        <v>1</v>
      </c>
      <c r="K1677" s="214">
        <v>250.0</v>
      </c>
      <c r="L1677" s="212">
        <f t="shared" si="3"/>
        <v>250</v>
      </c>
      <c r="M1677" s="212" t="str">
        <f t="shared" si="4"/>
        <v>n/a</v>
      </c>
      <c r="N1677" s="207" t="str">
        <f t="shared" si="5"/>
        <v>n/a</v>
      </c>
      <c r="O1677" s="207" t="str">
        <f t="shared" si="6"/>
        <v>n/a</v>
      </c>
    </row>
    <row r="1678" ht="15.75" customHeight="1">
      <c r="A1678" s="207">
        <v>92.0</v>
      </c>
      <c r="B1678" s="6" t="str">
        <f>VLOOKUP($A1678, 'Completion rates'!$A:$E, 2, FALSE)</f>
        <v>Getting commendation points (pest control)</v>
      </c>
      <c r="C1678" s="207">
        <v>13072.0</v>
      </c>
      <c r="D1678" s="6" t="str">
        <f>VLOOKUP($C1678, 'List of log slots'!$A:$E, 2, FALSE)</f>
        <v>Elite void top</v>
      </c>
      <c r="E1678" s="207">
        <f>VLOOKUP($C1678, 'List of log slots'!$A:$E, 5, FALSE)</f>
        <v>5</v>
      </c>
      <c r="F1678" s="210" t="b">
        <f>VLOOKUP(C1678, 'List of log slots'!$A:$C, 3, FALSE)</f>
        <v>0</v>
      </c>
      <c r="G1678" s="210" t="b">
        <f>TRUE</f>
        <v>1</v>
      </c>
      <c r="H1678" s="209" t="b">
        <f t="shared" si="7"/>
        <v>0</v>
      </c>
      <c r="I1678" s="213" t="b">
        <f t="shared" si="1300"/>
        <v>1</v>
      </c>
      <c r="J1678" s="213" t="b">
        <f t="shared" si="1303"/>
        <v>1</v>
      </c>
      <c r="K1678" s="214">
        <v>200.0</v>
      </c>
      <c r="L1678" s="212">
        <f t="shared" si="3"/>
        <v>200</v>
      </c>
      <c r="M1678" s="212" t="str">
        <f t="shared" si="4"/>
        <v>n/a</v>
      </c>
      <c r="N1678" s="207" t="str">
        <f t="shared" si="5"/>
        <v>n/a</v>
      </c>
      <c r="O1678" s="207" t="str">
        <f t="shared" si="6"/>
        <v>n/a</v>
      </c>
    </row>
    <row r="1679" ht="15.75" customHeight="1">
      <c r="A1679" s="207">
        <v>92.0</v>
      </c>
      <c r="B1679" s="6" t="str">
        <f>VLOOKUP($A1679, 'Completion rates'!$A:$E, 2, FALSE)</f>
        <v>Getting commendation points (pest control)</v>
      </c>
      <c r="C1679" s="207">
        <v>8840.0</v>
      </c>
      <c r="D1679" s="6" t="str">
        <f>VLOOKUP($C1679, 'List of log slots'!$A:$E, 2, FALSE)</f>
        <v>Void knight robe</v>
      </c>
      <c r="E1679" s="207">
        <f>VLOOKUP($C1679, 'List of log slots'!$A:$E, 5, FALSE)</f>
        <v>3</v>
      </c>
      <c r="F1679" s="210" t="b">
        <f>VLOOKUP(C1679, 'List of log slots'!$A:$C, 3, FALSE)</f>
        <v>0</v>
      </c>
      <c r="G1679" s="209" t="b">
        <f>FALSE</f>
        <v>0</v>
      </c>
      <c r="H1679" s="209" t="b">
        <f t="shared" si="7"/>
        <v>1</v>
      </c>
      <c r="I1679" s="213" t="b">
        <f t="shared" si="1300"/>
        <v>1</v>
      </c>
      <c r="J1679" s="213" t="b">
        <f t="shared" si="1303"/>
        <v>1</v>
      </c>
      <c r="K1679" s="214">
        <v>250.0</v>
      </c>
      <c r="L1679" s="212">
        <f t="shared" si="3"/>
        <v>250</v>
      </c>
      <c r="M1679" s="212" t="str">
        <f t="shared" si="4"/>
        <v>n/a</v>
      </c>
      <c r="N1679" s="207" t="str">
        <f t="shared" si="5"/>
        <v>n/a</v>
      </c>
      <c r="O1679" s="207" t="str">
        <f t="shared" si="6"/>
        <v>n/a</v>
      </c>
    </row>
    <row r="1680" ht="15.75" customHeight="1">
      <c r="A1680" s="207">
        <v>92.0</v>
      </c>
      <c r="B1680" s="6" t="str">
        <f>VLOOKUP($A1680, 'Completion rates'!$A:$E, 2, FALSE)</f>
        <v>Getting commendation points (pest control)</v>
      </c>
      <c r="C1680" s="207">
        <v>13073.0</v>
      </c>
      <c r="D1680" s="6" t="str">
        <f>VLOOKUP($C1680, 'List of log slots'!$A:$E, 2, FALSE)</f>
        <v>Elite void robe</v>
      </c>
      <c r="E1680" s="207">
        <f>VLOOKUP($C1680, 'List of log slots'!$A:$E, 5, FALSE)</f>
        <v>5</v>
      </c>
      <c r="F1680" s="210" t="b">
        <f>VLOOKUP(C1680, 'List of log slots'!$A:$C, 3, FALSE)</f>
        <v>0</v>
      </c>
      <c r="G1680" s="210" t="b">
        <f>TRUE</f>
        <v>1</v>
      </c>
      <c r="H1680" s="209" t="b">
        <f t="shared" si="7"/>
        <v>0</v>
      </c>
      <c r="I1680" s="213" t="b">
        <f t="shared" si="1300"/>
        <v>1</v>
      </c>
      <c r="J1680" s="213" t="b">
        <f t="shared" si="1303"/>
        <v>1</v>
      </c>
      <c r="K1680" s="214">
        <v>200.0</v>
      </c>
      <c r="L1680" s="212">
        <f t="shared" si="3"/>
        <v>200</v>
      </c>
      <c r="M1680" s="212" t="str">
        <f t="shared" si="4"/>
        <v>n/a</v>
      </c>
      <c r="N1680" s="207" t="str">
        <f t="shared" si="5"/>
        <v>n/a</v>
      </c>
      <c r="O1680" s="207" t="str">
        <f t="shared" si="6"/>
        <v>n/a</v>
      </c>
    </row>
    <row r="1681" ht="15.75" customHeight="1">
      <c r="A1681" s="207">
        <v>92.0</v>
      </c>
      <c r="B1681" s="6" t="str">
        <f>VLOOKUP($A1681, 'Completion rates'!$A:$E, 2, FALSE)</f>
        <v>Getting commendation points (pest control)</v>
      </c>
      <c r="C1681" s="207">
        <v>8842.0</v>
      </c>
      <c r="D1681" s="6" t="str">
        <f>VLOOKUP($C1681, 'List of log slots'!$A:$E, 2, FALSE)</f>
        <v>Void knight gloves</v>
      </c>
      <c r="E1681" s="207">
        <f>VLOOKUP($C1681, 'List of log slots'!$A:$E, 5, FALSE)</f>
        <v>3</v>
      </c>
      <c r="F1681" s="210" t="b">
        <f>VLOOKUP(C1681, 'List of log slots'!$A:$C, 3, FALSE)</f>
        <v>0</v>
      </c>
      <c r="G1681" s="209" t="b">
        <f t="shared" ref="G1681:G1699" si="1306">FALSE</f>
        <v>0</v>
      </c>
      <c r="H1681" s="209" t="b">
        <f t="shared" si="7"/>
        <v>1</v>
      </c>
      <c r="I1681" s="213" t="b">
        <f t="shared" si="1300"/>
        <v>1</v>
      </c>
      <c r="J1681" s="213" t="b">
        <f t="shared" si="1303"/>
        <v>1</v>
      </c>
      <c r="K1681" s="214">
        <v>150.0</v>
      </c>
      <c r="L1681" s="212">
        <f t="shared" si="3"/>
        <v>150</v>
      </c>
      <c r="M1681" s="212" t="str">
        <f t="shared" si="4"/>
        <v>n/a</v>
      </c>
      <c r="N1681" s="207" t="str">
        <f t="shared" si="5"/>
        <v>n/a</v>
      </c>
      <c r="O1681" s="207" t="str">
        <f t="shared" si="6"/>
        <v>n/a</v>
      </c>
    </row>
    <row r="1682" ht="15.75" customHeight="1">
      <c r="A1682" s="207">
        <v>92.0</v>
      </c>
      <c r="B1682" s="6" t="str">
        <f>VLOOKUP($A1682, 'Completion rates'!$A:$E, 2, FALSE)</f>
        <v>Getting commendation points (pest control)</v>
      </c>
      <c r="C1682" s="207">
        <v>11663.0</v>
      </c>
      <c r="D1682" s="6" t="str">
        <f>VLOOKUP($C1682, 'List of log slots'!$A:$E, 2, FALSE)</f>
        <v>Void mage helm</v>
      </c>
      <c r="E1682" s="207">
        <f>VLOOKUP($C1682, 'List of log slots'!$A:$E, 5, FALSE)</f>
        <v>3</v>
      </c>
      <c r="F1682" s="210" t="b">
        <f>VLOOKUP(C1682, 'List of log slots'!$A:$C, 3, FALSE)</f>
        <v>0</v>
      </c>
      <c r="G1682" s="209" t="b">
        <f t="shared" si="1306"/>
        <v>0</v>
      </c>
      <c r="H1682" s="209" t="b">
        <f t="shared" si="7"/>
        <v>1</v>
      </c>
      <c r="I1682" s="213" t="b">
        <f t="shared" si="1300"/>
        <v>1</v>
      </c>
      <c r="J1682" s="213" t="b">
        <f t="shared" si="1303"/>
        <v>1</v>
      </c>
      <c r="K1682" s="214">
        <v>200.0</v>
      </c>
      <c r="L1682" s="212">
        <f t="shared" si="3"/>
        <v>200</v>
      </c>
      <c r="M1682" s="212" t="str">
        <f t="shared" si="4"/>
        <v>n/a</v>
      </c>
      <c r="N1682" s="207" t="str">
        <f t="shared" si="5"/>
        <v>n/a</v>
      </c>
      <c r="O1682" s="207" t="str">
        <f t="shared" si="6"/>
        <v>n/a</v>
      </c>
    </row>
    <row r="1683" ht="15.75" customHeight="1">
      <c r="A1683" s="207">
        <v>92.0</v>
      </c>
      <c r="B1683" s="6" t="str">
        <f>VLOOKUP($A1683, 'Completion rates'!$A:$E, 2, FALSE)</f>
        <v>Getting commendation points (pest control)</v>
      </c>
      <c r="C1683" s="207">
        <v>11665.0</v>
      </c>
      <c r="D1683" s="6" t="str">
        <f>VLOOKUP($C1683, 'List of log slots'!$A:$E, 2, FALSE)</f>
        <v>Void melee helm</v>
      </c>
      <c r="E1683" s="207">
        <f>VLOOKUP($C1683, 'List of log slots'!$A:$E, 5, FALSE)</f>
        <v>3</v>
      </c>
      <c r="F1683" s="210" t="b">
        <f>VLOOKUP(C1683, 'List of log slots'!$A:$C, 3, FALSE)</f>
        <v>0</v>
      </c>
      <c r="G1683" s="209" t="b">
        <f t="shared" si="1306"/>
        <v>0</v>
      </c>
      <c r="H1683" s="209" t="b">
        <f t="shared" si="7"/>
        <v>1</v>
      </c>
      <c r="I1683" s="213" t="b">
        <f t="shared" si="1300"/>
        <v>1</v>
      </c>
      <c r="J1683" s="213" t="b">
        <f t="shared" si="1303"/>
        <v>1</v>
      </c>
      <c r="K1683" s="214">
        <v>200.0</v>
      </c>
      <c r="L1683" s="212">
        <f t="shared" si="3"/>
        <v>200</v>
      </c>
      <c r="M1683" s="212" t="str">
        <f t="shared" si="4"/>
        <v>n/a</v>
      </c>
      <c r="N1683" s="207" t="str">
        <f t="shared" si="5"/>
        <v>n/a</v>
      </c>
      <c r="O1683" s="207" t="str">
        <f t="shared" si="6"/>
        <v>n/a</v>
      </c>
    </row>
    <row r="1684" ht="15.75" customHeight="1">
      <c r="A1684" s="207">
        <v>92.0</v>
      </c>
      <c r="B1684" s="6" t="str">
        <f>VLOOKUP($A1684, 'Completion rates'!$A:$E, 2, FALSE)</f>
        <v>Getting commendation points (pest control)</v>
      </c>
      <c r="C1684" s="207">
        <v>11664.0</v>
      </c>
      <c r="D1684" s="6" t="str">
        <f>VLOOKUP($C1684, 'List of log slots'!$A:$E, 2, FALSE)</f>
        <v>Void ranger helm</v>
      </c>
      <c r="E1684" s="207">
        <f>VLOOKUP($C1684, 'List of log slots'!$A:$E, 5, FALSE)</f>
        <v>3</v>
      </c>
      <c r="F1684" s="210" t="b">
        <f>VLOOKUP(C1684, 'List of log slots'!$A:$C, 3, FALSE)</f>
        <v>0</v>
      </c>
      <c r="G1684" s="209" t="b">
        <f t="shared" si="1306"/>
        <v>0</v>
      </c>
      <c r="H1684" s="209" t="b">
        <f t="shared" si="7"/>
        <v>1</v>
      </c>
      <c r="I1684" s="213" t="b">
        <f t="shared" si="1300"/>
        <v>1</v>
      </c>
      <c r="J1684" s="213" t="b">
        <f t="shared" si="1303"/>
        <v>1</v>
      </c>
      <c r="K1684" s="214">
        <v>200.0</v>
      </c>
      <c r="L1684" s="212">
        <f t="shared" si="3"/>
        <v>200</v>
      </c>
      <c r="M1684" s="212" t="str">
        <f t="shared" si="4"/>
        <v>n/a</v>
      </c>
      <c r="N1684" s="207" t="str">
        <f t="shared" si="5"/>
        <v>n/a</v>
      </c>
      <c r="O1684" s="207" t="str">
        <f t="shared" si="6"/>
        <v>n/a</v>
      </c>
    </row>
    <row r="1685" ht="15.75" customHeight="1">
      <c r="A1685" s="207">
        <v>92.0</v>
      </c>
      <c r="B1685" s="6" t="str">
        <f>VLOOKUP($A1685, 'Completion rates'!$A:$E, 2, FALSE)</f>
        <v>Getting commendation points (pest control)</v>
      </c>
      <c r="C1685" s="207">
        <v>11666.0</v>
      </c>
      <c r="D1685" s="6" t="str">
        <f>VLOOKUP($C1685, 'List of log slots'!$A:$E, 2, FALSE)</f>
        <v>Void seal(8)</v>
      </c>
      <c r="E1685" s="207">
        <f>VLOOKUP($C1685, 'List of log slots'!$A:$E, 5, FALSE)</f>
        <v>2</v>
      </c>
      <c r="F1685" s="210" t="b">
        <f>VLOOKUP(C1685, 'List of log slots'!$A:$C, 3, FALSE)</f>
        <v>0</v>
      </c>
      <c r="G1685" s="209" t="b">
        <f t="shared" si="1306"/>
        <v>0</v>
      </c>
      <c r="H1685" s="209" t="b">
        <f t="shared" si="7"/>
        <v>1</v>
      </c>
      <c r="I1685" s="213" t="b">
        <f t="shared" si="1300"/>
        <v>1</v>
      </c>
      <c r="J1685" s="213" t="b">
        <f t="shared" si="1303"/>
        <v>1</v>
      </c>
      <c r="K1685" s="214">
        <v>10.0</v>
      </c>
      <c r="L1685" s="212">
        <f t="shared" si="3"/>
        <v>10</v>
      </c>
      <c r="M1685" s="212" t="str">
        <f t="shared" si="4"/>
        <v>n/a</v>
      </c>
      <c r="N1685" s="207" t="str">
        <f t="shared" si="5"/>
        <v>n/a</v>
      </c>
      <c r="O1685" s="207" t="str">
        <f t="shared" si="6"/>
        <v>n/a</v>
      </c>
    </row>
    <row r="1686" ht="15.75" customHeight="1">
      <c r="A1686" s="207">
        <v>93.0</v>
      </c>
      <c r="B1686" s="6" t="str">
        <f>VLOOKUP($A1686, 'Completion rates'!$A:$E, 2, FALSE)</f>
        <v>Stealing from the rogues' den maze</v>
      </c>
      <c r="C1686" s="207">
        <v>5554.0</v>
      </c>
      <c r="D1686" s="6" t="str">
        <f>VLOOKUP($C1686, 'List of log slots'!$A:$E, 2, FALSE)</f>
        <v>Rogue mask</v>
      </c>
      <c r="E1686" s="207">
        <f>VLOOKUP($C1686, 'List of log slots'!$A:$E, 5, FALSE)</f>
        <v>2</v>
      </c>
      <c r="F1686" s="210" t="b">
        <f>VLOOKUP(C1686, 'List of log slots'!$A:$C, 3, FALSE)</f>
        <v>0</v>
      </c>
      <c r="G1686" s="209" t="b">
        <f t="shared" si="1306"/>
        <v>0</v>
      </c>
      <c r="H1686" s="209" t="b">
        <f t="shared" si="7"/>
        <v>1</v>
      </c>
      <c r="I1686" s="208" t="b">
        <f t="shared" ref="I1686:I1705" si="1307">FALSE</f>
        <v>0</v>
      </c>
      <c r="J1686" s="213" t="b">
        <f t="shared" si="1303"/>
        <v>1</v>
      </c>
      <c r="K1686" s="214">
        <v>3.0</v>
      </c>
      <c r="L1686" s="212" t="str">
        <f t="shared" si="3"/>
        <v>n/a</v>
      </c>
      <c r="M1686" s="212" t="str">
        <f t="shared" si="4"/>
        <v>n/a</v>
      </c>
      <c r="N1686" s="207">
        <f t="shared" si="5"/>
        <v>3</v>
      </c>
      <c r="O1686" s="207" t="str">
        <f t="shared" si="6"/>
        <v>n/a</v>
      </c>
    </row>
    <row r="1687" ht="15.75" customHeight="1">
      <c r="A1687" s="207">
        <v>93.0</v>
      </c>
      <c r="B1687" s="6" t="str">
        <f>VLOOKUP($A1687, 'Completion rates'!$A:$E, 2, FALSE)</f>
        <v>Stealing from the rogues' den maze</v>
      </c>
      <c r="C1687" s="207">
        <v>5553.0</v>
      </c>
      <c r="D1687" s="6" t="str">
        <f>VLOOKUP($C1687, 'List of log slots'!$A:$E, 2, FALSE)</f>
        <v>Rogue top</v>
      </c>
      <c r="E1687" s="207">
        <f>VLOOKUP($C1687, 'List of log slots'!$A:$E, 5, FALSE)</f>
        <v>2</v>
      </c>
      <c r="F1687" s="210" t="b">
        <f>VLOOKUP(C1687, 'List of log slots'!$A:$C, 3, FALSE)</f>
        <v>0</v>
      </c>
      <c r="G1687" s="209" t="b">
        <f t="shared" si="1306"/>
        <v>0</v>
      </c>
      <c r="H1687" s="209" t="b">
        <f t="shared" si="7"/>
        <v>1</v>
      </c>
      <c r="I1687" s="208" t="b">
        <f t="shared" si="1307"/>
        <v>0</v>
      </c>
      <c r="J1687" s="213" t="b">
        <f t="shared" si="1303"/>
        <v>1</v>
      </c>
      <c r="K1687" s="214">
        <v>3.0</v>
      </c>
      <c r="L1687" s="212" t="str">
        <f t="shared" si="3"/>
        <v>n/a</v>
      </c>
      <c r="M1687" s="212" t="str">
        <f t="shared" si="4"/>
        <v>n/a</v>
      </c>
      <c r="N1687" s="207">
        <f t="shared" si="5"/>
        <v>3</v>
      </c>
      <c r="O1687" s="207" t="str">
        <f t="shared" si="6"/>
        <v>n/a</v>
      </c>
    </row>
    <row r="1688" ht="15.75" customHeight="1">
      <c r="A1688" s="207">
        <v>93.0</v>
      </c>
      <c r="B1688" s="6" t="str">
        <f>VLOOKUP($A1688, 'Completion rates'!$A:$E, 2, FALSE)</f>
        <v>Stealing from the rogues' den maze</v>
      </c>
      <c r="C1688" s="207">
        <v>5555.0</v>
      </c>
      <c r="D1688" s="6" t="str">
        <f>VLOOKUP($C1688, 'List of log slots'!$A:$E, 2, FALSE)</f>
        <v>Rogue trousers</v>
      </c>
      <c r="E1688" s="207">
        <f>VLOOKUP($C1688, 'List of log slots'!$A:$E, 5, FALSE)</f>
        <v>2</v>
      </c>
      <c r="F1688" s="210" t="b">
        <f>VLOOKUP(C1688, 'List of log slots'!$A:$C, 3, FALSE)</f>
        <v>0</v>
      </c>
      <c r="G1688" s="209" t="b">
        <f t="shared" si="1306"/>
        <v>0</v>
      </c>
      <c r="H1688" s="209" t="b">
        <f t="shared" si="7"/>
        <v>1</v>
      </c>
      <c r="I1688" s="208" t="b">
        <f t="shared" si="1307"/>
        <v>0</v>
      </c>
      <c r="J1688" s="213" t="b">
        <f t="shared" si="1303"/>
        <v>1</v>
      </c>
      <c r="K1688" s="214">
        <v>3.0</v>
      </c>
      <c r="L1688" s="212" t="str">
        <f t="shared" si="3"/>
        <v>n/a</v>
      </c>
      <c r="M1688" s="212" t="str">
        <f t="shared" si="4"/>
        <v>n/a</v>
      </c>
      <c r="N1688" s="207">
        <f t="shared" si="5"/>
        <v>3</v>
      </c>
      <c r="O1688" s="207" t="str">
        <f t="shared" si="6"/>
        <v>n/a</v>
      </c>
    </row>
    <row r="1689" ht="15.75" customHeight="1">
      <c r="A1689" s="207">
        <v>93.0</v>
      </c>
      <c r="B1689" s="6" t="str">
        <f>VLOOKUP($A1689, 'Completion rates'!$A:$E, 2, FALSE)</f>
        <v>Stealing from the rogues' den maze</v>
      </c>
      <c r="C1689" s="207">
        <v>5557.0</v>
      </c>
      <c r="D1689" s="6" t="str">
        <f>VLOOKUP($C1689, 'List of log slots'!$A:$E, 2, FALSE)</f>
        <v>Rogue boots</v>
      </c>
      <c r="E1689" s="207">
        <f>VLOOKUP($C1689, 'List of log slots'!$A:$E, 5, FALSE)</f>
        <v>2</v>
      </c>
      <c r="F1689" s="210" t="b">
        <f>VLOOKUP(C1689, 'List of log slots'!$A:$C, 3, FALSE)</f>
        <v>0</v>
      </c>
      <c r="G1689" s="209" t="b">
        <f t="shared" si="1306"/>
        <v>0</v>
      </c>
      <c r="H1689" s="209" t="b">
        <f t="shared" si="7"/>
        <v>1</v>
      </c>
      <c r="I1689" s="208" t="b">
        <f t="shared" si="1307"/>
        <v>0</v>
      </c>
      <c r="J1689" s="213" t="b">
        <f t="shared" si="1303"/>
        <v>1</v>
      </c>
      <c r="K1689" s="214">
        <v>3.0</v>
      </c>
      <c r="L1689" s="212" t="str">
        <f t="shared" si="3"/>
        <v>n/a</v>
      </c>
      <c r="M1689" s="212" t="str">
        <f t="shared" si="4"/>
        <v>n/a</v>
      </c>
      <c r="N1689" s="207">
        <f t="shared" si="5"/>
        <v>3</v>
      </c>
      <c r="O1689" s="207" t="str">
        <f t="shared" si="6"/>
        <v>n/a</v>
      </c>
    </row>
    <row r="1690" ht="15.75" customHeight="1">
      <c r="A1690" s="207">
        <v>93.0</v>
      </c>
      <c r="B1690" s="6" t="str">
        <f>VLOOKUP($A1690, 'Completion rates'!$A:$E, 2, FALSE)</f>
        <v>Stealing from the rogues' den maze</v>
      </c>
      <c r="C1690" s="207">
        <v>5556.0</v>
      </c>
      <c r="D1690" s="6" t="str">
        <f>VLOOKUP($C1690, 'List of log slots'!$A:$E, 2, FALSE)</f>
        <v>Rogue gloves</v>
      </c>
      <c r="E1690" s="207">
        <f>VLOOKUP($C1690, 'List of log slots'!$A:$E, 5, FALSE)</f>
        <v>2</v>
      </c>
      <c r="F1690" s="210" t="b">
        <f>VLOOKUP(C1690, 'List of log slots'!$A:$C, 3, FALSE)</f>
        <v>0</v>
      </c>
      <c r="G1690" s="209" t="b">
        <f t="shared" si="1306"/>
        <v>0</v>
      </c>
      <c r="H1690" s="209" t="b">
        <f t="shared" si="7"/>
        <v>1</v>
      </c>
      <c r="I1690" s="208" t="b">
        <f t="shared" si="1307"/>
        <v>0</v>
      </c>
      <c r="J1690" s="213" t="b">
        <f t="shared" si="1303"/>
        <v>1</v>
      </c>
      <c r="K1690" s="214">
        <v>3.0</v>
      </c>
      <c r="L1690" s="212" t="str">
        <f t="shared" si="3"/>
        <v>n/a</v>
      </c>
      <c r="M1690" s="212" t="str">
        <f t="shared" si="4"/>
        <v>n/a</v>
      </c>
      <c r="N1690" s="207">
        <f t="shared" si="5"/>
        <v>3</v>
      </c>
      <c r="O1690" s="207" t="str">
        <f t="shared" si="6"/>
        <v>n/a</v>
      </c>
    </row>
    <row r="1691" ht="15.75" customHeight="1">
      <c r="A1691" s="207">
        <v>94.0</v>
      </c>
      <c r="B1691" s="6" t="str">
        <f>VLOOKUP($A1691, 'Completion rates'!$A:$E, 2, FALSE)</f>
        <v>Opening chests with shades of mort'ton keys</v>
      </c>
      <c r="C1691" s="207">
        <v>12851.0</v>
      </c>
      <c r="D1691" s="6" t="str">
        <f>VLOOKUP($C1691, 'List of log slots'!$A:$E, 2, FALSE)</f>
        <v>Amulet of the damned (full)</v>
      </c>
      <c r="E1691" s="207">
        <f>VLOOKUP($C1691, 'List of log slots'!$A:$E, 5, FALSE)</f>
        <v>4</v>
      </c>
      <c r="F1691" s="209" t="b">
        <f>VLOOKUP(C1691, 'List of log slots'!$A:$C, 3, FALSE)</f>
        <v>0</v>
      </c>
      <c r="G1691" s="209" t="b">
        <f t="shared" si="1306"/>
        <v>0</v>
      </c>
      <c r="H1691" s="210" t="b">
        <f t="shared" si="7"/>
        <v>1</v>
      </c>
      <c r="I1691" s="208" t="b">
        <f t="shared" si="1307"/>
        <v>0</v>
      </c>
      <c r="J1691" s="208" t="b">
        <f t="shared" ref="J1691:J1693" si="1308">FALSE</f>
        <v>0</v>
      </c>
      <c r="K1691" s="214">
        <v>24.0</v>
      </c>
      <c r="L1691" s="212" t="str">
        <f t="shared" si="3"/>
        <v>n/a</v>
      </c>
      <c r="M1691" s="212" t="str">
        <f t="shared" si="4"/>
        <v>n/a</v>
      </c>
      <c r="N1691" s="207" t="str">
        <f t="shared" si="5"/>
        <v>n/a</v>
      </c>
      <c r="O1691" s="207">
        <f t="shared" si="6"/>
        <v>0.04166666667</v>
      </c>
    </row>
    <row r="1692" ht="15.75" customHeight="1">
      <c r="A1692" s="207">
        <v>94.0</v>
      </c>
      <c r="B1692" s="6" t="str">
        <f>VLOOKUP($A1692, 'Completion rates'!$A:$E, 2, FALSE)</f>
        <v>Opening chests with shades of mort'ton keys</v>
      </c>
      <c r="C1692" s="207">
        <v>25630.0</v>
      </c>
      <c r="D1692" s="6" t="str">
        <f>VLOOKUP($C1692, 'List of log slots'!$A:$E, 2, FALSE)</f>
        <v>Flamtaer bag</v>
      </c>
      <c r="E1692" s="207">
        <f>VLOOKUP($C1692, 'List of log slots'!$A:$E, 5, FALSE)</f>
        <v>2</v>
      </c>
      <c r="F1692" s="210" t="b">
        <f>VLOOKUP(C1692, 'List of log slots'!$A:$C, 3, FALSE)</f>
        <v>0</v>
      </c>
      <c r="G1692" s="209" t="b">
        <f t="shared" si="1306"/>
        <v>0</v>
      </c>
      <c r="H1692" s="209" t="b">
        <f t="shared" si="7"/>
        <v>1</v>
      </c>
      <c r="I1692" s="208" t="b">
        <f t="shared" si="1307"/>
        <v>0</v>
      </c>
      <c r="J1692" s="208" t="b">
        <f t="shared" si="1308"/>
        <v>0</v>
      </c>
      <c r="K1692" s="214">
        <v>2.0</v>
      </c>
      <c r="L1692" s="212" t="str">
        <f t="shared" si="3"/>
        <v>n/a</v>
      </c>
      <c r="M1692" s="212" t="str">
        <f t="shared" si="4"/>
        <v>n/a</v>
      </c>
      <c r="N1692" s="207" t="str">
        <f t="shared" si="5"/>
        <v>n/a</v>
      </c>
      <c r="O1692" s="207">
        <f t="shared" si="6"/>
        <v>0.5</v>
      </c>
    </row>
    <row r="1693" ht="15.75" customHeight="1">
      <c r="A1693" s="207">
        <v>94.0</v>
      </c>
      <c r="B1693" s="6" t="str">
        <f>VLOOKUP($A1693, 'Completion rates'!$A:$E, 2, FALSE)</f>
        <v>Opening chests with shades of mort'ton keys</v>
      </c>
      <c r="C1693" s="207">
        <v>3470.0</v>
      </c>
      <c r="D1693" s="6" t="str">
        <f>VLOOKUP($C1693, 'List of log slots'!$A:$E, 2, FALSE)</f>
        <v>Fine cloth</v>
      </c>
      <c r="E1693" s="207">
        <f>VLOOKUP($C1693, 'List of log slots'!$A:$E, 5, FALSE)</f>
        <v>3</v>
      </c>
      <c r="F1693" s="210" t="b">
        <f>VLOOKUP(C1693, 'List of log slots'!$A:$C, 3, FALSE)</f>
        <v>0</v>
      </c>
      <c r="G1693" s="209" t="b">
        <f t="shared" si="1306"/>
        <v>0</v>
      </c>
      <c r="H1693" s="209" t="b">
        <f t="shared" si="7"/>
        <v>1</v>
      </c>
      <c r="I1693" s="208" t="b">
        <f t="shared" si="1307"/>
        <v>0</v>
      </c>
      <c r="J1693" s="208" t="b">
        <f t="shared" si="1308"/>
        <v>0</v>
      </c>
      <c r="K1693" s="214">
        <v>6.0</v>
      </c>
      <c r="L1693" s="212" t="str">
        <f t="shared" si="3"/>
        <v>n/a</v>
      </c>
      <c r="M1693" s="212" t="str">
        <f t="shared" si="4"/>
        <v>n/a</v>
      </c>
      <c r="N1693" s="207" t="str">
        <f t="shared" si="5"/>
        <v>n/a</v>
      </c>
      <c r="O1693" s="207">
        <f t="shared" si="6"/>
        <v>0.1666666667</v>
      </c>
    </row>
    <row r="1694" ht="15.75" customHeight="1">
      <c r="A1694" s="207">
        <v>94.0</v>
      </c>
      <c r="B1694" s="6" t="str">
        <f>VLOOKUP($A1694, 'Completion rates'!$A:$E, 2, FALSE)</f>
        <v>Opening chests with shades of mort'ton keys</v>
      </c>
      <c r="C1694" s="207">
        <v>25442.0</v>
      </c>
      <c r="D1694" s="6" t="str">
        <f>VLOOKUP($C1694, 'List of log slots'!$A:$E, 2, FALSE)</f>
        <v>Bronze locks</v>
      </c>
      <c r="E1694" s="207">
        <f>VLOOKUP($C1694, 'List of log slots'!$A:$E, 5, FALSE)</f>
        <v>2</v>
      </c>
      <c r="F1694" s="208" t="b">
        <f>VLOOKUP(C1694, 'List of log slots'!$A:$C, 3, FALSE)</f>
        <v>0</v>
      </c>
      <c r="G1694" s="209" t="b">
        <f t="shared" si="1306"/>
        <v>0</v>
      </c>
      <c r="H1694" s="210" t="b">
        <f t="shared" si="7"/>
        <v>1</v>
      </c>
      <c r="I1694" s="208" t="b">
        <f t="shared" si="1307"/>
        <v>0</v>
      </c>
      <c r="J1694" s="213" t="b">
        <f t="shared" ref="J1694:J1697" si="1309">TRUE</f>
        <v>1</v>
      </c>
      <c r="K1694" s="214">
        <v>60.0</v>
      </c>
      <c r="L1694" s="212" t="str">
        <f t="shared" si="3"/>
        <v>n/a</v>
      </c>
      <c r="M1694" s="212" t="str">
        <f t="shared" si="4"/>
        <v>n/a</v>
      </c>
      <c r="N1694" s="207">
        <f t="shared" si="5"/>
        <v>60</v>
      </c>
      <c r="O1694" s="207" t="str">
        <f t="shared" si="6"/>
        <v>n/a</v>
      </c>
    </row>
    <row r="1695" ht="15.75" customHeight="1">
      <c r="A1695" s="207">
        <v>94.0</v>
      </c>
      <c r="B1695" s="6" t="str">
        <f>VLOOKUP($A1695, 'Completion rates'!$A:$E, 2, FALSE)</f>
        <v>Opening chests with shades of mort'ton keys</v>
      </c>
      <c r="C1695" s="207">
        <v>25445.0</v>
      </c>
      <c r="D1695" s="6" t="str">
        <f>VLOOKUP($C1695, 'List of log slots'!$A:$E, 2, FALSE)</f>
        <v>Steel locks</v>
      </c>
      <c r="E1695" s="207">
        <f>VLOOKUP($C1695, 'List of log slots'!$A:$E, 5, FALSE)</f>
        <v>3</v>
      </c>
      <c r="F1695" s="208" t="b">
        <f>VLOOKUP(C1695, 'List of log slots'!$A:$C, 3, FALSE)</f>
        <v>0</v>
      </c>
      <c r="G1695" s="209" t="b">
        <f t="shared" si="1306"/>
        <v>0</v>
      </c>
      <c r="H1695" s="210" t="b">
        <f t="shared" si="7"/>
        <v>1</v>
      </c>
      <c r="I1695" s="208" t="b">
        <f t="shared" si="1307"/>
        <v>0</v>
      </c>
      <c r="J1695" s="213" t="b">
        <f t="shared" si="1309"/>
        <v>1</v>
      </c>
      <c r="K1695" s="214">
        <v>60.0</v>
      </c>
      <c r="L1695" s="212" t="str">
        <f t="shared" si="3"/>
        <v>n/a</v>
      </c>
      <c r="M1695" s="212" t="str">
        <f t="shared" si="4"/>
        <v>n/a</v>
      </c>
      <c r="N1695" s="207">
        <f t="shared" si="5"/>
        <v>60</v>
      </c>
      <c r="O1695" s="207" t="str">
        <f t="shared" si="6"/>
        <v>n/a</v>
      </c>
    </row>
    <row r="1696" ht="15.75" customHeight="1">
      <c r="A1696" s="207">
        <v>94.0</v>
      </c>
      <c r="B1696" s="6" t="str">
        <f>VLOOKUP($A1696, 'Completion rates'!$A:$E, 2, FALSE)</f>
        <v>Opening chests with shades of mort'ton keys</v>
      </c>
      <c r="C1696" s="207">
        <v>25448.0</v>
      </c>
      <c r="D1696" s="6" t="str">
        <f>VLOOKUP($C1696, 'List of log slots'!$A:$E, 2, FALSE)</f>
        <v>Black locks</v>
      </c>
      <c r="E1696" s="207">
        <f>VLOOKUP($C1696, 'List of log slots'!$A:$E, 5, FALSE)</f>
        <v>3</v>
      </c>
      <c r="F1696" s="208" t="b">
        <f>VLOOKUP(C1696, 'List of log slots'!$A:$C, 3, FALSE)</f>
        <v>0</v>
      </c>
      <c r="G1696" s="209" t="b">
        <f t="shared" si="1306"/>
        <v>0</v>
      </c>
      <c r="H1696" s="210" t="b">
        <f t="shared" si="7"/>
        <v>1</v>
      </c>
      <c r="I1696" s="208" t="b">
        <f t="shared" si="1307"/>
        <v>0</v>
      </c>
      <c r="J1696" s="213" t="b">
        <f t="shared" si="1309"/>
        <v>1</v>
      </c>
      <c r="K1696" s="214">
        <v>60.0</v>
      </c>
      <c r="L1696" s="212" t="str">
        <f t="shared" si="3"/>
        <v>n/a</v>
      </c>
      <c r="M1696" s="212" t="str">
        <f t="shared" si="4"/>
        <v>n/a</v>
      </c>
      <c r="N1696" s="207">
        <f t="shared" si="5"/>
        <v>60</v>
      </c>
      <c r="O1696" s="207" t="str">
        <f t="shared" si="6"/>
        <v>n/a</v>
      </c>
    </row>
    <row r="1697" ht="15.75" customHeight="1">
      <c r="A1697" s="207">
        <v>94.0</v>
      </c>
      <c r="B1697" s="6" t="str">
        <f>VLOOKUP($A1697, 'Completion rates'!$A:$E, 2, FALSE)</f>
        <v>Opening chests with shades of mort'ton keys</v>
      </c>
      <c r="C1697" s="207">
        <v>25451.0</v>
      </c>
      <c r="D1697" s="6" t="str">
        <f>VLOOKUP($C1697, 'List of log slots'!$A:$E, 2, FALSE)</f>
        <v>Silver locks</v>
      </c>
      <c r="E1697" s="207">
        <f>VLOOKUP($C1697, 'List of log slots'!$A:$E, 5, FALSE)</f>
        <v>4</v>
      </c>
      <c r="F1697" s="208" t="b">
        <f>VLOOKUP(C1697, 'List of log slots'!$A:$C, 3, FALSE)</f>
        <v>0</v>
      </c>
      <c r="G1697" s="209" t="b">
        <f t="shared" si="1306"/>
        <v>0</v>
      </c>
      <c r="H1697" s="210" t="b">
        <f t="shared" si="7"/>
        <v>1</v>
      </c>
      <c r="I1697" s="208" t="b">
        <f t="shared" si="1307"/>
        <v>0</v>
      </c>
      <c r="J1697" s="213" t="b">
        <f t="shared" si="1309"/>
        <v>1</v>
      </c>
      <c r="K1697" s="214">
        <v>60.0</v>
      </c>
      <c r="L1697" s="212" t="str">
        <f t="shared" si="3"/>
        <v>n/a</v>
      </c>
      <c r="M1697" s="212" t="str">
        <f t="shared" si="4"/>
        <v>n/a</v>
      </c>
      <c r="N1697" s="207">
        <f t="shared" si="5"/>
        <v>60</v>
      </c>
      <c r="O1697" s="207" t="str">
        <f t="shared" si="6"/>
        <v>n/a</v>
      </c>
    </row>
    <row r="1698" ht="15.75" customHeight="1">
      <c r="A1698" s="207">
        <v>94.0</v>
      </c>
      <c r="B1698" s="6" t="str">
        <f>VLOOKUP($A1698, 'Completion rates'!$A:$E, 2, FALSE)</f>
        <v>Opening chests with shades of mort'ton keys</v>
      </c>
      <c r="C1698" s="207">
        <v>25454.0</v>
      </c>
      <c r="D1698" s="6" t="str">
        <f>VLOOKUP($C1698, 'List of log slots'!$A:$E, 2, FALSE)</f>
        <v>Gold locks</v>
      </c>
      <c r="E1698" s="207">
        <f>VLOOKUP($C1698, 'List of log slots'!$A:$E, 5, FALSE)</f>
        <v>5</v>
      </c>
      <c r="F1698" s="208" t="b">
        <f>VLOOKUP(C1698, 'List of log slots'!$A:$C, 3, FALSE)</f>
        <v>0</v>
      </c>
      <c r="G1698" s="209" t="b">
        <f t="shared" si="1306"/>
        <v>0</v>
      </c>
      <c r="H1698" s="210" t="b">
        <f t="shared" si="7"/>
        <v>1</v>
      </c>
      <c r="I1698" s="208" t="b">
        <f t="shared" si="1307"/>
        <v>0</v>
      </c>
      <c r="J1698" s="208" t="b">
        <f t="shared" ref="J1698:J1705" si="1310">FALSE</f>
        <v>0</v>
      </c>
      <c r="K1698" s="214">
        <v>60.0</v>
      </c>
      <c r="L1698" s="212" t="str">
        <f t="shared" si="3"/>
        <v>n/a</v>
      </c>
      <c r="M1698" s="212" t="str">
        <f t="shared" si="4"/>
        <v>n/a</v>
      </c>
      <c r="N1698" s="207" t="str">
        <f t="shared" si="5"/>
        <v>n/a</v>
      </c>
      <c r="O1698" s="207">
        <f t="shared" si="6"/>
        <v>0.01666666667</v>
      </c>
    </row>
    <row r="1699" ht="15.75" customHeight="1">
      <c r="A1699" s="207">
        <v>94.0</v>
      </c>
      <c r="B1699" s="6" t="str">
        <f>VLOOKUP($A1699, 'Completion rates'!$A:$E, 2, FALSE)</f>
        <v>Opening chests with shades of mort'ton keys</v>
      </c>
      <c r="C1699" s="207">
        <v>25440.0</v>
      </c>
      <c r="D1699" s="6" t="str">
        <f>VLOOKUP($C1699, 'List of log slots'!$A:$E, 2, FALSE)</f>
        <v>Zealot's boots</v>
      </c>
      <c r="E1699" s="207">
        <f>VLOOKUP($C1699, 'List of log slots'!$A:$E, 5, FALSE)</f>
        <v>5</v>
      </c>
      <c r="F1699" s="208" t="b">
        <f>VLOOKUP(C1699, 'List of log slots'!$A:$C, 3, FALSE)</f>
        <v>0</v>
      </c>
      <c r="G1699" s="209" t="b">
        <f t="shared" si="1306"/>
        <v>0</v>
      </c>
      <c r="H1699" s="210" t="b">
        <f t="shared" si="7"/>
        <v>1</v>
      </c>
      <c r="I1699" s="208" t="b">
        <f t="shared" si="1307"/>
        <v>0</v>
      </c>
      <c r="J1699" s="208" t="b">
        <f t="shared" si="1310"/>
        <v>0</v>
      </c>
      <c r="K1699" s="214">
        <v>128.0</v>
      </c>
      <c r="L1699" s="212" t="str">
        <f t="shared" si="3"/>
        <v>n/a</v>
      </c>
      <c r="M1699" s="212" t="str">
        <f t="shared" si="4"/>
        <v>n/a</v>
      </c>
      <c r="N1699" s="207" t="str">
        <f t="shared" si="5"/>
        <v>n/a</v>
      </c>
      <c r="O1699" s="207">
        <f t="shared" si="6"/>
        <v>0.0078125</v>
      </c>
    </row>
    <row r="1700" ht="15.75" customHeight="1">
      <c r="A1700" s="207">
        <v>94.0</v>
      </c>
      <c r="B1700" s="6" t="str">
        <f>VLOOKUP($A1700, 'Completion rates'!$A:$E, 2, FALSE)</f>
        <v>Opening chests with shades of mort'ton keys</v>
      </c>
      <c r="C1700" s="207">
        <v>25438.0</v>
      </c>
      <c r="D1700" s="6" t="str">
        <f>VLOOKUP($C1700, 'List of log slots'!$A:$E, 2, FALSE)</f>
        <v>Zealot's helm</v>
      </c>
      <c r="E1700" s="207">
        <f>VLOOKUP($C1700, 'List of log slots'!$A:$E, 5, FALSE)</f>
        <v>5</v>
      </c>
      <c r="F1700" s="208" t="b">
        <f>VLOOKUP(C1700, 'List of log slots'!$A:$C, 3, FALSE)</f>
        <v>0</v>
      </c>
      <c r="G1700" s="210" t="b">
        <f t="shared" ref="G1700:G1702" si="1311">TRUE</f>
        <v>1</v>
      </c>
      <c r="H1700" s="209" t="b">
        <f t="shared" si="7"/>
        <v>0</v>
      </c>
      <c r="I1700" s="208" t="b">
        <f t="shared" si="1307"/>
        <v>0</v>
      </c>
      <c r="J1700" s="208" t="b">
        <f t="shared" si="1310"/>
        <v>0</v>
      </c>
      <c r="K1700" s="214">
        <v>128.0</v>
      </c>
      <c r="L1700" s="212" t="str">
        <f t="shared" si="3"/>
        <v>n/a</v>
      </c>
      <c r="M1700" s="212" t="str">
        <f t="shared" si="4"/>
        <v>n/a</v>
      </c>
      <c r="N1700" s="207" t="str">
        <f t="shared" si="5"/>
        <v>n/a</v>
      </c>
      <c r="O1700" s="207">
        <f t="shared" si="6"/>
        <v>0.0078125</v>
      </c>
    </row>
    <row r="1701" ht="15.75" customHeight="1">
      <c r="A1701" s="207">
        <v>94.0</v>
      </c>
      <c r="B1701" s="6" t="str">
        <f>VLOOKUP($A1701, 'Completion rates'!$A:$E, 2, FALSE)</f>
        <v>Opening chests with shades of mort'ton keys</v>
      </c>
      <c r="C1701" s="207">
        <v>25436.0</v>
      </c>
      <c r="D1701" s="6" t="str">
        <f>VLOOKUP($C1701, 'List of log slots'!$A:$E, 2, FALSE)</f>
        <v>Zealot's robe bottom</v>
      </c>
      <c r="E1701" s="207">
        <f>VLOOKUP($C1701, 'List of log slots'!$A:$E, 5, FALSE)</f>
        <v>5</v>
      </c>
      <c r="F1701" s="208" t="b">
        <f>VLOOKUP(C1701, 'List of log slots'!$A:$C, 3, FALSE)</f>
        <v>0</v>
      </c>
      <c r="G1701" s="210" t="b">
        <f t="shared" si="1311"/>
        <v>1</v>
      </c>
      <c r="H1701" s="209" t="b">
        <f t="shared" si="7"/>
        <v>0</v>
      </c>
      <c r="I1701" s="208" t="b">
        <f t="shared" si="1307"/>
        <v>0</v>
      </c>
      <c r="J1701" s="208" t="b">
        <f t="shared" si="1310"/>
        <v>0</v>
      </c>
      <c r="K1701" s="214">
        <v>128.0</v>
      </c>
      <c r="L1701" s="212" t="str">
        <f t="shared" si="3"/>
        <v>n/a</v>
      </c>
      <c r="M1701" s="212" t="str">
        <f t="shared" si="4"/>
        <v>n/a</v>
      </c>
      <c r="N1701" s="207" t="str">
        <f t="shared" si="5"/>
        <v>n/a</v>
      </c>
      <c r="O1701" s="207">
        <f t="shared" si="6"/>
        <v>0.0078125</v>
      </c>
    </row>
    <row r="1702" ht="15.75" customHeight="1">
      <c r="A1702" s="207">
        <v>94.0</v>
      </c>
      <c r="B1702" s="6" t="str">
        <f>VLOOKUP($A1702, 'Completion rates'!$A:$E, 2, FALSE)</f>
        <v>Opening chests with shades of mort'ton keys</v>
      </c>
      <c r="C1702" s="207">
        <v>25434.0</v>
      </c>
      <c r="D1702" s="6" t="str">
        <f>VLOOKUP($C1702, 'List of log slots'!$A:$E, 2, FALSE)</f>
        <v>Zealot's robe top</v>
      </c>
      <c r="E1702" s="207">
        <f>VLOOKUP($C1702, 'List of log slots'!$A:$E, 5, FALSE)</f>
        <v>5</v>
      </c>
      <c r="F1702" s="208" t="b">
        <f>VLOOKUP(C1702, 'List of log slots'!$A:$C, 3, FALSE)</f>
        <v>0</v>
      </c>
      <c r="G1702" s="210" t="b">
        <f t="shared" si="1311"/>
        <v>1</v>
      </c>
      <c r="H1702" s="209" t="b">
        <f t="shared" si="7"/>
        <v>0</v>
      </c>
      <c r="I1702" s="208" t="b">
        <f t="shared" si="1307"/>
        <v>0</v>
      </c>
      <c r="J1702" s="208" t="b">
        <f t="shared" si="1310"/>
        <v>0</v>
      </c>
      <c r="K1702" s="214">
        <v>128.0</v>
      </c>
      <c r="L1702" s="212" t="str">
        <f t="shared" si="3"/>
        <v>n/a</v>
      </c>
      <c r="M1702" s="212" t="str">
        <f t="shared" si="4"/>
        <v>n/a</v>
      </c>
      <c r="N1702" s="207" t="str">
        <f t="shared" si="5"/>
        <v>n/a</v>
      </c>
      <c r="O1702" s="207">
        <f t="shared" si="6"/>
        <v>0.0078125</v>
      </c>
    </row>
    <row r="1703" ht="15.75" customHeight="1">
      <c r="A1703" s="207">
        <v>94.0</v>
      </c>
      <c r="B1703" s="6" t="str">
        <f>VLOOKUP($A1703, 'Completion rates'!$A:$E, 2, FALSE)</f>
        <v>Opening chests with shades of mort'ton keys</v>
      </c>
      <c r="C1703" s="207">
        <v>25474.0</v>
      </c>
      <c r="D1703" s="6" t="str">
        <f>VLOOKUP($C1703, 'List of log slots'!$A:$E, 2, FALSE)</f>
        <v>Tree wizards' journal</v>
      </c>
      <c r="E1703" s="207">
        <f>VLOOKUP($C1703, 'List of log slots'!$A:$E, 5, FALSE)</f>
        <v>4</v>
      </c>
      <c r="F1703" s="208" t="b">
        <f>VLOOKUP(C1703, 'List of log slots'!$A:$C, 3, FALSE)</f>
        <v>0</v>
      </c>
      <c r="G1703" s="209" t="b">
        <f t="shared" ref="G1703:G1708" si="1312">FALSE</f>
        <v>0</v>
      </c>
      <c r="H1703" s="210" t="b">
        <f t="shared" si="7"/>
        <v>1</v>
      </c>
      <c r="I1703" s="208" t="b">
        <f t="shared" si="1307"/>
        <v>0</v>
      </c>
      <c r="J1703" s="208" t="b">
        <f t="shared" si="1310"/>
        <v>0</v>
      </c>
      <c r="K1703" s="214">
        <v>105.0</v>
      </c>
      <c r="L1703" s="212" t="str">
        <f t="shared" si="3"/>
        <v>n/a</v>
      </c>
      <c r="M1703" s="212" t="str">
        <f t="shared" si="4"/>
        <v>n/a</v>
      </c>
      <c r="N1703" s="207" t="str">
        <f t="shared" si="5"/>
        <v>n/a</v>
      </c>
      <c r="O1703" s="207">
        <f t="shared" si="6"/>
        <v>0.009523809524</v>
      </c>
    </row>
    <row r="1704" ht="15.75" customHeight="1">
      <c r="A1704" s="207">
        <v>94.0</v>
      </c>
      <c r="B1704" s="6" t="str">
        <f>VLOOKUP($A1704, 'Completion rates'!$A:$E, 2, FALSE)</f>
        <v>Opening chests with shades of mort'ton keys</v>
      </c>
      <c r="C1704" s="207">
        <v>25476.0</v>
      </c>
      <c r="D1704" s="6" t="str">
        <f>VLOOKUP($C1704, 'List of log slots'!$A:$E, 2, FALSE)</f>
        <v>Bloody notes</v>
      </c>
      <c r="E1704" s="207">
        <f>VLOOKUP($C1704, 'List of log slots'!$A:$E, 5, FALSE)</f>
        <v>4</v>
      </c>
      <c r="F1704" s="208" t="b">
        <f>VLOOKUP(C1704, 'List of log slots'!$A:$C, 3, FALSE)</f>
        <v>0</v>
      </c>
      <c r="G1704" s="209" t="b">
        <f t="shared" si="1312"/>
        <v>0</v>
      </c>
      <c r="H1704" s="210" t="b">
        <f t="shared" si="7"/>
        <v>1</v>
      </c>
      <c r="I1704" s="208" t="b">
        <f t="shared" si="1307"/>
        <v>0</v>
      </c>
      <c r="J1704" s="208" t="b">
        <f t="shared" si="1310"/>
        <v>0</v>
      </c>
      <c r="K1704" s="214">
        <v>105.0</v>
      </c>
      <c r="L1704" s="212" t="str">
        <f t="shared" si="3"/>
        <v>n/a</v>
      </c>
      <c r="M1704" s="212" t="str">
        <f t="shared" si="4"/>
        <v>n/a</v>
      </c>
      <c r="N1704" s="207" t="str">
        <f t="shared" si="5"/>
        <v>n/a</v>
      </c>
      <c r="O1704" s="207">
        <f t="shared" si="6"/>
        <v>0.009523809524</v>
      </c>
    </row>
    <row r="1705" ht="15.75" customHeight="1">
      <c r="A1705" s="207">
        <v>95.0</v>
      </c>
      <c r="B1705" s="6" t="str">
        <f>VLOOKUP($A1705, 'Completion rates'!$A:$E, 2, FALSE)</f>
        <v>Earning soul wars zeal</v>
      </c>
      <c r="C1705" s="207">
        <v>25348.0</v>
      </c>
      <c r="D1705" s="6" t="str">
        <f>VLOOKUP($C1705, 'List of log slots'!$A:$E, 2, FALSE)</f>
        <v>Lil' creator</v>
      </c>
      <c r="E1705" s="207">
        <f>VLOOKUP($C1705, 'List of log slots'!$A:$E, 5, FALSE)</f>
        <v>6</v>
      </c>
      <c r="F1705" s="208" t="b">
        <f>VLOOKUP(C1705, 'List of log slots'!$A:$C, 3, FALSE)</f>
        <v>0</v>
      </c>
      <c r="G1705" s="209" t="b">
        <f t="shared" si="1312"/>
        <v>0</v>
      </c>
      <c r="H1705" s="210" t="b">
        <f t="shared" si="7"/>
        <v>1</v>
      </c>
      <c r="I1705" s="208" t="b">
        <f t="shared" si="1307"/>
        <v>0</v>
      </c>
      <c r="J1705" s="208" t="b">
        <f t="shared" si="1310"/>
        <v>0</v>
      </c>
      <c r="K1705" s="214">
        <v>12000.0</v>
      </c>
      <c r="L1705" s="212" t="str">
        <f t="shared" si="3"/>
        <v>n/a</v>
      </c>
      <c r="M1705" s="212" t="str">
        <f t="shared" si="4"/>
        <v>n/a</v>
      </c>
      <c r="N1705" s="207" t="str">
        <f t="shared" si="5"/>
        <v>n/a</v>
      </c>
      <c r="O1705" s="207">
        <f t="shared" si="6"/>
        <v>0.00008333333333</v>
      </c>
    </row>
    <row r="1706" ht="15.75" customHeight="1">
      <c r="A1706" s="207">
        <v>95.0</v>
      </c>
      <c r="B1706" s="6" t="str">
        <f>VLOOKUP($A1706, 'Completion rates'!$A:$E, 2, FALSE)</f>
        <v>Earning soul wars zeal</v>
      </c>
      <c r="C1706" s="207">
        <v>25346.0</v>
      </c>
      <c r="D1706" s="6" t="str">
        <f>VLOOKUP($C1706, 'List of log slots'!$A:$E, 2, FALSE)</f>
        <v>Soul cape</v>
      </c>
      <c r="E1706" s="207">
        <f>VLOOKUP($C1706, 'List of log slots'!$A:$E, 5, FALSE)</f>
        <v>3</v>
      </c>
      <c r="F1706" s="208" t="b">
        <f>VLOOKUP(C1706, 'List of log slots'!$A:$C, 3, FALSE)</f>
        <v>0</v>
      </c>
      <c r="G1706" s="209" t="b">
        <f t="shared" si="1312"/>
        <v>0</v>
      </c>
      <c r="H1706" s="210" t="b">
        <f t="shared" si="7"/>
        <v>1</v>
      </c>
      <c r="I1706" s="213" t="b">
        <f t="shared" ref="I1706:J1706" si="1313">TRUE</f>
        <v>1</v>
      </c>
      <c r="J1706" s="213" t="b">
        <f t="shared" si="1313"/>
        <v>1</v>
      </c>
      <c r="K1706" s="214">
        <v>2500.0</v>
      </c>
      <c r="L1706" s="212">
        <f t="shared" si="3"/>
        <v>2500</v>
      </c>
      <c r="M1706" s="212" t="str">
        <f t="shared" si="4"/>
        <v>n/a</v>
      </c>
      <c r="N1706" s="207" t="str">
        <f t="shared" si="5"/>
        <v>n/a</v>
      </c>
      <c r="O1706" s="207" t="str">
        <f t="shared" si="6"/>
        <v>n/a</v>
      </c>
    </row>
    <row r="1707" ht="15.75" customHeight="1">
      <c r="A1707" s="207">
        <v>95.0</v>
      </c>
      <c r="B1707" s="6" t="str">
        <f>VLOOKUP($A1707, 'Completion rates'!$A:$E, 2, FALSE)</f>
        <v>Earning soul wars zeal</v>
      </c>
      <c r="C1707" s="207">
        <v>25340.0</v>
      </c>
      <c r="D1707" s="6" t="str">
        <f>VLOOKUP($C1707, 'List of log slots'!$A:$E, 2, FALSE)</f>
        <v>Ectoplasmator</v>
      </c>
      <c r="E1707" s="207">
        <f>VLOOKUP($C1707, 'List of log slots'!$A:$E, 5, FALSE)</f>
        <v>3</v>
      </c>
      <c r="F1707" s="208" t="b">
        <f>VLOOKUP(C1707, 'List of log slots'!$A:$C, 3, FALSE)</f>
        <v>0</v>
      </c>
      <c r="G1707" s="209" t="b">
        <f t="shared" si="1312"/>
        <v>0</v>
      </c>
      <c r="H1707" s="210" t="b">
        <f t="shared" si="7"/>
        <v>1</v>
      </c>
      <c r="I1707" s="213" t="b">
        <f t="shared" ref="I1707:J1707" si="1314">TRUE</f>
        <v>1</v>
      </c>
      <c r="J1707" s="213" t="b">
        <f t="shared" si="1314"/>
        <v>1</v>
      </c>
      <c r="K1707" s="214">
        <v>250.0</v>
      </c>
      <c r="L1707" s="212">
        <f t="shared" si="3"/>
        <v>250</v>
      </c>
      <c r="M1707" s="212" t="str">
        <f t="shared" si="4"/>
        <v>n/a</v>
      </c>
      <c r="N1707" s="207" t="str">
        <f t="shared" si="5"/>
        <v>n/a</v>
      </c>
      <c r="O1707" s="207" t="str">
        <f t="shared" si="6"/>
        <v>n/a</v>
      </c>
    </row>
    <row r="1708" ht="15.75" customHeight="1">
      <c r="A1708" s="207">
        <v>96.0</v>
      </c>
      <c r="B1708" s="6" t="str">
        <f>VLOOKUP($A1708, 'Completion rates'!$A:$E, 2, FALSE)</f>
        <v>Finding lumberjack zombie events (temple trekking)</v>
      </c>
      <c r="C1708" s="207">
        <v>10941.0</v>
      </c>
      <c r="D1708" s="6" t="str">
        <f>VLOOKUP($C1708, 'List of log slots'!$A:$E, 2, FALSE)</f>
        <v>Lumberjack hat</v>
      </c>
      <c r="E1708" s="207">
        <f>VLOOKUP($C1708, 'List of log slots'!$A:$E, 5, FALSE)</f>
        <v>2</v>
      </c>
      <c r="F1708" s="213" t="b">
        <f>VLOOKUP(C1708, 'List of log slots'!$A:$C, 3, FALSE)</f>
        <v>0</v>
      </c>
      <c r="G1708" s="209" t="b">
        <f t="shared" si="1312"/>
        <v>0</v>
      </c>
      <c r="H1708" s="209" t="b">
        <f t="shared" si="7"/>
        <v>1</v>
      </c>
      <c r="I1708" s="213" t="b">
        <f t="shared" ref="I1708:I1748" si="1315">TRUE</f>
        <v>1</v>
      </c>
      <c r="J1708" s="208" t="b">
        <f t="shared" ref="J1708:J1718" si="1316">FALSE</f>
        <v>0</v>
      </c>
      <c r="K1708" s="214">
        <v>1.0</v>
      </c>
      <c r="L1708" s="212" t="str">
        <f t="shared" si="3"/>
        <v>n/a</v>
      </c>
      <c r="M1708" s="212">
        <f t="shared" si="4"/>
        <v>1</v>
      </c>
      <c r="N1708" s="207" t="str">
        <f t="shared" si="5"/>
        <v>n/a</v>
      </c>
      <c r="O1708" s="207" t="str">
        <f t="shared" si="6"/>
        <v>n/a</v>
      </c>
    </row>
    <row r="1709" ht="15.75" customHeight="1">
      <c r="A1709" s="207">
        <v>96.0</v>
      </c>
      <c r="B1709" s="6" t="str">
        <f>VLOOKUP($A1709, 'Completion rates'!$A:$E, 2, FALSE)</f>
        <v>Finding lumberjack zombie events (temple trekking)</v>
      </c>
      <c r="C1709" s="207">
        <v>10939.0</v>
      </c>
      <c r="D1709" s="6" t="str">
        <f>VLOOKUP($C1709, 'List of log slots'!$A:$E, 2, FALSE)</f>
        <v>Lumberjack top</v>
      </c>
      <c r="E1709" s="207">
        <f>VLOOKUP($C1709, 'List of log slots'!$A:$E, 5, FALSE)</f>
        <v>2</v>
      </c>
      <c r="F1709" s="213" t="b">
        <f>VLOOKUP(C1709, 'List of log slots'!$A:$C, 3, FALSE)</f>
        <v>0</v>
      </c>
      <c r="G1709" s="210" t="b">
        <f t="shared" ref="G1709:G1711" si="1317">TRUE</f>
        <v>1</v>
      </c>
      <c r="H1709" s="209" t="b">
        <f t="shared" si="7"/>
        <v>0</v>
      </c>
      <c r="I1709" s="213" t="b">
        <f t="shared" si="1315"/>
        <v>1</v>
      </c>
      <c r="J1709" s="208" t="b">
        <f t="shared" si="1316"/>
        <v>0</v>
      </c>
      <c r="K1709" s="214">
        <v>1.0</v>
      </c>
      <c r="L1709" s="212" t="str">
        <f t="shared" si="3"/>
        <v>n/a</v>
      </c>
      <c r="M1709" s="212">
        <f t="shared" si="4"/>
        <v>1</v>
      </c>
      <c r="N1709" s="207" t="str">
        <f t="shared" si="5"/>
        <v>n/a</v>
      </c>
      <c r="O1709" s="207" t="str">
        <f t="shared" si="6"/>
        <v>n/a</v>
      </c>
    </row>
    <row r="1710" ht="15.75" customHeight="1">
      <c r="A1710" s="207">
        <v>96.0</v>
      </c>
      <c r="B1710" s="6" t="str">
        <f>VLOOKUP($A1710, 'Completion rates'!$A:$E, 2, FALSE)</f>
        <v>Finding lumberjack zombie events (temple trekking)</v>
      </c>
      <c r="C1710" s="207">
        <v>10940.0</v>
      </c>
      <c r="D1710" s="6" t="str">
        <f>VLOOKUP($C1710, 'List of log slots'!$A:$E, 2, FALSE)</f>
        <v>Lumberjack legs</v>
      </c>
      <c r="E1710" s="207">
        <f>VLOOKUP($C1710, 'List of log slots'!$A:$E, 5, FALSE)</f>
        <v>2</v>
      </c>
      <c r="F1710" s="213" t="b">
        <f>VLOOKUP(C1710, 'List of log slots'!$A:$C, 3, FALSE)</f>
        <v>0</v>
      </c>
      <c r="G1710" s="210" t="b">
        <f t="shared" si="1317"/>
        <v>1</v>
      </c>
      <c r="H1710" s="209" t="b">
        <f t="shared" si="7"/>
        <v>0</v>
      </c>
      <c r="I1710" s="213" t="b">
        <f t="shared" si="1315"/>
        <v>1</v>
      </c>
      <c r="J1710" s="208" t="b">
        <f t="shared" si="1316"/>
        <v>0</v>
      </c>
      <c r="K1710" s="214">
        <v>1.0</v>
      </c>
      <c r="L1710" s="212" t="str">
        <f t="shared" si="3"/>
        <v>n/a</v>
      </c>
      <c r="M1710" s="212">
        <f t="shared" si="4"/>
        <v>1</v>
      </c>
      <c r="N1710" s="207" t="str">
        <f t="shared" si="5"/>
        <v>n/a</v>
      </c>
      <c r="O1710" s="207" t="str">
        <f t="shared" si="6"/>
        <v>n/a</v>
      </c>
    </row>
    <row r="1711" ht="15.75" customHeight="1">
      <c r="A1711" s="207">
        <v>96.0</v>
      </c>
      <c r="B1711" s="6" t="str">
        <f>VLOOKUP($A1711, 'Completion rates'!$A:$E, 2, FALSE)</f>
        <v>Finding lumberjack zombie events (temple trekking)</v>
      </c>
      <c r="C1711" s="207">
        <v>10933.0</v>
      </c>
      <c r="D1711" s="6" t="str">
        <f>VLOOKUP($C1711, 'List of log slots'!$A:$E, 2, FALSE)</f>
        <v>Lumberjack boots</v>
      </c>
      <c r="E1711" s="207">
        <f>VLOOKUP($C1711, 'List of log slots'!$A:$E, 5, FALSE)</f>
        <v>2</v>
      </c>
      <c r="F1711" s="213" t="b">
        <f>VLOOKUP(C1711, 'List of log slots'!$A:$C, 3, FALSE)</f>
        <v>0</v>
      </c>
      <c r="G1711" s="210" t="b">
        <f t="shared" si="1317"/>
        <v>1</v>
      </c>
      <c r="H1711" s="209" t="b">
        <f t="shared" si="7"/>
        <v>0</v>
      </c>
      <c r="I1711" s="213" t="b">
        <f t="shared" si="1315"/>
        <v>1</v>
      </c>
      <c r="J1711" s="208" t="b">
        <f t="shared" si="1316"/>
        <v>0</v>
      </c>
      <c r="K1711" s="214">
        <v>1.0</v>
      </c>
      <c r="L1711" s="212" t="str">
        <f t="shared" si="3"/>
        <v>n/a</v>
      </c>
      <c r="M1711" s="212">
        <f t="shared" si="4"/>
        <v>1</v>
      </c>
      <c r="N1711" s="207" t="str">
        <f t="shared" si="5"/>
        <v>n/a</v>
      </c>
      <c r="O1711" s="207" t="str">
        <f t="shared" si="6"/>
        <v>n/a</v>
      </c>
    </row>
    <row r="1712" ht="15.75" customHeight="1">
      <c r="A1712" s="207">
        <v>97.0</v>
      </c>
      <c r="B1712" s="6" t="str">
        <f>VLOOKUP($A1712, 'Completion rates'!$A:$E, 2, FALSE)</f>
        <v>Earning tithe farm reward points</v>
      </c>
      <c r="C1712" s="207">
        <v>13646.0</v>
      </c>
      <c r="D1712" s="6" t="str">
        <f>VLOOKUP($C1712, 'List of log slots'!$A:$E, 2, FALSE)</f>
        <v>Farmer's strawhat</v>
      </c>
      <c r="E1712" s="207">
        <f>VLOOKUP($C1712, 'List of log slots'!$A:$E, 5, FALSE)</f>
        <v>3</v>
      </c>
      <c r="F1712" s="213" t="b">
        <f>VLOOKUP(C1712, 'List of log slots'!$A:$C, 3, FALSE)</f>
        <v>0</v>
      </c>
      <c r="G1712" s="209" t="b">
        <f t="shared" ref="G1712:G1791" si="1318">FALSE</f>
        <v>0</v>
      </c>
      <c r="H1712" s="209" t="b">
        <f t="shared" si="7"/>
        <v>1</v>
      </c>
      <c r="I1712" s="213" t="b">
        <f t="shared" si="1315"/>
        <v>1</v>
      </c>
      <c r="J1712" s="208" t="b">
        <f t="shared" si="1316"/>
        <v>0</v>
      </c>
      <c r="K1712" s="214">
        <v>75.0</v>
      </c>
      <c r="L1712" s="212" t="str">
        <f t="shared" si="3"/>
        <v>n/a</v>
      </c>
      <c r="M1712" s="212">
        <f t="shared" si="4"/>
        <v>75</v>
      </c>
      <c r="N1712" s="207" t="str">
        <f t="shared" si="5"/>
        <v>n/a</v>
      </c>
      <c r="O1712" s="207" t="str">
        <f t="shared" si="6"/>
        <v>n/a</v>
      </c>
    </row>
    <row r="1713" ht="15.75" customHeight="1">
      <c r="A1713" s="207">
        <v>97.0</v>
      </c>
      <c r="B1713" s="6" t="str">
        <f>VLOOKUP($A1713, 'Completion rates'!$A:$E, 2, FALSE)</f>
        <v>Earning tithe farm reward points</v>
      </c>
      <c r="C1713" s="207">
        <v>13642.0</v>
      </c>
      <c r="D1713" s="6" t="str">
        <f>VLOOKUP($C1713, 'List of log slots'!$A:$E, 2, FALSE)</f>
        <v>Farmer's shirt/jacket</v>
      </c>
      <c r="E1713" s="207">
        <f>VLOOKUP($C1713, 'List of log slots'!$A:$E, 5, FALSE)</f>
        <v>3</v>
      </c>
      <c r="F1713" s="208" t="b">
        <f>VLOOKUP(C1713, 'List of log slots'!$A:$C, 3, FALSE)</f>
        <v>0</v>
      </c>
      <c r="G1713" s="209" t="b">
        <f t="shared" si="1318"/>
        <v>0</v>
      </c>
      <c r="H1713" s="210" t="b">
        <f t="shared" si="7"/>
        <v>1</v>
      </c>
      <c r="I1713" s="213" t="b">
        <f t="shared" si="1315"/>
        <v>1</v>
      </c>
      <c r="J1713" s="208" t="b">
        <f t="shared" si="1316"/>
        <v>0</v>
      </c>
      <c r="K1713" s="214">
        <v>150.0</v>
      </c>
      <c r="L1713" s="212" t="str">
        <f t="shared" si="3"/>
        <v>n/a</v>
      </c>
      <c r="M1713" s="212">
        <f t="shared" si="4"/>
        <v>150</v>
      </c>
      <c r="N1713" s="207" t="str">
        <f t="shared" si="5"/>
        <v>n/a</v>
      </c>
      <c r="O1713" s="207" t="str">
        <f t="shared" si="6"/>
        <v>n/a</v>
      </c>
    </row>
    <row r="1714" ht="15.75" customHeight="1">
      <c r="A1714" s="207">
        <v>97.0</v>
      </c>
      <c r="B1714" s="6" t="str">
        <f>VLOOKUP($A1714, 'Completion rates'!$A:$E, 2, FALSE)</f>
        <v>Earning tithe farm reward points</v>
      </c>
      <c r="C1714" s="207">
        <v>13640.0</v>
      </c>
      <c r="D1714" s="6" t="str">
        <f>VLOOKUP($C1714, 'List of log slots'!$A:$E, 2, FALSE)</f>
        <v>Farmer's boro trousers</v>
      </c>
      <c r="E1714" s="207">
        <f>VLOOKUP($C1714, 'List of log slots'!$A:$E, 5, FALSE)</f>
        <v>3</v>
      </c>
      <c r="F1714" s="208" t="b">
        <f>VLOOKUP(C1714, 'List of log slots'!$A:$C, 3, FALSE)</f>
        <v>0</v>
      </c>
      <c r="G1714" s="209" t="b">
        <f t="shared" si="1318"/>
        <v>0</v>
      </c>
      <c r="H1714" s="210" t="b">
        <f t="shared" si="7"/>
        <v>1</v>
      </c>
      <c r="I1714" s="213" t="b">
        <f t="shared" si="1315"/>
        <v>1</v>
      </c>
      <c r="J1714" s="208" t="b">
        <f t="shared" si="1316"/>
        <v>0</v>
      </c>
      <c r="K1714" s="214">
        <v>125.0</v>
      </c>
      <c r="L1714" s="212" t="str">
        <f t="shared" si="3"/>
        <v>n/a</v>
      </c>
      <c r="M1714" s="212">
        <f t="shared" si="4"/>
        <v>125</v>
      </c>
      <c r="N1714" s="207" t="str">
        <f t="shared" si="5"/>
        <v>n/a</v>
      </c>
      <c r="O1714" s="207" t="str">
        <f t="shared" si="6"/>
        <v>n/a</v>
      </c>
    </row>
    <row r="1715" ht="15.75" customHeight="1">
      <c r="A1715" s="207">
        <v>97.0</v>
      </c>
      <c r="B1715" s="6" t="str">
        <f>VLOOKUP($A1715, 'Completion rates'!$A:$E, 2, FALSE)</f>
        <v>Earning tithe farm reward points</v>
      </c>
      <c r="C1715" s="207">
        <v>13644.0</v>
      </c>
      <c r="D1715" s="6" t="str">
        <f>VLOOKUP($C1715, 'List of log slots'!$A:$E, 2, FALSE)</f>
        <v>Farmer's boots</v>
      </c>
      <c r="E1715" s="207">
        <f>VLOOKUP($C1715, 'List of log slots'!$A:$E, 5, FALSE)</f>
        <v>3</v>
      </c>
      <c r="F1715" s="208" t="b">
        <f>VLOOKUP(C1715, 'List of log slots'!$A:$C, 3, FALSE)</f>
        <v>0</v>
      </c>
      <c r="G1715" s="209" t="b">
        <f t="shared" si="1318"/>
        <v>0</v>
      </c>
      <c r="H1715" s="210" t="b">
        <f t="shared" si="7"/>
        <v>1</v>
      </c>
      <c r="I1715" s="213" t="b">
        <f t="shared" si="1315"/>
        <v>1</v>
      </c>
      <c r="J1715" s="208" t="b">
        <f t="shared" si="1316"/>
        <v>0</v>
      </c>
      <c r="K1715" s="214">
        <v>50.0</v>
      </c>
      <c r="L1715" s="212" t="str">
        <f t="shared" si="3"/>
        <v>n/a</v>
      </c>
      <c r="M1715" s="212">
        <f t="shared" si="4"/>
        <v>50</v>
      </c>
      <c r="N1715" s="207" t="str">
        <f t="shared" si="5"/>
        <v>n/a</v>
      </c>
      <c r="O1715" s="207" t="str">
        <f t="shared" si="6"/>
        <v>n/a</v>
      </c>
    </row>
    <row r="1716" ht="15.75" customHeight="1">
      <c r="A1716" s="207">
        <v>97.0</v>
      </c>
      <c r="B1716" s="6" t="str">
        <f>VLOOKUP($A1716, 'Completion rates'!$A:$E, 2, FALSE)</f>
        <v>Earning tithe farm reward points</v>
      </c>
      <c r="C1716" s="207">
        <v>13639.0</v>
      </c>
      <c r="D1716" s="6" t="str">
        <f>VLOOKUP($C1716, 'List of log slots'!$A:$E, 2, FALSE)</f>
        <v>Seed box</v>
      </c>
      <c r="E1716" s="207">
        <f>VLOOKUP($C1716, 'List of log slots'!$A:$E, 5, FALSE)</f>
        <v>3</v>
      </c>
      <c r="F1716" s="208" t="b">
        <f>VLOOKUP(C1716, 'List of log slots'!$A:$C, 3, FALSE)</f>
        <v>0</v>
      </c>
      <c r="G1716" s="209" t="b">
        <f t="shared" si="1318"/>
        <v>0</v>
      </c>
      <c r="H1716" s="210" t="b">
        <f t="shared" si="7"/>
        <v>1</v>
      </c>
      <c r="I1716" s="213" t="b">
        <f t="shared" si="1315"/>
        <v>1</v>
      </c>
      <c r="J1716" s="208" t="b">
        <f t="shared" si="1316"/>
        <v>0</v>
      </c>
      <c r="K1716" s="214">
        <v>250.0</v>
      </c>
      <c r="L1716" s="212" t="str">
        <f t="shared" si="3"/>
        <v>n/a</v>
      </c>
      <c r="M1716" s="212">
        <f t="shared" si="4"/>
        <v>250</v>
      </c>
      <c r="N1716" s="207" t="str">
        <f t="shared" si="5"/>
        <v>n/a</v>
      </c>
      <c r="O1716" s="207" t="str">
        <f t="shared" si="6"/>
        <v>n/a</v>
      </c>
    </row>
    <row r="1717" ht="15.75" customHeight="1">
      <c r="A1717" s="207">
        <v>97.0</v>
      </c>
      <c r="B1717" s="6" t="str">
        <f>VLOOKUP($A1717, 'Completion rates'!$A:$E, 2, FALSE)</f>
        <v>Earning tithe farm reward points</v>
      </c>
      <c r="C1717" s="207">
        <v>13353.0</v>
      </c>
      <c r="D1717" s="6" t="str">
        <f>VLOOKUP($C1717, 'List of log slots'!$A:$E, 2, FALSE)</f>
        <v>Gricoller's can</v>
      </c>
      <c r="E1717" s="207">
        <f>VLOOKUP($C1717, 'List of log slots'!$A:$E, 5, FALSE)</f>
        <v>3</v>
      </c>
      <c r="F1717" s="208" t="b">
        <f>VLOOKUP(C1717, 'List of log slots'!$A:$C, 3, FALSE)</f>
        <v>0</v>
      </c>
      <c r="G1717" s="209" t="b">
        <f t="shared" si="1318"/>
        <v>0</v>
      </c>
      <c r="H1717" s="210" t="b">
        <f t="shared" si="7"/>
        <v>1</v>
      </c>
      <c r="I1717" s="213" t="b">
        <f t="shared" si="1315"/>
        <v>1</v>
      </c>
      <c r="J1717" s="208" t="b">
        <f t="shared" si="1316"/>
        <v>0</v>
      </c>
      <c r="K1717" s="214">
        <v>200.0</v>
      </c>
      <c r="L1717" s="212" t="str">
        <f t="shared" si="3"/>
        <v>n/a</v>
      </c>
      <c r="M1717" s="212">
        <f t="shared" si="4"/>
        <v>200</v>
      </c>
      <c r="N1717" s="207" t="str">
        <f t="shared" si="5"/>
        <v>n/a</v>
      </c>
      <c r="O1717" s="207" t="str">
        <f t="shared" si="6"/>
        <v>n/a</v>
      </c>
    </row>
    <row r="1718" ht="15.75" customHeight="1">
      <c r="A1718" s="212">
        <v>97.0</v>
      </c>
      <c r="B1718" s="6" t="str">
        <f>VLOOKUP($A1718, 'Completion rates'!$A:$E, 2, FALSE)</f>
        <v>Earning tithe farm reward points</v>
      </c>
      <c r="C1718" s="212">
        <v>13226.0</v>
      </c>
      <c r="D1718" s="6" t="str">
        <f>VLOOKUP($C1718, 'List of log slots'!$A:$E, 2, FALSE)</f>
        <v>Herb sack</v>
      </c>
      <c r="E1718" s="207">
        <f>VLOOKUP($C1718, 'List of log slots'!$A:$E, 5, FALSE)</f>
        <v>3</v>
      </c>
      <c r="F1718" s="213" t="b">
        <f>VLOOKUP(C1718, 'List of log slots'!$A:$C, 3, FALSE)</f>
        <v>0</v>
      </c>
      <c r="G1718" s="209" t="b">
        <f t="shared" si="1318"/>
        <v>0</v>
      </c>
      <c r="H1718" s="209" t="b">
        <f t="shared" si="7"/>
        <v>1</v>
      </c>
      <c r="I1718" s="213" t="b">
        <f t="shared" si="1315"/>
        <v>1</v>
      </c>
      <c r="J1718" s="208" t="b">
        <f t="shared" si="1316"/>
        <v>0</v>
      </c>
      <c r="K1718" s="214">
        <v>250.0</v>
      </c>
      <c r="L1718" s="212" t="str">
        <f t="shared" si="3"/>
        <v>n/a</v>
      </c>
      <c r="M1718" s="212">
        <f t="shared" si="4"/>
        <v>250</v>
      </c>
      <c r="N1718" s="207" t="str">
        <f t="shared" si="5"/>
        <v>n/a</v>
      </c>
      <c r="O1718" s="207" t="str">
        <f t="shared" si="6"/>
        <v>n/a</v>
      </c>
    </row>
    <row r="1719" ht="15.75" customHeight="1">
      <c r="A1719" s="212">
        <v>98.0</v>
      </c>
      <c r="B1719" s="6" t="str">
        <f>VLOOKUP($A1719, 'Completion rates'!$A:$E, 2, FALSE)</f>
        <v>Earning pieces of eight (trouble brewing)</v>
      </c>
      <c r="C1719" s="212">
        <v>8952.0</v>
      </c>
      <c r="D1719" s="6" t="str">
        <f>VLOOKUP($C1719, 'List of log slots'!$A:$E, 2, FALSE)</f>
        <v>Blue naval shirt</v>
      </c>
      <c r="E1719" s="207">
        <f>VLOOKUP($C1719, 'List of log slots'!$A:$E, 5, FALSE)</f>
        <v>3</v>
      </c>
      <c r="F1719" s="208" t="b">
        <f>VLOOKUP(C1719, 'List of log slots'!$A:$C, 3, FALSE)</f>
        <v>0</v>
      </c>
      <c r="G1719" s="209" t="b">
        <f t="shared" si="1318"/>
        <v>0</v>
      </c>
      <c r="H1719" s="210" t="b">
        <f t="shared" si="7"/>
        <v>1</v>
      </c>
      <c r="I1719" s="213" t="b">
        <f t="shared" si="1315"/>
        <v>1</v>
      </c>
      <c r="J1719" s="213" t="b">
        <f t="shared" ref="J1719:J1748" si="1319">TRUE</f>
        <v>1</v>
      </c>
      <c r="K1719" s="214">
        <v>1000.0</v>
      </c>
      <c r="L1719" s="212">
        <f t="shared" si="3"/>
        <v>1000</v>
      </c>
      <c r="M1719" s="212" t="str">
        <f t="shared" si="4"/>
        <v>n/a</v>
      </c>
      <c r="N1719" s="207" t="str">
        <f t="shared" si="5"/>
        <v>n/a</v>
      </c>
      <c r="O1719" s="207" t="str">
        <f t="shared" si="6"/>
        <v>n/a</v>
      </c>
    </row>
    <row r="1720" ht="15.75" customHeight="1">
      <c r="A1720" s="212">
        <v>98.0</v>
      </c>
      <c r="B1720" s="6" t="str">
        <f>VLOOKUP($A1720, 'Completion rates'!$A:$E, 2, FALSE)</f>
        <v>Earning pieces of eight (trouble brewing)</v>
      </c>
      <c r="C1720" s="212">
        <v>8959.0</v>
      </c>
      <c r="D1720" s="6" t="str">
        <f>VLOOKUP($C1720, 'List of log slots'!$A:$E, 2, FALSE)</f>
        <v>Blue tricorn hat</v>
      </c>
      <c r="E1720" s="207">
        <f>VLOOKUP($C1720, 'List of log slots'!$A:$E, 5, FALSE)</f>
        <v>3</v>
      </c>
      <c r="F1720" s="208" t="b">
        <f>VLOOKUP(C1720, 'List of log slots'!$A:$C, 3, FALSE)</f>
        <v>0</v>
      </c>
      <c r="G1720" s="209" t="b">
        <f t="shared" si="1318"/>
        <v>0</v>
      </c>
      <c r="H1720" s="210" t="b">
        <f t="shared" si="7"/>
        <v>1</v>
      </c>
      <c r="I1720" s="213" t="b">
        <f t="shared" si="1315"/>
        <v>1</v>
      </c>
      <c r="J1720" s="213" t="b">
        <f t="shared" si="1319"/>
        <v>1</v>
      </c>
      <c r="K1720" s="214">
        <v>500.0</v>
      </c>
      <c r="L1720" s="212">
        <f t="shared" si="3"/>
        <v>500</v>
      </c>
      <c r="M1720" s="212" t="str">
        <f t="shared" si="4"/>
        <v>n/a</v>
      </c>
      <c r="N1720" s="207" t="str">
        <f t="shared" si="5"/>
        <v>n/a</v>
      </c>
      <c r="O1720" s="207" t="str">
        <f t="shared" si="6"/>
        <v>n/a</v>
      </c>
    </row>
    <row r="1721" ht="15.75" customHeight="1">
      <c r="A1721" s="212">
        <v>98.0</v>
      </c>
      <c r="B1721" s="6" t="str">
        <f>VLOOKUP($A1721, 'Completion rates'!$A:$E, 2, FALSE)</f>
        <v>Earning pieces of eight (trouble brewing)</v>
      </c>
      <c r="C1721" s="212">
        <v>8991.0</v>
      </c>
      <c r="D1721" s="6" t="str">
        <f>VLOOKUP($C1721, 'List of log slots'!$A:$E, 2, FALSE)</f>
        <v>Blue navy slacks</v>
      </c>
      <c r="E1721" s="207">
        <f>VLOOKUP($C1721, 'List of log slots'!$A:$E, 5, FALSE)</f>
        <v>3</v>
      </c>
      <c r="F1721" s="208" t="b">
        <f>VLOOKUP(C1721, 'List of log slots'!$A:$C, 3, FALSE)</f>
        <v>0</v>
      </c>
      <c r="G1721" s="209" t="b">
        <f t="shared" si="1318"/>
        <v>0</v>
      </c>
      <c r="H1721" s="210" t="b">
        <f t="shared" si="7"/>
        <v>1</v>
      </c>
      <c r="I1721" s="213" t="b">
        <f t="shared" si="1315"/>
        <v>1</v>
      </c>
      <c r="J1721" s="213" t="b">
        <f t="shared" si="1319"/>
        <v>1</v>
      </c>
      <c r="K1721" s="214">
        <v>1000.0</v>
      </c>
      <c r="L1721" s="212">
        <f t="shared" si="3"/>
        <v>1000</v>
      </c>
      <c r="M1721" s="212" t="str">
        <f t="shared" si="4"/>
        <v>n/a</v>
      </c>
      <c r="N1721" s="207" t="str">
        <f t="shared" si="5"/>
        <v>n/a</v>
      </c>
      <c r="O1721" s="207" t="str">
        <f t="shared" si="6"/>
        <v>n/a</v>
      </c>
    </row>
    <row r="1722" ht="15.75" customHeight="1">
      <c r="A1722" s="207">
        <v>98.0</v>
      </c>
      <c r="B1722" s="6" t="str">
        <f>VLOOKUP($A1722, 'Completion rates'!$A:$E, 2, FALSE)</f>
        <v>Earning pieces of eight (trouble brewing)</v>
      </c>
      <c r="C1722" s="207">
        <v>8953.0</v>
      </c>
      <c r="D1722" s="6" t="str">
        <f>VLOOKUP($C1722, 'List of log slots'!$A:$E, 2, FALSE)</f>
        <v>Green naval shirt</v>
      </c>
      <c r="E1722" s="207">
        <f>VLOOKUP($C1722, 'List of log slots'!$A:$E, 5, FALSE)</f>
        <v>3</v>
      </c>
      <c r="F1722" s="208" t="b">
        <f>VLOOKUP(C1722, 'List of log slots'!$A:$C, 3, FALSE)</f>
        <v>0</v>
      </c>
      <c r="G1722" s="209" t="b">
        <f t="shared" si="1318"/>
        <v>0</v>
      </c>
      <c r="H1722" s="210" t="b">
        <f t="shared" si="7"/>
        <v>1</v>
      </c>
      <c r="I1722" s="213" t="b">
        <f t="shared" si="1315"/>
        <v>1</v>
      </c>
      <c r="J1722" s="213" t="b">
        <f t="shared" si="1319"/>
        <v>1</v>
      </c>
      <c r="K1722" s="214">
        <v>1000.0</v>
      </c>
      <c r="L1722" s="212">
        <f t="shared" si="3"/>
        <v>1000</v>
      </c>
      <c r="M1722" s="212" t="str">
        <f t="shared" si="4"/>
        <v>n/a</v>
      </c>
      <c r="N1722" s="207" t="str">
        <f t="shared" si="5"/>
        <v>n/a</v>
      </c>
      <c r="O1722" s="207" t="str">
        <f t="shared" si="6"/>
        <v>n/a</v>
      </c>
    </row>
    <row r="1723" ht="15.75" customHeight="1">
      <c r="A1723" s="207">
        <v>98.0</v>
      </c>
      <c r="B1723" s="6" t="str">
        <f>VLOOKUP($A1723, 'Completion rates'!$A:$E, 2, FALSE)</f>
        <v>Earning pieces of eight (trouble brewing)</v>
      </c>
      <c r="C1723" s="207">
        <v>8960.0</v>
      </c>
      <c r="D1723" s="6" t="str">
        <f>VLOOKUP($C1723, 'List of log slots'!$A:$E, 2, FALSE)</f>
        <v>Green tricorn hat</v>
      </c>
      <c r="E1723" s="207">
        <f>VLOOKUP($C1723, 'List of log slots'!$A:$E, 5, FALSE)</f>
        <v>3</v>
      </c>
      <c r="F1723" s="209" t="b">
        <f>VLOOKUP(C1723, 'List of log slots'!$A:$C, 3, FALSE)</f>
        <v>0</v>
      </c>
      <c r="G1723" s="209" t="b">
        <f t="shared" si="1318"/>
        <v>0</v>
      </c>
      <c r="H1723" s="210" t="b">
        <f t="shared" si="7"/>
        <v>1</v>
      </c>
      <c r="I1723" s="213" t="b">
        <f t="shared" si="1315"/>
        <v>1</v>
      </c>
      <c r="J1723" s="213" t="b">
        <f t="shared" si="1319"/>
        <v>1</v>
      </c>
      <c r="K1723" s="214">
        <v>500.0</v>
      </c>
      <c r="L1723" s="212">
        <f t="shared" si="3"/>
        <v>500</v>
      </c>
      <c r="M1723" s="212" t="str">
        <f t="shared" si="4"/>
        <v>n/a</v>
      </c>
      <c r="N1723" s="207" t="str">
        <f t="shared" si="5"/>
        <v>n/a</v>
      </c>
      <c r="O1723" s="207" t="str">
        <f t="shared" si="6"/>
        <v>n/a</v>
      </c>
    </row>
    <row r="1724" ht="15.75" customHeight="1">
      <c r="A1724" s="207">
        <v>98.0</v>
      </c>
      <c r="B1724" s="6" t="str">
        <f>VLOOKUP($A1724, 'Completion rates'!$A:$E, 2, FALSE)</f>
        <v>Earning pieces of eight (trouble brewing)</v>
      </c>
      <c r="C1724" s="207">
        <v>8992.0</v>
      </c>
      <c r="D1724" s="6" t="str">
        <f>VLOOKUP($C1724, 'List of log slots'!$A:$E, 2, FALSE)</f>
        <v>Green navy slacks</v>
      </c>
      <c r="E1724" s="207">
        <f>VLOOKUP($C1724, 'List of log slots'!$A:$E, 5, FALSE)</f>
        <v>3</v>
      </c>
      <c r="F1724" s="209" t="b">
        <f>VLOOKUP(C1724, 'List of log slots'!$A:$C, 3, FALSE)</f>
        <v>0</v>
      </c>
      <c r="G1724" s="209" t="b">
        <f t="shared" si="1318"/>
        <v>0</v>
      </c>
      <c r="H1724" s="210" t="b">
        <f t="shared" si="7"/>
        <v>1</v>
      </c>
      <c r="I1724" s="213" t="b">
        <f t="shared" si="1315"/>
        <v>1</v>
      </c>
      <c r="J1724" s="213" t="b">
        <f t="shared" si="1319"/>
        <v>1</v>
      </c>
      <c r="K1724" s="214">
        <v>1000.0</v>
      </c>
      <c r="L1724" s="212">
        <f t="shared" si="3"/>
        <v>1000</v>
      </c>
      <c r="M1724" s="212" t="str">
        <f t="shared" si="4"/>
        <v>n/a</v>
      </c>
      <c r="N1724" s="207" t="str">
        <f t="shared" si="5"/>
        <v>n/a</v>
      </c>
      <c r="O1724" s="207" t="str">
        <f t="shared" si="6"/>
        <v>n/a</v>
      </c>
    </row>
    <row r="1725" ht="15.75" customHeight="1">
      <c r="A1725" s="207">
        <v>98.0</v>
      </c>
      <c r="B1725" s="6" t="str">
        <f>VLOOKUP($A1725, 'Completion rates'!$A:$E, 2, FALSE)</f>
        <v>Earning pieces of eight (trouble brewing)</v>
      </c>
      <c r="C1725" s="207">
        <v>8954.0</v>
      </c>
      <c r="D1725" s="6" t="str">
        <f>VLOOKUP($C1725, 'List of log slots'!$A:$E, 2, FALSE)</f>
        <v>Red naval shirt</v>
      </c>
      <c r="E1725" s="207">
        <f>VLOOKUP($C1725, 'List of log slots'!$A:$E, 5, FALSE)</f>
        <v>3</v>
      </c>
      <c r="F1725" s="209" t="b">
        <f>VLOOKUP(C1725, 'List of log slots'!$A:$C, 3, FALSE)</f>
        <v>0</v>
      </c>
      <c r="G1725" s="209" t="b">
        <f t="shared" si="1318"/>
        <v>0</v>
      </c>
      <c r="H1725" s="210" t="b">
        <f t="shared" si="7"/>
        <v>1</v>
      </c>
      <c r="I1725" s="213" t="b">
        <f t="shared" si="1315"/>
        <v>1</v>
      </c>
      <c r="J1725" s="213" t="b">
        <f t="shared" si="1319"/>
        <v>1</v>
      </c>
      <c r="K1725" s="214">
        <v>1000.0</v>
      </c>
      <c r="L1725" s="212">
        <f t="shared" si="3"/>
        <v>1000</v>
      </c>
      <c r="M1725" s="212" t="str">
        <f t="shared" si="4"/>
        <v>n/a</v>
      </c>
      <c r="N1725" s="207" t="str">
        <f t="shared" si="5"/>
        <v>n/a</v>
      </c>
      <c r="O1725" s="207" t="str">
        <f t="shared" si="6"/>
        <v>n/a</v>
      </c>
    </row>
    <row r="1726" ht="15.75" customHeight="1">
      <c r="A1726" s="207">
        <v>98.0</v>
      </c>
      <c r="B1726" s="6" t="str">
        <f>VLOOKUP($A1726, 'Completion rates'!$A:$E, 2, FALSE)</f>
        <v>Earning pieces of eight (trouble brewing)</v>
      </c>
      <c r="C1726" s="207">
        <v>8961.0</v>
      </c>
      <c r="D1726" s="6" t="str">
        <f>VLOOKUP($C1726, 'List of log slots'!$A:$E, 2, FALSE)</f>
        <v>Red tricorn hat</v>
      </c>
      <c r="E1726" s="207">
        <f>VLOOKUP($C1726, 'List of log slots'!$A:$E, 5, FALSE)</f>
        <v>3</v>
      </c>
      <c r="F1726" s="209" t="b">
        <f>VLOOKUP(C1726, 'List of log slots'!$A:$C, 3, FALSE)</f>
        <v>0</v>
      </c>
      <c r="G1726" s="209" t="b">
        <f t="shared" si="1318"/>
        <v>0</v>
      </c>
      <c r="H1726" s="210" t="b">
        <f t="shared" si="7"/>
        <v>1</v>
      </c>
      <c r="I1726" s="213" t="b">
        <f t="shared" si="1315"/>
        <v>1</v>
      </c>
      <c r="J1726" s="213" t="b">
        <f t="shared" si="1319"/>
        <v>1</v>
      </c>
      <c r="K1726" s="214">
        <v>500.0</v>
      </c>
      <c r="L1726" s="212">
        <f t="shared" si="3"/>
        <v>500</v>
      </c>
      <c r="M1726" s="212" t="str">
        <f t="shared" si="4"/>
        <v>n/a</v>
      </c>
      <c r="N1726" s="207" t="str">
        <f t="shared" si="5"/>
        <v>n/a</v>
      </c>
      <c r="O1726" s="207" t="str">
        <f t="shared" si="6"/>
        <v>n/a</v>
      </c>
    </row>
    <row r="1727" ht="15.75" customHeight="1">
      <c r="A1727" s="207">
        <v>98.0</v>
      </c>
      <c r="B1727" s="6" t="str">
        <f>VLOOKUP($A1727, 'Completion rates'!$A:$E, 2, FALSE)</f>
        <v>Earning pieces of eight (trouble brewing)</v>
      </c>
      <c r="C1727" s="207">
        <v>8993.0</v>
      </c>
      <c r="D1727" s="6" t="str">
        <f>VLOOKUP($C1727, 'List of log slots'!$A:$E, 2, FALSE)</f>
        <v>Red navy slacks</v>
      </c>
      <c r="E1727" s="207">
        <f>VLOOKUP($C1727, 'List of log slots'!$A:$E, 5, FALSE)</f>
        <v>3</v>
      </c>
      <c r="F1727" s="209" t="b">
        <f>VLOOKUP(C1727, 'List of log slots'!$A:$C, 3, FALSE)</f>
        <v>0</v>
      </c>
      <c r="G1727" s="209" t="b">
        <f t="shared" si="1318"/>
        <v>0</v>
      </c>
      <c r="H1727" s="210" t="b">
        <f t="shared" si="7"/>
        <v>1</v>
      </c>
      <c r="I1727" s="213" t="b">
        <f t="shared" si="1315"/>
        <v>1</v>
      </c>
      <c r="J1727" s="213" t="b">
        <f t="shared" si="1319"/>
        <v>1</v>
      </c>
      <c r="K1727" s="214">
        <v>1000.0</v>
      </c>
      <c r="L1727" s="212">
        <f t="shared" si="3"/>
        <v>1000</v>
      </c>
      <c r="M1727" s="212" t="str">
        <f t="shared" si="4"/>
        <v>n/a</v>
      </c>
      <c r="N1727" s="207" t="str">
        <f t="shared" si="5"/>
        <v>n/a</v>
      </c>
      <c r="O1727" s="207" t="str">
        <f t="shared" si="6"/>
        <v>n/a</v>
      </c>
    </row>
    <row r="1728" ht="15.75" customHeight="1">
      <c r="A1728" s="207">
        <v>98.0</v>
      </c>
      <c r="B1728" s="6" t="str">
        <f>VLOOKUP($A1728, 'Completion rates'!$A:$E, 2, FALSE)</f>
        <v>Earning pieces of eight (trouble brewing)</v>
      </c>
      <c r="C1728" s="207">
        <v>8955.0</v>
      </c>
      <c r="D1728" s="6" t="str">
        <f>VLOOKUP($C1728, 'List of log slots'!$A:$E, 2, FALSE)</f>
        <v>Brown naval shirt</v>
      </c>
      <c r="E1728" s="207">
        <f>VLOOKUP($C1728, 'List of log slots'!$A:$E, 5, FALSE)</f>
        <v>3</v>
      </c>
      <c r="F1728" s="209" t="b">
        <f>VLOOKUP(C1728, 'List of log slots'!$A:$C, 3, FALSE)</f>
        <v>0</v>
      </c>
      <c r="G1728" s="209" t="b">
        <f t="shared" si="1318"/>
        <v>0</v>
      </c>
      <c r="H1728" s="210" t="b">
        <f t="shared" si="7"/>
        <v>1</v>
      </c>
      <c r="I1728" s="213" t="b">
        <f t="shared" si="1315"/>
        <v>1</v>
      </c>
      <c r="J1728" s="213" t="b">
        <f t="shared" si="1319"/>
        <v>1</v>
      </c>
      <c r="K1728" s="214">
        <v>1000.0</v>
      </c>
      <c r="L1728" s="212">
        <f t="shared" si="3"/>
        <v>1000</v>
      </c>
      <c r="M1728" s="212" t="str">
        <f t="shared" si="4"/>
        <v>n/a</v>
      </c>
      <c r="N1728" s="207" t="str">
        <f t="shared" si="5"/>
        <v>n/a</v>
      </c>
      <c r="O1728" s="207" t="str">
        <f t="shared" si="6"/>
        <v>n/a</v>
      </c>
    </row>
    <row r="1729" ht="15.75" customHeight="1">
      <c r="A1729" s="207">
        <v>98.0</v>
      </c>
      <c r="B1729" s="6" t="str">
        <f>VLOOKUP($A1729, 'Completion rates'!$A:$E, 2, FALSE)</f>
        <v>Earning pieces of eight (trouble brewing)</v>
      </c>
      <c r="C1729" s="207">
        <v>8962.0</v>
      </c>
      <c r="D1729" s="6" t="str">
        <f>VLOOKUP($C1729, 'List of log slots'!$A:$E, 2, FALSE)</f>
        <v>Brown tricorn hat</v>
      </c>
      <c r="E1729" s="207">
        <f>VLOOKUP($C1729, 'List of log slots'!$A:$E, 5, FALSE)</f>
        <v>3</v>
      </c>
      <c r="F1729" s="209" t="b">
        <f>VLOOKUP(C1729, 'List of log slots'!$A:$C, 3, FALSE)</f>
        <v>0</v>
      </c>
      <c r="G1729" s="209" t="b">
        <f t="shared" si="1318"/>
        <v>0</v>
      </c>
      <c r="H1729" s="210" t="b">
        <f t="shared" si="7"/>
        <v>1</v>
      </c>
      <c r="I1729" s="213" t="b">
        <f t="shared" si="1315"/>
        <v>1</v>
      </c>
      <c r="J1729" s="213" t="b">
        <f t="shared" si="1319"/>
        <v>1</v>
      </c>
      <c r="K1729" s="214">
        <v>500.0</v>
      </c>
      <c r="L1729" s="212">
        <f t="shared" si="3"/>
        <v>500</v>
      </c>
      <c r="M1729" s="212" t="str">
        <f t="shared" si="4"/>
        <v>n/a</v>
      </c>
      <c r="N1729" s="207" t="str">
        <f t="shared" si="5"/>
        <v>n/a</v>
      </c>
      <c r="O1729" s="207" t="str">
        <f t="shared" si="6"/>
        <v>n/a</v>
      </c>
    </row>
    <row r="1730" ht="15.75" customHeight="1">
      <c r="A1730" s="207">
        <v>98.0</v>
      </c>
      <c r="B1730" s="6" t="str">
        <f>VLOOKUP($A1730, 'Completion rates'!$A:$E, 2, FALSE)</f>
        <v>Earning pieces of eight (trouble brewing)</v>
      </c>
      <c r="C1730" s="207">
        <v>8994.0</v>
      </c>
      <c r="D1730" s="6" t="str">
        <f>VLOOKUP($C1730, 'List of log slots'!$A:$E, 2, FALSE)</f>
        <v>Brown navy slacks</v>
      </c>
      <c r="E1730" s="207">
        <f>VLOOKUP($C1730, 'List of log slots'!$A:$E, 5, FALSE)</f>
        <v>3</v>
      </c>
      <c r="F1730" s="209" t="b">
        <f>VLOOKUP(C1730, 'List of log slots'!$A:$C, 3, FALSE)</f>
        <v>0</v>
      </c>
      <c r="G1730" s="209" t="b">
        <f t="shared" si="1318"/>
        <v>0</v>
      </c>
      <c r="H1730" s="210" t="b">
        <f t="shared" si="7"/>
        <v>1</v>
      </c>
      <c r="I1730" s="213" t="b">
        <f t="shared" si="1315"/>
        <v>1</v>
      </c>
      <c r="J1730" s="213" t="b">
        <f t="shared" si="1319"/>
        <v>1</v>
      </c>
      <c r="K1730" s="214">
        <v>1000.0</v>
      </c>
      <c r="L1730" s="212">
        <f t="shared" si="3"/>
        <v>1000</v>
      </c>
      <c r="M1730" s="212" t="str">
        <f t="shared" si="4"/>
        <v>n/a</v>
      </c>
      <c r="N1730" s="207" t="str">
        <f t="shared" si="5"/>
        <v>n/a</v>
      </c>
      <c r="O1730" s="207" t="str">
        <f t="shared" si="6"/>
        <v>n/a</v>
      </c>
    </row>
    <row r="1731" ht="15.75" customHeight="1">
      <c r="A1731" s="207">
        <v>98.0</v>
      </c>
      <c r="B1731" s="6" t="str">
        <f>VLOOKUP($A1731, 'Completion rates'!$A:$E, 2, FALSE)</f>
        <v>Earning pieces of eight (trouble brewing)</v>
      </c>
      <c r="C1731" s="207">
        <v>8956.0</v>
      </c>
      <c r="D1731" s="6" t="str">
        <f>VLOOKUP($C1731, 'List of log slots'!$A:$E, 2, FALSE)</f>
        <v>Black naval shirt</v>
      </c>
      <c r="E1731" s="207">
        <f>VLOOKUP($C1731, 'List of log slots'!$A:$E, 5, FALSE)</f>
        <v>3</v>
      </c>
      <c r="F1731" s="209" t="b">
        <f>VLOOKUP(C1731, 'List of log slots'!$A:$C, 3, FALSE)</f>
        <v>0</v>
      </c>
      <c r="G1731" s="209" t="b">
        <f t="shared" si="1318"/>
        <v>0</v>
      </c>
      <c r="H1731" s="210" t="b">
        <f t="shared" si="7"/>
        <v>1</v>
      </c>
      <c r="I1731" s="213" t="b">
        <f t="shared" si="1315"/>
        <v>1</v>
      </c>
      <c r="J1731" s="213" t="b">
        <f t="shared" si="1319"/>
        <v>1</v>
      </c>
      <c r="K1731" s="214">
        <v>1000.0</v>
      </c>
      <c r="L1731" s="212">
        <f t="shared" si="3"/>
        <v>1000</v>
      </c>
      <c r="M1731" s="212" t="str">
        <f t="shared" si="4"/>
        <v>n/a</v>
      </c>
      <c r="N1731" s="207" t="str">
        <f t="shared" si="5"/>
        <v>n/a</v>
      </c>
      <c r="O1731" s="207" t="str">
        <f t="shared" si="6"/>
        <v>n/a</v>
      </c>
    </row>
    <row r="1732" ht="15.75" customHeight="1">
      <c r="A1732" s="207">
        <v>98.0</v>
      </c>
      <c r="B1732" s="6" t="str">
        <f>VLOOKUP($A1732, 'Completion rates'!$A:$E, 2, FALSE)</f>
        <v>Earning pieces of eight (trouble brewing)</v>
      </c>
      <c r="C1732" s="207">
        <v>8963.0</v>
      </c>
      <c r="D1732" s="6" t="str">
        <f>VLOOKUP($C1732, 'List of log slots'!$A:$E, 2, FALSE)</f>
        <v>Black tricorn hat</v>
      </c>
      <c r="E1732" s="207">
        <f>VLOOKUP($C1732, 'List of log slots'!$A:$E, 5, FALSE)</f>
        <v>3</v>
      </c>
      <c r="F1732" s="208" t="b">
        <f>VLOOKUP(C1732, 'List of log slots'!$A:$C, 3, FALSE)</f>
        <v>0</v>
      </c>
      <c r="G1732" s="209" t="b">
        <f t="shared" si="1318"/>
        <v>0</v>
      </c>
      <c r="H1732" s="210" t="b">
        <f t="shared" si="7"/>
        <v>1</v>
      </c>
      <c r="I1732" s="213" t="b">
        <f t="shared" si="1315"/>
        <v>1</v>
      </c>
      <c r="J1732" s="213" t="b">
        <f t="shared" si="1319"/>
        <v>1</v>
      </c>
      <c r="K1732" s="214">
        <v>500.0</v>
      </c>
      <c r="L1732" s="207">
        <f t="shared" si="3"/>
        <v>500</v>
      </c>
      <c r="M1732" s="212" t="str">
        <f t="shared" si="4"/>
        <v>n/a</v>
      </c>
      <c r="N1732" s="207" t="str">
        <f t="shared" si="5"/>
        <v>n/a</v>
      </c>
      <c r="O1732" s="207" t="str">
        <f t="shared" si="6"/>
        <v>n/a</v>
      </c>
    </row>
    <row r="1733" ht="15.75" customHeight="1">
      <c r="A1733" s="207">
        <v>98.0</v>
      </c>
      <c r="B1733" s="6" t="str">
        <f>VLOOKUP($A1733, 'Completion rates'!$A:$E, 2, FALSE)</f>
        <v>Earning pieces of eight (trouble brewing)</v>
      </c>
      <c r="C1733" s="207">
        <v>8995.0</v>
      </c>
      <c r="D1733" s="6" t="str">
        <f>VLOOKUP($C1733, 'List of log slots'!$A:$E, 2, FALSE)</f>
        <v>Black navy slacks</v>
      </c>
      <c r="E1733" s="207">
        <f>VLOOKUP($C1733, 'List of log slots'!$A:$E, 5, FALSE)</f>
        <v>3</v>
      </c>
      <c r="F1733" s="208" t="b">
        <f>VLOOKUP(C1733, 'List of log slots'!$A:$C, 3, FALSE)</f>
        <v>0</v>
      </c>
      <c r="G1733" s="209" t="b">
        <f t="shared" si="1318"/>
        <v>0</v>
      </c>
      <c r="H1733" s="210" t="b">
        <f t="shared" si="7"/>
        <v>1</v>
      </c>
      <c r="I1733" s="213" t="b">
        <f t="shared" si="1315"/>
        <v>1</v>
      </c>
      <c r="J1733" s="213" t="b">
        <f t="shared" si="1319"/>
        <v>1</v>
      </c>
      <c r="K1733" s="214">
        <v>1000.0</v>
      </c>
      <c r="L1733" s="207">
        <f t="shared" si="3"/>
        <v>1000</v>
      </c>
      <c r="M1733" s="212" t="str">
        <f t="shared" si="4"/>
        <v>n/a</v>
      </c>
      <c r="N1733" s="207" t="str">
        <f t="shared" si="5"/>
        <v>n/a</v>
      </c>
      <c r="O1733" s="207" t="str">
        <f t="shared" si="6"/>
        <v>n/a</v>
      </c>
    </row>
    <row r="1734" ht="15.75" customHeight="1">
      <c r="A1734" s="207">
        <v>98.0</v>
      </c>
      <c r="B1734" s="6" t="str">
        <f>VLOOKUP($A1734, 'Completion rates'!$A:$E, 2, FALSE)</f>
        <v>Earning pieces of eight (trouble brewing)</v>
      </c>
      <c r="C1734" s="207">
        <v>8957.0</v>
      </c>
      <c r="D1734" s="6" t="str">
        <f>VLOOKUP($C1734, 'List of log slots'!$A:$E, 2, FALSE)</f>
        <v>Purple naval shirt</v>
      </c>
      <c r="E1734" s="207">
        <f>VLOOKUP($C1734, 'List of log slots'!$A:$E, 5, FALSE)</f>
        <v>3</v>
      </c>
      <c r="F1734" s="208" t="b">
        <f>VLOOKUP(C1734, 'List of log slots'!$A:$C, 3, FALSE)</f>
        <v>0</v>
      </c>
      <c r="G1734" s="209" t="b">
        <f t="shared" si="1318"/>
        <v>0</v>
      </c>
      <c r="H1734" s="210" t="b">
        <f t="shared" si="7"/>
        <v>1</v>
      </c>
      <c r="I1734" s="213" t="b">
        <f t="shared" si="1315"/>
        <v>1</v>
      </c>
      <c r="J1734" s="213" t="b">
        <f t="shared" si="1319"/>
        <v>1</v>
      </c>
      <c r="K1734" s="214">
        <v>1000.0</v>
      </c>
      <c r="L1734" s="207">
        <f t="shared" si="3"/>
        <v>1000</v>
      </c>
      <c r="M1734" s="212" t="str">
        <f t="shared" si="4"/>
        <v>n/a</v>
      </c>
      <c r="N1734" s="207" t="str">
        <f t="shared" si="5"/>
        <v>n/a</v>
      </c>
      <c r="O1734" s="207" t="str">
        <f t="shared" si="6"/>
        <v>n/a</v>
      </c>
    </row>
    <row r="1735" ht="15.75" customHeight="1">
      <c r="A1735" s="207">
        <v>98.0</v>
      </c>
      <c r="B1735" s="6" t="str">
        <f>VLOOKUP($A1735, 'Completion rates'!$A:$E, 2, FALSE)</f>
        <v>Earning pieces of eight (trouble brewing)</v>
      </c>
      <c r="C1735" s="207">
        <v>8964.0</v>
      </c>
      <c r="D1735" s="6" t="str">
        <f>VLOOKUP($C1735, 'List of log slots'!$A:$E, 2, FALSE)</f>
        <v>Purple tricorn hat</v>
      </c>
      <c r="E1735" s="207">
        <f>VLOOKUP($C1735, 'List of log slots'!$A:$E, 5, FALSE)</f>
        <v>3</v>
      </c>
      <c r="F1735" s="208" t="b">
        <f>VLOOKUP(C1735, 'List of log slots'!$A:$C, 3, FALSE)</f>
        <v>0</v>
      </c>
      <c r="G1735" s="209" t="b">
        <f t="shared" si="1318"/>
        <v>0</v>
      </c>
      <c r="H1735" s="210" t="b">
        <f t="shared" si="7"/>
        <v>1</v>
      </c>
      <c r="I1735" s="213" t="b">
        <f t="shared" si="1315"/>
        <v>1</v>
      </c>
      <c r="J1735" s="213" t="b">
        <f t="shared" si="1319"/>
        <v>1</v>
      </c>
      <c r="K1735" s="214">
        <v>500.0</v>
      </c>
      <c r="L1735" s="207">
        <f t="shared" si="3"/>
        <v>500</v>
      </c>
      <c r="M1735" s="212" t="str">
        <f t="shared" si="4"/>
        <v>n/a</v>
      </c>
      <c r="N1735" s="207" t="str">
        <f t="shared" si="5"/>
        <v>n/a</v>
      </c>
      <c r="O1735" s="207" t="str">
        <f t="shared" si="6"/>
        <v>n/a</v>
      </c>
    </row>
    <row r="1736" ht="15.75" customHeight="1">
      <c r="A1736" s="207">
        <v>98.0</v>
      </c>
      <c r="B1736" s="6" t="str">
        <f>VLOOKUP($A1736, 'Completion rates'!$A:$E, 2, FALSE)</f>
        <v>Earning pieces of eight (trouble brewing)</v>
      </c>
      <c r="C1736" s="207">
        <v>8996.0</v>
      </c>
      <c r="D1736" s="6" t="str">
        <f>VLOOKUP($C1736, 'List of log slots'!$A:$E, 2, FALSE)</f>
        <v>Purple navy slacks</v>
      </c>
      <c r="E1736" s="207">
        <f>VLOOKUP($C1736, 'List of log slots'!$A:$E, 5, FALSE)</f>
        <v>3</v>
      </c>
      <c r="F1736" s="208" t="b">
        <f>VLOOKUP(C1736, 'List of log slots'!$A:$C, 3, FALSE)</f>
        <v>0</v>
      </c>
      <c r="G1736" s="209" t="b">
        <f t="shared" si="1318"/>
        <v>0</v>
      </c>
      <c r="H1736" s="210" t="b">
        <f t="shared" si="7"/>
        <v>1</v>
      </c>
      <c r="I1736" s="213" t="b">
        <f t="shared" si="1315"/>
        <v>1</v>
      </c>
      <c r="J1736" s="213" t="b">
        <f t="shared" si="1319"/>
        <v>1</v>
      </c>
      <c r="K1736" s="214">
        <v>1000.0</v>
      </c>
      <c r="L1736" s="207">
        <f t="shared" si="3"/>
        <v>1000</v>
      </c>
      <c r="M1736" s="212" t="str">
        <f t="shared" si="4"/>
        <v>n/a</v>
      </c>
      <c r="N1736" s="207" t="str">
        <f t="shared" si="5"/>
        <v>n/a</v>
      </c>
      <c r="O1736" s="207" t="str">
        <f t="shared" si="6"/>
        <v>n/a</v>
      </c>
    </row>
    <row r="1737" ht="15.75" customHeight="1">
      <c r="A1737" s="207">
        <v>98.0</v>
      </c>
      <c r="B1737" s="6" t="str">
        <f>VLOOKUP($A1737, 'Completion rates'!$A:$E, 2, FALSE)</f>
        <v>Earning pieces of eight (trouble brewing)</v>
      </c>
      <c r="C1737" s="207">
        <v>8958.0</v>
      </c>
      <c r="D1737" s="6" t="str">
        <f>VLOOKUP($C1737, 'List of log slots'!$A:$E, 2, FALSE)</f>
        <v>Grey naval shirt</v>
      </c>
      <c r="E1737" s="207">
        <f>VLOOKUP($C1737, 'List of log slots'!$A:$E, 5, FALSE)</f>
        <v>3</v>
      </c>
      <c r="F1737" s="208" t="b">
        <f>VLOOKUP(C1737, 'List of log slots'!$A:$C, 3, FALSE)</f>
        <v>0</v>
      </c>
      <c r="G1737" s="209" t="b">
        <f t="shared" si="1318"/>
        <v>0</v>
      </c>
      <c r="H1737" s="210" t="b">
        <f t="shared" si="7"/>
        <v>1</v>
      </c>
      <c r="I1737" s="213" t="b">
        <f t="shared" si="1315"/>
        <v>1</v>
      </c>
      <c r="J1737" s="213" t="b">
        <f t="shared" si="1319"/>
        <v>1</v>
      </c>
      <c r="K1737" s="214">
        <v>1000.0</v>
      </c>
      <c r="L1737" s="207">
        <f t="shared" si="3"/>
        <v>1000</v>
      </c>
      <c r="M1737" s="212" t="str">
        <f t="shared" si="4"/>
        <v>n/a</v>
      </c>
      <c r="N1737" s="207" t="str">
        <f t="shared" si="5"/>
        <v>n/a</v>
      </c>
      <c r="O1737" s="207" t="str">
        <f t="shared" si="6"/>
        <v>n/a</v>
      </c>
    </row>
    <row r="1738" ht="15.75" customHeight="1">
      <c r="A1738" s="207">
        <v>98.0</v>
      </c>
      <c r="B1738" s="6" t="str">
        <f>VLOOKUP($A1738, 'Completion rates'!$A:$E, 2, FALSE)</f>
        <v>Earning pieces of eight (trouble brewing)</v>
      </c>
      <c r="C1738" s="207">
        <v>8965.0</v>
      </c>
      <c r="D1738" s="6" t="str">
        <f>VLOOKUP($C1738, 'List of log slots'!$A:$E, 2, FALSE)</f>
        <v>Grey tricorn hat</v>
      </c>
      <c r="E1738" s="207">
        <f>VLOOKUP($C1738, 'List of log slots'!$A:$E, 5, FALSE)</f>
        <v>3</v>
      </c>
      <c r="F1738" s="208" t="b">
        <f>VLOOKUP(C1738, 'List of log slots'!$A:$C, 3, FALSE)</f>
        <v>0</v>
      </c>
      <c r="G1738" s="209" t="b">
        <f t="shared" si="1318"/>
        <v>0</v>
      </c>
      <c r="H1738" s="210" t="b">
        <f t="shared" si="7"/>
        <v>1</v>
      </c>
      <c r="I1738" s="213" t="b">
        <f t="shared" si="1315"/>
        <v>1</v>
      </c>
      <c r="J1738" s="213" t="b">
        <f t="shared" si="1319"/>
        <v>1</v>
      </c>
      <c r="K1738" s="214">
        <v>500.0</v>
      </c>
      <c r="L1738" s="207">
        <f t="shared" si="3"/>
        <v>500</v>
      </c>
      <c r="M1738" s="212" t="str">
        <f t="shared" si="4"/>
        <v>n/a</v>
      </c>
      <c r="N1738" s="207" t="str">
        <f t="shared" si="5"/>
        <v>n/a</v>
      </c>
      <c r="O1738" s="207" t="str">
        <f t="shared" si="6"/>
        <v>n/a</v>
      </c>
    </row>
    <row r="1739" ht="15.75" customHeight="1">
      <c r="A1739" s="207">
        <v>98.0</v>
      </c>
      <c r="B1739" s="6" t="str">
        <f>VLOOKUP($A1739, 'Completion rates'!$A:$E, 2, FALSE)</f>
        <v>Earning pieces of eight (trouble brewing)</v>
      </c>
      <c r="C1739" s="207">
        <v>8997.0</v>
      </c>
      <c r="D1739" s="6" t="str">
        <f>VLOOKUP($C1739, 'List of log slots'!$A:$E, 2, FALSE)</f>
        <v>Grey navy slacks</v>
      </c>
      <c r="E1739" s="207">
        <f>VLOOKUP($C1739, 'List of log slots'!$A:$E, 5, FALSE)</f>
        <v>3</v>
      </c>
      <c r="F1739" s="208" t="b">
        <f>VLOOKUP(C1739, 'List of log slots'!$A:$C, 3, FALSE)</f>
        <v>0</v>
      </c>
      <c r="G1739" s="209" t="b">
        <f t="shared" si="1318"/>
        <v>0</v>
      </c>
      <c r="H1739" s="210" t="b">
        <f t="shared" si="7"/>
        <v>1</v>
      </c>
      <c r="I1739" s="213" t="b">
        <f t="shared" si="1315"/>
        <v>1</v>
      </c>
      <c r="J1739" s="213" t="b">
        <f t="shared" si="1319"/>
        <v>1</v>
      </c>
      <c r="K1739" s="214">
        <v>1000.0</v>
      </c>
      <c r="L1739" s="207">
        <f t="shared" si="3"/>
        <v>1000</v>
      </c>
      <c r="M1739" s="212" t="str">
        <f t="shared" si="4"/>
        <v>n/a</v>
      </c>
      <c r="N1739" s="207" t="str">
        <f t="shared" si="5"/>
        <v>n/a</v>
      </c>
      <c r="O1739" s="207" t="str">
        <f t="shared" si="6"/>
        <v>n/a</v>
      </c>
    </row>
    <row r="1740">
      <c r="A1740" s="207">
        <v>98.0</v>
      </c>
      <c r="B1740" s="6" t="str">
        <f>VLOOKUP($A1740, 'Completion rates'!$A:$E, 2, FALSE)</f>
        <v>Earning pieces of eight (trouble brewing)</v>
      </c>
      <c r="C1740" s="207">
        <v>8966.0</v>
      </c>
      <c r="D1740" s="6" t="str">
        <f>VLOOKUP($C1740, 'List of log slots'!$A:$E, 2, FALSE)</f>
        <v>Cutthroat flag</v>
      </c>
      <c r="E1740" s="207">
        <f>VLOOKUP($C1740, 'List of log slots'!$A:$E, 5, FALSE)</f>
        <v>4</v>
      </c>
      <c r="F1740" s="208" t="b">
        <f>VLOOKUP(C1740, 'List of log slots'!$A:$C, 3, FALSE)</f>
        <v>0</v>
      </c>
      <c r="G1740" s="209" t="b">
        <f t="shared" si="1318"/>
        <v>0</v>
      </c>
      <c r="H1740" s="210" t="b">
        <f t="shared" si="7"/>
        <v>1</v>
      </c>
      <c r="I1740" s="213" t="b">
        <f t="shared" si="1315"/>
        <v>1</v>
      </c>
      <c r="J1740" s="213" t="b">
        <f t="shared" si="1319"/>
        <v>1</v>
      </c>
      <c r="K1740" s="214">
        <v>2000.0</v>
      </c>
      <c r="L1740" s="207">
        <f t="shared" si="3"/>
        <v>2000</v>
      </c>
      <c r="M1740" s="212" t="str">
        <f t="shared" si="4"/>
        <v>n/a</v>
      </c>
      <c r="N1740" s="207" t="str">
        <f t="shared" si="5"/>
        <v>n/a</v>
      </c>
      <c r="O1740" s="207" t="str">
        <f t="shared" si="6"/>
        <v>n/a</v>
      </c>
    </row>
    <row r="1741">
      <c r="A1741" s="207">
        <v>98.0</v>
      </c>
      <c r="B1741" s="6" t="str">
        <f>VLOOKUP($A1741, 'Completion rates'!$A:$E, 2, FALSE)</f>
        <v>Earning pieces of eight (trouble brewing)</v>
      </c>
      <c r="C1741" s="207">
        <v>8967.0</v>
      </c>
      <c r="D1741" s="6" t="str">
        <f>VLOOKUP($C1741, 'List of log slots'!$A:$E, 2, FALSE)</f>
        <v>Gilded smile flag</v>
      </c>
      <c r="E1741" s="207">
        <f>VLOOKUP($C1741, 'List of log slots'!$A:$E, 5, FALSE)</f>
        <v>4</v>
      </c>
      <c r="F1741" s="208" t="b">
        <f>VLOOKUP(C1741, 'List of log slots'!$A:$C, 3, FALSE)</f>
        <v>0</v>
      </c>
      <c r="G1741" s="209" t="b">
        <f t="shared" si="1318"/>
        <v>0</v>
      </c>
      <c r="H1741" s="210" t="b">
        <f t="shared" si="7"/>
        <v>1</v>
      </c>
      <c r="I1741" s="213" t="b">
        <f t="shared" si="1315"/>
        <v>1</v>
      </c>
      <c r="J1741" s="213" t="b">
        <f t="shared" si="1319"/>
        <v>1</v>
      </c>
      <c r="K1741" s="214">
        <v>2000.0</v>
      </c>
      <c r="L1741" s="207">
        <f t="shared" si="3"/>
        <v>2000</v>
      </c>
      <c r="M1741" s="212" t="str">
        <f t="shared" si="4"/>
        <v>n/a</v>
      </c>
      <c r="N1741" s="207" t="str">
        <f t="shared" si="5"/>
        <v>n/a</v>
      </c>
      <c r="O1741" s="207" t="str">
        <f t="shared" si="6"/>
        <v>n/a</v>
      </c>
    </row>
    <row r="1742">
      <c r="A1742" s="207">
        <v>98.0</v>
      </c>
      <c r="B1742" s="6" t="str">
        <f>VLOOKUP($A1742, 'Completion rates'!$A:$E, 2, FALSE)</f>
        <v>Earning pieces of eight (trouble brewing)</v>
      </c>
      <c r="C1742" s="207">
        <v>8968.0</v>
      </c>
      <c r="D1742" s="6" t="str">
        <f>VLOOKUP($C1742, 'List of log slots'!$A:$E, 2, FALSE)</f>
        <v>Bronze fist flag</v>
      </c>
      <c r="E1742" s="207">
        <f>VLOOKUP($C1742, 'List of log slots'!$A:$E, 5, FALSE)</f>
        <v>4</v>
      </c>
      <c r="F1742" s="208" t="b">
        <f>VLOOKUP(C1742, 'List of log slots'!$A:$C, 3, FALSE)</f>
        <v>0</v>
      </c>
      <c r="G1742" s="209" t="b">
        <f t="shared" si="1318"/>
        <v>0</v>
      </c>
      <c r="H1742" s="210" t="b">
        <f t="shared" si="7"/>
        <v>1</v>
      </c>
      <c r="I1742" s="213" t="b">
        <f t="shared" si="1315"/>
        <v>1</v>
      </c>
      <c r="J1742" s="213" t="b">
        <f t="shared" si="1319"/>
        <v>1</v>
      </c>
      <c r="K1742" s="214">
        <v>3000.0</v>
      </c>
      <c r="L1742" s="207">
        <f t="shared" si="3"/>
        <v>3000</v>
      </c>
      <c r="M1742" s="212" t="str">
        <f t="shared" si="4"/>
        <v>n/a</v>
      </c>
      <c r="N1742" s="207" t="str">
        <f t="shared" si="5"/>
        <v>n/a</v>
      </c>
      <c r="O1742" s="207" t="str">
        <f t="shared" si="6"/>
        <v>n/a</v>
      </c>
    </row>
    <row r="1743">
      <c r="A1743" s="207">
        <v>98.0</v>
      </c>
      <c r="B1743" s="6" t="str">
        <f>VLOOKUP($A1743, 'Completion rates'!$A:$E, 2, FALSE)</f>
        <v>Earning pieces of eight (trouble brewing)</v>
      </c>
      <c r="C1743" s="207">
        <v>8969.0</v>
      </c>
      <c r="D1743" s="6" t="str">
        <f>VLOOKUP($C1743, 'List of log slots'!$A:$E, 2, FALSE)</f>
        <v>Lucky shot flag</v>
      </c>
      <c r="E1743" s="207">
        <f>VLOOKUP($C1743, 'List of log slots'!$A:$E, 5, FALSE)</f>
        <v>5</v>
      </c>
      <c r="F1743" s="208" t="b">
        <f>VLOOKUP(C1743, 'List of log slots'!$A:$C, 3, FALSE)</f>
        <v>0</v>
      </c>
      <c r="G1743" s="209" t="b">
        <f t="shared" si="1318"/>
        <v>0</v>
      </c>
      <c r="H1743" s="210" t="b">
        <f t="shared" si="7"/>
        <v>1</v>
      </c>
      <c r="I1743" s="213" t="b">
        <f t="shared" si="1315"/>
        <v>1</v>
      </c>
      <c r="J1743" s="213" t="b">
        <f t="shared" si="1319"/>
        <v>1</v>
      </c>
      <c r="K1743" s="214">
        <v>4000.0</v>
      </c>
      <c r="L1743" s="207">
        <f t="shared" si="3"/>
        <v>4000</v>
      </c>
      <c r="M1743" s="212" t="str">
        <f t="shared" si="4"/>
        <v>n/a</v>
      </c>
      <c r="N1743" s="207" t="str">
        <f t="shared" si="5"/>
        <v>n/a</v>
      </c>
      <c r="O1743" s="207" t="str">
        <f t="shared" si="6"/>
        <v>n/a</v>
      </c>
    </row>
    <row r="1744">
      <c r="A1744" s="207">
        <v>98.0</v>
      </c>
      <c r="B1744" s="6" t="str">
        <f>VLOOKUP($A1744, 'Completion rates'!$A:$E, 2, FALSE)</f>
        <v>Earning pieces of eight (trouble brewing)</v>
      </c>
      <c r="C1744" s="207">
        <v>8970.0</v>
      </c>
      <c r="D1744" s="6" t="str">
        <f>VLOOKUP($C1744, 'List of log slots'!$A:$E, 2, FALSE)</f>
        <v>Treasure flag</v>
      </c>
      <c r="E1744" s="207">
        <f>VLOOKUP($C1744, 'List of log slots'!$A:$E, 5, FALSE)</f>
        <v>5</v>
      </c>
      <c r="F1744" s="208" t="b">
        <f>VLOOKUP(C1744, 'List of log slots'!$A:$C, 3, FALSE)</f>
        <v>0</v>
      </c>
      <c r="G1744" s="209" t="b">
        <f t="shared" si="1318"/>
        <v>0</v>
      </c>
      <c r="H1744" s="210" t="b">
        <f t="shared" si="7"/>
        <v>1</v>
      </c>
      <c r="I1744" s="213" t="b">
        <f t="shared" si="1315"/>
        <v>1</v>
      </c>
      <c r="J1744" s="213" t="b">
        <f t="shared" si="1319"/>
        <v>1</v>
      </c>
      <c r="K1744" s="214">
        <v>5000.0</v>
      </c>
      <c r="L1744" s="207">
        <f t="shared" si="3"/>
        <v>5000</v>
      </c>
      <c r="M1744" s="212" t="str">
        <f t="shared" si="4"/>
        <v>n/a</v>
      </c>
      <c r="N1744" s="207" t="str">
        <f t="shared" si="5"/>
        <v>n/a</v>
      </c>
      <c r="O1744" s="207" t="str">
        <f t="shared" si="6"/>
        <v>n/a</v>
      </c>
    </row>
    <row r="1745">
      <c r="A1745" s="207">
        <v>98.0</v>
      </c>
      <c r="B1745" s="6" t="str">
        <f>VLOOKUP($A1745, 'Completion rates'!$A:$E, 2, FALSE)</f>
        <v>Earning pieces of eight (trouble brewing)</v>
      </c>
      <c r="C1745" s="207">
        <v>8971.0</v>
      </c>
      <c r="D1745" s="6" t="str">
        <f>VLOOKUP($C1745, 'List of log slots'!$A:$E, 2, FALSE)</f>
        <v>Phasmatys flag</v>
      </c>
      <c r="E1745" s="207">
        <f>VLOOKUP($C1745, 'List of log slots'!$A:$E, 5, FALSE)</f>
        <v>5</v>
      </c>
      <c r="F1745" s="208" t="b">
        <f>VLOOKUP(C1745, 'List of log slots'!$A:$C, 3, FALSE)</f>
        <v>0</v>
      </c>
      <c r="G1745" s="209" t="b">
        <f t="shared" si="1318"/>
        <v>0</v>
      </c>
      <c r="H1745" s="210" t="b">
        <f t="shared" si="7"/>
        <v>1</v>
      </c>
      <c r="I1745" s="213" t="b">
        <f t="shared" si="1315"/>
        <v>1</v>
      </c>
      <c r="J1745" s="213" t="b">
        <f t="shared" si="1319"/>
        <v>1</v>
      </c>
      <c r="K1745" s="214">
        <v>6000.0</v>
      </c>
      <c r="L1745" s="207">
        <f t="shared" si="3"/>
        <v>6000</v>
      </c>
      <c r="M1745" s="212" t="str">
        <f t="shared" si="4"/>
        <v>n/a</v>
      </c>
      <c r="N1745" s="207" t="str">
        <f t="shared" si="5"/>
        <v>n/a</v>
      </c>
      <c r="O1745" s="207" t="str">
        <f t="shared" si="6"/>
        <v>n/a</v>
      </c>
    </row>
    <row r="1746">
      <c r="A1746" s="207">
        <v>98.0</v>
      </c>
      <c r="B1746" s="6" t="str">
        <f>VLOOKUP($A1746, 'Completion rates'!$A:$E, 2, FALSE)</f>
        <v>Earning pieces of eight (trouble brewing)</v>
      </c>
      <c r="C1746" s="207">
        <v>8988.0</v>
      </c>
      <c r="D1746" s="6" t="str">
        <f>VLOOKUP($C1746, 'List of log slots'!$A:$E, 2, FALSE)</f>
        <v>The stuff</v>
      </c>
      <c r="E1746" s="207">
        <f>VLOOKUP($C1746, 'List of log slots'!$A:$E, 5, FALSE)</f>
        <v>2</v>
      </c>
      <c r="F1746" s="213" t="b">
        <f>VLOOKUP(C1746, 'List of log slots'!$A:$C, 3, FALSE)</f>
        <v>0</v>
      </c>
      <c r="G1746" s="209" t="b">
        <f t="shared" si="1318"/>
        <v>0</v>
      </c>
      <c r="H1746" s="209" t="b">
        <f t="shared" si="7"/>
        <v>1</v>
      </c>
      <c r="I1746" s="213" t="b">
        <f t="shared" si="1315"/>
        <v>1</v>
      </c>
      <c r="J1746" s="213" t="b">
        <f t="shared" si="1319"/>
        <v>1</v>
      </c>
      <c r="K1746" s="214">
        <v>50.0</v>
      </c>
      <c r="L1746" s="212">
        <f t="shared" si="3"/>
        <v>50</v>
      </c>
      <c r="M1746" s="212" t="str">
        <f t="shared" si="4"/>
        <v>n/a</v>
      </c>
      <c r="N1746" s="207" t="str">
        <f t="shared" si="5"/>
        <v>n/a</v>
      </c>
      <c r="O1746" s="207" t="str">
        <f t="shared" si="6"/>
        <v>n/a</v>
      </c>
    </row>
    <row r="1747">
      <c r="A1747" s="207">
        <v>98.0</v>
      </c>
      <c r="B1747" s="6" t="str">
        <f>VLOOKUP($A1747, 'Completion rates'!$A:$E, 2, FALSE)</f>
        <v>Earning pieces of eight (trouble brewing)</v>
      </c>
      <c r="C1747" s="207">
        <v>8940.0</v>
      </c>
      <c r="D1747" s="6" t="str">
        <f>VLOOKUP($C1747, 'List of log slots'!$A:$E, 2, FALSE)</f>
        <v>Rum</v>
      </c>
      <c r="E1747" s="207">
        <f>VLOOKUP($C1747, 'List of log slots'!$A:$E, 5, FALSE)</f>
        <v>2</v>
      </c>
      <c r="F1747" s="213" t="b">
        <f>VLOOKUP(C1747, 'List of log slots'!$A:$C, 3, FALSE)</f>
        <v>0</v>
      </c>
      <c r="G1747" s="209" t="b">
        <f t="shared" si="1318"/>
        <v>0</v>
      </c>
      <c r="H1747" s="209" t="b">
        <f t="shared" si="7"/>
        <v>1</v>
      </c>
      <c r="I1747" s="213" t="b">
        <f t="shared" si="1315"/>
        <v>1</v>
      </c>
      <c r="J1747" s="213" t="b">
        <f t="shared" si="1319"/>
        <v>1</v>
      </c>
      <c r="K1747" s="214">
        <v>20.0</v>
      </c>
      <c r="L1747" s="212">
        <f t="shared" si="3"/>
        <v>20</v>
      </c>
      <c r="M1747" s="212" t="str">
        <f t="shared" si="4"/>
        <v>n/a</v>
      </c>
      <c r="N1747" s="207" t="str">
        <f t="shared" si="5"/>
        <v>n/a</v>
      </c>
      <c r="O1747" s="207" t="str">
        <f t="shared" si="6"/>
        <v>n/a</v>
      </c>
    </row>
    <row r="1748">
      <c r="A1748" s="207">
        <v>98.0</v>
      </c>
      <c r="B1748" s="6" t="str">
        <f>VLOOKUP($A1748, 'Completion rates'!$A:$E, 2, FALSE)</f>
        <v>Earning pieces of eight (trouble brewing)</v>
      </c>
      <c r="C1748" s="207">
        <v>8941.0</v>
      </c>
      <c r="D1748" s="6" t="str">
        <f>VLOOKUP($C1748, 'List of log slots'!$A:$E, 2, FALSE)</f>
        <v>Rum</v>
      </c>
      <c r="E1748" s="207">
        <f>VLOOKUP($C1748, 'List of log slots'!$A:$E, 5, FALSE)</f>
        <v>2</v>
      </c>
      <c r="F1748" s="213" t="b">
        <f>VLOOKUP(C1748, 'List of log slots'!$A:$C, 3, FALSE)</f>
        <v>0</v>
      </c>
      <c r="G1748" s="209" t="b">
        <f t="shared" si="1318"/>
        <v>0</v>
      </c>
      <c r="H1748" s="209" t="b">
        <f t="shared" si="7"/>
        <v>1</v>
      </c>
      <c r="I1748" s="213" t="b">
        <f t="shared" si="1315"/>
        <v>1</v>
      </c>
      <c r="J1748" s="213" t="b">
        <f t="shared" si="1319"/>
        <v>1</v>
      </c>
      <c r="K1748" s="214">
        <v>20.0</v>
      </c>
      <c r="L1748" s="212">
        <f t="shared" si="3"/>
        <v>20</v>
      </c>
      <c r="M1748" s="212" t="str">
        <f t="shared" si="4"/>
        <v>n/a</v>
      </c>
      <c r="N1748" s="207" t="str">
        <f t="shared" si="5"/>
        <v>n/a</v>
      </c>
      <c r="O1748" s="207" t="str">
        <f t="shared" si="6"/>
        <v>n/a</v>
      </c>
    </row>
    <row r="1749">
      <c r="A1749" s="207">
        <v>99.0</v>
      </c>
      <c r="B1749" s="6" t="str">
        <f>VLOOKUP($A1749, 'Completion rates'!$A:$E, 2, FALSE)</f>
        <v>Rummaging vale offerings (vale totems)</v>
      </c>
      <c r="C1749" s="207">
        <v>31043.0</v>
      </c>
      <c r="D1749" s="6" t="str">
        <f>VLOOKUP($C1749, 'List of log slots'!$A:$E, 2, FALSE)</f>
        <v>Fletching knife</v>
      </c>
      <c r="E1749" s="207">
        <f>VLOOKUP($C1749, 'List of log slots'!$A:$E, 5, FALSE)</f>
        <v>2</v>
      </c>
      <c r="F1749" s="213" t="b">
        <f>VLOOKUP(C1749, 'List of log slots'!$A:$C, 3, FALSE)</f>
        <v>0</v>
      </c>
      <c r="G1749" s="209" t="b">
        <f t="shared" si="1318"/>
        <v>0</v>
      </c>
      <c r="H1749" s="209" t="b">
        <f t="shared" si="7"/>
        <v>1</v>
      </c>
      <c r="I1749" s="208" t="b">
        <f t="shared" ref="I1749:J1749" si="1320">FALSE</f>
        <v>0</v>
      </c>
      <c r="J1749" s="208" t="b">
        <f t="shared" si="1320"/>
        <v>0</v>
      </c>
      <c r="K1749" s="214">
        <v>200.0</v>
      </c>
      <c r="L1749" s="212" t="str">
        <f t="shared" si="3"/>
        <v>n/a</v>
      </c>
      <c r="M1749" s="212" t="str">
        <f t="shared" si="4"/>
        <v>n/a</v>
      </c>
      <c r="N1749" s="207" t="str">
        <f t="shared" si="5"/>
        <v>n/a</v>
      </c>
      <c r="O1749" s="207">
        <f t="shared" si="6"/>
        <v>0.005</v>
      </c>
    </row>
    <row r="1750">
      <c r="A1750" s="207">
        <v>99.0</v>
      </c>
      <c r="B1750" s="6" t="str">
        <f>VLOOKUP($A1750, 'Completion rates'!$A:$E, 2, FALSE)</f>
        <v>Rummaging vale offerings (vale totems)</v>
      </c>
      <c r="C1750" s="207">
        <v>31052.0</v>
      </c>
      <c r="D1750" s="6" t="str">
        <f>VLOOKUP($C1750, 'List of log slots'!$A:$E, 2, FALSE)</f>
        <v>Bow string spool</v>
      </c>
      <c r="E1750" s="207">
        <f>VLOOKUP($C1750, 'List of log slots'!$A:$E, 5, FALSE)</f>
        <v>2</v>
      </c>
      <c r="F1750" s="213" t="b">
        <f>VLOOKUP(C1750, 'List of log slots'!$A:$C, 3, FALSE)</f>
        <v>0</v>
      </c>
      <c r="G1750" s="209" t="b">
        <f t="shared" si="1318"/>
        <v>0</v>
      </c>
      <c r="H1750" s="209" t="b">
        <f t="shared" si="7"/>
        <v>1</v>
      </c>
      <c r="I1750" s="208" t="b">
        <f t="shared" ref="I1750:J1750" si="1321">FALSE</f>
        <v>0</v>
      </c>
      <c r="J1750" s="208" t="b">
        <f t="shared" si="1321"/>
        <v>0</v>
      </c>
      <c r="K1750" s="214">
        <v>350.0</v>
      </c>
      <c r="L1750" s="212" t="str">
        <f t="shared" si="3"/>
        <v>n/a</v>
      </c>
      <c r="M1750" s="212" t="str">
        <f t="shared" si="4"/>
        <v>n/a</v>
      </c>
      <c r="N1750" s="207" t="str">
        <f t="shared" si="5"/>
        <v>n/a</v>
      </c>
      <c r="O1750" s="207">
        <f t="shared" si="6"/>
        <v>0.002857142857</v>
      </c>
    </row>
    <row r="1751">
      <c r="A1751" s="207">
        <v>99.0</v>
      </c>
      <c r="B1751" s="6" t="str">
        <f>VLOOKUP($A1751, 'Completion rates'!$A:$E, 2, FALSE)</f>
        <v>Rummaging vale offerings (vale totems)</v>
      </c>
      <c r="C1751" s="207">
        <v>31032.0</v>
      </c>
      <c r="D1751" s="6" t="str">
        <f>VLOOKUP($C1751, 'List of log slots'!$A:$E, 2, FALSE)</f>
        <v>Ent branch</v>
      </c>
      <c r="E1751" s="207">
        <f>VLOOKUP($C1751, 'List of log slots'!$A:$E, 5, FALSE)</f>
        <v>1</v>
      </c>
      <c r="F1751" s="213" t="b">
        <f>VLOOKUP(C1751, 'List of log slots'!$A:$C, 3, FALSE)</f>
        <v>0</v>
      </c>
      <c r="G1751" s="209" t="b">
        <f t="shared" si="1318"/>
        <v>0</v>
      </c>
      <c r="H1751" s="209" t="b">
        <f t="shared" si="7"/>
        <v>1</v>
      </c>
      <c r="I1751" s="208" t="b">
        <f t="shared" ref="I1751:J1751" si="1322">FALSE</f>
        <v>0</v>
      </c>
      <c r="J1751" s="208" t="b">
        <f t="shared" si="1322"/>
        <v>0</v>
      </c>
      <c r="K1751" s="214">
        <v>6.0</v>
      </c>
      <c r="L1751" s="212" t="str">
        <f t="shared" si="3"/>
        <v>n/a</v>
      </c>
      <c r="M1751" s="212" t="str">
        <f t="shared" si="4"/>
        <v>n/a</v>
      </c>
      <c r="N1751" s="207" t="str">
        <f t="shared" si="5"/>
        <v>n/a</v>
      </c>
      <c r="O1751" s="207">
        <f t="shared" si="6"/>
        <v>0.1666666667</v>
      </c>
    </row>
    <row r="1752">
      <c r="A1752" s="207">
        <v>99.0</v>
      </c>
      <c r="B1752" s="6" t="str">
        <f>VLOOKUP($A1752, 'Completion rates'!$A:$E, 2, FALSE)</f>
        <v>Rummaging vale offerings (vale totems)</v>
      </c>
      <c r="C1752" s="207">
        <v>31034.0</v>
      </c>
      <c r="D1752" s="6" t="str">
        <f>VLOOKUP($C1752, 'List of log slots'!$A:$E, 2, FALSE)</f>
        <v>Greenman mask</v>
      </c>
      <c r="E1752" s="207">
        <f>VLOOKUP($C1752, 'List of log slots'!$A:$E, 5, FALSE)</f>
        <v>2</v>
      </c>
      <c r="F1752" s="213" t="b">
        <f>VLOOKUP(C1752, 'List of log slots'!$A:$C, 3, FALSE)</f>
        <v>0</v>
      </c>
      <c r="G1752" s="209" t="b">
        <f t="shared" si="1318"/>
        <v>0</v>
      </c>
      <c r="H1752" s="209" t="b">
        <f t="shared" si="7"/>
        <v>1</v>
      </c>
      <c r="I1752" s="208" t="b">
        <f t="shared" ref="I1752:J1752" si="1323">FALSE</f>
        <v>0</v>
      </c>
      <c r="J1752" s="208" t="b">
        <f t="shared" si="1323"/>
        <v>0</v>
      </c>
      <c r="K1752" s="214">
        <v>500.0</v>
      </c>
      <c r="L1752" s="212" t="str">
        <f t="shared" si="3"/>
        <v>n/a</v>
      </c>
      <c r="M1752" s="212" t="str">
        <f t="shared" si="4"/>
        <v>n/a</v>
      </c>
      <c r="N1752" s="207" t="str">
        <f t="shared" si="5"/>
        <v>n/a</v>
      </c>
      <c r="O1752" s="207">
        <f t="shared" si="6"/>
        <v>0.002</v>
      </c>
    </row>
    <row r="1753">
      <c r="A1753" s="207">
        <v>100.0</v>
      </c>
      <c r="B1753" s="6" t="str">
        <f>VLOOKUP($A1753, 'Completion rates'!$A:$E, 2, FALSE)</f>
        <v>Earning volcanic mine reward points</v>
      </c>
      <c r="C1753" s="207">
        <v>21697.0</v>
      </c>
      <c r="D1753" s="6" t="str">
        <f>VLOOKUP($C1753, 'List of log slots'!$A:$E, 2, FALSE)</f>
        <v>Ash covered tome</v>
      </c>
      <c r="E1753" s="207">
        <f>VLOOKUP($C1753, 'List of log slots'!$A:$E, 5, FALSE)</f>
        <v>3</v>
      </c>
      <c r="F1753" s="209" t="b">
        <f>VLOOKUP(C1753, 'List of log slots'!$A:$C, 3, FALSE)</f>
        <v>0</v>
      </c>
      <c r="G1753" s="209" t="b">
        <f t="shared" si="1318"/>
        <v>0</v>
      </c>
      <c r="H1753" s="210" t="b">
        <f t="shared" si="7"/>
        <v>1</v>
      </c>
      <c r="I1753" s="213" t="b">
        <f t="shared" ref="I1753:J1753" si="1324">TRUE</f>
        <v>1</v>
      </c>
      <c r="J1753" s="213" t="b">
        <f t="shared" si="1324"/>
        <v>1</v>
      </c>
      <c r="K1753" s="214">
        <v>40000.0</v>
      </c>
      <c r="L1753" s="212">
        <f t="shared" si="3"/>
        <v>40000</v>
      </c>
      <c r="M1753" s="212" t="str">
        <f t="shared" si="4"/>
        <v>n/a</v>
      </c>
      <c r="N1753" s="207" t="str">
        <f t="shared" si="5"/>
        <v>n/a</v>
      </c>
      <c r="O1753" s="207" t="str">
        <f t="shared" si="6"/>
        <v>n/a</v>
      </c>
    </row>
    <row r="1754">
      <c r="A1754" s="207">
        <v>100.0</v>
      </c>
      <c r="B1754" s="6" t="str">
        <f>VLOOKUP($A1754, 'Completion rates'!$A:$E, 2, FALSE)</f>
        <v>Earning volcanic mine reward points</v>
      </c>
      <c r="C1754" s="207">
        <v>25615.0</v>
      </c>
      <c r="D1754" s="6" t="str">
        <f>VLOOKUP($C1754, 'List of log slots'!$A:$E, 2, FALSE)</f>
        <v>Large water container</v>
      </c>
      <c r="E1754" s="207">
        <f>VLOOKUP($C1754, 'List of log slots'!$A:$E, 5, FALSE)</f>
        <v>3</v>
      </c>
      <c r="F1754" s="209" t="b">
        <f>VLOOKUP(C1754, 'List of log slots'!$A:$C, 3, FALSE)</f>
        <v>0</v>
      </c>
      <c r="G1754" s="209" t="b">
        <f t="shared" si="1318"/>
        <v>0</v>
      </c>
      <c r="H1754" s="210" t="b">
        <f t="shared" si="7"/>
        <v>1</v>
      </c>
      <c r="I1754" s="213" t="b">
        <f t="shared" ref="I1754:J1754" si="1325">TRUE</f>
        <v>1</v>
      </c>
      <c r="J1754" s="213" t="b">
        <f t="shared" si="1325"/>
        <v>1</v>
      </c>
      <c r="K1754" s="214">
        <v>10000.0</v>
      </c>
      <c r="L1754" s="212">
        <f t="shared" si="3"/>
        <v>10000</v>
      </c>
      <c r="M1754" s="212" t="str">
        <f t="shared" si="4"/>
        <v>n/a</v>
      </c>
      <c r="N1754" s="207" t="str">
        <f t="shared" si="5"/>
        <v>n/a</v>
      </c>
      <c r="O1754" s="207" t="str">
        <f t="shared" si="6"/>
        <v>n/a</v>
      </c>
    </row>
    <row r="1755">
      <c r="A1755" s="207">
        <v>100.0</v>
      </c>
      <c r="B1755" s="6" t="str">
        <f>VLOOKUP($A1755, 'Completion rates'!$A:$E, 2, FALSE)</f>
        <v>Earning volcanic mine reward points</v>
      </c>
      <c r="C1755" s="207">
        <v>21541.0</v>
      </c>
      <c r="D1755" s="6" t="str">
        <f>VLOOKUP($C1755, 'List of log slots'!$A:$E, 2, FALSE)</f>
        <v>Volcanic mine teleport</v>
      </c>
      <c r="E1755" s="207">
        <f>VLOOKUP($C1755, 'List of log slots'!$A:$E, 5, FALSE)</f>
        <v>3</v>
      </c>
      <c r="F1755" s="210" t="b">
        <f>VLOOKUP(C1755, 'List of log slots'!$A:$C, 3, FALSE)</f>
        <v>0</v>
      </c>
      <c r="G1755" s="209" t="b">
        <f t="shared" si="1318"/>
        <v>0</v>
      </c>
      <c r="H1755" s="209" t="b">
        <f t="shared" si="7"/>
        <v>1</v>
      </c>
      <c r="I1755" s="213" t="b">
        <f t="shared" ref="I1755:J1755" si="1326">TRUE</f>
        <v>1</v>
      </c>
      <c r="J1755" s="213" t="b">
        <f t="shared" si="1326"/>
        <v>1</v>
      </c>
      <c r="K1755" s="214">
        <v>200.0</v>
      </c>
      <c r="L1755" s="212">
        <f t="shared" si="3"/>
        <v>200</v>
      </c>
      <c r="M1755" s="212" t="str">
        <f t="shared" si="4"/>
        <v>n/a</v>
      </c>
      <c r="N1755" s="207" t="str">
        <f t="shared" si="5"/>
        <v>n/a</v>
      </c>
      <c r="O1755" s="207" t="str">
        <f t="shared" si="6"/>
        <v>n/a</v>
      </c>
    </row>
    <row r="1756">
      <c r="A1756" s="207">
        <v>100.0</v>
      </c>
      <c r="B1756" s="6" t="str">
        <f>VLOOKUP($A1756, 'Completion rates'!$A:$E, 2, FALSE)</f>
        <v>Earning volcanic mine reward points</v>
      </c>
      <c r="C1756" s="207">
        <v>27695.0</v>
      </c>
      <c r="D1756" s="6" t="str">
        <f>VLOOKUP($C1756, 'List of log slots'!$A:$E, 2, FALSE)</f>
        <v>Dragon pickaxe (broken)</v>
      </c>
      <c r="E1756" s="207">
        <f>VLOOKUP($C1756, 'List of log slots'!$A:$E, 5, FALSE)</f>
        <v>5</v>
      </c>
      <c r="F1756" s="209" t="b">
        <f>VLOOKUP(C1756, 'List of log slots'!$A:$C, 3, FALSE)</f>
        <v>0</v>
      </c>
      <c r="G1756" s="209" t="b">
        <f t="shared" si="1318"/>
        <v>0</v>
      </c>
      <c r="H1756" s="210" t="b">
        <f t="shared" si="7"/>
        <v>1</v>
      </c>
      <c r="I1756" s="208" t="b">
        <f t="shared" ref="I1756:J1756" si="1327">FALSE</f>
        <v>0</v>
      </c>
      <c r="J1756" s="208" t="b">
        <f t="shared" si="1327"/>
        <v>0</v>
      </c>
      <c r="K1756" s="214">
        <v>400000.0</v>
      </c>
      <c r="L1756" s="212" t="str">
        <f t="shared" si="3"/>
        <v>n/a</v>
      </c>
      <c r="M1756" s="212" t="str">
        <f t="shared" si="4"/>
        <v>n/a</v>
      </c>
      <c r="N1756" s="207" t="str">
        <f t="shared" si="5"/>
        <v>n/a</v>
      </c>
      <c r="O1756" s="207">
        <f t="shared" si="6"/>
        <v>0.0000025</v>
      </c>
    </row>
    <row r="1757">
      <c r="A1757" s="207">
        <v>101.0</v>
      </c>
      <c r="B1757" s="6" t="str">
        <f>VLOOKUP($A1757, 'Completion rates'!$A:$E, 2, FALSE)</f>
        <v>Collecting pearls while aerial fishing</v>
      </c>
      <c r="C1757" s="207">
        <v>13258.0</v>
      </c>
      <c r="D1757" s="6" t="str">
        <f>VLOOKUP($C1757, 'List of log slots'!$A:$E, 2, FALSE)</f>
        <v>Angler hat</v>
      </c>
      <c r="E1757" s="207">
        <f>VLOOKUP($C1757, 'List of log slots'!$A:$E, 5, FALSE)</f>
        <v>2</v>
      </c>
      <c r="F1757" s="210" t="b">
        <f>VLOOKUP(C1757, 'List of log slots'!$A:$C, 3, FALSE)</f>
        <v>0</v>
      </c>
      <c r="G1757" s="209" t="b">
        <f t="shared" si="1318"/>
        <v>0</v>
      </c>
      <c r="H1757" s="209" t="b">
        <f t="shared" si="7"/>
        <v>1</v>
      </c>
      <c r="I1757" s="213" t="b">
        <f t="shared" ref="I1757:J1757" si="1328">TRUE</f>
        <v>1</v>
      </c>
      <c r="J1757" s="213" t="b">
        <f t="shared" si="1328"/>
        <v>1</v>
      </c>
      <c r="K1757" s="214">
        <v>100.0</v>
      </c>
      <c r="L1757" s="212">
        <f t="shared" si="3"/>
        <v>100</v>
      </c>
      <c r="M1757" s="212" t="str">
        <f t="shared" si="4"/>
        <v>n/a</v>
      </c>
      <c r="N1757" s="207" t="str">
        <f t="shared" si="5"/>
        <v>n/a</v>
      </c>
      <c r="O1757" s="207" t="str">
        <f t="shared" si="6"/>
        <v>n/a</v>
      </c>
    </row>
    <row r="1758">
      <c r="A1758" s="207">
        <v>101.0</v>
      </c>
      <c r="B1758" s="6" t="str">
        <f>VLOOKUP($A1758, 'Completion rates'!$A:$E, 2, FALSE)</f>
        <v>Collecting pearls while aerial fishing</v>
      </c>
      <c r="C1758" s="207">
        <v>13259.0</v>
      </c>
      <c r="D1758" s="6" t="str">
        <f>VLOOKUP($C1758, 'List of log slots'!$A:$E, 2, FALSE)</f>
        <v>Angler top</v>
      </c>
      <c r="E1758" s="207">
        <f>VLOOKUP($C1758, 'List of log slots'!$A:$E, 5, FALSE)</f>
        <v>2</v>
      </c>
      <c r="F1758" s="210" t="b">
        <f>VLOOKUP(C1758, 'List of log slots'!$A:$C, 3, FALSE)</f>
        <v>0</v>
      </c>
      <c r="G1758" s="209" t="b">
        <f t="shared" si="1318"/>
        <v>0</v>
      </c>
      <c r="H1758" s="209" t="b">
        <f t="shared" si="7"/>
        <v>1</v>
      </c>
      <c r="I1758" s="213" t="b">
        <f t="shared" ref="I1758:J1758" si="1329">TRUE</f>
        <v>1</v>
      </c>
      <c r="J1758" s="213" t="b">
        <f t="shared" si="1329"/>
        <v>1</v>
      </c>
      <c r="K1758" s="214">
        <v>100.0</v>
      </c>
      <c r="L1758" s="212">
        <f t="shared" si="3"/>
        <v>100</v>
      </c>
      <c r="M1758" s="212" t="str">
        <f t="shared" si="4"/>
        <v>n/a</v>
      </c>
      <c r="N1758" s="207" t="str">
        <f t="shared" si="5"/>
        <v>n/a</v>
      </c>
      <c r="O1758" s="207" t="str">
        <f t="shared" si="6"/>
        <v>n/a</v>
      </c>
    </row>
    <row r="1759">
      <c r="A1759" s="207">
        <v>101.0</v>
      </c>
      <c r="B1759" s="6" t="str">
        <f>VLOOKUP($A1759, 'Completion rates'!$A:$E, 2, FALSE)</f>
        <v>Collecting pearls while aerial fishing</v>
      </c>
      <c r="C1759" s="207">
        <v>13260.0</v>
      </c>
      <c r="D1759" s="6" t="str">
        <f>VLOOKUP($C1759, 'List of log slots'!$A:$E, 2, FALSE)</f>
        <v>Angler waders</v>
      </c>
      <c r="E1759" s="207">
        <f>VLOOKUP($C1759, 'List of log slots'!$A:$E, 5, FALSE)</f>
        <v>2</v>
      </c>
      <c r="F1759" s="210" t="b">
        <f>VLOOKUP(C1759, 'List of log slots'!$A:$C, 3, FALSE)</f>
        <v>0</v>
      </c>
      <c r="G1759" s="209" t="b">
        <f t="shared" si="1318"/>
        <v>0</v>
      </c>
      <c r="H1759" s="209" t="b">
        <f t="shared" si="7"/>
        <v>1</v>
      </c>
      <c r="I1759" s="213" t="b">
        <f t="shared" ref="I1759:J1759" si="1330">TRUE</f>
        <v>1</v>
      </c>
      <c r="J1759" s="213" t="b">
        <f t="shared" si="1330"/>
        <v>1</v>
      </c>
      <c r="K1759" s="214">
        <v>100.0</v>
      </c>
      <c r="L1759" s="212">
        <f t="shared" si="3"/>
        <v>100</v>
      </c>
      <c r="M1759" s="212" t="str">
        <f t="shared" si="4"/>
        <v>n/a</v>
      </c>
      <c r="N1759" s="207" t="str">
        <f t="shared" si="5"/>
        <v>n/a</v>
      </c>
      <c r="O1759" s="207" t="str">
        <f t="shared" si="6"/>
        <v>n/a</v>
      </c>
    </row>
    <row r="1760">
      <c r="A1760" s="207">
        <v>101.0</v>
      </c>
      <c r="B1760" s="6" t="str">
        <f>VLOOKUP($A1760, 'Completion rates'!$A:$E, 2, FALSE)</f>
        <v>Collecting pearls while aerial fishing</v>
      </c>
      <c r="C1760" s="207">
        <v>13261.0</v>
      </c>
      <c r="D1760" s="6" t="str">
        <f>VLOOKUP($C1760, 'List of log slots'!$A:$E, 2, FALSE)</f>
        <v>Angler boots</v>
      </c>
      <c r="E1760" s="207">
        <f>VLOOKUP($C1760, 'List of log slots'!$A:$E, 5, FALSE)</f>
        <v>2</v>
      </c>
      <c r="F1760" s="210" t="b">
        <f>VLOOKUP(C1760, 'List of log slots'!$A:$C, 3, FALSE)</f>
        <v>0</v>
      </c>
      <c r="G1760" s="209" t="b">
        <f t="shared" si="1318"/>
        <v>0</v>
      </c>
      <c r="H1760" s="209" t="b">
        <f t="shared" si="7"/>
        <v>1</v>
      </c>
      <c r="I1760" s="213" t="b">
        <f t="shared" ref="I1760:J1760" si="1331">TRUE</f>
        <v>1</v>
      </c>
      <c r="J1760" s="213" t="b">
        <f t="shared" si="1331"/>
        <v>1</v>
      </c>
      <c r="K1760" s="214">
        <v>100.0</v>
      </c>
      <c r="L1760" s="212">
        <f t="shared" si="3"/>
        <v>100</v>
      </c>
      <c r="M1760" s="212" t="str">
        <f t="shared" si="4"/>
        <v>n/a</v>
      </c>
      <c r="N1760" s="207" t="str">
        <f t="shared" si="5"/>
        <v>n/a</v>
      </c>
      <c r="O1760" s="207" t="str">
        <f t="shared" si="6"/>
        <v>n/a</v>
      </c>
    </row>
    <row r="1761">
      <c r="A1761" s="207">
        <v>101.0</v>
      </c>
      <c r="B1761" s="6" t="str">
        <f>VLOOKUP($A1761, 'Completion rates'!$A:$E, 2, FALSE)</f>
        <v>Collecting pearls while aerial fishing</v>
      </c>
      <c r="C1761" s="207">
        <v>22840.0</v>
      </c>
      <c r="D1761" s="6" t="str">
        <f>VLOOKUP($C1761, 'List of log slots'!$A:$E, 2, FALSE)</f>
        <v>Golden tench</v>
      </c>
      <c r="E1761" s="207">
        <f>VLOOKUP($C1761, 'List of log slots'!$A:$E, 5, FALSE)</f>
        <v>4</v>
      </c>
      <c r="F1761" s="209" t="b">
        <f>VLOOKUP(C1761, 'List of log slots'!$A:$C, 3, FALSE)</f>
        <v>0</v>
      </c>
      <c r="G1761" s="209" t="b">
        <f t="shared" si="1318"/>
        <v>0</v>
      </c>
      <c r="H1761" s="210" t="b">
        <f t="shared" si="7"/>
        <v>1</v>
      </c>
      <c r="I1761" s="208" t="b">
        <f t="shared" ref="I1761:J1761" si="1332">FALSE</f>
        <v>0</v>
      </c>
      <c r="J1761" s="208" t="b">
        <f t="shared" si="1332"/>
        <v>0</v>
      </c>
      <c r="K1761" s="214">
        <v>267.0</v>
      </c>
      <c r="L1761" s="212" t="str">
        <f t="shared" si="3"/>
        <v>n/a</v>
      </c>
      <c r="M1761" s="212" t="str">
        <f t="shared" si="4"/>
        <v>n/a</v>
      </c>
      <c r="N1761" s="207" t="str">
        <f t="shared" si="5"/>
        <v>n/a</v>
      </c>
      <c r="O1761" s="207">
        <f t="shared" si="6"/>
        <v>0.003745318352</v>
      </c>
    </row>
    <row r="1762">
      <c r="A1762" s="207">
        <v>101.0</v>
      </c>
      <c r="B1762" s="6" t="str">
        <f>VLOOKUP($A1762, 'Completion rates'!$A:$E, 2, FALSE)</f>
        <v>Collecting pearls while aerial fishing</v>
      </c>
      <c r="C1762" s="207">
        <v>22846.0</v>
      </c>
      <c r="D1762" s="6" t="str">
        <f>VLOOKUP($C1762, 'List of log slots'!$A:$E, 2, FALSE)</f>
        <v>Pearl fishing rod</v>
      </c>
      <c r="E1762" s="207">
        <f>VLOOKUP($C1762, 'List of log slots'!$A:$E, 5, FALSE)</f>
        <v>4</v>
      </c>
      <c r="F1762" s="209" t="b">
        <f>VLOOKUP(C1762, 'List of log slots'!$A:$C, 3, FALSE)</f>
        <v>0</v>
      </c>
      <c r="G1762" s="209" t="b">
        <f t="shared" si="1318"/>
        <v>0</v>
      </c>
      <c r="H1762" s="210" t="b">
        <f t="shared" si="7"/>
        <v>1</v>
      </c>
      <c r="I1762" s="213" t="b">
        <f t="shared" ref="I1762:J1762" si="1333">TRUE</f>
        <v>1</v>
      </c>
      <c r="J1762" s="213" t="b">
        <f t="shared" si="1333"/>
        <v>1</v>
      </c>
      <c r="K1762" s="214">
        <v>100.0</v>
      </c>
      <c r="L1762" s="212">
        <f t="shared" si="3"/>
        <v>100</v>
      </c>
      <c r="M1762" s="212" t="str">
        <f t="shared" si="4"/>
        <v>n/a</v>
      </c>
      <c r="N1762" s="207" t="str">
        <f t="shared" si="5"/>
        <v>n/a</v>
      </c>
      <c r="O1762" s="207" t="str">
        <f t="shared" si="6"/>
        <v>n/a</v>
      </c>
    </row>
    <row r="1763">
      <c r="A1763" s="207">
        <v>101.0</v>
      </c>
      <c r="B1763" s="6" t="str">
        <f>VLOOKUP($A1763, 'Completion rates'!$A:$E, 2, FALSE)</f>
        <v>Collecting pearls while aerial fishing</v>
      </c>
      <c r="C1763" s="207">
        <v>22844.0</v>
      </c>
      <c r="D1763" s="6" t="str">
        <f>VLOOKUP($C1763, 'List of log slots'!$A:$E, 2, FALSE)</f>
        <v>Pearl fly fishing rod</v>
      </c>
      <c r="E1763" s="207">
        <f>VLOOKUP($C1763, 'List of log slots'!$A:$E, 5, FALSE)</f>
        <v>4</v>
      </c>
      <c r="F1763" s="209" t="b">
        <f>VLOOKUP(C1763, 'List of log slots'!$A:$C, 3, FALSE)</f>
        <v>0</v>
      </c>
      <c r="G1763" s="209" t="b">
        <f t="shared" si="1318"/>
        <v>0</v>
      </c>
      <c r="H1763" s="210" t="b">
        <f t="shared" si="7"/>
        <v>1</v>
      </c>
      <c r="I1763" s="213" t="b">
        <f t="shared" ref="I1763:J1763" si="1334">TRUE</f>
        <v>1</v>
      </c>
      <c r="J1763" s="213" t="b">
        <f t="shared" si="1334"/>
        <v>1</v>
      </c>
      <c r="K1763" s="214">
        <v>120.0</v>
      </c>
      <c r="L1763" s="212">
        <f t="shared" si="3"/>
        <v>120</v>
      </c>
      <c r="M1763" s="212" t="str">
        <f t="shared" si="4"/>
        <v>n/a</v>
      </c>
      <c r="N1763" s="207" t="str">
        <f t="shared" si="5"/>
        <v>n/a</v>
      </c>
      <c r="O1763" s="207" t="str">
        <f t="shared" si="6"/>
        <v>n/a</v>
      </c>
    </row>
    <row r="1764">
      <c r="A1764" s="207">
        <v>101.0</v>
      </c>
      <c r="B1764" s="6" t="str">
        <f>VLOOKUP($A1764, 'Completion rates'!$A:$E, 2, FALSE)</f>
        <v>Collecting pearls while aerial fishing</v>
      </c>
      <c r="C1764" s="207">
        <v>22842.0</v>
      </c>
      <c r="D1764" s="6" t="str">
        <f>VLOOKUP($C1764, 'List of log slots'!$A:$E, 2, FALSE)</f>
        <v>Pearl barbarian rod</v>
      </c>
      <c r="E1764" s="207">
        <f>VLOOKUP($C1764, 'List of log slots'!$A:$E, 5, FALSE)</f>
        <v>4</v>
      </c>
      <c r="F1764" s="209" t="b">
        <f>VLOOKUP(C1764, 'List of log slots'!$A:$C, 3, FALSE)</f>
        <v>0</v>
      </c>
      <c r="G1764" s="209" t="b">
        <f t="shared" si="1318"/>
        <v>0</v>
      </c>
      <c r="H1764" s="210" t="b">
        <f t="shared" si="7"/>
        <v>1</v>
      </c>
      <c r="I1764" s="213" t="b">
        <f t="shared" ref="I1764:J1764" si="1335">TRUE</f>
        <v>1</v>
      </c>
      <c r="J1764" s="213" t="b">
        <f t="shared" si="1335"/>
        <v>1</v>
      </c>
      <c r="K1764" s="214">
        <v>150.0</v>
      </c>
      <c r="L1764" s="212">
        <f t="shared" si="3"/>
        <v>150</v>
      </c>
      <c r="M1764" s="212" t="str">
        <f t="shared" si="4"/>
        <v>n/a</v>
      </c>
      <c r="N1764" s="207" t="str">
        <f t="shared" si="5"/>
        <v>n/a</v>
      </c>
      <c r="O1764" s="207" t="str">
        <f t="shared" si="6"/>
        <v>n/a</v>
      </c>
    </row>
    <row r="1765">
      <c r="A1765" s="207">
        <v>101.0</v>
      </c>
      <c r="B1765" s="6" t="str">
        <f>VLOOKUP($A1765, 'Completion rates'!$A:$E, 2, FALSE)</f>
        <v>Collecting pearls while aerial fishing</v>
      </c>
      <c r="C1765" s="207">
        <v>22838.0</v>
      </c>
      <c r="D1765" s="6" t="str">
        <f>VLOOKUP($C1765, 'List of log slots'!$A:$E, 2, FALSE)</f>
        <v>Fish sack</v>
      </c>
      <c r="E1765" s="207">
        <f>VLOOKUP($C1765, 'List of log slots'!$A:$E, 5, FALSE)</f>
        <v>6</v>
      </c>
      <c r="F1765" s="209" t="b">
        <f>VLOOKUP(C1765, 'List of log slots'!$A:$C, 3, FALSE)</f>
        <v>0</v>
      </c>
      <c r="G1765" s="209" t="b">
        <f t="shared" si="1318"/>
        <v>0</v>
      </c>
      <c r="H1765" s="210" t="b">
        <f t="shared" si="7"/>
        <v>1</v>
      </c>
      <c r="I1765" s="213" t="b">
        <f t="shared" ref="I1765:J1765" si="1336">TRUE</f>
        <v>1</v>
      </c>
      <c r="J1765" s="213" t="b">
        <f t="shared" si="1336"/>
        <v>1</v>
      </c>
      <c r="K1765" s="214">
        <v>1000.0</v>
      </c>
      <c r="L1765" s="212">
        <f t="shared" si="3"/>
        <v>1000</v>
      </c>
      <c r="M1765" s="212" t="str">
        <f t="shared" si="4"/>
        <v>n/a</v>
      </c>
      <c r="N1765" s="207" t="str">
        <f t="shared" si="5"/>
        <v>n/a</v>
      </c>
      <c r="O1765" s="207" t="str">
        <f t="shared" si="6"/>
        <v>n/a</v>
      </c>
    </row>
    <row r="1766">
      <c r="A1766" s="207">
        <v>102.0</v>
      </c>
      <c r="B1766" s="6" t="str">
        <f>VLOOKUP($A1766, 'Completion rates'!$A:$E, 2, FALSE)</f>
        <v>Opening barronite deposits in camdozaal</v>
      </c>
      <c r="C1766" s="207">
        <v>25635.0</v>
      </c>
      <c r="D1766" s="6" t="str">
        <f>VLOOKUP($C1766, 'List of log slots'!$A:$E, 2, FALSE)</f>
        <v>Barronite head</v>
      </c>
      <c r="E1766" s="207">
        <f>VLOOKUP($C1766, 'List of log slots'!$A:$E, 5, FALSE)</f>
        <v>2</v>
      </c>
      <c r="F1766" s="210" t="b">
        <f>VLOOKUP(C1766, 'List of log slots'!$A:$C, 3, FALSE)</f>
        <v>0</v>
      </c>
      <c r="G1766" s="209" t="b">
        <f t="shared" si="1318"/>
        <v>0</v>
      </c>
      <c r="H1766" s="209" t="b">
        <f t="shared" si="7"/>
        <v>1</v>
      </c>
      <c r="I1766" s="208" t="b">
        <f t="shared" ref="I1766:J1766" si="1337">FALSE</f>
        <v>0</v>
      </c>
      <c r="J1766" s="208" t="b">
        <f t="shared" si="1337"/>
        <v>0</v>
      </c>
      <c r="K1766" s="214">
        <v>200.0</v>
      </c>
      <c r="L1766" s="212" t="str">
        <f t="shared" si="3"/>
        <v>n/a</v>
      </c>
      <c r="M1766" s="212" t="str">
        <f t="shared" si="4"/>
        <v>n/a</v>
      </c>
      <c r="N1766" s="207" t="str">
        <f t="shared" si="5"/>
        <v>n/a</v>
      </c>
      <c r="O1766" s="207">
        <f t="shared" si="6"/>
        <v>0.005</v>
      </c>
    </row>
    <row r="1767">
      <c r="A1767" s="207">
        <v>102.0</v>
      </c>
      <c r="B1767" s="6" t="str">
        <f>VLOOKUP($A1767, 'Completion rates'!$A:$E, 2, FALSE)</f>
        <v>Opening barronite deposits in camdozaal</v>
      </c>
      <c r="C1767" s="207">
        <v>25686.0</v>
      </c>
      <c r="D1767" s="6" t="str">
        <f>VLOOKUP($C1767, 'List of log slots'!$A:$E, 2, FALSE)</f>
        <v>Ancient globe</v>
      </c>
      <c r="E1767" s="207">
        <f>VLOOKUP($C1767, 'List of log slots'!$A:$E, 5, FALSE)</f>
        <v>2</v>
      </c>
      <c r="F1767" s="210" t="b">
        <f>VLOOKUP(C1767, 'List of log slots'!$A:$C, 3, FALSE)</f>
        <v>0</v>
      </c>
      <c r="G1767" s="209" t="b">
        <f t="shared" si="1318"/>
        <v>0</v>
      </c>
      <c r="H1767" s="209" t="b">
        <f t="shared" si="7"/>
        <v>1</v>
      </c>
      <c r="I1767" s="208" t="b">
        <f t="shared" ref="I1767:J1767" si="1338">FALSE</f>
        <v>0</v>
      </c>
      <c r="J1767" s="208" t="b">
        <f t="shared" si="1338"/>
        <v>0</v>
      </c>
      <c r="K1767" s="214">
        <v>350.0</v>
      </c>
      <c r="L1767" s="212" t="str">
        <f t="shared" si="3"/>
        <v>n/a</v>
      </c>
      <c r="M1767" s="212" t="str">
        <f t="shared" si="4"/>
        <v>n/a</v>
      </c>
      <c r="N1767" s="207" t="str">
        <f t="shared" si="5"/>
        <v>n/a</v>
      </c>
      <c r="O1767" s="207">
        <f t="shared" si="6"/>
        <v>0.002857142857</v>
      </c>
    </row>
    <row r="1768">
      <c r="A1768" s="207">
        <v>102.0</v>
      </c>
      <c r="B1768" s="6" t="str">
        <f>VLOOKUP($A1768, 'Completion rates'!$A:$E, 2, FALSE)</f>
        <v>Opening barronite deposits in camdozaal</v>
      </c>
      <c r="C1768" s="207">
        <v>25688.0</v>
      </c>
      <c r="D1768" s="6" t="str">
        <f>VLOOKUP($C1768, 'List of log slots'!$A:$E, 2, FALSE)</f>
        <v>Ancient ledger</v>
      </c>
      <c r="E1768" s="207">
        <f>VLOOKUP($C1768, 'List of log slots'!$A:$E, 5, FALSE)</f>
        <v>2</v>
      </c>
      <c r="F1768" s="210" t="b">
        <f>VLOOKUP(C1768, 'List of log slots'!$A:$C, 3, FALSE)</f>
        <v>0</v>
      </c>
      <c r="G1768" s="209" t="b">
        <f t="shared" si="1318"/>
        <v>0</v>
      </c>
      <c r="H1768" s="209" t="b">
        <f t="shared" si="7"/>
        <v>1</v>
      </c>
      <c r="I1768" s="208" t="b">
        <f t="shared" ref="I1768:J1768" si="1339">FALSE</f>
        <v>0</v>
      </c>
      <c r="J1768" s="208" t="b">
        <f t="shared" si="1339"/>
        <v>0</v>
      </c>
      <c r="K1768" s="214">
        <v>350.0</v>
      </c>
      <c r="L1768" s="212" t="str">
        <f t="shared" si="3"/>
        <v>n/a</v>
      </c>
      <c r="M1768" s="212" t="str">
        <f t="shared" si="4"/>
        <v>n/a</v>
      </c>
      <c r="N1768" s="207" t="str">
        <f t="shared" si="5"/>
        <v>n/a</v>
      </c>
      <c r="O1768" s="207">
        <f t="shared" si="6"/>
        <v>0.002857142857</v>
      </c>
    </row>
    <row r="1769">
      <c r="A1769" s="207">
        <v>102.0</v>
      </c>
      <c r="B1769" s="6" t="str">
        <f>VLOOKUP($A1769, 'Completion rates'!$A:$E, 2, FALSE)</f>
        <v>Opening barronite deposits in camdozaal</v>
      </c>
      <c r="C1769" s="207">
        <v>25690.0</v>
      </c>
      <c r="D1769" s="6" t="str">
        <f>VLOOKUP($C1769, 'List of log slots'!$A:$E, 2, FALSE)</f>
        <v>Ancient astroscope</v>
      </c>
      <c r="E1769" s="207">
        <f>VLOOKUP($C1769, 'List of log slots'!$A:$E, 5, FALSE)</f>
        <v>2</v>
      </c>
      <c r="F1769" s="210" t="b">
        <f>VLOOKUP(C1769, 'List of log slots'!$A:$C, 3, FALSE)</f>
        <v>0</v>
      </c>
      <c r="G1769" s="209" t="b">
        <f t="shared" si="1318"/>
        <v>0</v>
      </c>
      <c r="H1769" s="209" t="b">
        <f t="shared" si="7"/>
        <v>1</v>
      </c>
      <c r="I1769" s="208" t="b">
        <f t="shared" ref="I1769:J1769" si="1340">FALSE</f>
        <v>0</v>
      </c>
      <c r="J1769" s="208" t="b">
        <f t="shared" si="1340"/>
        <v>0</v>
      </c>
      <c r="K1769" s="214">
        <v>350.0</v>
      </c>
      <c r="L1769" s="212" t="str">
        <f t="shared" si="3"/>
        <v>n/a</v>
      </c>
      <c r="M1769" s="212" t="str">
        <f t="shared" si="4"/>
        <v>n/a</v>
      </c>
      <c r="N1769" s="207" t="str">
        <f t="shared" si="5"/>
        <v>n/a</v>
      </c>
      <c r="O1769" s="207">
        <f t="shared" si="6"/>
        <v>0.002857142857</v>
      </c>
    </row>
    <row r="1770">
      <c r="A1770" s="207">
        <v>102.0</v>
      </c>
      <c r="B1770" s="6" t="str">
        <f>VLOOKUP($A1770, 'Completion rates'!$A:$E, 2, FALSE)</f>
        <v>Opening barronite deposits in camdozaal</v>
      </c>
      <c r="C1770" s="207">
        <v>25692.0</v>
      </c>
      <c r="D1770" s="6" t="str">
        <f>VLOOKUP($C1770, 'List of log slots'!$A:$E, 2, FALSE)</f>
        <v>Ancient treatise</v>
      </c>
      <c r="E1770" s="207">
        <f>VLOOKUP($C1770, 'List of log slots'!$A:$E, 5, FALSE)</f>
        <v>2</v>
      </c>
      <c r="F1770" s="210" t="b">
        <f>VLOOKUP(C1770, 'List of log slots'!$A:$C, 3, FALSE)</f>
        <v>0</v>
      </c>
      <c r="G1770" s="209" t="b">
        <f t="shared" si="1318"/>
        <v>0</v>
      </c>
      <c r="H1770" s="209" t="b">
        <f t="shared" si="7"/>
        <v>1</v>
      </c>
      <c r="I1770" s="208" t="b">
        <f t="shared" ref="I1770:J1770" si="1341">FALSE</f>
        <v>0</v>
      </c>
      <c r="J1770" s="208" t="b">
        <f t="shared" si="1341"/>
        <v>0</v>
      </c>
      <c r="K1770" s="214">
        <v>350.0</v>
      </c>
      <c r="L1770" s="212" t="str">
        <f t="shared" si="3"/>
        <v>n/a</v>
      </c>
      <c r="M1770" s="212" t="str">
        <f t="shared" si="4"/>
        <v>n/a</v>
      </c>
      <c r="N1770" s="207" t="str">
        <f t="shared" si="5"/>
        <v>n/a</v>
      </c>
      <c r="O1770" s="207">
        <f t="shared" si="6"/>
        <v>0.002857142857</v>
      </c>
    </row>
    <row r="1771">
      <c r="A1771" s="207">
        <v>102.0</v>
      </c>
      <c r="B1771" s="6" t="str">
        <f>VLOOKUP($A1771, 'Completion rates'!$A:$E, 2, FALSE)</f>
        <v>Opening barronite deposits in camdozaal</v>
      </c>
      <c r="C1771" s="207">
        <v>25694.0</v>
      </c>
      <c r="D1771" s="6" t="str">
        <f>VLOOKUP($C1771, 'List of log slots'!$A:$E, 2, FALSE)</f>
        <v>Ancient carcanet</v>
      </c>
      <c r="E1771" s="207">
        <f>VLOOKUP($C1771, 'List of log slots'!$A:$E, 5, FALSE)</f>
        <v>2</v>
      </c>
      <c r="F1771" s="210" t="b">
        <f>VLOOKUP(C1771, 'List of log slots'!$A:$C, 3, FALSE)</f>
        <v>0</v>
      </c>
      <c r="G1771" s="209" t="b">
        <f t="shared" si="1318"/>
        <v>0</v>
      </c>
      <c r="H1771" s="209" t="b">
        <f t="shared" si="7"/>
        <v>1</v>
      </c>
      <c r="I1771" s="208" t="b">
        <f t="shared" ref="I1771:J1771" si="1342">FALSE</f>
        <v>0</v>
      </c>
      <c r="J1771" s="208" t="b">
        <f t="shared" si="1342"/>
        <v>0</v>
      </c>
      <c r="K1771" s="214">
        <v>350.0</v>
      </c>
      <c r="L1771" s="212" t="str">
        <f t="shared" si="3"/>
        <v>n/a</v>
      </c>
      <c r="M1771" s="212" t="str">
        <f t="shared" si="4"/>
        <v>n/a</v>
      </c>
      <c r="N1771" s="207" t="str">
        <f t="shared" si="5"/>
        <v>n/a</v>
      </c>
      <c r="O1771" s="207">
        <f t="shared" si="6"/>
        <v>0.002857142857</v>
      </c>
    </row>
    <row r="1772">
      <c r="A1772" s="207">
        <v>102.0</v>
      </c>
      <c r="B1772" s="6" t="str">
        <f>VLOOKUP($A1772, 'Completion rates'!$A:$E, 2, FALSE)</f>
        <v>Opening barronite deposits in camdozaal</v>
      </c>
      <c r="C1772" s="207">
        <v>25644.0</v>
      </c>
      <c r="D1772" s="6" t="str">
        <f>VLOOKUP($C1772, 'List of log slots'!$A:$E, 2, FALSE)</f>
        <v>Imcando hammer</v>
      </c>
      <c r="E1772" s="207">
        <f>VLOOKUP($C1772, 'List of log slots'!$A:$E, 5, FALSE)</f>
        <v>2</v>
      </c>
      <c r="F1772" s="210" t="b">
        <f>VLOOKUP(C1772, 'List of log slots'!$A:$C, 3, FALSE)</f>
        <v>0</v>
      </c>
      <c r="G1772" s="209" t="b">
        <f t="shared" si="1318"/>
        <v>0</v>
      </c>
      <c r="H1772" s="209" t="b">
        <f t="shared" si="7"/>
        <v>1</v>
      </c>
      <c r="I1772" s="208" t="b">
        <f t="shared" ref="I1772:J1772" si="1343">FALSE</f>
        <v>0</v>
      </c>
      <c r="J1772" s="208" t="b">
        <f t="shared" si="1343"/>
        <v>0</v>
      </c>
      <c r="K1772" s="214">
        <v>300.0</v>
      </c>
      <c r="L1772" s="212" t="str">
        <f t="shared" si="3"/>
        <v>n/a</v>
      </c>
      <c r="M1772" s="212" t="str">
        <f t="shared" si="4"/>
        <v>n/a</v>
      </c>
      <c r="N1772" s="207" t="str">
        <f t="shared" si="5"/>
        <v>n/a</v>
      </c>
      <c r="O1772" s="207">
        <f t="shared" si="6"/>
        <v>0.003333333333</v>
      </c>
    </row>
    <row r="1773">
      <c r="A1773" s="207">
        <v>103.0</v>
      </c>
      <c r="B1773" s="6" t="str">
        <f>VLOOKUP($A1773, 'Completion rates'!$A:$E, 2, FALSE)</f>
        <v>Fishing in camdozaal</v>
      </c>
      <c r="C1773" s="207">
        <v>25637.0</v>
      </c>
      <c r="D1773" s="6" t="str">
        <f>VLOOKUP($C1773, 'List of log slots'!$A:$E, 2, FALSE)</f>
        <v>Barronite handle</v>
      </c>
      <c r="E1773" s="207">
        <f>VLOOKUP($C1773, 'List of log slots'!$A:$E, 5, FALSE)</f>
        <v>2</v>
      </c>
      <c r="F1773" s="210" t="b">
        <f>VLOOKUP(C1773, 'List of log slots'!$A:$C, 3, FALSE)</f>
        <v>0</v>
      </c>
      <c r="G1773" s="209" t="b">
        <f t="shared" si="1318"/>
        <v>0</v>
      </c>
      <c r="H1773" s="209" t="b">
        <f t="shared" si="7"/>
        <v>1</v>
      </c>
      <c r="I1773" s="208" t="b">
        <f t="shared" ref="I1773:J1773" si="1344">FALSE</f>
        <v>0</v>
      </c>
      <c r="J1773" s="208" t="b">
        <f t="shared" si="1344"/>
        <v>0</v>
      </c>
      <c r="K1773" s="214">
        <v>200.0</v>
      </c>
      <c r="L1773" s="212" t="str">
        <f t="shared" si="3"/>
        <v>n/a</v>
      </c>
      <c r="M1773" s="212" t="str">
        <f t="shared" si="4"/>
        <v>n/a</v>
      </c>
      <c r="N1773" s="207" t="str">
        <f t="shared" si="5"/>
        <v>n/a</v>
      </c>
      <c r="O1773" s="207">
        <f t="shared" si="6"/>
        <v>0.005</v>
      </c>
    </row>
    <row r="1774">
      <c r="A1774" s="207">
        <v>104.0</v>
      </c>
      <c r="B1774" s="6" t="str">
        <f>VLOOKUP($A1774, 'Completion rates'!$A:$E, 2, FALSE)</f>
        <v>Killing chaos golems in camdozaal</v>
      </c>
      <c r="C1774" s="207">
        <v>25639.0</v>
      </c>
      <c r="D1774" s="6" t="str">
        <f>VLOOKUP($C1774, 'List of log slots'!$A:$E, 2, FALSE)</f>
        <v>Barronite guard</v>
      </c>
      <c r="E1774" s="207">
        <f>VLOOKUP($C1774, 'List of log slots'!$A:$E, 5, FALSE)</f>
        <v>2</v>
      </c>
      <c r="F1774" s="210" t="b">
        <f>VLOOKUP(C1774, 'List of log slots'!$A:$C, 3, FALSE)</f>
        <v>0</v>
      </c>
      <c r="G1774" s="209" t="b">
        <f t="shared" si="1318"/>
        <v>0</v>
      </c>
      <c r="H1774" s="209" t="b">
        <f t="shared" si="7"/>
        <v>1</v>
      </c>
      <c r="I1774" s="208" t="b">
        <f t="shared" ref="I1774:J1774" si="1345">FALSE</f>
        <v>0</v>
      </c>
      <c r="J1774" s="208" t="b">
        <f t="shared" si="1345"/>
        <v>0</v>
      </c>
      <c r="K1774" s="214">
        <v>150.0</v>
      </c>
      <c r="L1774" s="212" t="str">
        <f t="shared" si="3"/>
        <v>n/a</v>
      </c>
      <c r="M1774" s="212" t="str">
        <f t="shared" si="4"/>
        <v>n/a</v>
      </c>
      <c r="N1774" s="207" t="str">
        <f t="shared" si="5"/>
        <v>n/a</v>
      </c>
      <c r="O1774" s="207">
        <f t="shared" si="6"/>
        <v>0.006666666667</v>
      </c>
    </row>
    <row r="1775">
      <c r="A1775" s="207">
        <v>105.0</v>
      </c>
      <c r="B1775" s="6" t="str">
        <f>VLOOKUP($A1775, 'Completion rates'!$A:$E, 2, FALSE)</f>
        <v>Killing earth warriors (champion's challenge)</v>
      </c>
      <c r="C1775" s="207">
        <v>6798.0</v>
      </c>
      <c r="D1775" s="6" t="str">
        <f>VLOOKUP($C1775, 'List of log slots'!$A:$E, 2, FALSE)</f>
        <v>Earth warrior champion scroll</v>
      </c>
      <c r="E1775" s="207">
        <f>VLOOKUP($C1775, 'List of log slots'!$A:$E, 5, FALSE)</f>
        <v>6</v>
      </c>
      <c r="F1775" s="209" t="b">
        <f>VLOOKUP(C1775, 'List of log slots'!$A:$C, 3, FALSE)</f>
        <v>0</v>
      </c>
      <c r="G1775" s="209" t="b">
        <f t="shared" si="1318"/>
        <v>0</v>
      </c>
      <c r="H1775" s="210" t="b">
        <f t="shared" si="7"/>
        <v>1</v>
      </c>
      <c r="I1775" s="208" t="b">
        <f t="shared" ref="I1775:J1775" si="1346">FALSE</f>
        <v>0</v>
      </c>
      <c r="J1775" s="208" t="b">
        <f t="shared" si="1346"/>
        <v>0</v>
      </c>
      <c r="K1775" s="214">
        <v>5000.0</v>
      </c>
      <c r="L1775" s="212" t="str">
        <f t="shared" si="3"/>
        <v>n/a</v>
      </c>
      <c r="M1775" s="212" t="str">
        <f t="shared" si="4"/>
        <v>n/a</v>
      </c>
      <c r="N1775" s="207" t="str">
        <f t="shared" si="5"/>
        <v>n/a</v>
      </c>
      <c r="O1775" s="207">
        <f t="shared" si="6"/>
        <v>0.0002</v>
      </c>
    </row>
    <row r="1776">
      <c r="A1776" s="207">
        <v>106.0</v>
      </c>
      <c r="B1776" s="6" t="str">
        <f>VLOOKUP($A1776, 'Completion rates'!$A:$E, 2, FALSE)</f>
        <v>Killing ghouls (champion's challenge)</v>
      </c>
      <c r="C1776" s="207">
        <v>6799.0</v>
      </c>
      <c r="D1776" s="6" t="str">
        <f>VLOOKUP($C1776, 'List of log slots'!$A:$E, 2, FALSE)</f>
        <v>Ghoul champion scroll</v>
      </c>
      <c r="E1776" s="207">
        <f>VLOOKUP($C1776, 'List of log slots'!$A:$E, 5, FALSE)</f>
        <v>6</v>
      </c>
      <c r="F1776" s="209" t="b">
        <f>VLOOKUP(C1776, 'List of log slots'!$A:$C, 3, FALSE)</f>
        <v>0</v>
      </c>
      <c r="G1776" s="209" t="b">
        <f t="shared" si="1318"/>
        <v>0</v>
      </c>
      <c r="H1776" s="210" t="b">
        <f t="shared" si="7"/>
        <v>1</v>
      </c>
      <c r="I1776" s="208" t="b">
        <f t="shared" ref="I1776:J1776" si="1347">FALSE</f>
        <v>0</v>
      </c>
      <c r="J1776" s="208" t="b">
        <f t="shared" si="1347"/>
        <v>0</v>
      </c>
      <c r="K1776" s="214">
        <v>5000.0</v>
      </c>
      <c r="L1776" s="212" t="str">
        <f t="shared" si="3"/>
        <v>n/a</v>
      </c>
      <c r="M1776" s="212" t="str">
        <f t="shared" si="4"/>
        <v>n/a</v>
      </c>
      <c r="N1776" s="207" t="str">
        <f t="shared" si="5"/>
        <v>n/a</v>
      </c>
      <c r="O1776" s="207">
        <f t="shared" si="6"/>
        <v>0.0002</v>
      </c>
    </row>
    <row r="1777">
      <c r="A1777" s="207">
        <v>107.0</v>
      </c>
      <c r="B1777" s="6" t="str">
        <f>VLOOKUP($A1777, 'Completion rates'!$A:$E, 2, FALSE)</f>
        <v>Killing giants (champion's challenge)</v>
      </c>
      <c r="C1777" s="207">
        <v>6800.0</v>
      </c>
      <c r="D1777" s="6" t="str">
        <f>VLOOKUP($C1777, 'List of log slots'!$A:$E, 2, FALSE)</f>
        <v>Giant champion scroll</v>
      </c>
      <c r="E1777" s="207">
        <f>VLOOKUP($C1777, 'List of log slots'!$A:$E, 5, FALSE)</f>
        <v>5</v>
      </c>
      <c r="F1777" s="209" t="b">
        <f>VLOOKUP(C1777, 'List of log slots'!$A:$C, 3, FALSE)</f>
        <v>0</v>
      </c>
      <c r="G1777" s="209" t="b">
        <f t="shared" si="1318"/>
        <v>0</v>
      </c>
      <c r="H1777" s="210" t="b">
        <f t="shared" si="7"/>
        <v>1</v>
      </c>
      <c r="I1777" s="208" t="b">
        <f t="shared" ref="I1777:J1777" si="1348">FALSE</f>
        <v>0</v>
      </c>
      <c r="J1777" s="208" t="b">
        <f t="shared" si="1348"/>
        <v>0</v>
      </c>
      <c r="K1777" s="214">
        <v>5000.0</v>
      </c>
      <c r="L1777" s="212" t="str">
        <f t="shared" si="3"/>
        <v>n/a</v>
      </c>
      <c r="M1777" s="212" t="str">
        <f t="shared" si="4"/>
        <v>n/a</v>
      </c>
      <c r="N1777" s="207" t="str">
        <f t="shared" si="5"/>
        <v>n/a</v>
      </c>
      <c r="O1777" s="207">
        <f t="shared" si="6"/>
        <v>0.0002</v>
      </c>
    </row>
    <row r="1778">
      <c r="A1778" s="207">
        <v>108.0</v>
      </c>
      <c r="B1778" s="6" t="str">
        <f>VLOOKUP($A1778, 'Completion rates'!$A:$E, 2, FALSE)</f>
        <v>Killing goblins (champion's challenge)</v>
      </c>
      <c r="C1778" s="207">
        <v>6801.0</v>
      </c>
      <c r="D1778" s="6" t="str">
        <f>VLOOKUP($C1778, 'List of log slots'!$A:$E, 2, FALSE)</f>
        <v>Goblin champion scroll</v>
      </c>
      <c r="E1778" s="207">
        <f>VLOOKUP($C1778, 'List of log slots'!$A:$E, 5, FALSE)</f>
        <v>4</v>
      </c>
      <c r="F1778" s="209" t="b">
        <f>VLOOKUP(C1778, 'List of log slots'!$A:$C, 3, FALSE)</f>
        <v>0</v>
      </c>
      <c r="G1778" s="209" t="b">
        <f t="shared" si="1318"/>
        <v>0</v>
      </c>
      <c r="H1778" s="210" t="b">
        <f t="shared" si="7"/>
        <v>1</v>
      </c>
      <c r="I1778" s="208" t="b">
        <f t="shared" ref="I1778:J1778" si="1349">FALSE</f>
        <v>0</v>
      </c>
      <c r="J1778" s="208" t="b">
        <f t="shared" si="1349"/>
        <v>0</v>
      </c>
      <c r="K1778" s="214">
        <v>5000.0</v>
      </c>
      <c r="L1778" s="212" t="str">
        <f t="shared" si="3"/>
        <v>n/a</v>
      </c>
      <c r="M1778" s="212" t="str">
        <f t="shared" si="4"/>
        <v>n/a</v>
      </c>
      <c r="N1778" s="207" t="str">
        <f t="shared" si="5"/>
        <v>n/a</v>
      </c>
      <c r="O1778" s="207">
        <f t="shared" si="6"/>
        <v>0.0002</v>
      </c>
    </row>
    <row r="1779">
      <c r="A1779" s="207">
        <v>109.0</v>
      </c>
      <c r="B1779" s="6" t="str">
        <f>VLOOKUP($A1779, 'Completion rates'!$A:$E, 2, FALSE)</f>
        <v>Killing hobgoblins (champion's challenge)</v>
      </c>
      <c r="C1779" s="207">
        <v>6802.0</v>
      </c>
      <c r="D1779" s="6" t="str">
        <f>VLOOKUP($C1779, 'List of log slots'!$A:$E, 2, FALSE)</f>
        <v>Hobgoblin champion scroll</v>
      </c>
      <c r="E1779" s="207">
        <f>VLOOKUP($C1779, 'List of log slots'!$A:$E, 5, FALSE)</f>
        <v>6</v>
      </c>
      <c r="F1779" s="209" t="b">
        <f>VLOOKUP(C1779, 'List of log slots'!$A:$C, 3, FALSE)</f>
        <v>0</v>
      </c>
      <c r="G1779" s="209" t="b">
        <f t="shared" si="1318"/>
        <v>0</v>
      </c>
      <c r="H1779" s="210" t="b">
        <f t="shared" si="7"/>
        <v>1</v>
      </c>
      <c r="I1779" s="208" t="b">
        <f t="shared" ref="I1779:J1779" si="1350">FALSE</f>
        <v>0</v>
      </c>
      <c r="J1779" s="208" t="b">
        <f t="shared" si="1350"/>
        <v>0</v>
      </c>
      <c r="K1779" s="214">
        <v>5000.0</v>
      </c>
      <c r="L1779" s="212" t="str">
        <f t="shared" si="3"/>
        <v>n/a</v>
      </c>
      <c r="M1779" s="212" t="str">
        <f t="shared" si="4"/>
        <v>n/a</v>
      </c>
      <c r="N1779" s="207" t="str">
        <f t="shared" si="5"/>
        <v>n/a</v>
      </c>
      <c r="O1779" s="207">
        <f t="shared" si="6"/>
        <v>0.0002</v>
      </c>
    </row>
    <row r="1780">
      <c r="A1780" s="207">
        <v>110.0</v>
      </c>
      <c r="B1780" s="6" t="str">
        <f>VLOOKUP($A1780, 'Completion rates'!$A:$E, 2, FALSE)</f>
        <v>Killing imps (champion's challenge)</v>
      </c>
      <c r="C1780" s="207">
        <v>6803.0</v>
      </c>
      <c r="D1780" s="6" t="str">
        <f>VLOOKUP($C1780, 'List of log slots'!$A:$E, 2, FALSE)</f>
        <v>Imp champion scroll</v>
      </c>
      <c r="E1780" s="207">
        <f>VLOOKUP($C1780, 'List of log slots'!$A:$E, 5, FALSE)</f>
        <v>4</v>
      </c>
      <c r="F1780" s="210" t="b">
        <f>VLOOKUP(C1780, 'List of log slots'!$A:$C, 3, FALSE)</f>
        <v>0</v>
      </c>
      <c r="G1780" s="209" t="b">
        <f t="shared" si="1318"/>
        <v>0</v>
      </c>
      <c r="H1780" s="209" t="b">
        <f t="shared" si="7"/>
        <v>1</v>
      </c>
      <c r="I1780" s="208" t="b">
        <f t="shared" ref="I1780:J1780" si="1351">FALSE</f>
        <v>0</v>
      </c>
      <c r="J1780" s="208" t="b">
        <f t="shared" si="1351"/>
        <v>0</v>
      </c>
      <c r="K1780" s="214">
        <v>5000.0</v>
      </c>
      <c r="L1780" s="212" t="str">
        <f t="shared" si="3"/>
        <v>n/a</v>
      </c>
      <c r="M1780" s="212" t="str">
        <f t="shared" si="4"/>
        <v>n/a</v>
      </c>
      <c r="N1780" s="207" t="str">
        <f t="shared" si="5"/>
        <v>n/a</v>
      </c>
      <c r="O1780" s="207">
        <f t="shared" si="6"/>
        <v>0.0002</v>
      </c>
    </row>
    <row r="1781">
      <c r="A1781" s="207">
        <v>111.0</v>
      </c>
      <c r="B1781" s="6" t="str">
        <f>VLOOKUP($A1781, 'Completion rates'!$A:$E, 2, FALSE)</f>
        <v>Killing jogres (champion's challenge)</v>
      </c>
      <c r="C1781" s="207">
        <v>6804.0</v>
      </c>
      <c r="D1781" s="6" t="str">
        <f>VLOOKUP($C1781, 'List of log slots'!$A:$E, 2, FALSE)</f>
        <v>Jogre champion scroll</v>
      </c>
      <c r="E1781" s="207">
        <f>VLOOKUP($C1781, 'List of log slots'!$A:$E, 5, FALSE)</f>
        <v>6</v>
      </c>
      <c r="F1781" s="209" t="b">
        <f>VLOOKUP(C1781, 'List of log slots'!$A:$C, 3, FALSE)</f>
        <v>0</v>
      </c>
      <c r="G1781" s="209" t="b">
        <f t="shared" si="1318"/>
        <v>0</v>
      </c>
      <c r="H1781" s="210" t="b">
        <f t="shared" si="7"/>
        <v>1</v>
      </c>
      <c r="I1781" s="208" t="b">
        <f t="shared" ref="I1781:J1781" si="1352">FALSE</f>
        <v>0</v>
      </c>
      <c r="J1781" s="208" t="b">
        <f t="shared" si="1352"/>
        <v>0</v>
      </c>
      <c r="K1781" s="214">
        <v>5000.0</v>
      </c>
      <c r="L1781" s="212" t="str">
        <f t="shared" si="3"/>
        <v>n/a</v>
      </c>
      <c r="M1781" s="212" t="str">
        <f t="shared" si="4"/>
        <v>n/a</v>
      </c>
      <c r="N1781" s="207" t="str">
        <f t="shared" si="5"/>
        <v>n/a</v>
      </c>
      <c r="O1781" s="207">
        <f t="shared" si="6"/>
        <v>0.0002</v>
      </c>
    </row>
    <row r="1782">
      <c r="A1782" s="207">
        <v>112.0</v>
      </c>
      <c r="B1782" s="6" t="str">
        <f>VLOOKUP($A1782, 'Completion rates'!$A:$E, 2, FALSE)</f>
        <v>Killing lesser demons (champion's challenge)</v>
      </c>
      <c r="C1782" s="207">
        <v>6805.0</v>
      </c>
      <c r="D1782" s="6" t="str">
        <f>VLOOKUP($C1782, 'List of log slots'!$A:$E, 2, FALSE)</f>
        <v>Lesser demon champion scroll</v>
      </c>
      <c r="E1782" s="207">
        <f>VLOOKUP($C1782, 'List of log slots'!$A:$E, 5, FALSE)</f>
        <v>6</v>
      </c>
      <c r="F1782" s="209" t="b">
        <f>VLOOKUP(C1782, 'List of log slots'!$A:$C, 3, FALSE)</f>
        <v>0</v>
      </c>
      <c r="G1782" s="209" t="b">
        <f t="shared" si="1318"/>
        <v>0</v>
      </c>
      <c r="H1782" s="210" t="b">
        <f t="shared" si="7"/>
        <v>1</v>
      </c>
      <c r="I1782" s="208" t="b">
        <f t="shared" ref="I1782:J1782" si="1353">FALSE</f>
        <v>0</v>
      </c>
      <c r="J1782" s="208" t="b">
        <f t="shared" si="1353"/>
        <v>0</v>
      </c>
      <c r="K1782" s="214">
        <v>5000.0</v>
      </c>
      <c r="L1782" s="212" t="str">
        <f t="shared" si="3"/>
        <v>n/a</v>
      </c>
      <c r="M1782" s="212" t="str">
        <f t="shared" si="4"/>
        <v>n/a</v>
      </c>
      <c r="N1782" s="207" t="str">
        <f t="shared" si="5"/>
        <v>n/a</v>
      </c>
      <c r="O1782" s="207">
        <f t="shared" si="6"/>
        <v>0.0002</v>
      </c>
    </row>
    <row r="1783">
      <c r="A1783" s="207">
        <v>113.0</v>
      </c>
      <c r="B1783" s="6" t="str">
        <f>VLOOKUP($A1783, 'Completion rates'!$A:$E, 2, FALSE)</f>
        <v>Killing skeletons (champion's challenge)</v>
      </c>
      <c r="C1783" s="207">
        <v>6806.0</v>
      </c>
      <c r="D1783" s="6" t="str">
        <f>VLOOKUP($C1783, 'List of log slots'!$A:$E, 2, FALSE)</f>
        <v>Skeleton champion scroll</v>
      </c>
      <c r="E1783" s="207">
        <f>VLOOKUP($C1783, 'List of log slots'!$A:$E, 5, FALSE)</f>
        <v>5</v>
      </c>
      <c r="F1783" s="209" t="b">
        <f>VLOOKUP(C1783, 'List of log slots'!$A:$C, 3, FALSE)</f>
        <v>0</v>
      </c>
      <c r="G1783" s="209" t="b">
        <f t="shared" si="1318"/>
        <v>0</v>
      </c>
      <c r="H1783" s="210" t="b">
        <f t="shared" si="7"/>
        <v>1</v>
      </c>
      <c r="I1783" s="208" t="b">
        <f t="shared" ref="I1783:J1783" si="1354">FALSE</f>
        <v>0</v>
      </c>
      <c r="J1783" s="208" t="b">
        <f t="shared" si="1354"/>
        <v>0</v>
      </c>
      <c r="K1783" s="214">
        <v>5000.0</v>
      </c>
      <c r="L1783" s="212" t="str">
        <f t="shared" si="3"/>
        <v>n/a</v>
      </c>
      <c r="M1783" s="212" t="str">
        <f t="shared" si="4"/>
        <v>n/a</v>
      </c>
      <c r="N1783" s="207" t="str">
        <f t="shared" si="5"/>
        <v>n/a</v>
      </c>
      <c r="O1783" s="207">
        <f t="shared" si="6"/>
        <v>0.0002</v>
      </c>
    </row>
    <row r="1784">
      <c r="A1784" s="207">
        <v>114.0</v>
      </c>
      <c r="B1784" s="6" t="str">
        <f>VLOOKUP($A1784, 'Completion rates'!$A:$E, 2, FALSE)</f>
        <v>Killing zombies (champion's challenge)</v>
      </c>
      <c r="C1784" s="207">
        <v>6807.0</v>
      </c>
      <c r="D1784" s="6" t="str">
        <f>VLOOKUP($C1784, 'List of log slots'!$A:$E, 2, FALSE)</f>
        <v>Zombie champion scroll</v>
      </c>
      <c r="E1784" s="207">
        <f>VLOOKUP($C1784, 'List of log slots'!$A:$E, 5, FALSE)</f>
        <v>5</v>
      </c>
      <c r="F1784" s="209" t="b">
        <f>VLOOKUP(C1784, 'List of log slots'!$A:$C, 3, FALSE)</f>
        <v>0</v>
      </c>
      <c r="G1784" s="209" t="b">
        <f t="shared" si="1318"/>
        <v>0</v>
      </c>
      <c r="H1784" s="210" t="b">
        <f t="shared" si="7"/>
        <v>1</v>
      </c>
      <c r="I1784" s="208" t="b">
        <f t="shared" ref="I1784:J1784" si="1355">FALSE</f>
        <v>0</v>
      </c>
      <c r="J1784" s="208" t="b">
        <f t="shared" si="1355"/>
        <v>0</v>
      </c>
      <c r="K1784" s="214">
        <v>5000.0</v>
      </c>
      <c r="L1784" s="212" t="str">
        <f t="shared" si="3"/>
        <v>n/a</v>
      </c>
      <c r="M1784" s="212" t="str">
        <f t="shared" si="4"/>
        <v>n/a</v>
      </c>
      <c r="N1784" s="207" t="str">
        <f t="shared" si="5"/>
        <v>n/a</v>
      </c>
      <c r="O1784" s="207">
        <f t="shared" si="6"/>
        <v>0.0002</v>
      </c>
    </row>
    <row r="1785">
      <c r="A1785" s="207">
        <v>115.0</v>
      </c>
      <c r="B1785" s="6" t="str">
        <f>VLOOKUP($A1785, 'Completion rates'!$A:$E, 2, FALSE)</f>
        <v>Killing elder chaos druids</v>
      </c>
      <c r="C1785" s="207">
        <v>20517.0</v>
      </c>
      <c r="D1785" s="6" t="str">
        <f>VLOOKUP($C1785, 'List of log slots'!$A:$E, 2, FALSE)</f>
        <v>Elder chaos top</v>
      </c>
      <c r="E1785" s="207">
        <f>VLOOKUP($C1785, 'List of log slots'!$A:$E, 5, FALSE)</f>
        <v>4</v>
      </c>
      <c r="F1785" s="209" t="b">
        <f>VLOOKUP(C1785, 'List of log slots'!$A:$C, 3, FALSE)</f>
        <v>0</v>
      </c>
      <c r="G1785" s="209" t="b">
        <f t="shared" si="1318"/>
        <v>0</v>
      </c>
      <c r="H1785" s="210" t="b">
        <f t="shared" si="7"/>
        <v>1</v>
      </c>
      <c r="I1785" s="208" t="b">
        <f t="shared" ref="I1785:J1785" si="1356">FALSE</f>
        <v>0</v>
      </c>
      <c r="J1785" s="208" t="b">
        <f t="shared" si="1356"/>
        <v>0</v>
      </c>
      <c r="K1785" s="214">
        <v>1419.0</v>
      </c>
      <c r="L1785" s="212" t="str">
        <f t="shared" si="3"/>
        <v>n/a</v>
      </c>
      <c r="M1785" s="212" t="str">
        <f t="shared" si="4"/>
        <v>n/a</v>
      </c>
      <c r="N1785" s="207" t="str">
        <f t="shared" si="5"/>
        <v>n/a</v>
      </c>
      <c r="O1785" s="207">
        <f t="shared" si="6"/>
        <v>0.000704721635</v>
      </c>
    </row>
    <row r="1786">
      <c r="A1786" s="207">
        <v>115.0</v>
      </c>
      <c r="B1786" s="6" t="str">
        <f>VLOOKUP($A1786, 'Completion rates'!$A:$E, 2, FALSE)</f>
        <v>Killing elder chaos druids</v>
      </c>
      <c r="C1786" s="207">
        <v>20520.0</v>
      </c>
      <c r="D1786" s="6" t="str">
        <f>VLOOKUP($C1786, 'List of log slots'!$A:$E, 2, FALSE)</f>
        <v>Elder chaos robe</v>
      </c>
      <c r="E1786" s="207">
        <f>VLOOKUP($C1786, 'List of log slots'!$A:$E, 5, FALSE)</f>
        <v>4</v>
      </c>
      <c r="F1786" s="208" t="b">
        <f>VLOOKUP(C1786, 'List of log slots'!$A:$C, 3, FALSE)</f>
        <v>0</v>
      </c>
      <c r="G1786" s="209" t="b">
        <f t="shared" si="1318"/>
        <v>0</v>
      </c>
      <c r="H1786" s="210" t="b">
        <f t="shared" si="7"/>
        <v>1</v>
      </c>
      <c r="I1786" s="208" t="b">
        <f t="shared" ref="I1786:J1786" si="1357">FALSE</f>
        <v>0</v>
      </c>
      <c r="J1786" s="208" t="b">
        <f t="shared" si="1357"/>
        <v>0</v>
      </c>
      <c r="K1786" s="214">
        <v>1419.0</v>
      </c>
      <c r="L1786" s="212" t="str">
        <f t="shared" si="3"/>
        <v>n/a</v>
      </c>
      <c r="M1786" s="212" t="str">
        <f t="shared" si="4"/>
        <v>n/a</v>
      </c>
      <c r="N1786" s="207" t="str">
        <f t="shared" si="5"/>
        <v>n/a</v>
      </c>
      <c r="O1786" s="207">
        <f t="shared" si="6"/>
        <v>0.000704721635</v>
      </c>
    </row>
    <row r="1787">
      <c r="A1787" s="207">
        <v>115.0</v>
      </c>
      <c r="B1787" s="6" t="str">
        <f>VLOOKUP($A1787, 'Completion rates'!$A:$E, 2, FALSE)</f>
        <v>Killing elder chaos druids</v>
      </c>
      <c r="C1787" s="207">
        <v>20595.0</v>
      </c>
      <c r="D1787" s="6" t="str">
        <f>VLOOKUP($C1787, 'List of log slots'!$A:$E, 2, FALSE)</f>
        <v>Elder chaos hood</v>
      </c>
      <c r="E1787" s="207">
        <f>VLOOKUP($C1787, 'List of log slots'!$A:$E, 5, FALSE)</f>
        <v>4</v>
      </c>
      <c r="F1787" s="208" t="b">
        <f>VLOOKUP(C1787, 'List of log slots'!$A:$C, 3, FALSE)</f>
        <v>0</v>
      </c>
      <c r="G1787" s="209" t="b">
        <f t="shared" si="1318"/>
        <v>0</v>
      </c>
      <c r="H1787" s="210" t="b">
        <f t="shared" si="7"/>
        <v>1</v>
      </c>
      <c r="I1787" s="208" t="b">
        <f t="shared" ref="I1787:J1787" si="1358">FALSE</f>
        <v>0</v>
      </c>
      <c r="J1787" s="208" t="b">
        <f t="shared" si="1358"/>
        <v>0</v>
      </c>
      <c r="K1787" s="214">
        <v>1419.0</v>
      </c>
      <c r="L1787" s="212" t="str">
        <f t="shared" si="3"/>
        <v>n/a</v>
      </c>
      <c r="M1787" s="212" t="str">
        <f t="shared" si="4"/>
        <v>n/a</v>
      </c>
      <c r="N1787" s="207" t="str">
        <f t="shared" si="5"/>
        <v>n/a</v>
      </c>
      <c r="O1787" s="207">
        <f t="shared" si="6"/>
        <v>0.000704721635</v>
      </c>
    </row>
    <row r="1788">
      <c r="A1788" s="207">
        <v>115.0</v>
      </c>
      <c r="B1788" s="6" t="str">
        <f>VLOOKUP($A1788, 'Completion rates'!$A:$E, 2, FALSE)</f>
        <v>Killing elder chaos druids</v>
      </c>
      <c r="C1788" s="207">
        <v>2366.0</v>
      </c>
      <c r="D1788" s="6" t="str">
        <f>VLOOKUP($C1788, 'List of log slots'!$A:$E, 2, FALSE)</f>
        <v>Shield left half</v>
      </c>
      <c r="E1788" s="207">
        <f>VLOOKUP($C1788, 'List of log slots'!$A:$E, 5, FALSE)</f>
        <v>5</v>
      </c>
      <c r="F1788" s="213" t="b">
        <f>VLOOKUP(C1788, 'List of log slots'!$A:$C, 3, FALSE)</f>
        <v>0</v>
      </c>
      <c r="G1788" s="209" t="b">
        <f t="shared" si="1318"/>
        <v>0</v>
      </c>
      <c r="H1788" s="209" t="b">
        <f t="shared" si="7"/>
        <v>1</v>
      </c>
      <c r="I1788" s="208" t="b">
        <f t="shared" ref="I1788:J1788" si="1359">FALSE</f>
        <v>0</v>
      </c>
      <c r="J1788" s="208" t="b">
        <f t="shared" si="1359"/>
        <v>0</v>
      </c>
      <c r="K1788" s="214">
        <v>32705.0</v>
      </c>
      <c r="L1788" s="212" t="str">
        <f t="shared" si="3"/>
        <v>n/a</v>
      </c>
      <c r="M1788" s="212" t="str">
        <f t="shared" si="4"/>
        <v>n/a</v>
      </c>
      <c r="N1788" s="207" t="str">
        <f t="shared" si="5"/>
        <v>n/a</v>
      </c>
      <c r="O1788" s="207">
        <f t="shared" si="6"/>
        <v>0.00003057636447</v>
      </c>
    </row>
    <row r="1789">
      <c r="A1789" s="207">
        <v>115.0</v>
      </c>
      <c r="B1789" s="6" t="str">
        <f>VLOOKUP($A1789, 'Completion rates'!$A:$E, 2, FALSE)</f>
        <v>Killing elder chaos druids</v>
      </c>
      <c r="C1789" s="207">
        <v>1249.0</v>
      </c>
      <c r="D1789" s="6" t="str">
        <f>VLOOKUP($C1789, 'List of log slots'!$A:$E, 2, FALSE)</f>
        <v>Dragon spear</v>
      </c>
      <c r="E1789" s="207">
        <f>VLOOKUP($C1789, 'List of log slots'!$A:$E, 5, FALSE)</f>
        <v>5</v>
      </c>
      <c r="F1789" s="213" t="b">
        <f>VLOOKUP(C1789, 'List of log slots'!$A:$C, 3, FALSE)</f>
        <v>0</v>
      </c>
      <c r="G1789" s="209" t="b">
        <f t="shared" si="1318"/>
        <v>0</v>
      </c>
      <c r="H1789" s="209" t="b">
        <f t="shared" si="7"/>
        <v>1</v>
      </c>
      <c r="I1789" s="208" t="b">
        <f t="shared" ref="I1789:J1789" si="1360">FALSE</f>
        <v>0</v>
      </c>
      <c r="J1789" s="208" t="b">
        <f t="shared" si="1360"/>
        <v>0</v>
      </c>
      <c r="K1789" s="214">
        <v>43606.0</v>
      </c>
      <c r="L1789" s="212" t="str">
        <f t="shared" si="3"/>
        <v>n/a</v>
      </c>
      <c r="M1789" s="212" t="str">
        <f t="shared" si="4"/>
        <v>n/a</v>
      </c>
      <c r="N1789" s="207" t="str">
        <f t="shared" si="5"/>
        <v>n/a</v>
      </c>
      <c r="O1789" s="207">
        <f t="shared" si="6"/>
        <v>0.00002293262395</v>
      </c>
    </row>
    <row r="1790">
      <c r="A1790" s="207">
        <v>116.0</v>
      </c>
      <c r="B1790" s="6" t="str">
        <f>VLOOKUP($A1790, 'Completion rates'!$A:$E, 2, FALSE)</f>
        <v>Killing chompies</v>
      </c>
      <c r="C1790" s="207">
        <v>13071.0</v>
      </c>
      <c r="D1790" s="6" t="str">
        <f>VLOOKUP($C1790, 'List of log slots'!$A:$E, 2, FALSE)</f>
        <v>Chompy chick</v>
      </c>
      <c r="E1790" s="207">
        <f>VLOOKUP($C1790, 'List of log slots'!$A:$E, 5, FALSE)</f>
        <v>5</v>
      </c>
      <c r="F1790" s="208" t="b">
        <f>VLOOKUP(C1790, 'List of log slots'!$A:$C, 3, FALSE)</f>
        <v>0</v>
      </c>
      <c r="G1790" s="209" t="b">
        <f t="shared" si="1318"/>
        <v>0</v>
      </c>
      <c r="H1790" s="210" t="b">
        <f t="shared" si="7"/>
        <v>1</v>
      </c>
      <c r="I1790" s="208" t="b">
        <f t="shared" ref="I1790:J1790" si="1361">FALSE</f>
        <v>0</v>
      </c>
      <c r="J1790" s="208" t="b">
        <f t="shared" si="1361"/>
        <v>0</v>
      </c>
      <c r="K1790" s="214">
        <v>500.0</v>
      </c>
      <c r="L1790" s="212" t="str">
        <f t="shared" si="3"/>
        <v>n/a</v>
      </c>
      <c r="M1790" s="212" t="str">
        <f t="shared" si="4"/>
        <v>n/a</v>
      </c>
      <c r="N1790" s="207" t="str">
        <f t="shared" si="5"/>
        <v>n/a</v>
      </c>
      <c r="O1790" s="207">
        <f t="shared" si="6"/>
        <v>0.002</v>
      </c>
    </row>
    <row r="1791">
      <c r="A1791" s="207">
        <v>116.0</v>
      </c>
      <c r="B1791" s="6" t="str">
        <f>VLOOKUP($A1791, 'Completion rates'!$A:$E, 2, FALSE)</f>
        <v>Killing chompies</v>
      </c>
      <c r="C1791" s="207">
        <v>2978.0</v>
      </c>
      <c r="D1791" s="6" t="str">
        <f>VLOOKUP($C1791, 'List of log slots'!$A:$E, 2, FALSE)</f>
        <v>Chompy bird hat</v>
      </c>
      <c r="E1791" s="207">
        <f>VLOOKUP($C1791, 'List of log slots'!$A:$E, 5, FALSE)</f>
        <v>2</v>
      </c>
      <c r="F1791" s="213" t="b">
        <f>VLOOKUP(C1791, 'List of log slots'!$A:$C, 3, FALSE)</f>
        <v>0</v>
      </c>
      <c r="G1791" s="209" t="b">
        <f t="shared" si="1318"/>
        <v>0</v>
      </c>
      <c r="H1791" s="209" t="b">
        <f t="shared" si="7"/>
        <v>1</v>
      </c>
      <c r="I1791" s="213" t="b">
        <f t="shared" ref="I1791:I1811" si="1362">TRUE</f>
        <v>1</v>
      </c>
      <c r="J1791" s="208" t="b">
        <f t="shared" ref="J1791:J1808" si="1363">FALSE</f>
        <v>0</v>
      </c>
      <c r="K1791" s="214">
        <v>30.0</v>
      </c>
      <c r="L1791" s="212" t="str">
        <f t="shared" si="3"/>
        <v>n/a</v>
      </c>
      <c r="M1791" s="212">
        <f t="shared" si="4"/>
        <v>30</v>
      </c>
      <c r="N1791" s="207" t="str">
        <f t="shared" si="5"/>
        <v>n/a</v>
      </c>
      <c r="O1791" s="207" t="str">
        <f t="shared" si="6"/>
        <v>n/a</v>
      </c>
    </row>
    <row r="1792">
      <c r="A1792" s="207">
        <v>116.0</v>
      </c>
      <c r="B1792" s="6" t="str">
        <f>VLOOKUP($A1792, 'Completion rates'!$A:$E, 2, FALSE)</f>
        <v>Killing chompies</v>
      </c>
      <c r="C1792" s="207">
        <v>2979.0</v>
      </c>
      <c r="D1792" s="6" t="str">
        <f>VLOOKUP($C1792, 'List of log slots'!$A:$E, 2, FALSE)</f>
        <v>Chompy bird hat</v>
      </c>
      <c r="E1792" s="207">
        <f>VLOOKUP($C1792, 'List of log slots'!$A:$E, 5, FALSE)</f>
        <v>2</v>
      </c>
      <c r="F1792" s="213" t="b">
        <f>VLOOKUP(C1792, 'List of log slots'!$A:$C, 3, FALSE)</f>
        <v>0</v>
      </c>
      <c r="G1792" s="210" t="b">
        <f t="shared" ref="G1792:G1808" si="1364">TRUE</f>
        <v>1</v>
      </c>
      <c r="H1792" s="209" t="b">
        <f t="shared" si="7"/>
        <v>0</v>
      </c>
      <c r="I1792" s="213" t="b">
        <f t="shared" si="1362"/>
        <v>1</v>
      </c>
      <c r="J1792" s="208" t="b">
        <f t="shared" si="1363"/>
        <v>0</v>
      </c>
      <c r="K1792" s="214">
        <v>10.0</v>
      </c>
      <c r="L1792" s="212" t="str">
        <f t="shared" si="3"/>
        <v>n/a</v>
      </c>
      <c r="M1792" s="212">
        <f t="shared" si="4"/>
        <v>10</v>
      </c>
      <c r="N1792" s="207" t="str">
        <f t="shared" si="5"/>
        <v>n/a</v>
      </c>
      <c r="O1792" s="207" t="str">
        <f t="shared" si="6"/>
        <v>n/a</v>
      </c>
    </row>
    <row r="1793">
      <c r="A1793" s="207">
        <v>116.0</v>
      </c>
      <c r="B1793" s="6" t="str">
        <f>VLOOKUP($A1793, 'Completion rates'!$A:$E, 2, FALSE)</f>
        <v>Killing chompies</v>
      </c>
      <c r="C1793" s="207">
        <v>2980.0</v>
      </c>
      <c r="D1793" s="6" t="str">
        <f>VLOOKUP($C1793, 'List of log slots'!$A:$E, 2, FALSE)</f>
        <v>Chompy bird hat</v>
      </c>
      <c r="E1793" s="207">
        <f>VLOOKUP($C1793, 'List of log slots'!$A:$E, 5, FALSE)</f>
        <v>2</v>
      </c>
      <c r="F1793" s="213" t="b">
        <f>VLOOKUP(C1793, 'List of log slots'!$A:$C, 3, FALSE)</f>
        <v>0</v>
      </c>
      <c r="G1793" s="210" t="b">
        <f t="shared" si="1364"/>
        <v>1</v>
      </c>
      <c r="H1793" s="209" t="b">
        <f t="shared" si="7"/>
        <v>0</v>
      </c>
      <c r="I1793" s="213" t="b">
        <f t="shared" si="1362"/>
        <v>1</v>
      </c>
      <c r="J1793" s="208" t="b">
        <f t="shared" si="1363"/>
        <v>0</v>
      </c>
      <c r="K1793" s="214">
        <v>10.0</v>
      </c>
      <c r="L1793" s="212" t="str">
        <f t="shared" si="3"/>
        <v>n/a</v>
      </c>
      <c r="M1793" s="212">
        <f t="shared" si="4"/>
        <v>10</v>
      </c>
      <c r="N1793" s="207" t="str">
        <f t="shared" si="5"/>
        <v>n/a</v>
      </c>
      <c r="O1793" s="207" t="str">
        <f t="shared" si="6"/>
        <v>n/a</v>
      </c>
    </row>
    <row r="1794">
      <c r="A1794" s="207">
        <v>116.0</v>
      </c>
      <c r="B1794" s="6" t="str">
        <f>VLOOKUP($A1794, 'Completion rates'!$A:$E, 2, FALSE)</f>
        <v>Killing chompies</v>
      </c>
      <c r="C1794" s="207">
        <v>2981.0</v>
      </c>
      <c r="D1794" s="6" t="str">
        <f>VLOOKUP($C1794, 'List of log slots'!$A:$E, 2, FALSE)</f>
        <v>Chompy bird hat</v>
      </c>
      <c r="E1794" s="207">
        <f>VLOOKUP($C1794, 'List of log slots'!$A:$E, 5, FALSE)</f>
        <v>3</v>
      </c>
      <c r="F1794" s="213" t="b">
        <f>VLOOKUP(C1794, 'List of log slots'!$A:$C, 3, FALSE)</f>
        <v>0</v>
      </c>
      <c r="G1794" s="210" t="b">
        <f t="shared" si="1364"/>
        <v>1</v>
      </c>
      <c r="H1794" s="209" t="b">
        <f t="shared" si="7"/>
        <v>0</v>
      </c>
      <c r="I1794" s="213" t="b">
        <f t="shared" si="1362"/>
        <v>1</v>
      </c>
      <c r="J1794" s="208" t="b">
        <f t="shared" si="1363"/>
        <v>0</v>
      </c>
      <c r="K1794" s="214">
        <v>20.0</v>
      </c>
      <c r="L1794" s="212" t="str">
        <f t="shared" si="3"/>
        <v>n/a</v>
      </c>
      <c r="M1794" s="212">
        <f t="shared" si="4"/>
        <v>20</v>
      </c>
      <c r="N1794" s="207" t="str">
        <f t="shared" si="5"/>
        <v>n/a</v>
      </c>
      <c r="O1794" s="207" t="str">
        <f t="shared" si="6"/>
        <v>n/a</v>
      </c>
    </row>
    <row r="1795">
      <c r="A1795" s="207">
        <v>116.0</v>
      </c>
      <c r="B1795" s="6" t="str">
        <f>VLOOKUP($A1795, 'Completion rates'!$A:$E, 2, FALSE)</f>
        <v>Killing chompies</v>
      </c>
      <c r="C1795" s="207">
        <v>2982.0</v>
      </c>
      <c r="D1795" s="6" t="str">
        <f>VLOOKUP($C1795, 'List of log slots'!$A:$E, 2, FALSE)</f>
        <v>Chompy bird hat</v>
      </c>
      <c r="E1795" s="207">
        <f>VLOOKUP($C1795, 'List of log slots'!$A:$E, 5, FALSE)</f>
        <v>3</v>
      </c>
      <c r="F1795" s="213" t="b">
        <f>VLOOKUP(C1795, 'List of log slots'!$A:$C, 3, FALSE)</f>
        <v>0</v>
      </c>
      <c r="G1795" s="210" t="b">
        <f t="shared" si="1364"/>
        <v>1</v>
      </c>
      <c r="H1795" s="209" t="b">
        <f t="shared" si="7"/>
        <v>0</v>
      </c>
      <c r="I1795" s="213" t="b">
        <f t="shared" si="1362"/>
        <v>1</v>
      </c>
      <c r="J1795" s="208" t="b">
        <f t="shared" si="1363"/>
        <v>0</v>
      </c>
      <c r="K1795" s="214">
        <v>25.0</v>
      </c>
      <c r="L1795" s="212" t="str">
        <f t="shared" si="3"/>
        <v>n/a</v>
      </c>
      <c r="M1795" s="212">
        <f t="shared" si="4"/>
        <v>25</v>
      </c>
      <c r="N1795" s="207" t="str">
        <f t="shared" si="5"/>
        <v>n/a</v>
      </c>
      <c r="O1795" s="207" t="str">
        <f t="shared" si="6"/>
        <v>n/a</v>
      </c>
    </row>
    <row r="1796">
      <c r="A1796" s="207">
        <v>116.0</v>
      </c>
      <c r="B1796" s="6" t="str">
        <f>VLOOKUP($A1796, 'Completion rates'!$A:$E, 2, FALSE)</f>
        <v>Killing chompies</v>
      </c>
      <c r="C1796" s="207">
        <v>2983.0</v>
      </c>
      <c r="D1796" s="6" t="str">
        <f>VLOOKUP($C1796, 'List of log slots'!$A:$E, 2, FALSE)</f>
        <v>Chompy bird hat</v>
      </c>
      <c r="E1796" s="207">
        <f>VLOOKUP($C1796, 'List of log slots'!$A:$E, 5, FALSE)</f>
        <v>3</v>
      </c>
      <c r="F1796" s="213" t="b">
        <f>VLOOKUP(C1796, 'List of log slots'!$A:$C, 3, FALSE)</f>
        <v>0</v>
      </c>
      <c r="G1796" s="210" t="b">
        <f t="shared" si="1364"/>
        <v>1</v>
      </c>
      <c r="H1796" s="209" t="b">
        <f t="shared" si="7"/>
        <v>0</v>
      </c>
      <c r="I1796" s="213" t="b">
        <f t="shared" si="1362"/>
        <v>1</v>
      </c>
      <c r="J1796" s="208" t="b">
        <f t="shared" si="1363"/>
        <v>0</v>
      </c>
      <c r="K1796" s="214">
        <v>30.0</v>
      </c>
      <c r="L1796" s="212" t="str">
        <f t="shared" si="3"/>
        <v>n/a</v>
      </c>
      <c r="M1796" s="212">
        <f t="shared" si="4"/>
        <v>30</v>
      </c>
      <c r="N1796" s="207" t="str">
        <f t="shared" si="5"/>
        <v>n/a</v>
      </c>
      <c r="O1796" s="207" t="str">
        <f t="shared" si="6"/>
        <v>n/a</v>
      </c>
    </row>
    <row r="1797">
      <c r="A1797" s="207">
        <v>116.0</v>
      </c>
      <c r="B1797" s="6" t="str">
        <f>VLOOKUP($A1797, 'Completion rates'!$A:$E, 2, FALSE)</f>
        <v>Killing chompies</v>
      </c>
      <c r="C1797" s="207">
        <v>2984.0</v>
      </c>
      <c r="D1797" s="6" t="str">
        <f>VLOOKUP($C1797, 'List of log slots'!$A:$E, 2, FALSE)</f>
        <v>Chompy bird hat</v>
      </c>
      <c r="E1797" s="207">
        <f>VLOOKUP($C1797, 'List of log slots'!$A:$E, 5, FALSE)</f>
        <v>4</v>
      </c>
      <c r="F1797" s="213" t="b">
        <f>VLOOKUP(C1797, 'List of log slots'!$A:$C, 3, FALSE)</f>
        <v>0</v>
      </c>
      <c r="G1797" s="210" t="b">
        <f t="shared" si="1364"/>
        <v>1</v>
      </c>
      <c r="H1797" s="209" t="b">
        <f t="shared" si="7"/>
        <v>0</v>
      </c>
      <c r="I1797" s="213" t="b">
        <f t="shared" si="1362"/>
        <v>1</v>
      </c>
      <c r="J1797" s="208" t="b">
        <f t="shared" si="1363"/>
        <v>0</v>
      </c>
      <c r="K1797" s="214">
        <v>45.0</v>
      </c>
      <c r="L1797" s="212" t="str">
        <f t="shared" si="3"/>
        <v>n/a</v>
      </c>
      <c r="M1797" s="212">
        <f t="shared" si="4"/>
        <v>45</v>
      </c>
      <c r="N1797" s="207" t="str">
        <f t="shared" si="5"/>
        <v>n/a</v>
      </c>
      <c r="O1797" s="207" t="str">
        <f t="shared" si="6"/>
        <v>n/a</v>
      </c>
    </row>
    <row r="1798">
      <c r="A1798" s="207">
        <v>116.0</v>
      </c>
      <c r="B1798" s="6" t="str">
        <f>VLOOKUP($A1798, 'Completion rates'!$A:$E, 2, FALSE)</f>
        <v>Killing chompies</v>
      </c>
      <c r="C1798" s="207">
        <v>2985.0</v>
      </c>
      <c r="D1798" s="6" t="str">
        <f>VLOOKUP($C1798, 'List of log slots'!$A:$E, 2, FALSE)</f>
        <v>Chompy bird hat</v>
      </c>
      <c r="E1798" s="207">
        <f>VLOOKUP($C1798, 'List of log slots'!$A:$E, 5, FALSE)</f>
        <v>4</v>
      </c>
      <c r="F1798" s="213" t="b">
        <f>VLOOKUP(C1798, 'List of log slots'!$A:$C, 3, FALSE)</f>
        <v>0</v>
      </c>
      <c r="G1798" s="210" t="b">
        <f t="shared" si="1364"/>
        <v>1</v>
      </c>
      <c r="H1798" s="209" t="b">
        <f t="shared" si="7"/>
        <v>0</v>
      </c>
      <c r="I1798" s="213" t="b">
        <f t="shared" si="1362"/>
        <v>1</v>
      </c>
      <c r="J1798" s="208" t="b">
        <f t="shared" si="1363"/>
        <v>0</v>
      </c>
      <c r="K1798" s="214">
        <v>55.0</v>
      </c>
      <c r="L1798" s="212" t="str">
        <f t="shared" si="3"/>
        <v>n/a</v>
      </c>
      <c r="M1798" s="212">
        <f t="shared" si="4"/>
        <v>55</v>
      </c>
      <c r="N1798" s="207" t="str">
        <f t="shared" si="5"/>
        <v>n/a</v>
      </c>
      <c r="O1798" s="207" t="str">
        <f t="shared" si="6"/>
        <v>n/a</v>
      </c>
    </row>
    <row r="1799">
      <c r="A1799" s="207">
        <v>116.0</v>
      </c>
      <c r="B1799" s="6" t="str">
        <f>VLOOKUP($A1799, 'Completion rates'!$A:$E, 2, FALSE)</f>
        <v>Killing chompies</v>
      </c>
      <c r="C1799" s="207">
        <v>2986.0</v>
      </c>
      <c r="D1799" s="6" t="str">
        <f>VLOOKUP($C1799, 'List of log slots'!$A:$E, 2, FALSE)</f>
        <v>Chompy bird hat</v>
      </c>
      <c r="E1799" s="207">
        <f>VLOOKUP($C1799, 'List of log slots'!$A:$E, 5, FALSE)</f>
        <v>4</v>
      </c>
      <c r="F1799" s="213" t="b">
        <f>VLOOKUP(C1799, 'List of log slots'!$A:$C, 3, FALSE)</f>
        <v>0</v>
      </c>
      <c r="G1799" s="210" t="b">
        <f t="shared" si="1364"/>
        <v>1</v>
      </c>
      <c r="H1799" s="209" t="b">
        <f t="shared" si="7"/>
        <v>0</v>
      </c>
      <c r="I1799" s="213" t="b">
        <f t="shared" si="1362"/>
        <v>1</v>
      </c>
      <c r="J1799" s="208" t="b">
        <f t="shared" si="1363"/>
        <v>0</v>
      </c>
      <c r="K1799" s="214">
        <v>75.0</v>
      </c>
      <c r="L1799" s="212" t="str">
        <f t="shared" si="3"/>
        <v>n/a</v>
      </c>
      <c r="M1799" s="212">
        <f t="shared" si="4"/>
        <v>75</v>
      </c>
      <c r="N1799" s="207" t="str">
        <f t="shared" si="5"/>
        <v>n/a</v>
      </c>
      <c r="O1799" s="207" t="str">
        <f t="shared" si="6"/>
        <v>n/a</v>
      </c>
    </row>
    <row r="1800">
      <c r="A1800" s="207">
        <v>116.0</v>
      </c>
      <c r="B1800" s="6" t="str">
        <f>VLOOKUP($A1800, 'Completion rates'!$A:$E, 2, FALSE)</f>
        <v>Killing chompies</v>
      </c>
      <c r="C1800" s="207">
        <v>2987.0</v>
      </c>
      <c r="D1800" s="6" t="str">
        <f>VLOOKUP($C1800, 'List of log slots'!$A:$E, 2, FALSE)</f>
        <v>Chompy bird hat</v>
      </c>
      <c r="E1800" s="207">
        <f>VLOOKUP($C1800, 'List of log slots'!$A:$E, 5, FALSE)</f>
        <v>4</v>
      </c>
      <c r="F1800" s="213" t="b">
        <f>VLOOKUP(C1800, 'List of log slots'!$A:$C, 3, FALSE)</f>
        <v>0</v>
      </c>
      <c r="G1800" s="210" t="b">
        <f t="shared" si="1364"/>
        <v>1</v>
      </c>
      <c r="H1800" s="209" t="b">
        <f t="shared" si="7"/>
        <v>0</v>
      </c>
      <c r="I1800" s="213" t="b">
        <f t="shared" si="1362"/>
        <v>1</v>
      </c>
      <c r="J1800" s="208" t="b">
        <f t="shared" si="1363"/>
        <v>0</v>
      </c>
      <c r="K1800" s="214">
        <v>100.0</v>
      </c>
      <c r="L1800" s="212" t="str">
        <f t="shared" si="3"/>
        <v>n/a</v>
      </c>
      <c r="M1800" s="212">
        <f t="shared" si="4"/>
        <v>100</v>
      </c>
      <c r="N1800" s="207" t="str">
        <f t="shared" si="5"/>
        <v>n/a</v>
      </c>
      <c r="O1800" s="207" t="str">
        <f t="shared" si="6"/>
        <v>n/a</v>
      </c>
    </row>
    <row r="1801">
      <c r="A1801" s="207">
        <v>116.0</v>
      </c>
      <c r="B1801" s="6" t="str">
        <f>VLOOKUP($A1801, 'Completion rates'!$A:$E, 2, FALSE)</f>
        <v>Killing chompies</v>
      </c>
      <c r="C1801" s="207">
        <v>2988.0</v>
      </c>
      <c r="D1801" s="6" t="str">
        <f>VLOOKUP($C1801, 'List of log slots'!$A:$E, 2, FALSE)</f>
        <v>Chompy bird hat</v>
      </c>
      <c r="E1801" s="207">
        <f>VLOOKUP($C1801, 'List of log slots'!$A:$E, 5, FALSE)</f>
        <v>5</v>
      </c>
      <c r="F1801" s="213" t="b">
        <f>VLOOKUP(C1801, 'List of log slots'!$A:$C, 3, FALSE)</f>
        <v>0</v>
      </c>
      <c r="G1801" s="210" t="b">
        <f t="shared" si="1364"/>
        <v>1</v>
      </c>
      <c r="H1801" s="209" t="b">
        <f t="shared" si="7"/>
        <v>0</v>
      </c>
      <c r="I1801" s="213" t="b">
        <f t="shared" si="1362"/>
        <v>1</v>
      </c>
      <c r="J1801" s="208" t="b">
        <f t="shared" si="1363"/>
        <v>0</v>
      </c>
      <c r="K1801" s="214">
        <v>150.0</v>
      </c>
      <c r="L1801" s="212" t="str">
        <f t="shared" si="3"/>
        <v>n/a</v>
      </c>
      <c r="M1801" s="212">
        <f t="shared" si="4"/>
        <v>150</v>
      </c>
      <c r="N1801" s="207" t="str">
        <f t="shared" si="5"/>
        <v>n/a</v>
      </c>
      <c r="O1801" s="207" t="str">
        <f t="shared" si="6"/>
        <v>n/a</v>
      </c>
    </row>
    <row r="1802">
      <c r="A1802" s="207">
        <v>116.0</v>
      </c>
      <c r="B1802" s="6" t="str">
        <f>VLOOKUP($A1802, 'Completion rates'!$A:$E, 2, FALSE)</f>
        <v>Killing chompies</v>
      </c>
      <c r="C1802" s="207">
        <v>2989.0</v>
      </c>
      <c r="D1802" s="6" t="str">
        <f>VLOOKUP($C1802, 'List of log slots'!$A:$E, 2, FALSE)</f>
        <v>Chompy bird hat</v>
      </c>
      <c r="E1802" s="207">
        <f>VLOOKUP($C1802, 'List of log slots'!$A:$E, 5, FALSE)</f>
        <v>5</v>
      </c>
      <c r="F1802" s="213" t="b">
        <f>VLOOKUP(C1802, 'List of log slots'!$A:$C, 3, FALSE)</f>
        <v>0</v>
      </c>
      <c r="G1802" s="210" t="b">
        <f t="shared" si="1364"/>
        <v>1</v>
      </c>
      <c r="H1802" s="209" t="b">
        <f t="shared" si="7"/>
        <v>0</v>
      </c>
      <c r="I1802" s="213" t="b">
        <f t="shared" si="1362"/>
        <v>1</v>
      </c>
      <c r="J1802" s="208" t="b">
        <f t="shared" si="1363"/>
        <v>0</v>
      </c>
      <c r="K1802" s="214">
        <v>150.0</v>
      </c>
      <c r="L1802" s="212" t="str">
        <f t="shared" si="3"/>
        <v>n/a</v>
      </c>
      <c r="M1802" s="212">
        <f t="shared" si="4"/>
        <v>150</v>
      </c>
      <c r="N1802" s="207" t="str">
        <f t="shared" si="5"/>
        <v>n/a</v>
      </c>
      <c r="O1802" s="207" t="str">
        <f t="shared" si="6"/>
        <v>n/a</v>
      </c>
    </row>
    <row r="1803">
      <c r="A1803" s="207">
        <v>116.0</v>
      </c>
      <c r="B1803" s="6" t="str">
        <f>VLOOKUP($A1803, 'Completion rates'!$A:$E, 2, FALSE)</f>
        <v>Killing chompies</v>
      </c>
      <c r="C1803" s="207">
        <v>2990.0</v>
      </c>
      <c r="D1803" s="6" t="str">
        <f>VLOOKUP($C1803, 'List of log slots'!$A:$E, 2, FALSE)</f>
        <v>Chompy bird hat</v>
      </c>
      <c r="E1803" s="207">
        <f>VLOOKUP($C1803, 'List of log slots'!$A:$E, 5, FALSE)</f>
        <v>5</v>
      </c>
      <c r="F1803" s="213" t="b">
        <f>VLOOKUP(C1803, 'List of log slots'!$A:$C, 3, FALSE)</f>
        <v>0</v>
      </c>
      <c r="G1803" s="210" t="b">
        <f t="shared" si="1364"/>
        <v>1</v>
      </c>
      <c r="H1803" s="209" t="b">
        <f t="shared" si="7"/>
        <v>0</v>
      </c>
      <c r="I1803" s="213" t="b">
        <f t="shared" si="1362"/>
        <v>1</v>
      </c>
      <c r="J1803" s="208" t="b">
        <f t="shared" si="1363"/>
        <v>0</v>
      </c>
      <c r="K1803" s="214">
        <v>300.0</v>
      </c>
      <c r="L1803" s="212" t="str">
        <f t="shared" si="3"/>
        <v>n/a</v>
      </c>
      <c r="M1803" s="212">
        <f t="shared" si="4"/>
        <v>300</v>
      </c>
      <c r="N1803" s="207" t="str">
        <f t="shared" si="5"/>
        <v>n/a</v>
      </c>
      <c r="O1803" s="207" t="str">
        <f t="shared" si="6"/>
        <v>n/a</v>
      </c>
    </row>
    <row r="1804">
      <c r="A1804" s="207">
        <v>116.0</v>
      </c>
      <c r="B1804" s="6" t="str">
        <f>VLOOKUP($A1804, 'Completion rates'!$A:$E, 2, FALSE)</f>
        <v>Killing chompies</v>
      </c>
      <c r="C1804" s="207">
        <v>2991.0</v>
      </c>
      <c r="D1804" s="6" t="str">
        <f>VLOOKUP($C1804, 'List of log slots'!$A:$E, 2, FALSE)</f>
        <v>Chompy bird hat</v>
      </c>
      <c r="E1804" s="207">
        <f>VLOOKUP($C1804, 'List of log slots'!$A:$E, 5, FALSE)</f>
        <v>5</v>
      </c>
      <c r="F1804" s="208" t="b">
        <f>VLOOKUP(C1804, 'List of log slots'!$A:$C, 3, FALSE)</f>
        <v>0</v>
      </c>
      <c r="G1804" s="210" t="b">
        <f t="shared" si="1364"/>
        <v>1</v>
      </c>
      <c r="H1804" s="210" t="b">
        <f t="shared" si="7"/>
        <v>0</v>
      </c>
      <c r="I1804" s="213" t="b">
        <f t="shared" si="1362"/>
        <v>1</v>
      </c>
      <c r="J1804" s="208" t="b">
        <f t="shared" si="1363"/>
        <v>0</v>
      </c>
      <c r="K1804" s="214">
        <v>300.0</v>
      </c>
      <c r="L1804" s="212" t="str">
        <f t="shared" si="3"/>
        <v>n/a</v>
      </c>
      <c r="M1804" s="212">
        <f t="shared" si="4"/>
        <v>300</v>
      </c>
      <c r="N1804" s="207" t="str">
        <f t="shared" si="5"/>
        <v>n/a</v>
      </c>
      <c r="O1804" s="207" t="str">
        <f t="shared" si="6"/>
        <v>n/a</v>
      </c>
    </row>
    <row r="1805">
      <c r="A1805" s="207">
        <v>116.0</v>
      </c>
      <c r="B1805" s="6" t="str">
        <f>VLOOKUP($A1805, 'Completion rates'!$A:$E, 2, FALSE)</f>
        <v>Killing chompies</v>
      </c>
      <c r="C1805" s="207">
        <v>2992.0</v>
      </c>
      <c r="D1805" s="6" t="str">
        <f>VLOOKUP($C1805, 'List of log slots'!$A:$E, 2, FALSE)</f>
        <v>Chompy bird hat</v>
      </c>
      <c r="E1805" s="207">
        <f>VLOOKUP($C1805, 'List of log slots'!$A:$E, 5, FALSE)</f>
        <v>6</v>
      </c>
      <c r="F1805" s="208" t="b">
        <f>VLOOKUP(C1805, 'List of log slots'!$A:$C, 3, FALSE)</f>
        <v>0</v>
      </c>
      <c r="G1805" s="210" t="b">
        <f t="shared" si="1364"/>
        <v>1</v>
      </c>
      <c r="H1805" s="209" t="b">
        <f t="shared" si="7"/>
        <v>0</v>
      </c>
      <c r="I1805" s="213" t="b">
        <f t="shared" si="1362"/>
        <v>1</v>
      </c>
      <c r="J1805" s="208" t="b">
        <f t="shared" si="1363"/>
        <v>0</v>
      </c>
      <c r="K1805" s="214">
        <v>400.0</v>
      </c>
      <c r="L1805" s="212" t="str">
        <f t="shared" si="3"/>
        <v>n/a</v>
      </c>
      <c r="M1805" s="212">
        <f t="shared" si="4"/>
        <v>400</v>
      </c>
      <c r="N1805" s="207" t="str">
        <f t="shared" si="5"/>
        <v>n/a</v>
      </c>
      <c r="O1805" s="207" t="str">
        <f t="shared" si="6"/>
        <v>n/a</v>
      </c>
    </row>
    <row r="1806">
      <c r="A1806" s="207">
        <v>116.0</v>
      </c>
      <c r="B1806" s="6" t="str">
        <f>VLOOKUP($A1806, 'Completion rates'!$A:$E, 2, FALSE)</f>
        <v>Killing chompies</v>
      </c>
      <c r="C1806" s="207">
        <v>2993.0</v>
      </c>
      <c r="D1806" s="6" t="str">
        <f>VLOOKUP($C1806, 'List of log slots'!$A:$E, 2, FALSE)</f>
        <v>Chompy bird hat</v>
      </c>
      <c r="E1806" s="207">
        <f>VLOOKUP($C1806, 'List of log slots'!$A:$E, 5, FALSE)</f>
        <v>6</v>
      </c>
      <c r="F1806" s="208" t="b">
        <f>VLOOKUP(C1806, 'List of log slots'!$A:$C, 3, FALSE)</f>
        <v>0</v>
      </c>
      <c r="G1806" s="210" t="b">
        <f t="shared" si="1364"/>
        <v>1</v>
      </c>
      <c r="H1806" s="209" t="b">
        <f t="shared" si="7"/>
        <v>0</v>
      </c>
      <c r="I1806" s="213" t="b">
        <f t="shared" si="1362"/>
        <v>1</v>
      </c>
      <c r="J1806" s="208" t="b">
        <f t="shared" si="1363"/>
        <v>0</v>
      </c>
      <c r="K1806" s="214">
        <v>550.0</v>
      </c>
      <c r="L1806" s="212" t="str">
        <f t="shared" si="3"/>
        <v>n/a</v>
      </c>
      <c r="M1806" s="212">
        <f t="shared" si="4"/>
        <v>550</v>
      </c>
      <c r="N1806" s="207" t="str">
        <f t="shared" si="5"/>
        <v>n/a</v>
      </c>
      <c r="O1806" s="207" t="str">
        <f t="shared" si="6"/>
        <v>n/a</v>
      </c>
    </row>
    <row r="1807">
      <c r="A1807" s="207">
        <v>116.0</v>
      </c>
      <c r="B1807" s="6" t="str">
        <f>VLOOKUP($A1807, 'Completion rates'!$A:$E, 2, FALSE)</f>
        <v>Killing chompies</v>
      </c>
      <c r="C1807" s="207">
        <v>2994.0</v>
      </c>
      <c r="D1807" s="6" t="str">
        <f>VLOOKUP($C1807, 'List of log slots'!$A:$E, 2, FALSE)</f>
        <v>Chompy bird hat</v>
      </c>
      <c r="E1807" s="207">
        <f>VLOOKUP($C1807, 'List of log slots'!$A:$E, 5, FALSE)</f>
        <v>6</v>
      </c>
      <c r="F1807" s="208" t="b">
        <f>VLOOKUP(C1807, 'List of log slots'!$A:$C, 3, FALSE)</f>
        <v>0</v>
      </c>
      <c r="G1807" s="210" t="b">
        <f t="shared" si="1364"/>
        <v>1</v>
      </c>
      <c r="H1807" s="209" t="b">
        <f t="shared" si="7"/>
        <v>0</v>
      </c>
      <c r="I1807" s="213" t="b">
        <f t="shared" si="1362"/>
        <v>1</v>
      </c>
      <c r="J1807" s="208" t="b">
        <f t="shared" si="1363"/>
        <v>0</v>
      </c>
      <c r="K1807" s="214">
        <v>750.0</v>
      </c>
      <c r="L1807" s="212" t="str">
        <f t="shared" si="3"/>
        <v>n/a</v>
      </c>
      <c r="M1807" s="212">
        <f t="shared" si="4"/>
        <v>750</v>
      </c>
      <c r="N1807" s="207" t="str">
        <f t="shared" si="5"/>
        <v>n/a</v>
      </c>
      <c r="O1807" s="207" t="str">
        <f t="shared" si="6"/>
        <v>n/a</v>
      </c>
    </row>
    <row r="1808">
      <c r="A1808" s="207">
        <v>116.0</v>
      </c>
      <c r="B1808" s="6" t="str">
        <f>VLOOKUP($A1808, 'Completion rates'!$A:$E, 2, FALSE)</f>
        <v>Killing chompies</v>
      </c>
      <c r="C1808" s="207">
        <v>2995.0</v>
      </c>
      <c r="D1808" s="6" t="str">
        <f>VLOOKUP($C1808, 'List of log slots'!$A:$E, 2, FALSE)</f>
        <v>Chompy bird hat</v>
      </c>
      <c r="E1808" s="207">
        <f>VLOOKUP($C1808, 'List of log slots'!$A:$E, 5, FALSE)</f>
        <v>7</v>
      </c>
      <c r="F1808" s="208" t="b">
        <f>VLOOKUP(C1808, 'List of log slots'!$A:$C, 3, FALSE)</f>
        <v>0</v>
      </c>
      <c r="G1808" s="210" t="b">
        <f t="shared" si="1364"/>
        <v>1</v>
      </c>
      <c r="H1808" s="209" t="b">
        <f t="shared" si="7"/>
        <v>0</v>
      </c>
      <c r="I1808" s="213" t="b">
        <f t="shared" si="1362"/>
        <v>1</v>
      </c>
      <c r="J1808" s="208" t="b">
        <f t="shared" si="1363"/>
        <v>0</v>
      </c>
      <c r="K1808" s="214">
        <v>1000.0</v>
      </c>
      <c r="L1808" s="212" t="str">
        <f t="shared" si="3"/>
        <v>n/a</v>
      </c>
      <c r="M1808" s="212">
        <f t="shared" si="4"/>
        <v>1000</v>
      </c>
      <c r="N1808" s="207" t="str">
        <f t="shared" si="5"/>
        <v>n/a</v>
      </c>
      <c r="O1808" s="207" t="str">
        <f t="shared" si="6"/>
        <v>n/a</v>
      </c>
    </row>
    <row r="1809">
      <c r="A1809" s="207">
        <v>117.0</v>
      </c>
      <c r="B1809" s="6" t="str">
        <f>VLOOKUP($A1809, 'Completion rates'!$A:$E, 2, FALSE)</f>
        <v>Collecting termites (colossal wyrm agility)</v>
      </c>
      <c r="C1809" s="207">
        <v>30040.0</v>
      </c>
      <c r="D1809" s="6" t="str">
        <f>VLOOKUP($C1809, 'List of log slots'!$A:$E, 2, FALSE)</f>
        <v>Colossal wyrm teleport scroll</v>
      </c>
      <c r="E1809" s="207">
        <f>VLOOKUP($C1809, 'List of log slots'!$A:$E, 5, FALSE)</f>
        <v>3</v>
      </c>
      <c r="F1809" s="213" t="b">
        <f>VLOOKUP(C1809, 'List of log slots'!$A:$C, 3, FALSE)</f>
        <v>0</v>
      </c>
      <c r="G1809" s="209" t="b">
        <f t="shared" ref="G1809:G1811" si="1365">FALSE</f>
        <v>0</v>
      </c>
      <c r="H1809" s="209" t="b">
        <f t="shared" si="7"/>
        <v>1</v>
      </c>
      <c r="I1809" s="213" t="b">
        <f t="shared" si="1362"/>
        <v>1</v>
      </c>
      <c r="J1809" s="213" t="b">
        <f t="shared" ref="J1809:J1811" si="1366">TRUE</f>
        <v>1</v>
      </c>
      <c r="K1809" s="214">
        <v>40.0</v>
      </c>
      <c r="L1809" s="212">
        <f t="shared" si="3"/>
        <v>40</v>
      </c>
      <c r="M1809" s="212" t="str">
        <f t="shared" si="4"/>
        <v>n/a</v>
      </c>
      <c r="N1809" s="207" t="str">
        <f t="shared" si="5"/>
        <v>n/a</v>
      </c>
      <c r="O1809" s="207" t="str">
        <f t="shared" si="6"/>
        <v>n/a</v>
      </c>
    </row>
    <row r="1810">
      <c r="A1810" s="207">
        <v>117.0</v>
      </c>
      <c r="B1810" s="6" t="str">
        <f>VLOOKUP($A1810, 'Completion rates'!$A:$E, 2, FALSE)</f>
        <v>Collecting termites (colossal wyrm agility)</v>
      </c>
      <c r="C1810" s="207">
        <v>30042.0</v>
      </c>
      <c r="D1810" s="6" t="str">
        <f>VLOOKUP($C1810, 'List of log slots'!$A:$E, 2, FALSE)</f>
        <v>Calcified acorn</v>
      </c>
      <c r="E1810" s="207">
        <f>VLOOKUP($C1810, 'List of log slots'!$A:$E, 5, FALSE)</f>
        <v>4</v>
      </c>
      <c r="F1810" s="213" t="b">
        <f>VLOOKUP(C1810, 'List of log slots'!$A:$C, 3, FALSE)</f>
        <v>0</v>
      </c>
      <c r="G1810" s="209" t="b">
        <f t="shared" si="1365"/>
        <v>0</v>
      </c>
      <c r="H1810" s="209" t="b">
        <f t="shared" si="7"/>
        <v>1</v>
      </c>
      <c r="I1810" s="213" t="b">
        <f t="shared" si="1362"/>
        <v>1</v>
      </c>
      <c r="J1810" s="213" t="b">
        <f t="shared" si="1366"/>
        <v>1</v>
      </c>
      <c r="K1810" s="214">
        <v>900.0</v>
      </c>
      <c r="L1810" s="212">
        <f t="shared" si="3"/>
        <v>900</v>
      </c>
      <c r="M1810" s="212" t="str">
        <f t="shared" si="4"/>
        <v>n/a</v>
      </c>
      <c r="N1810" s="207" t="str">
        <f t="shared" si="5"/>
        <v>n/a</v>
      </c>
      <c r="O1810" s="207" t="str">
        <f t="shared" si="6"/>
        <v>n/a</v>
      </c>
    </row>
    <row r="1811">
      <c r="A1811" s="207">
        <v>117.0</v>
      </c>
      <c r="B1811" s="6" t="str">
        <f>VLOOKUP($A1811, 'Completion rates'!$A:$E, 2, FALSE)</f>
        <v>Collecting termites (colossal wyrm agility)</v>
      </c>
      <c r="C1811" s="207">
        <v>30045.0</v>
      </c>
      <c r="D1811" s="6" t="str">
        <f>VLOOKUP($C1811, 'List of log slots'!$A:$E, 2, FALSE)</f>
        <v>Graceful hood</v>
      </c>
      <c r="E1811" s="207">
        <f>VLOOKUP($C1811, 'List of log slots'!$A:$E, 5, FALSE)</f>
        <v>4</v>
      </c>
      <c r="F1811" s="213" t="b">
        <f>VLOOKUP(C1811, 'List of log slots'!$A:$C, 3, FALSE)</f>
        <v>0</v>
      </c>
      <c r="G1811" s="209" t="b">
        <f t="shared" si="1365"/>
        <v>0</v>
      </c>
      <c r="H1811" s="209" t="b">
        <f t="shared" si="7"/>
        <v>1</v>
      </c>
      <c r="I1811" s="213" t="b">
        <f t="shared" si="1362"/>
        <v>1</v>
      </c>
      <c r="J1811" s="213" t="b">
        <f t="shared" si="1366"/>
        <v>1</v>
      </c>
      <c r="K1811" s="214">
        <v>650.0</v>
      </c>
      <c r="L1811" s="212">
        <f t="shared" si="3"/>
        <v>650</v>
      </c>
      <c r="M1811" s="212" t="str">
        <f t="shared" si="4"/>
        <v>n/a</v>
      </c>
      <c r="N1811" s="207" t="str">
        <f t="shared" si="5"/>
        <v>n/a</v>
      </c>
      <c r="O1811" s="207" t="str">
        <f t="shared" si="6"/>
        <v>n/a</v>
      </c>
    </row>
    <row r="1812">
      <c r="A1812" s="207">
        <v>117.0</v>
      </c>
      <c r="B1812" s="6" t="str">
        <f>VLOOKUP($A1812, 'Completion rates'!$A:$E, 2, FALSE)</f>
        <v>Collecting termites (colossal wyrm agility)</v>
      </c>
      <c r="C1812" s="207">
        <v>30051.0</v>
      </c>
      <c r="D1812" s="6" t="str">
        <f>VLOOKUP($C1812, 'List of log slots'!$A:$E, 2, FALSE)</f>
        <v>Graceful top</v>
      </c>
      <c r="E1812" s="207">
        <f>VLOOKUP($C1812, 'List of log slots'!$A:$E, 5, FALSE)</f>
        <v>4</v>
      </c>
      <c r="F1812" s="213" t="b">
        <f>VLOOKUP(C1812, 'List of log slots'!$A:$C, 3, FALSE)</f>
        <v>0</v>
      </c>
      <c r="G1812" s="210" t="b">
        <f t="shared" ref="G1812:G1816" si="1368">TRUE</f>
        <v>1</v>
      </c>
      <c r="H1812" s="209" t="b">
        <f t="shared" si="7"/>
        <v>0</v>
      </c>
      <c r="I1812" s="208" t="b">
        <f t="shared" ref="I1812:J1812" si="1367">FALSE</f>
        <v>0</v>
      </c>
      <c r="J1812" s="208" t="b">
        <f t="shared" si="1367"/>
        <v>0</v>
      </c>
      <c r="K1812" s="214">
        <v>0.0</v>
      </c>
      <c r="L1812" s="212" t="str">
        <f t="shared" si="3"/>
        <v>n/a</v>
      </c>
      <c r="M1812" s="212" t="str">
        <f t="shared" si="4"/>
        <v>n/a</v>
      </c>
      <c r="N1812" s="207" t="str">
        <f t="shared" si="5"/>
        <v>n/a</v>
      </c>
      <c r="O1812" s="207" t="str">
        <f t="shared" si="6"/>
        <v>#DIV/0!</v>
      </c>
    </row>
    <row r="1813">
      <c r="A1813" s="207">
        <v>117.0</v>
      </c>
      <c r="B1813" s="6" t="str">
        <f>VLOOKUP($A1813, 'Completion rates'!$A:$E, 2, FALSE)</f>
        <v>Collecting termites (colossal wyrm agility)</v>
      </c>
      <c r="C1813" s="207">
        <v>30054.0</v>
      </c>
      <c r="D1813" s="6" t="str">
        <f>VLOOKUP($C1813, 'List of log slots'!$A:$E, 2, FALSE)</f>
        <v>Graceful legs</v>
      </c>
      <c r="E1813" s="207">
        <f>VLOOKUP($C1813, 'List of log slots'!$A:$E, 5, FALSE)</f>
        <v>4</v>
      </c>
      <c r="F1813" s="213" t="b">
        <f>VLOOKUP(C1813, 'List of log slots'!$A:$C, 3, FALSE)</f>
        <v>0</v>
      </c>
      <c r="G1813" s="210" t="b">
        <f t="shared" si="1368"/>
        <v>1</v>
      </c>
      <c r="H1813" s="209" t="b">
        <f t="shared" si="7"/>
        <v>0</v>
      </c>
      <c r="I1813" s="208" t="b">
        <f t="shared" ref="I1813:J1813" si="1369">FALSE</f>
        <v>0</v>
      </c>
      <c r="J1813" s="208" t="b">
        <f t="shared" si="1369"/>
        <v>0</v>
      </c>
      <c r="K1813" s="214">
        <v>0.0</v>
      </c>
      <c r="L1813" s="212" t="str">
        <f t="shared" si="3"/>
        <v>n/a</v>
      </c>
      <c r="M1813" s="212" t="str">
        <f t="shared" si="4"/>
        <v>n/a</v>
      </c>
      <c r="N1813" s="207" t="str">
        <f t="shared" si="5"/>
        <v>n/a</v>
      </c>
      <c r="O1813" s="207" t="str">
        <f t="shared" si="6"/>
        <v>#DIV/0!</v>
      </c>
    </row>
    <row r="1814">
      <c r="A1814" s="207">
        <v>117.0</v>
      </c>
      <c r="B1814" s="6" t="str">
        <f>VLOOKUP($A1814, 'Completion rates'!$A:$E, 2, FALSE)</f>
        <v>Collecting termites (colossal wyrm agility)</v>
      </c>
      <c r="C1814" s="207">
        <v>30057.0</v>
      </c>
      <c r="D1814" s="6" t="str">
        <f>VLOOKUP($C1814, 'List of log slots'!$A:$E, 2, FALSE)</f>
        <v>Graceful gloves</v>
      </c>
      <c r="E1814" s="207">
        <f>VLOOKUP($C1814, 'List of log slots'!$A:$E, 5, FALSE)</f>
        <v>4</v>
      </c>
      <c r="F1814" s="213" t="b">
        <f>VLOOKUP(C1814, 'List of log slots'!$A:$C, 3, FALSE)</f>
        <v>0</v>
      </c>
      <c r="G1814" s="210" t="b">
        <f t="shared" si="1368"/>
        <v>1</v>
      </c>
      <c r="H1814" s="209" t="b">
        <f t="shared" si="7"/>
        <v>0</v>
      </c>
      <c r="I1814" s="208" t="b">
        <f t="shared" ref="I1814:J1814" si="1370">FALSE</f>
        <v>0</v>
      </c>
      <c r="J1814" s="208" t="b">
        <f t="shared" si="1370"/>
        <v>0</v>
      </c>
      <c r="K1814" s="214">
        <v>0.0</v>
      </c>
      <c r="L1814" s="212" t="str">
        <f t="shared" si="3"/>
        <v>n/a</v>
      </c>
      <c r="M1814" s="212" t="str">
        <f t="shared" si="4"/>
        <v>n/a</v>
      </c>
      <c r="N1814" s="207" t="str">
        <f t="shared" si="5"/>
        <v>n/a</v>
      </c>
      <c r="O1814" s="207" t="str">
        <f t="shared" si="6"/>
        <v>#DIV/0!</v>
      </c>
    </row>
    <row r="1815">
      <c r="A1815" s="207">
        <v>117.0</v>
      </c>
      <c r="B1815" s="6" t="str">
        <f>VLOOKUP($A1815, 'Completion rates'!$A:$E, 2, FALSE)</f>
        <v>Collecting termites (colossal wyrm agility)</v>
      </c>
      <c r="C1815" s="207">
        <v>30060.0</v>
      </c>
      <c r="D1815" s="6" t="str">
        <f>VLOOKUP($C1815, 'List of log slots'!$A:$E, 2, FALSE)</f>
        <v>Graceful boots</v>
      </c>
      <c r="E1815" s="207">
        <f>VLOOKUP($C1815, 'List of log slots'!$A:$E, 5, FALSE)</f>
        <v>4</v>
      </c>
      <c r="F1815" s="213" t="b">
        <f>VLOOKUP(C1815, 'List of log slots'!$A:$C, 3, FALSE)</f>
        <v>0</v>
      </c>
      <c r="G1815" s="210" t="b">
        <f t="shared" si="1368"/>
        <v>1</v>
      </c>
      <c r="H1815" s="209" t="b">
        <f t="shared" si="7"/>
        <v>0</v>
      </c>
      <c r="I1815" s="208" t="b">
        <f t="shared" ref="I1815:J1815" si="1371">FALSE</f>
        <v>0</v>
      </c>
      <c r="J1815" s="208" t="b">
        <f t="shared" si="1371"/>
        <v>0</v>
      </c>
      <c r="K1815" s="214">
        <v>0.0</v>
      </c>
      <c r="L1815" s="212" t="str">
        <f t="shared" si="3"/>
        <v>n/a</v>
      </c>
      <c r="M1815" s="212" t="str">
        <f t="shared" si="4"/>
        <v>n/a</v>
      </c>
      <c r="N1815" s="207" t="str">
        <f t="shared" si="5"/>
        <v>n/a</v>
      </c>
      <c r="O1815" s="207" t="str">
        <f t="shared" si="6"/>
        <v>#DIV/0!</v>
      </c>
    </row>
    <row r="1816">
      <c r="A1816" s="207">
        <v>117.0</v>
      </c>
      <c r="B1816" s="6" t="str">
        <f>VLOOKUP($A1816, 'Completion rates'!$A:$E, 2, FALSE)</f>
        <v>Collecting termites (colossal wyrm agility)</v>
      </c>
      <c r="C1816" s="207">
        <v>30048.0</v>
      </c>
      <c r="D1816" s="6" t="str">
        <f>VLOOKUP($C1816, 'List of log slots'!$A:$E, 2, FALSE)</f>
        <v>Graceful cape</v>
      </c>
      <c r="E1816" s="207">
        <f>VLOOKUP($C1816, 'List of log slots'!$A:$E, 5, FALSE)</f>
        <v>4</v>
      </c>
      <c r="F1816" s="213" t="b">
        <f>VLOOKUP(C1816, 'List of log slots'!$A:$C, 3, FALSE)</f>
        <v>0</v>
      </c>
      <c r="G1816" s="210" t="b">
        <f t="shared" si="1368"/>
        <v>1</v>
      </c>
      <c r="H1816" s="209" t="b">
        <f t="shared" si="7"/>
        <v>0</v>
      </c>
      <c r="I1816" s="208" t="b">
        <f t="shared" ref="I1816:J1816" si="1372">FALSE</f>
        <v>0</v>
      </c>
      <c r="J1816" s="208" t="b">
        <f t="shared" si="1372"/>
        <v>0</v>
      </c>
      <c r="K1816" s="214">
        <v>0.0</v>
      </c>
      <c r="L1816" s="212" t="str">
        <f t="shared" si="3"/>
        <v>n/a</v>
      </c>
      <c r="M1816" s="212" t="str">
        <f t="shared" si="4"/>
        <v>n/a</v>
      </c>
      <c r="N1816" s="207" t="str">
        <f t="shared" si="5"/>
        <v>n/a</v>
      </c>
      <c r="O1816" s="207" t="str">
        <f t="shared" si="6"/>
        <v>#DIV/0!</v>
      </c>
    </row>
    <row r="1817">
      <c r="A1817" s="207">
        <v>118.0</v>
      </c>
      <c r="B1817" s="6" t="str">
        <f>VLOOKUP($A1817, 'Completion rates'!$A:$E, 2, FALSE)</f>
        <v>Killing frogeels (creature creation)</v>
      </c>
      <c r="C1817" s="207">
        <v>25617.0</v>
      </c>
      <c r="D1817" s="6" t="str">
        <f>VLOOKUP($C1817, 'List of log slots'!$A:$E, 2, FALSE)</f>
        <v>Tea flask</v>
      </c>
      <c r="E1817" s="207">
        <f>VLOOKUP($C1817, 'List of log slots'!$A:$E, 5, FALSE)</f>
        <v>1</v>
      </c>
      <c r="F1817" s="213" t="b">
        <f>VLOOKUP(C1817, 'List of log slots'!$A:$C, 3, FALSE)</f>
        <v>0</v>
      </c>
      <c r="G1817" s="209" t="b">
        <f t="shared" ref="G1817:G1829" si="1374">FALSE</f>
        <v>0</v>
      </c>
      <c r="H1817" s="209" t="b">
        <f t="shared" si="7"/>
        <v>1</v>
      </c>
      <c r="I1817" s="208" t="b">
        <f t="shared" ref="I1817:J1817" si="1373">FALSE</f>
        <v>0</v>
      </c>
      <c r="J1817" s="208" t="b">
        <f t="shared" si="1373"/>
        <v>0</v>
      </c>
      <c r="K1817" s="214">
        <v>7.0</v>
      </c>
      <c r="L1817" s="212" t="str">
        <f t="shared" si="3"/>
        <v>n/a</v>
      </c>
      <c r="M1817" s="212" t="str">
        <f t="shared" si="4"/>
        <v>n/a</v>
      </c>
      <c r="N1817" s="207" t="str">
        <f t="shared" si="5"/>
        <v>n/a</v>
      </c>
      <c r="O1817" s="207">
        <f t="shared" si="6"/>
        <v>0.1428571429</v>
      </c>
    </row>
    <row r="1818">
      <c r="A1818" s="207">
        <v>118.0</v>
      </c>
      <c r="B1818" s="6" t="str">
        <f>VLOOKUP($A1818, 'Completion rates'!$A:$E, 2, FALSE)</f>
        <v>Killing frogeels (creature creation)</v>
      </c>
      <c r="C1818" s="207">
        <v>25618.0</v>
      </c>
      <c r="D1818" s="6" t="str">
        <f>VLOOKUP($C1818, 'List of log slots'!$A:$E, 2, FALSE)</f>
        <v>Plain satchel</v>
      </c>
      <c r="E1818" s="207">
        <f>VLOOKUP($C1818, 'List of log slots'!$A:$E, 5, FALSE)</f>
        <v>2</v>
      </c>
      <c r="F1818" s="213" t="b">
        <f>VLOOKUP(C1818, 'List of log slots'!$A:$C, 3, FALSE)</f>
        <v>0</v>
      </c>
      <c r="G1818" s="209" t="b">
        <f t="shared" si="1374"/>
        <v>0</v>
      </c>
      <c r="H1818" s="209" t="b">
        <f t="shared" si="7"/>
        <v>1</v>
      </c>
      <c r="I1818" s="208" t="b">
        <f t="shared" ref="I1818:J1818" si="1375">FALSE</f>
        <v>0</v>
      </c>
      <c r="J1818" s="208" t="b">
        <f t="shared" si="1375"/>
        <v>0</v>
      </c>
      <c r="K1818" s="214">
        <v>7.0</v>
      </c>
      <c r="L1818" s="212" t="str">
        <f t="shared" si="3"/>
        <v>n/a</v>
      </c>
      <c r="M1818" s="212" t="str">
        <f t="shared" si="4"/>
        <v>n/a</v>
      </c>
      <c r="N1818" s="207" t="str">
        <f t="shared" si="5"/>
        <v>n/a</v>
      </c>
      <c r="O1818" s="207">
        <f t="shared" si="6"/>
        <v>0.1428571429</v>
      </c>
    </row>
    <row r="1819">
      <c r="A1819" s="207">
        <v>119.0</v>
      </c>
      <c r="B1819" s="6" t="str">
        <f>VLOOKUP($A1819, 'Completion rates'!$A:$E, 2, FALSE)</f>
        <v>Killing unicows (creature creation)</v>
      </c>
      <c r="C1819" s="207">
        <v>25617.0</v>
      </c>
      <c r="D1819" s="6" t="str">
        <f>VLOOKUP($C1819, 'List of log slots'!$A:$E, 2, FALSE)</f>
        <v>Tea flask</v>
      </c>
      <c r="E1819" s="207">
        <f>VLOOKUP($C1819, 'List of log slots'!$A:$E, 5, FALSE)</f>
        <v>1</v>
      </c>
      <c r="F1819" s="213" t="b">
        <f>VLOOKUP(C1819, 'List of log slots'!$A:$C, 3, FALSE)</f>
        <v>0</v>
      </c>
      <c r="G1819" s="209" t="b">
        <f t="shared" si="1374"/>
        <v>0</v>
      </c>
      <c r="H1819" s="209" t="b">
        <f t="shared" si="7"/>
        <v>1</v>
      </c>
      <c r="I1819" s="208" t="b">
        <f t="shared" ref="I1819:J1819" si="1376">FALSE</f>
        <v>0</v>
      </c>
      <c r="J1819" s="208" t="b">
        <f t="shared" si="1376"/>
        <v>0</v>
      </c>
      <c r="K1819" s="214">
        <v>10.0</v>
      </c>
      <c r="L1819" s="212" t="str">
        <f t="shared" si="3"/>
        <v>n/a</v>
      </c>
      <c r="M1819" s="212" t="str">
        <f t="shared" si="4"/>
        <v>n/a</v>
      </c>
      <c r="N1819" s="207" t="str">
        <f t="shared" si="5"/>
        <v>n/a</v>
      </c>
      <c r="O1819" s="207">
        <f t="shared" si="6"/>
        <v>0.1</v>
      </c>
    </row>
    <row r="1820">
      <c r="A1820" s="207">
        <v>119.0</v>
      </c>
      <c r="B1820" s="6" t="str">
        <f>VLOOKUP($A1820, 'Completion rates'!$A:$E, 2, FALSE)</f>
        <v>Killing unicows (creature creation)</v>
      </c>
      <c r="C1820" s="207">
        <v>25619.0</v>
      </c>
      <c r="D1820" s="6" t="str">
        <f>VLOOKUP($C1820, 'List of log slots'!$A:$E, 2, FALSE)</f>
        <v>Green satchel</v>
      </c>
      <c r="E1820" s="207">
        <f>VLOOKUP($C1820, 'List of log slots'!$A:$E, 5, FALSE)</f>
        <v>1</v>
      </c>
      <c r="F1820" s="213" t="b">
        <f>VLOOKUP(C1820, 'List of log slots'!$A:$C, 3, FALSE)</f>
        <v>0</v>
      </c>
      <c r="G1820" s="209" t="b">
        <f t="shared" si="1374"/>
        <v>0</v>
      </c>
      <c r="H1820" s="209" t="b">
        <f t="shared" si="7"/>
        <v>1</v>
      </c>
      <c r="I1820" s="208" t="b">
        <f t="shared" ref="I1820:J1820" si="1377">FALSE</f>
        <v>0</v>
      </c>
      <c r="J1820" s="208" t="b">
        <f t="shared" si="1377"/>
        <v>0</v>
      </c>
      <c r="K1820" s="214">
        <v>7.0</v>
      </c>
      <c r="L1820" s="212" t="str">
        <f t="shared" si="3"/>
        <v>n/a</v>
      </c>
      <c r="M1820" s="212" t="str">
        <f t="shared" si="4"/>
        <v>n/a</v>
      </c>
      <c r="N1820" s="207" t="str">
        <f t="shared" si="5"/>
        <v>n/a</v>
      </c>
      <c r="O1820" s="207">
        <f t="shared" si="6"/>
        <v>0.1428571429</v>
      </c>
    </row>
    <row r="1821">
      <c r="A1821" s="207">
        <v>120.0</v>
      </c>
      <c r="B1821" s="6" t="str">
        <f>VLOOKUP($A1821, 'Completion rates'!$A:$E, 2, FALSE)</f>
        <v>Killing spidines (creature creation)</v>
      </c>
      <c r="C1821" s="207">
        <v>25617.0</v>
      </c>
      <c r="D1821" s="6" t="str">
        <f>VLOOKUP($C1821, 'List of log slots'!$A:$E, 2, FALSE)</f>
        <v>Tea flask</v>
      </c>
      <c r="E1821" s="207">
        <f>VLOOKUP($C1821, 'List of log slots'!$A:$E, 5, FALSE)</f>
        <v>1</v>
      </c>
      <c r="F1821" s="213" t="b">
        <f>VLOOKUP(C1821, 'List of log slots'!$A:$C, 3, FALSE)</f>
        <v>0</v>
      </c>
      <c r="G1821" s="209" t="b">
        <f t="shared" si="1374"/>
        <v>0</v>
      </c>
      <c r="H1821" s="209" t="b">
        <f t="shared" si="7"/>
        <v>1</v>
      </c>
      <c r="I1821" s="208" t="b">
        <f t="shared" ref="I1821:J1821" si="1378">FALSE</f>
        <v>0</v>
      </c>
      <c r="J1821" s="208" t="b">
        <f t="shared" si="1378"/>
        <v>0</v>
      </c>
      <c r="K1821" s="214">
        <v>10.0</v>
      </c>
      <c r="L1821" s="212" t="str">
        <f t="shared" si="3"/>
        <v>n/a</v>
      </c>
      <c r="M1821" s="212" t="str">
        <f t="shared" si="4"/>
        <v>n/a</v>
      </c>
      <c r="N1821" s="207" t="str">
        <f t="shared" si="5"/>
        <v>n/a</v>
      </c>
      <c r="O1821" s="207">
        <f t="shared" si="6"/>
        <v>0.1</v>
      </c>
    </row>
    <row r="1822">
      <c r="A1822" s="207">
        <v>120.0</v>
      </c>
      <c r="B1822" s="6" t="str">
        <f>VLOOKUP($A1822, 'Completion rates'!$A:$E, 2, FALSE)</f>
        <v>Killing spidines (creature creation)</v>
      </c>
      <c r="C1822" s="207">
        <v>25620.0</v>
      </c>
      <c r="D1822" s="6" t="str">
        <f>VLOOKUP($C1822, 'List of log slots'!$A:$E, 2, FALSE)</f>
        <v>Red satchel</v>
      </c>
      <c r="E1822" s="207">
        <f>VLOOKUP($C1822, 'List of log slots'!$A:$E, 5, FALSE)</f>
        <v>1</v>
      </c>
      <c r="F1822" s="213" t="b">
        <f>VLOOKUP(C1822, 'List of log slots'!$A:$C, 3, FALSE)</f>
        <v>0</v>
      </c>
      <c r="G1822" s="209" t="b">
        <f t="shared" si="1374"/>
        <v>0</v>
      </c>
      <c r="H1822" s="209" t="b">
        <f t="shared" si="7"/>
        <v>1</v>
      </c>
      <c r="I1822" s="208" t="b">
        <f t="shared" ref="I1822:J1822" si="1379">FALSE</f>
        <v>0</v>
      </c>
      <c r="J1822" s="208" t="b">
        <f t="shared" si="1379"/>
        <v>0</v>
      </c>
      <c r="K1822" s="214">
        <v>7.0</v>
      </c>
      <c r="L1822" s="212" t="str">
        <f t="shared" si="3"/>
        <v>n/a</v>
      </c>
      <c r="M1822" s="212" t="str">
        <f t="shared" si="4"/>
        <v>n/a</v>
      </c>
      <c r="N1822" s="207" t="str">
        <f t="shared" si="5"/>
        <v>n/a</v>
      </c>
      <c r="O1822" s="207">
        <f t="shared" si="6"/>
        <v>0.1428571429</v>
      </c>
    </row>
    <row r="1823">
      <c r="A1823" s="207">
        <v>121.0</v>
      </c>
      <c r="B1823" s="6" t="str">
        <f>VLOOKUP($A1823, 'Completion rates'!$A:$E, 2, FALSE)</f>
        <v>Killing swordchicks (creature creation)</v>
      </c>
      <c r="C1823" s="207">
        <v>25617.0</v>
      </c>
      <c r="D1823" s="6" t="str">
        <f>VLOOKUP($C1823, 'List of log slots'!$A:$E, 2, FALSE)</f>
        <v>Tea flask</v>
      </c>
      <c r="E1823" s="207">
        <f>VLOOKUP($C1823, 'List of log slots'!$A:$E, 5, FALSE)</f>
        <v>1</v>
      </c>
      <c r="F1823" s="213" t="b">
        <f>VLOOKUP(C1823, 'List of log slots'!$A:$C, 3, FALSE)</f>
        <v>0</v>
      </c>
      <c r="G1823" s="209" t="b">
        <f t="shared" si="1374"/>
        <v>0</v>
      </c>
      <c r="H1823" s="209" t="b">
        <f t="shared" si="7"/>
        <v>1</v>
      </c>
      <c r="I1823" s="208" t="b">
        <f t="shared" ref="I1823:J1823" si="1380">FALSE</f>
        <v>0</v>
      </c>
      <c r="J1823" s="208" t="b">
        <f t="shared" si="1380"/>
        <v>0</v>
      </c>
      <c r="K1823" s="214">
        <v>10.0</v>
      </c>
      <c r="L1823" s="212" t="str">
        <f t="shared" si="3"/>
        <v>n/a</v>
      </c>
      <c r="M1823" s="212" t="str">
        <f t="shared" si="4"/>
        <v>n/a</v>
      </c>
      <c r="N1823" s="207" t="str">
        <f t="shared" si="5"/>
        <v>n/a</v>
      </c>
      <c r="O1823" s="207">
        <f t="shared" si="6"/>
        <v>0.1</v>
      </c>
    </row>
    <row r="1824">
      <c r="A1824" s="207">
        <v>121.0</v>
      </c>
      <c r="B1824" s="6" t="str">
        <f>VLOOKUP($A1824, 'Completion rates'!$A:$E, 2, FALSE)</f>
        <v>Killing swordchicks (creature creation)</v>
      </c>
      <c r="C1824" s="207">
        <v>25621.0</v>
      </c>
      <c r="D1824" s="6" t="str">
        <f>VLOOKUP($C1824, 'List of log slots'!$A:$E, 2, FALSE)</f>
        <v>Black satchel</v>
      </c>
      <c r="E1824" s="207">
        <f>VLOOKUP($C1824, 'List of log slots'!$A:$E, 5, FALSE)</f>
        <v>1</v>
      </c>
      <c r="F1824" s="213" t="b">
        <f>VLOOKUP(C1824, 'List of log slots'!$A:$C, 3, FALSE)</f>
        <v>0</v>
      </c>
      <c r="G1824" s="209" t="b">
        <f t="shared" si="1374"/>
        <v>0</v>
      </c>
      <c r="H1824" s="209" t="b">
        <f t="shared" si="7"/>
        <v>1</v>
      </c>
      <c r="I1824" s="208" t="b">
        <f t="shared" ref="I1824:J1824" si="1381">FALSE</f>
        <v>0</v>
      </c>
      <c r="J1824" s="208" t="b">
        <f t="shared" si="1381"/>
        <v>0</v>
      </c>
      <c r="K1824" s="214">
        <v>7.0</v>
      </c>
      <c r="L1824" s="212" t="str">
        <f t="shared" si="3"/>
        <v>n/a</v>
      </c>
      <c r="M1824" s="212" t="str">
        <f t="shared" si="4"/>
        <v>n/a</v>
      </c>
      <c r="N1824" s="207" t="str">
        <f t="shared" si="5"/>
        <v>n/a</v>
      </c>
      <c r="O1824" s="207">
        <f t="shared" si="6"/>
        <v>0.1428571429</v>
      </c>
    </row>
    <row r="1825">
      <c r="A1825" s="207">
        <v>122.0</v>
      </c>
      <c r="B1825" s="6" t="str">
        <f>VLOOKUP($A1825, 'Completion rates'!$A:$E, 2, FALSE)</f>
        <v>Killing jubsters (creature creation)</v>
      </c>
      <c r="C1825" s="207">
        <v>25617.0</v>
      </c>
      <c r="D1825" s="6" t="str">
        <f>VLOOKUP($C1825, 'List of log slots'!$A:$E, 2, FALSE)</f>
        <v>Tea flask</v>
      </c>
      <c r="E1825" s="207">
        <f>VLOOKUP($C1825, 'List of log slots'!$A:$E, 5, FALSE)</f>
        <v>1</v>
      </c>
      <c r="F1825" s="213" t="b">
        <f>VLOOKUP(C1825, 'List of log slots'!$A:$C, 3, FALSE)</f>
        <v>0</v>
      </c>
      <c r="G1825" s="209" t="b">
        <f t="shared" si="1374"/>
        <v>0</v>
      </c>
      <c r="H1825" s="209" t="b">
        <f t="shared" si="7"/>
        <v>1</v>
      </c>
      <c r="I1825" s="208" t="b">
        <f t="shared" ref="I1825:J1825" si="1382">FALSE</f>
        <v>0</v>
      </c>
      <c r="J1825" s="208" t="b">
        <f t="shared" si="1382"/>
        <v>0</v>
      </c>
      <c r="K1825" s="214">
        <v>10.0</v>
      </c>
      <c r="L1825" s="212" t="str">
        <f t="shared" si="3"/>
        <v>n/a</v>
      </c>
      <c r="M1825" s="212" t="str">
        <f t="shared" si="4"/>
        <v>n/a</v>
      </c>
      <c r="N1825" s="207" t="str">
        <f t="shared" si="5"/>
        <v>n/a</v>
      </c>
      <c r="O1825" s="207">
        <f t="shared" si="6"/>
        <v>0.1</v>
      </c>
    </row>
    <row r="1826">
      <c r="A1826" s="207">
        <v>122.0</v>
      </c>
      <c r="B1826" s="6" t="str">
        <f>VLOOKUP($A1826, 'Completion rates'!$A:$E, 2, FALSE)</f>
        <v>Killing jubsters (creature creation)</v>
      </c>
      <c r="C1826" s="207">
        <v>25622.0</v>
      </c>
      <c r="D1826" s="6" t="str">
        <f>VLOOKUP($C1826, 'List of log slots'!$A:$E, 2, FALSE)</f>
        <v>Gold satchel</v>
      </c>
      <c r="E1826" s="207">
        <f>VLOOKUP($C1826, 'List of log slots'!$A:$E, 5, FALSE)</f>
        <v>2</v>
      </c>
      <c r="F1826" s="213" t="b">
        <f>VLOOKUP(C1826, 'List of log slots'!$A:$C, 3, FALSE)</f>
        <v>0</v>
      </c>
      <c r="G1826" s="209" t="b">
        <f t="shared" si="1374"/>
        <v>0</v>
      </c>
      <c r="H1826" s="209" t="b">
        <f t="shared" si="7"/>
        <v>1</v>
      </c>
      <c r="I1826" s="208" t="b">
        <f t="shared" ref="I1826:J1826" si="1383">FALSE</f>
        <v>0</v>
      </c>
      <c r="J1826" s="208" t="b">
        <f t="shared" si="1383"/>
        <v>0</v>
      </c>
      <c r="K1826" s="214">
        <v>7.0</v>
      </c>
      <c r="L1826" s="212" t="str">
        <f t="shared" si="3"/>
        <v>n/a</v>
      </c>
      <c r="M1826" s="212" t="str">
        <f t="shared" si="4"/>
        <v>n/a</v>
      </c>
      <c r="N1826" s="207" t="str">
        <f t="shared" si="5"/>
        <v>n/a</v>
      </c>
      <c r="O1826" s="207">
        <f t="shared" si="6"/>
        <v>0.1428571429</v>
      </c>
    </row>
    <row r="1827">
      <c r="A1827" s="207">
        <v>123.0</v>
      </c>
      <c r="B1827" s="6" t="str">
        <f>VLOOKUP($A1827, 'Completion rates'!$A:$E, 2, FALSE)</f>
        <v>Killing newtroosts (creature creation)</v>
      </c>
      <c r="C1827" s="207">
        <v>25617.0</v>
      </c>
      <c r="D1827" s="6" t="str">
        <f>VLOOKUP($C1827, 'List of log slots'!$A:$E, 2, FALSE)</f>
        <v>Tea flask</v>
      </c>
      <c r="E1827" s="207">
        <f>VLOOKUP($C1827, 'List of log slots'!$A:$E, 5, FALSE)</f>
        <v>1</v>
      </c>
      <c r="F1827" s="213" t="b">
        <f>VLOOKUP(C1827, 'List of log slots'!$A:$C, 3, FALSE)</f>
        <v>0</v>
      </c>
      <c r="G1827" s="209" t="b">
        <f t="shared" si="1374"/>
        <v>0</v>
      </c>
      <c r="H1827" s="209" t="b">
        <f t="shared" si="7"/>
        <v>1</v>
      </c>
      <c r="I1827" s="208" t="b">
        <f t="shared" ref="I1827:J1827" si="1384">FALSE</f>
        <v>0</v>
      </c>
      <c r="J1827" s="208" t="b">
        <f t="shared" si="1384"/>
        <v>0</v>
      </c>
      <c r="K1827" s="214">
        <v>10.0</v>
      </c>
      <c r="L1827" s="212" t="str">
        <f t="shared" si="3"/>
        <v>n/a</v>
      </c>
      <c r="M1827" s="212" t="str">
        <f t="shared" si="4"/>
        <v>n/a</v>
      </c>
      <c r="N1827" s="207" t="str">
        <f t="shared" si="5"/>
        <v>n/a</v>
      </c>
      <c r="O1827" s="207">
        <f t="shared" si="6"/>
        <v>0.1</v>
      </c>
    </row>
    <row r="1828">
      <c r="A1828" s="207">
        <v>123.0</v>
      </c>
      <c r="B1828" s="6" t="str">
        <f>VLOOKUP($A1828, 'Completion rates'!$A:$E, 2, FALSE)</f>
        <v>Killing newtroosts (creature creation)</v>
      </c>
      <c r="C1828" s="207">
        <v>25623.0</v>
      </c>
      <c r="D1828" s="6" t="str">
        <f>VLOOKUP($C1828, 'List of log slots'!$A:$E, 2, FALSE)</f>
        <v>Rune satchel</v>
      </c>
      <c r="E1828" s="207">
        <f>VLOOKUP($C1828, 'List of log slots'!$A:$E, 5, FALSE)</f>
        <v>1</v>
      </c>
      <c r="F1828" s="213" t="b">
        <f>VLOOKUP(C1828, 'List of log slots'!$A:$C, 3, FALSE)</f>
        <v>0</v>
      </c>
      <c r="G1828" s="209" t="b">
        <f t="shared" si="1374"/>
        <v>0</v>
      </c>
      <c r="H1828" s="209" t="b">
        <f t="shared" si="7"/>
        <v>1</v>
      </c>
      <c r="I1828" s="208" t="b">
        <f t="shared" ref="I1828:J1828" si="1385">FALSE</f>
        <v>0</v>
      </c>
      <c r="J1828" s="208" t="b">
        <f t="shared" si="1385"/>
        <v>0</v>
      </c>
      <c r="K1828" s="214">
        <v>7.0</v>
      </c>
      <c r="L1828" s="212" t="str">
        <f t="shared" si="3"/>
        <v>n/a</v>
      </c>
      <c r="M1828" s="212" t="str">
        <f t="shared" si="4"/>
        <v>n/a</v>
      </c>
      <c r="N1828" s="207" t="str">
        <f t="shared" si="5"/>
        <v>n/a</v>
      </c>
      <c r="O1828" s="207">
        <f t="shared" si="6"/>
        <v>0.1428571429</v>
      </c>
    </row>
    <row r="1829">
      <c r="A1829" s="207">
        <v>124.0</v>
      </c>
      <c r="B1829" s="6" t="str">
        <f>VLOOKUP($A1829, 'Completion rates'!$A:$E, 2, FALSE)</f>
        <v>Killing cyclopes at the warriors' guild</v>
      </c>
      <c r="C1829" s="207">
        <v>8844.0</v>
      </c>
      <c r="D1829" s="6" t="str">
        <f>VLOOKUP($C1829, 'List of log slots'!$A:$E, 2, FALSE)</f>
        <v>Bronze defender</v>
      </c>
      <c r="E1829" s="207">
        <f>VLOOKUP($C1829, 'List of log slots'!$A:$E, 5, FALSE)</f>
        <v>2</v>
      </c>
      <c r="F1829" s="213" t="b">
        <f>VLOOKUP(C1829, 'List of log slots'!$A:$C, 3, FALSE)</f>
        <v>0</v>
      </c>
      <c r="G1829" s="209" t="b">
        <f t="shared" si="1374"/>
        <v>0</v>
      </c>
      <c r="H1829" s="209" t="b">
        <f t="shared" si="7"/>
        <v>1</v>
      </c>
      <c r="I1829" s="208" t="b">
        <f t="shared" ref="I1829:J1829" si="1386">FALSE</f>
        <v>0</v>
      </c>
      <c r="J1829" s="208" t="b">
        <f t="shared" si="1386"/>
        <v>0</v>
      </c>
      <c r="K1829" s="214">
        <v>50.0</v>
      </c>
      <c r="L1829" s="212" t="str">
        <f t="shared" si="3"/>
        <v>n/a</v>
      </c>
      <c r="M1829" s="212" t="str">
        <f t="shared" si="4"/>
        <v>n/a</v>
      </c>
      <c r="N1829" s="207" t="str">
        <f t="shared" si="5"/>
        <v>n/a</v>
      </c>
      <c r="O1829" s="207">
        <f t="shared" si="6"/>
        <v>0.02</v>
      </c>
    </row>
    <row r="1830">
      <c r="A1830" s="207">
        <v>124.0</v>
      </c>
      <c r="B1830" s="6" t="str">
        <f>VLOOKUP($A1830, 'Completion rates'!$A:$E, 2, FALSE)</f>
        <v>Killing cyclopes at the warriors' guild</v>
      </c>
      <c r="C1830" s="207">
        <v>8845.0</v>
      </c>
      <c r="D1830" s="6" t="str">
        <f>VLOOKUP($C1830, 'List of log slots'!$A:$E, 2, FALSE)</f>
        <v>Iron defender</v>
      </c>
      <c r="E1830" s="207">
        <f>VLOOKUP($C1830, 'List of log slots'!$A:$E, 5, FALSE)</f>
        <v>2</v>
      </c>
      <c r="F1830" s="213" t="b">
        <f>VLOOKUP(C1830, 'List of log slots'!$A:$C, 3, FALSE)</f>
        <v>0</v>
      </c>
      <c r="G1830" s="210" t="b">
        <f t="shared" ref="G1830:G1836" si="1388">TRUE</f>
        <v>1</v>
      </c>
      <c r="H1830" s="209" t="b">
        <f t="shared" si="7"/>
        <v>0</v>
      </c>
      <c r="I1830" s="208" t="b">
        <f t="shared" ref="I1830:J1830" si="1387">FALSE</f>
        <v>0</v>
      </c>
      <c r="J1830" s="208" t="b">
        <f t="shared" si="1387"/>
        <v>0</v>
      </c>
      <c r="K1830" s="214">
        <v>50.0</v>
      </c>
      <c r="L1830" s="212" t="str">
        <f t="shared" si="3"/>
        <v>n/a</v>
      </c>
      <c r="M1830" s="212" t="str">
        <f t="shared" si="4"/>
        <v>n/a</v>
      </c>
      <c r="N1830" s="207" t="str">
        <f t="shared" si="5"/>
        <v>n/a</v>
      </c>
      <c r="O1830" s="207">
        <f t="shared" si="6"/>
        <v>0.02</v>
      </c>
    </row>
    <row r="1831">
      <c r="A1831" s="207">
        <v>124.0</v>
      </c>
      <c r="B1831" s="6" t="str">
        <f>VLOOKUP($A1831, 'Completion rates'!$A:$E, 2, FALSE)</f>
        <v>Killing cyclopes at the warriors' guild</v>
      </c>
      <c r="C1831" s="207">
        <v>8846.0</v>
      </c>
      <c r="D1831" s="6" t="str">
        <f>VLOOKUP($C1831, 'List of log slots'!$A:$E, 2, FALSE)</f>
        <v>Steel defender</v>
      </c>
      <c r="E1831" s="207">
        <f>VLOOKUP($C1831, 'List of log slots'!$A:$E, 5, FALSE)</f>
        <v>2</v>
      </c>
      <c r="F1831" s="213" t="b">
        <f>VLOOKUP(C1831, 'List of log slots'!$A:$C, 3, FALSE)</f>
        <v>0</v>
      </c>
      <c r="G1831" s="210" t="b">
        <f t="shared" si="1388"/>
        <v>1</v>
      </c>
      <c r="H1831" s="209" t="b">
        <f t="shared" si="7"/>
        <v>0</v>
      </c>
      <c r="I1831" s="208" t="b">
        <f t="shared" ref="I1831:J1831" si="1389">FALSE</f>
        <v>0</v>
      </c>
      <c r="J1831" s="208" t="b">
        <f t="shared" si="1389"/>
        <v>0</v>
      </c>
      <c r="K1831" s="214">
        <v>50.0</v>
      </c>
      <c r="L1831" s="212" t="str">
        <f t="shared" si="3"/>
        <v>n/a</v>
      </c>
      <c r="M1831" s="212" t="str">
        <f t="shared" si="4"/>
        <v>n/a</v>
      </c>
      <c r="N1831" s="207" t="str">
        <f t="shared" si="5"/>
        <v>n/a</v>
      </c>
      <c r="O1831" s="207">
        <f t="shared" si="6"/>
        <v>0.02</v>
      </c>
    </row>
    <row r="1832">
      <c r="A1832" s="207">
        <v>124.0</v>
      </c>
      <c r="B1832" s="6" t="str">
        <f>VLOOKUP($A1832, 'Completion rates'!$A:$E, 2, FALSE)</f>
        <v>Killing cyclopes at the warriors' guild</v>
      </c>
      <c r="C1832" s="207">
        <v>8847.0</v>
      </c>
      <c r="D1832" s="6" t="str">
        <f>VLOOKUP($C1832, 'List of log slots'!$A:$E, 2, FALSE)</f>
        <v>Black defender</v>
      </c>
      <c r="E1832" s="207">
        <f>VLOOKUP($C1832, 'List of log slots'!$A:$E, 5, FALSE)</f>
        <v>2</v>
      </c>
      <c r="F1832" s="213" t="b">
        <f>VLOOKUP(C1832, 'List of log slots'!$A:$C, 3, FALSE)</f>
        <v>0</v>
      </c>
      <c r="G1832" s="210" t="b">
        <f t="shared" si="1388"/>
        <v>1</v>
      </c>
      <c r="H1832" s="209" t="b">
        <f t="shared" si="7"/>
        <v>0</v>
      </c>
      <c r="I1832" s="208" t="b">
        <f t="shared" ref="I1832:J1832" si="1390">FALSE</f>
        <v>0</v>
      </c>
      <c r="J1832" s="208" t="b">
        <f t="shared" si="1390"/>
        <v>0</v>
      </c>
      <c r="K1832" s="214">
        <v>50.0</v>
      </c>
      <c r="L1832" s="212" t="str">
        <f t="shared" si="3"/>
        <v>n/a</v>
      </c>
      <c r="M1832" s="212" t="str">
        <f t="shared" si="4"/>
        <v>n/a</v>
      </c>
      <c r="N1832" s="207" t="str">
        <f t="shared" si="5"/>
        <v>n/a</v>
      </c>
      <c r="O1832" s="207">
        <f t="shared" si="6"/>
        <v>0.02</v>
      </c>
    </row>
    <row r="1833">
      <c r="A1833" s="207">
        <v>124.0</v>
      </c>
      <c r="B1833" s="6" t="str">
        <f>VLOOKUP($A1833, 'Completion rates'!$A:$E, 2, FALSE)</f>
        <v>Killing cyclopes at the warriors' guild</v>
      </c>
      <c r="C1833" s="207">
        <v>8848.0</v>
      </c>
      <c r="D1833" s="6" t="str">
        <f>VLOOKUP($C1833, 'List of log slots'!$A:$E, 2, FALSE)</f>
        <v>Mithril defender</v>
      </c>
      <c r="E1833" s="207">
        <f>VLOOKUP($C1833, 'List of log slots'!$A:$E, 5, FALSE)</f>
        <v>2</v>
      </c>
      <c r="F1833" s="213" t="b">
        <f>VLOOKUP(C1833, 'List of log slots'!$A:$C, 3, FALSE)</f>
        <v>0</v>
      </c>
      <c r="G1833" s="210" t="b">
        <f t="shared" si="1388"/>
        <v>1</v>
      </c>
      <c r="H1833" s="209" t="b">
        <f t="shared" si="7"/>
        <v>0</v>
      </c>
      <c r="I1833" s="208" t="b">
        <f t="shared" ref="I1833:J1833" si="1391">FALSE</f>
        <v>0</v>
      </c>
      <c r="J1833" s="208" t="b">
        <f t="shared" si="1391"/>
        <v>0</v>
      </c>
      <c r="K1833" s="214">
        <v>50.0</v>
      </c>
      <c r="L1833" s="212" t="str">
        <f t="shared" si="3"/>
        <v>n/a</v>
      </c>
      <c r="M1833" s="212" t="str">
        <f t="shared" si="4"/>
        <v>n/a</v>
      </c>
      <c r="N1833" s="207" t="str">
        <f t="shared" si="5"/>
        <v>n/a</v>
      </c>
      <c r="O1833" s="207">
        <f t="shared" si="6"/>
        <v>0.02</v>
      </c>
    </row>
    <row r="1834">
      <c r="A1834" s="207">
        <v>124.0</v>
      </c>
      <c r="B1834" s="6" t="str">
        <f>VLOOKUP($A1834, 'Completion rates'!$A:$E, 2, FALSE)</f>
        <v>Killing cyclopes at the warriors' guild</v>
      </c>
      <c r="C1834" s="207">
        <v>8849.0</v>
      </c>
      <c r="D1834" s="6" t="str">
        <f>VLOOKUP($C1834, 'List of log slots'!$A:$E, 2, FALSE)</f>
        <v>Adamant defender</v>
      </c>
      <c r="E1834" s="207">
        <f>VLOOKUP($C1834, 'List of log slots'!$A:$E, 5, FALSE)</f>
        <v>2</v>
      </c>
      <c r="F1834" s="213" t="b">
        <f>VLOOKUP(C1834, 'List of log slots'!$A:$C, 3, FALSE)</f>
        <v>0</v>
      </c>
      <c r="G1834" s="210" t="b">
        <f t="shared" si="1388"/>
        <v>1</v>
      </c>
      <c r="H1834" s="209" t="b">
        <f t="shared" si="7"/>
        <v>0</v>
      </c>
      <c r="I1834" s="208" t="b">
        <f t="shared" ref="I1834:J1834" si="1392">FALSE</f>
        <v>0</v>
      </c>
      <c r="J1834" s="208" t="b">
        <f t="shared" si="1392"/>
        <v>0</v>
      </c>
      <c r="K1834" s="214">
        <v>50.0</v>
      </c>
      <c r="L1834" s="212" t="str">
        <f t="shared" si="3"/>
        <v>n/a</v>
      </c>
      <c r="M1834" s="212" t="str">
        <f t="shared" si="4"/>
        <v>n/a</v>
      </c>
      <c r="N1834" s="207" t="str">
        <f t="shared" si="5"/>
        <v>n/a</v>
      </c>
      <c r="O1834" s="207">
        <f t="shared" si="6"/>
        <v>0.02</v>
      </c>
    </row>
    <row r="1835">
      <c r="A1835" s="207">
        <v>124.0</v>
      </c>
      <c r="B1835" s="6" t="str">
        <f>VLOOKUP($A1835, 'Completion rates'!$A:$E, 2, FALSE)</f>
        <v>Killing cyclopes at the warriors' guild</v>
      </c>
      <c r="C1835" s="207">
        <v>8850.0</v>
      </c>
      <c r="D1835" s="6" t="str">
        <f>VLOOKUP($C1835, 'List of log slots'!$A:$E, 2, FALSE)</f>
        <v>Rune defender</v>
      </c>
      <c r="E1835" s="207">
        <f>VLOOKUP($C1835, 'List of log slots'!$A:$E, 5, FALSE)</f>
        <v>2</v>
      </c>
      <c r="F1835" s="213" t="b">
        <f>VLOOKUP(C1835, 'List of log slots'!$A:$C, 3, FALSE)</f>
        <v>0</v>
      </c>
      <c r="G1835" s="210" t="b">
        <f t="shared" si="1388"/>
        <v>1</v>
      </c>
      <c r="H1835" s="209" t="b">
        <f t="shared" si="7"/>
        <v>0</v>
      </c>
      <c r="I1835" s="208" t="b">
        <f t="shared" ref="I1835:J1835" si="1393">FALSE</f>
        <v>0</v>
      </c>
      <c r="J1835" s="208" t="b">
        <f t="shared" si="1393"/>
        <v>0</v>
      </c>
      <c r="K1835" s="214">
        <v>50.0</v>
      </c>
      <c r="L1835" s="212" t="str">
        <f t="shared" si="3"/>
        <v>n/a</v>
      </c>
      <c r="M1835" s="212" t="str">
        <f t="shared" si="4"/>
        <v>n/a</v>
      </c>
      <c r="N1835" s="207" t="str">
        <f t="shared" si="5"/>
        <v>n/a</v>
      </c>
      <c r="O1835" s="207">
        <f t="shared" si="6"/>
        <v>0.02</v>
      </c>
    </row>
    <row r="1836">
      <c r="A1836" s="207">
        <v>124.0</v>
      </c>
      <c r="B1836" s="6" t="str">
        <f>VLOOKUP($A1836, 'Completion rates'!$A:$E, 2, FALSE)</f>
        <v>Killing cyclopes at the warriors' guild</v>
      </c>
      <c r="C1836" s="207">
        <v>12954.0</v>
      </c>
      <c r="D1836" s="6" t="str">
        <f>VLOOKUP($C1836, 'List of log slots'!$A:$E, 2, FALSE)</f>
        <v>Dragon defender</v>
      </c>
      <c r="E1836" s="207">
        <f>VLOOKUP($C1836, 'List of log slots'!$A:$E, 5, FALSE)</f>
        <v>2</v>
      </c>
      <c r="F1836" s="213" t="b">
        <f>VLOOKUP(C1836, 'List of log slots'!$A:$C, 3, FALSE)</f>
        <v>0</v>
      </c>
      <c r="G1836" s="210" t="b">
        <f t="shared" si="1388"/>
        <v>1</v>
      </c>
      <c r="H1836" s="209" t="b">
        <f t="shared" si="7"/>
        <v>0</v>
      </c>
      <c r="I1836" s="208" t="b">
        <f t="shared" ref="I1836:J1836" si="1394">FALSE</f>
        <v>0</v>
      </c>
      <c r="J1836" s="208" t="b">
        <f t="shared" si="1394"/>
        <v>0</v>
      </c>
      <c r="K1836" s="214">
        <v>100.0</v>
      </c>
      <c r="L1836" s="212" t="str">
        <f t="shared" si="3"/>
        <v>n/a</v>
      </c>
      <c r="M1836" s="212" t="str">
        <f t="shared" si="4"/>
        <v>n/a</v>
      </c>
      <c r="N1836" s="207" t="str">
        <f t="shared" si="5"/>
        <v>n/a</v>
      </c>
      <c r="O1836" s="207">
        <f t="shared" si="6"/>
        <v>0.01</v>
      </c>
    </row>
    <row r="1837">
      <c r="A1837" s="207">
        <v>124.0</v>
      </c>
      <c r="B1837" s="6" t="str">
        <f>VLOOKUP($A1837, 'Completion rates'!$A:$E, 2, FALSE)</f>
        <v>Killing cyclopes at the warriors' guild</v>
      </c>
      <c r="C1837" s="207">
        <v>10976.0</v>
      </c>
      <c r="D1837" s="6" t="str">
        <f>VLOOKUP($C1837, 'List of log slots'!$A:$E, 2, FALSE)</f>
        <v>Long bone</v>
      </c>
      <c r="E1837" s="207">
        <f>VLOOKUP($C1837, 'List of log slots'!$A:$E, 5, FALSE)</f>
        <v>3</v>
      </c>
      <c r="F1837" s="213" t="b">
        <f>VLOOKUP(C1837, 'List of log slots'!$A:$C, 3, FALSE)</f>
        <v>0</v>
      </c>
      <c r="G1837" s="209" t="b">
        <f t="shared" ref="G1837:G1890" si="1396">FALSE</f>
        <v>0</v>
      </c>
      <c r="H1837" s="209" t="b">
        <f t="shared" si="7"/>
        <v>1</v>
      </c>
      <c r="I1837" s="208" t="b">
        <f t="shared" ref="I1837:J1837" si="1395">FALSE</f>
        <v>0</v>
      </c>
      <c r="J1837" s="208" t="b">
        <f t="shared" si="1395"/>
        <v>0</v>
      </c>
      <c r="K1837" s="214">
        <v>400.0</v>
      </c>
      <c r="L1837" s="212" t="str">
        <f t="shared" si="3"/>
        <v>n/a</v>
      </c>
      <c r="M1837" s="212" t="str">
        <f t="shared" si="4"/>
        <v>n/a</v>
      </c>
      <c r="N1837" s="207" t="str">
        <f t="shared" si="5"/>
        <v>n/a</v>
      </c>
      <c r="O1837" s="207">
        <f t="shared" si="6"/>
        <v>0.0025</v>
      </c>
    </row>
    <row r="1838">
      <c r="A1838" s="207">
        <v>124.0</v>
      </c>
      <c r="B1838" s="6" t="str">
        <f>VLOOKUP($A1838, 'Completion rates'!$A:$E, 2, FALSE)</f>
        <v>Killing cyclopes at the warriors' guild</v>
      </c>
      <c r="C1838" s="207">
        <v>10977.0</v>
      </c>
      <c r="D1838" s="6" t="str">
        <f>VLOOKUP($C1838, 'List of log slots'!$A:$E, 2, FALSE)</f>
        <v>Curved bone</v>
      </c>
      <c r="E1838" s="207">
        <f>VLOOKUP($C1838, 'List of log slots'!$A:$E, 5, FALSE)</f>
        <v>5</v>
      </c>
      <c r="F1838" s="208" t="b">
        <f>VLOOKUP(C1838, 'List of log slots'!$A:$C, 3, FALSE)</f>
        <v>0</v>
      </c>
      <c r="G1838" s="209" t="b">
        <f t="shared" si="1396"/>
        <v>0</v>
      </c>
      <c r="H1838" s="210" t="b">
        <f t="shared" si="7"/>
        <v>1</v>
      </c>
      <c r="I1838" s="208" t="b">
        <f t="shared" ref="I1838:J1838" si="1397">FALSE</f>
        <v>0</v>
      </c>
      <c r="J1838" s="208" t="b">
        <f t="shared" si="1397"/>
        <v>0</v>
      </c>
      <c r="K1838" s="214">
        <v>5013.0</v>
      </c>
      <c r="L1838" s="212" t="str">
        <f t="shared" si="3"/>
        <v>n/a</v>
      </c>
      <c r="M1838" s="212" t="str">
        <f t="shared" si="4"/>
        <v>n/a</v>
      </c>
      <c r="N1838" s="207" t="str">
        <f t="shared" si="5"/>
        <v>n/a</v>
      </c>
      <c r="O1838" s="207">
        <f t="shared" si="6"/>
        <v>0.0001994813485</v>
      </c>
    </row>
    <row r="1839">
      <c r="A1839" s="207">
        <v>124.0</v>
      </c>
      <c r="B1839" s="6" t="str">
        <f>VLOOKUP($A1839, 'Completion rates'!$A:$E, 2, FALSE)</f>
        <v>Killing cyclopes at the warriors' guild</v>
      </c>
      <c r="C1839" s="207">
        <v>2366.0</v>
      </c>
      <c r="D1839" s="6" t="str">
        <f>VLOOKUP($C1839, 'List of log slots'!$A:$E, 2, FALSE)</f>
        <v>Shield left half</v>
      </c>
      <c r="E1839" s="207">
        <f>VLOOKUP($C1839, 'List of log slots'!$A:$E, 5, FALSE)</f>
        <v>5</v>
      </c>
      <c r="F1839" s="213" t="b">
        <f>VLOOKUP(C1839, 'List of log slots'!$A:$C, 3, FALSE)</f>
        <v>0</v>
      </c>
      <c r="G1839" s="209" t="b">
        <f t="shared" si="1396"/>
        <v>0</v>
      </c>
      <c r="H1839" s="209" t="b">
        <f t="shared" si="7"/>
        <v>1</v>
      </c>
      <c r="I1839" s="208" t="b">
        <f t="shared" ref="I1839:J1839" si="1398">FALSE</f>
        <v>0</v>
      </c>
      <c r="J1839" s="208" t="b">
        <f t="shared" si="1398"/>
        <v>0</v>
      </c>
      <c r="K1839" s="214">
        <v>204800.0</v>
      </c>
      <c r="L1839" s="212" t="str">
        <f t="shared" si="3"/>
        <v>n/a</v>
      </c>
      <c r="M1839" s="212" t="str">
        <f t="shared" si="4"/>
        <v>n/a</v>
      </c>
      <c r="N1839" s="207" t="str">
        <f t="shared" si="5"/>
        <v>n/a</v>
      </c>
      <c r="O1839" s="207">
        <f t="shared" si="6"/>
        <v>0.0000048828125</v>
      </c>
    </row>
    <row r="1840">
      <c r="A1840" s="207">
        <v>124.0</v>
      </c>
      <c r="B1840" s="6" t="str">
        <f>VLOOKUP($A1840, 'Completion rates'!$A:$E, 2, FALSE)</f>
        <v>Killing cyclopes at the warriors' guild</v>
      </c>
      <c r="C1840" s="207">
        <v>1249.0</v>
      </c>
      <c r="D1840" s="6" t="str">
        <f>VLOOKUP($C1840, 'List of log slots'!$A:$E, 2, FALSE)</f>
        <v>Dragon spear</v>
      </c>
      <c r="E1840" s="207">
        <f>VLOOKUP($C1840, 'List of log slots'!$A:$E, 5, FALSE)</f>
        <v>5</v>
      </c>
      <c r="F1840" s="213" t="b">
        <f>VLOOKUP(C1840, 'List of log slots'!$A:$C, 3, FALSE)</f>
        <v>0</v>
      </c>
      <c r="G1840" s="209" t="b">
        <f t="shared" si="1396"/>
        <v>0</v>
      </c>
      <c r="H1840" s="209" t="b">
        <f t="shared" si="7"/>
        <v>1</v>
      </c>
      <c r="I1840" s="208" t="b">
        <f t="shared" ref="I1840:J1840" si="1399">FALSE</f>
        <v>0</v>
      </c>
      <c r="J1840" s="208" t="b">
        <f t="shared" si="1399"/>
        <v>0</v>
      </c>
      <c r="K1840" s="214">
        <v>273067.0</v>
      </c>
      <c r="L1840" s="212" t="str">
        <f t="shared" si="3"/>
        <v>n/a</v>
      </c>
      <c r="M1840" s="212" t="str">
        <f t="shared" si="4"/>
        <v>n/a</v>
      </c>
      <c r="N1840" s="207" t="str">
        <f t="shared" si="5"/>
        <v>n/a</v>
      </c>
      <c r="O1840" s="207">
        <f t="shared" si="6"/>
        <v>0.000003662104905</v>
      </c>
    </row>
    <row r="1841">
      <c r="A1841" s="207">
        <v>125.0</v>
      </c>
      <c r="B1841" s="6" t="str">
        <f>VLOOKUP($A1841, 'Completion rates'!$A:$E, 2, FALSE)</f>
        <v>Collecting anima-infused bark (forestry)</v>
      </c>
      <c r="C1841" s="207">
        <v>10941.0</v>
      </c>
      <c r="D1841" s="6" t="str">
        <f>VLOOKUP($C1841, 'List of log slots'!$A:$E, 2, FALSE)</f>
        <v>Lumberjack hat</v>
      </c>
      <c r="E1841" s="207">
        <f>VLOOKUP($C1841, 'List of log slots'!$A:$E, 5, FALSE)</f>
        <v>2</v>
      </c>
      <c r="F1841" s="213" t="b">
        <f>VLOOKUP(C1841, 'List of log slots'!$A:$C, 3, FALSE)</f>
        <v>0</v>
      </c>
      <c r="G1841" s="209" t="b">
        <f t="shared" si="1396"/>
        <v>0</v>
      </c>
      <c r="H1841" s="209" t="b">
        <f t="shared" si="7"/>
        <v>1</v>
      </c>
      <c r="I1841" s="213" t="b">
        <f t="shared" ref="I1841:J1841" si="1400">TRUE</f>
        <v>1</v>
      </c>
      <c r="J1841" s="213" t="b">
        <f t="shared" si="1400"/>
        <v>1</v>
      </c>
      <c r="K1841" s="214">
        <v>1200.0</v>
      </c>
      <c r="L1841" s="212">
        <f t="shared" si="3"/>
        <v>1200</v>
      </c>
      <c r="M1841" s="212" t="str">
        <f t="shared" si="4"/>
        <v>n/a</v>
      </c>
      <c r="N1841" s="207" t="str">
        <f t="shared" si="5"/>
        <v>n/a</v>
      </c>
      <c r="O1841" s="207" t="str">
        <f t="shared" si="6"/>
        <v>n/a</v>
      </c>
    </row>
    <row r="1842">
      <c r="A1842" s="207">
        <v>125.0</v>
      </c>
      <c r="B1842" s="6" t="str">
        <f>VLOOKUP($A1842, 'Completion rates'!$A:$E, 2, FALSE)</f>
        <v>Collecting anima-infused bark (forestry)</v>
      </c>
      <c r="C1842" s="207">
        <v>10939.0</v>
      </c>
      <c r="D1842" s="6" t="str">
        <f>VLOOKUP($C1842, 'List of log slots'!$A:$E, 2, FALSE)</f>
        <v>Lumberjack top</v>
      </c>
      <c r="E1842" s="207">
        <f>VLOOKUP($C1842, 'List of log slots'!$A:$E, 5, FALSE)</f>
        <v>2</v>
      </c>
      <c r="F1842" s="213" t="b">
        <f>VLOOKUP(C1842, 'List of log slots'!$A:$C, 3, FALSE)</f>
        <v>0</v>
      </c>
      <c r="G1842" s="209" t="b">
        <f t="shared" si="1396"/>
        <v>0</v>
      </c>
      <c r="H1842" s="209" t="b">
        <f t="shared" si="7"/>
        <v>1</v>
      </c>
      <c r="I1842" s="213" t="b">
        <f t="shared" ref="I1842:J1842" si="1401">TRUE</f>
        <v>1</v>
      </c>
      <c r="J1842" s="213" t="b">
        <f t="shared" si="1401"/>
        <v>1</v>
      </c>
      <c r="K1842" s="214">
        <v>1500.0</v>
      </c>
      <c r="L1842" s="212">
        <f t="shared" si="3"/>
        <v>1500</v>
      </c>
      <c r="M1842" s="212" t="str">
        <f t="shared" si="4"/>
        <v>n/a</v>
      </c>
      <c r="N1842" s="207" t="str">
        <f t="shared" si="5"/>
        <v>n/a</v>
      </c>
      <c r="O1842" s="207" t="str">
        <f t="shared" si="6"/>
        <v>n/a</v>
      </c>
    </row>
    <row r="1843">
      <c r="A1843" s="207">
        <v>125.0</v>
      </c>
      <c r="B1843" s="6" t="str">
        <f>VLOOKUP($A1843, 'Completion rates'!$A:$E, 2, FALSE)</f>
        <v>Collecting anima-infused bark (forestry)</v>
      </c>
      <c r="C1843" s="207">
        <v>10940.0</v>
      </c>
      <c r="D1843" s="6" t="str">
        <f>VLOOKUP($C1843, 'List of log slots'!$A:$E, 2, FALSE)</f>
        <v>Lumberjack legs</v>
      </c>
      <c r="E1843" s="207">
        <f>VLOOKUP($C1843, 'List of log slots'!$A:$E, 5, FALSE)</f>
        <v>2</v>
      </c>
      <c r="F1843" s="213" t="b">
        <f>VLOOKUP(C1843, 'List of log slots'!$A:$C, 3, FALSE)</f>
        <v>0</v>
      </c>
      <c r="G1843" s="209" t="b">
        <f t="shared" si="1396"/>
        <v>0</v>
      </c>
      <c r="H1843" s="209" t="b">
        <f t="shared" si="7"/>
        <v>1</v>
      </c>
      <c r="I1843" s="213" t="b">
        <f t="shared" ref="I1843:J1843" si="1402">TRUE</f>
        <v>1</v>
      </c>
      <c r="J1843" s="213" t="b">
        <f t="shared" si="1402"/>
        <v>1</v>
      </c>
      <c r="K1843" s="214">
        <v>1300.0</v>
      </c>
      <c r="L1843" s="212">
        <f t="shared" si="3"/>
        <v>1300</v>
      </c>
      <c r="M1843" s="212" t="str">
        <f t="shared" si="4"/>
        <v>n/a</v>
      </c>
      <c r="N1843" s="207" t="str">
        <f t="shared" si="5"/>
        <v>n/a</v>
      </c>
      <c r="O1843" s="207" t="str">
        <f t="shared" si="6"/>
        <v>n/a</v>
      </c>
    </row>
    <row r="1844">
      <c r="A1844" s="207">
        <v>125.0</v>
      </c>
      <c r="B1844" s="6" t="str">
        <f>VLOOKUP($A1844, 'Completion rates'!$A:$E, 2, FALSE)</f>
        <v>Collecting anima-infused bark (forestry)</v>
      </c>
      <c r="C1844" s="207">
        <v>10933.0</v>
      </c>
      <c r="D1844" s="6" t="str">
        <f>VLOOKUP($C1844, 'List of log slots'!$A:$E, 2, FALSE)</f>
        <v>Lumberjack boots</v>
      </c>
      <c r="E1844" s="207">
        <f>VLOOKUP($C1844, 'List of log slots'!$A:$E, 5, FALSE)</f>
        <v>2</v>
      </c>
      <c r="F1844" s="213" t="b">
        <f>VLOOKUP(C1844, 'List of log slots'!$A:$C, 3, FALSE)</f>
        <v>0</v>
      </c>
      <c r="G1844" s="209" t="b">
        <f t="shared" si="1396"/>
        <v>0</v>
      </c>
      <c r="H1844" s="209" t="b">
        <f t="shared" si="7"/>
        <v>1</v>
      </c>
      <c r="I1844" s="213" t="b">
        <f t="shared" ref="I1844:J1844" si="1403">TRUE</f>
        <v>1</v>
      </c>
      <c r="J1844" s="213" t="b">
        <f t="shared" si="1403"/>
        <v>1</v>
      </c>
      <c r="K1844" s="214">
        <v>1000.0</v>
      </c>
      <c r="L1844" s="212">
        <f t="shared" si="3"/>
        <v>1000</v>
      </c>
      <c r="M1844" s="212" t="str">
        <f t="shared" si="4"/>
        <v>n/a</v>
      </c>
      <c r="N1844" s="207" t="str">
        <f t="shared" si="5"/>
        <v>n/a</v>
      </c>
      <c r="O1844" s="207" t="str">
        <f t="shared" si="6"/>
        <v>n/a</v>
      </c>
    </row>
    <row r="1845">
      <c r="A1845" s="207">
        <v>125.0</v>
      </c>
      <c r="B1845" s="6" t="str">
        <f>VLOOKUP($A1845, 'Completion rates'!$A:$E, 2, FALSE)</f>
        <v>Collecting anima-infused bark (forestry)</v>
      </c>
      <c r="C1845" s="207">
        <v>28173.0</v>
      </c>
      <c r="D1845" s="6" t="str">
        <f>VLOOKUP($C1845, 'List of log slots'!$A:$E, 2, FALSE)</f>
        <v>Forestry hat</v>
      </c>
      <c r="E1845" s="207">
        <f>VLOOKUP($C1845, 'List of log slots'!$A:$E, 5, FALSE)</f>
        <v>3</v>
      </c>
      <c r="F1845" s="213" t="b">
        <f>VLOOKUP(C1845, 'List of log slots'!$A:$C, 3, FALSE)</f>
        <v>0</v>
      </c>
      <c r="G1845" s="209" t="b">
        <f t="shared" si="1396"/>
        <v>0</v>
      </c>
      <c r="H1845" s="209" t="b">
        <f t="shared" si="7"/>
        <v>1</v>
      </c>
      <c r="I1845" s="213" t="b">
        <f t="shared" ref="I1845:J1845" si="1404">TRUE</f>
        <v>1</v>
      </c>
      <c r="J1845" s="213" t="b">
        <f t="shared" si="1404"/>
        <v>1</v>
      </c>
      <c r="K1845" s="214">
        <v>1250.0</v>
      </c>
      <c r="L1845" s="212">
        <f t="shared" si="3"/>
        <v>1250</v>
      </c>
      <c r="M1845" s="212" t="str">
        <f t="shared" si="4"/>
        <v>n/a</v>
      </c>
      <c r="N1845" s="207" t="str">
        <f t="shared" si="5"/>
        <v>n/a</v>
      </c>
      <c r="O1845" s="207" t="str">
        <f t="shared" si="6"/>
        <v>n/a</v>
      </c>
    </row>
    <row r="1846">
      <c r="A1846" s="207">
        <v>125.0</v>
      </c>
      <c r="B1846" s="6" t="str">
        <f>VLOOKUP($A1846, 'Completion rates'!$A:$E, 2, FALSE)</f>
        <v>Collecting anima-infused bark (forestry)</v>
      </c>
      <c r="C1846" s="207">
        <v>28169.0</v>
      </c>
      <c r="D1846" s="6" t="str">
        <f>VLOOKUP($C1846, 'List of log slots'!$A:$E, 2, FALSE)</f>
        <v>Forestry top</v>
      </c>
      <c r="E1846" s="207">
        <f>VLOOKUP($C1846, 'List of log slots'!$A:$E, 5, FALSE)</f>
        <v>3</v>
      </c>
      <c r="F1846" s="213" t="b">
        <f>VLOOKUP(C1846, 'List of log slots'!$A:$C, 3, FALSE)</f>
        <v>0</v>
      </c>
      <c r="G1846" s="209" t="b">
        <f t="shared" si="1396"/>
        <v>0</v>
      </c>
      <c r="H1846" s="209" t="b">
        <f t="shared" si="7"/>
        <v>1</v>
      </c>
      <c r="I1846" s="213" t="b">
        <f t="shared" ref="I1846:J1846" si="1405">TRUE</f>
        <v>1</v>
      </c>
      <c r="J1846" s="213" t="b">
        <f t="shared" si="1405"/>
        <v>1</v>
      </c>
      <c r="K1846" s="214">
        <v>1250.0</v>
      </c>
      <c r="L1846" s="212">
        <f t="shared" si="3"/>
        <v>1250</v>
      </c>
      <c r="M1846" s="212" t="str">
        <f t="shared" si="4"/>
        <v>n/a</v>
      </c>
      <c r="N1846" s="207" t="str">
        <f t="shared" si="5"/>
        <v>n/a</v>
      </c>
      <c r="O1846" s="207" t="str">
        <f t="shared" si="6"/>
        <v>n/a</v>
      </c>
    </row>
    <row r="1847">
      <c r="A1847" s="207">
        <v>125.0</v>
      </c>
      <c r="B1847" s="6" t="str">
        <f>VLOOKUP($A1847, 'Completion rates'!$A:$E, 2, FALSE)</f>
        <v>Collecting anima-infused bark (forestry)</v>
      </c>
      <c r="C1847" s="207">
        <v>28171.0</v>
      </c>
      <c r="D1847" s="6" t="str">
        <f>VLOOKUP($C1847, 'List of log slots'!$A:$E, 2, FALSE)</f>
        <v>Forestry legs</v>
      </c>
      <c r="E1847" s="207">
        <f>VLOOKUP($C1847, 'List of log slots'!$A:$E, 5, FALSE)</f>
        <v>3</v>
      </c>
      <c r="F1847" s="213" t="b">
        <f>VLOOKUP(C1847, 'List of log slots'!$A:$C, 3, FALSE)</f>
        <v>0</v>
      </c>
      <c r="G1847" s="209" t="b">
        <f t="shared" si="1396"/>
        <v>0</v>
      </c>
      <c r="H1847" s="209" t="b">
        <f t="shared" si="7"/>
        <v>1</v>
      </c>
      <c r="I1847" s="213" t="b">
        <f t="shared" ref="I1847:J1847" si="1406">TRUE</f>
        <v>1</v>
      </c>
      <c r="J1847" s="213" t="b">
        <f t="shared" si="1406"/>
        <v>1</v>
      </c>
      <c r="K1847" s="214">
        <v>1250.0</v>
      </c>
      <c r="L1847" s="212">
        <f t="shared" si="3"/>
        <v>1250</v>
      </c>
      <c r="M1847" s="212" t="str">
        <f t="shared" si="4"/>
        <v>n/a</v>
      </c>
      <c r="N1847" s="207" t="str">
        <f t="shared" si="5"/>
        <v>n/a</v>
      </c>
      <c r="O1847" s="207" t="str">
        <f t="shared" si="6"/>
        <v>n/a</v>
      </c>
    </row>
    <row r="1848">
      <c r="A1848" s="207">
        <v>125.0</v>
      </c>
      <c r="B1848" s="6" t="str">
        <f>VLOOKUP($A1848, 'Completion rates'!$A:$E, 2, FALSE)</f>
        <v>Collecting anima-infused bark (forestry)</v>
      </c>
      <c r="C1848" s="207">
        <v>28175.0</v>
      </c>
      <c r="D1848" s="6" t="str">
        <f>VLOOKUP($C1848, 'List of log slots'!$A:$E, 2, FALSE)</f>
        <v>Forestry boots</v>
      </c>
      <c r="E1848" s="207">
        <f>VLOOKUP($C1848, 'List of log slots'!$A:$E, 5, FALSE)</f>
        <v>3</v>
      </c>
      <c r="F1848" s="213" t="b">
        <f>VLOOKUP(C1848, 'List of log slots'!$A:$C, 3, FALSE)</f>
        <v>0</v>
      </c>
      <c r="G1848" s="209" t="b">
        <f t="shared" si="1396"/>
        <v>0</v>
      </c>
      <c r="H1848" s="209" t="b">
        <f t="shared" si="7"/>
        <v>1</v>
      </c>
      <c r="I1848" s="213" t="b">
        <f t="shared" ref="I1848:J1848" si="1407">TRUE</f>
        <v>1</v>
      </c>
      <c r="J1848" s="213" t="b">
        <f t="shared" si="1407"/>
        <v>1</v>
      </c>
      <c r="K1848" s="214">
        <v>1250.0</v>
      </c>
      <c r="L1848" s="212">
        <f t="shared" si="3"/>
        <v>1250</v>
      </c>
      <c r="M1848" s="212" t="str">
        <f t="shared" si="4"/>
        <v>n/a</v>
      </c>
      <c r="N1848" s="207" t="str">
        <f t="shared" si="5"/>
        <v>n/a</v>
      </c>
      <c r="O1848" s="207" t="str">
        <f t="shared" si="6"/>
        <v>n/a</v>
      </c>
    </row>
    <row r="1849">
      <c r="A1849" s="207">
        <v>125.0</v>
      </c>
      <c r="B1849" s="6" t="str">
        <f>VLOOKUP($A1849, 'Completion rates'!$A:$E, 2, FALSE)</f>
        <v>Collecting anima-infused bark (forestry)</v>
      </c>
      <c r="C1849" s="207">
        <v>28630.0</v>
      </c>
      <c r="D1849" s="6" t="str">
        <f>VLOOKUP($C1849, 'List of log slots'!$A:$E, 2, FALSE)</f>
        <v>Twitcher's gloves</v>
      </c>
      <c r="E1849" s="207">
        <f>VLOOKUP($C1849, 'List of log slots'!$A:$E, 5, FALSE)</f>
        <v>3</v>
      </c>
      <c r="F1849" s="213" t="b">
        <f>VLOOKUP(C1849, 'List of log slots'!$A:$C, 3, FALSE)</f>
        <v>0</v>
      </c>
      <c r="G1849" s="209" t="b">
        <f t="shared" si="1396"/>
        <v>0</v>
      </c>
      <c r="H1849" s="209" t="b">
        <f t="shared" si="7"/>
        <v>1</v>
      </c>
      <c r="I1849" s="213" t="b">
        <f t="shared" ref="I1849:J1849" si="1408">TRUE</f>
        <v>1</v>
      </c>
      <c r="J1849" s="213" t="b">
        <f t="shared" si="1408"/>
        <v>1</v>
      </c>
      <c r="K1849" s="214">
        <v>5000.0</v>
      </c>
      <c r="L1849" s="212">
        <f t="shared" si="3"/>
        <v>5000</v>
      </c>
      <c r="M1849" s="212" t="str">
        <f t="shared" si="4"/>
        <v>n/a</v>
      </c>
      <c r="N1849" s="207" t="str">
        <f t="shared" si="5"/>
        <v>n/a</v>
      </c>
      <c r="O1849" s="207" t="str">
        <f t="shared" si="6"/>
        <v>n/a</v>
      </c>
    </row>
    <row r="1850">
      <c r="A1850" s="207">
        <v>125.0</v>
      </c>
      <c r="B1850" s="6" t="str">
        <f>VLOOKUP($A1850, 'Completion rates'!$A:$E, 2, FALSE)</f>
        <v>Collecting anima-infused bark (forestry)</v>
      </c>
      <c r="C1850" s="207">
        <v>28138.0</v>
      </c>
      <c r="D1850" s="6" t="str">
        <f>VLOOKUP($C1850, 'List of log slots'!$A:$E, 2, FALSE)</f>
        <v>Funky shaped log</v>
      </c>
      <c r="E1850" s="207">
        <f>VLOOKUP($C1850, 'List of log slots'!$A:$E, 5, FALSE)</f>
        <v>5</v>
      </c>
      <c r="F1850" s="208" t="b">
        <f>VLOOKUP(C1850, 'List of log slots'!$A:$C, 3, FALSE)</f>
        <v>0</v>
      </c>
      <c r="G1850" s="209" t="b">
        <f t="shared" si="1396"/>
        <v>0</v>
      </c>
      <c r="H1850" s="210" t="b">
        <f t="shared" si="7"/>
        <v>1</v>
      </c>
      <c r="I1850" s="213" t="b">
        <f t="shared" ref="I1850:J1850" si="1409">TRUE</f>
        <v>1</v>
      </c>
      <c r="J1850" s="213" t="b">
        <f t="shared" si="1409"/>
        <v>1</v>
      </c>
      <c r="K1850" s="214">
        <v>15000.0</v>
      </c>
      <c r="L1850" s="212">
        <f t="shared" si="3"/>
        <v>15000</v>
      </c>
      <c r="M1850" s="212" t="str">
        <f t="shared" si="4"/>
        <v>n/a</v>
      </c>
      <c r="N1850" s="207" t="str">
        <f t="shared" si="5"/>
        <v>n/a</v>
      </c>
      <c r="O1850" s="207" t="str">
        <f t="shared" si="6"/>
        <v>n/a</v>
      </c>
    </row>
    <row r="1851">
      <c r="A1851" s="207">
        <v>125.0</v>
      </c>
      <c r="B1851" s="6" t="str">
        <f>VLOOKUP($A1851, 'Completion rates'!$A:$E, 2, FALSE)</f>
        <v>Collecting anima-infused bark (forestry)</v>
      </c>
      <c r="C1851" s="207">
        <v>28140.0</v>
      </c>
      <c r="D1851" s="6" t="str">
        <f>VLOOKUP($C1851, 'List of log slots'!$A:$E, 2, FALSE)</f>
        <v>Log basket</v>
      </c>
      <c r="E1851" s="207">
        <f>VLOOKUP($C1851, 'List of log slots'!$A:$E, 5, FALSE)</f>
        <v>3</v>
      </c>
      <c r="F1851" s="213" t="b">
        <f>VLOOKUP(C1851, 'List of log slots'!$A:$C, 3, FALSE)</f>
        <v>0</v>
      </c>
      <c r="G1851" s="209" t="b">
        <f t="shared" si="1396"/>
        <v>0</v>
      </c>
      <c r="H1851" s="209" t="b">
        <f t="shared" si="7"/>
        <v>1</v>
      </c>
      <c r="I1851" s="213" t="b">
        <f t="shared" ref="I1851:J1851" si="1410">TRUE</f>
        <v>1</v>
      </c>
      <c r="J1851" s="213" t="b">
        <f t="shared" si="1410"/>
        <v>1</v>
      </c>
      <c r="K1851" s="214">
        <v>5000.0</v>
      </c>
      <c r="L1851" s="212">
        <f t="shared" si="3"/>
        <v>5000</v>
      </c>
      <c r="M1851" s="212" t="str">
        <f t="shared" si="4"/>
        <v>n/a</v>
      </c>
      <c r="N1851" s="207" t="str">
        <f t="shared" si="5"/>
        <v>n/a</v>
      </c>
      <c r="O1851" s="207" t="str">
        <f t="shared" si="6"/>
        <v>n/a</v>
      </c>
    </row>
    <row r="1852">
      <c r="A1852" s="207">
        <v>125.0</v>
      </c>
      <c r="B1852" s="6" t="str">
        <f>VLOOKUP($A1852, 'Completion rates'!$A:$E, 2, FALSE)</f>
        <v>Collecting anima-infused bark (forestry)</v>
      </c>
      <c r="C1852" s="207">
        <v>28146.0</v>
      </c>
      <c r="D1852" s="6" t="str">
        <f>VLOOKUP($C1852, 'List of log slots'!$A:$E, 2, FALSE)</f>
        <v>Log brace</v>
      </c>
      <c r="E1852" s="207">
        <f>VLOOKUP($C1852, 'List of log slots'!$A:$E, 5, FALSE)</f>
        <v>3</v>
      </c>
      <c r="F1852" s="213" t="b">
        <f>VLOOKUP(C1852, 'List of log slots'!$A:$C, 3, FALSE)</f>
        <v>0</v>
      </c>
      <c r="G1852" s="209" t="b">
        <f t="shared" si="1396"/>
        <v>0</v>
      </c>
      <c r="H1852" s="209" t="b">
        <f t="shared" si="7"/>
        <v>1</v>
      </c>
      <c r="I1852" s="213" t="b">
        <f t="shared" ref="I1852:J1852" si="1411">TRUE</f>
        <v>1</v>
      </c>
      <c r="J1852" s="213" t="b">
        <f t="shared" si="1411"/>
        <v>1</v>
      </c>
      <c r="K1852" s="214">
        <v>3000.0</v>
      </c>
      <c r="L1852" s="212">
        <f t="shared" si="3"/>
        <v>3000</v>
      </c>
      <c r="M1852" s="212" t="str">
        <f t="shared" si="4"/>
        <v>n/a</v>
      </c>
      <c r="N1852" s="207" t="str">
        <f t="shared" si="5"/>
        <v>n/a</v>
      </c>
      <c r="O1852" s="207" t="str">
        <f t="shared" si="6"/>
        <v>n/a</v>
      </c>
    </row>
    <row r="1853">
      <c r="A1853" s="207">
        <v>125.0</v>
      </c>
      <c r="B1853" s="6" t="str">
        <f>VLOOKUP($A1853, 'Completion rates'!$A:$E, 2, FALSE)</f>
        <v>Collecting anima-infused bark (forestry)</v>
      </c>
      <c r="C1853" s="207">
        <v>28166.0</v>
      </c>
      <c r="D1853" s="6" t="str">
        <f>VLOOKUP($C1853, 'List of log slots'!$A:$E, 2, FALSE)</f>
        <v>Clothes pouch blueprint</v>
      </c>
      <c r="E1853" s="207">
        <f>VLOOKUP($C1853, 'List of log slots'!$A:$E, 5, FALSE)</f>
        <v>4</v>
      </c>
      <c r="F1853" s="208" t="b">
        <f>VLOOKUP(C1853, 'List of log slots'!$A:$C, 3, FALSE)</f>
        <v>0</v>
      </c>
      <c r="G1853" s="209" t="b">
        <f t="shared" si="1396"/>
        <v>0</v>
      </c>
      <c r="H1853" s="210" t="b">
        <f t="shared" si="7"/>
        <v>1</v>
      </c>
      <c r="I1853" s="213" t="b">
        <f t="shared" ref="I1853:J1853" si="1412">TRUE</f>
        <v>1</v>
      </c>
      <c r="J1853" s="213" t="b">
        <f t="shared" si="1412"/>
        <v>1</v>
      </c>
      <c r="K1853" s="214">
        <v>10000.0</v>
      </c>
      <c r="L1853" s="212">
        <f t="shared" si="3"/>
        <v>10000</v>
      </c>
      <c r="M1853" s="212" t="str">
        <f t="shared" si="4"/>
        <v>n/a</v>
      </c>
      <c r="N1853" s="207" t="str">
        <f t="shared" si="5"/>
        <v>n/a</v>
      </c>
      <c r="O1853" s="207" t="str">
        <f t="shared" si="6"/>
        <v>n/a</v>
      </c>
    </row>
    <row r="1854">
      <c r="A1854" s="207">
        <v>125.0</v>
      </c>
      <c r="B1854" s="6" t="str">
        <f>VLOOKUP($A1854, 'Completion rates'!$A:$E, 2, FALSE)</f>
        <v>Collecting anima-infused bark (forestry)</v>
      </c>
      <c r="C1854" s="207">
        <v>28613.0</v>
      </c>
      <c r="D1854" s="6" t="str">
        <f>VLOOKUP($C1854, 'List of log slots'!$A:$E, 2, FALSE)</f>
        <v>Cape pouch</v>
      </c>
      <c r="E1854" s="207">
        <f>VLOOKUP($C1854, 'List of log slots'!$A:$E, 5, FALSE)</f>
        <v>3</v>
      </c>
      <c r="F1854" s="213" t="b">
        <f>VLOOKUP(C1854, 'List of log slots'!$A:$C, 3, FALSE)</f>
        <v>0</v>
      </c>
      <c r="G1854" s="209" t="b">
        <f t="shared" si="1396"/>
        <v>0</v>
      </c>
      <c r="H1854" s="209" t="b">
        <f t="shared" si="7"/>
        <v>1</v>
      </c>
      <c r="I1854" s="213" t="b">
        <f t="shared" ref="I1854:J1854" si="1413">TRUE</f>
        <v>1</v>
      </c>
      <c r="J1854" s="213" t="b">
        <f t="shared" si="1413"/>
        <v>1</v>
      </c>
      <c r="K1854" s="214">
        <v>2500.0</v>
      </c>
      <c r="L1854" s="212">
        <f t="shared" si="3"/>
        <v>2500</v>
      </c>
      <c r="M1854" s="212" t="str">
        <f t="shared" si="4"/>
        <v>n/a</v>
      </c>
      <c r="N1854" s="207" t="str">
        <f t="shared" si="5"/>
        <v>n/a</v>
      </c>
      <c r="O1854" s="207" t="str">
        <f t="shared" si="6"/>
        <v>n/a</v>
      </c>
    </row>
    <row r="1855">
      <c r="A1855" s="207">
        <v>125.0</v>
      </c>
      <c r="B1855" s="6" t="str">
        <f>VLOOKUP($A1855, 'Completion rates'!$A:$E, 2, FALSE)</f>
        <v>Collecting anima-infused bark (forestry)</v>
      </c>
      <c r="C1855" s="207">
        <v>28177.0</v>
      </c>
      <c r="D1855" s="6" t="str">
        <f>VLOOKUP($C1855, 'List of log slots'!$A:$E, 2, FALSE)</f>
        <v>Felling axe handle</v>
      </c>
      <c r="E1855" s="207">
        <f>VLOOKUP($C1855, 'List of log slots'!$A:$E, 5, FALSE)</f>
        <v>4</v>
      </c>
      <c r="F1855" s="213" t="b">
        <f>VLOOKUP(C1855, 'List of log slots'!$A:$C, 3, FALSE)</f>
        <v>0</v>
      </c>
      <c r="G1855" s="209" t="b">
        <f t="shared" si="1396"/>
        <v>0</v>
      </c>
      <c r="H1855" s="209" t="b">
        <f t="shared" si="7"/>
        <v>1</v>
      </c>
      <c r="I1855" s="213" t="b">
        <f t="shared" ref="I1855:J1855" si="1414">TRUE</f>
        <v>1</v>
      </c>
      <c r="J1855" s="213" t="b">
        <f t="shared" si="1414"/>
        <v>1</v>
      </c>
      <c r="K1855" s="214">
        <v>10000.0</v>
      </c>
      <c r="L1855" s="212">
        <f t="shared" si="3"/>
        <v>10000</v>
      </c>
      <c r="M1855" s="212" t="str">
        <f t="shared" si="4"/>
        <v>n/a</v>
      </c>
      <c r="N1855" s="207" t="str">
        <f t="shared" si="5"/>
        <v>n/a</v>
      </c>
      <c r="O1855" s="207" t="str">
        <f t="shared" si="6"/>
        <v>n/a</v>
      </c>
    </row>
    <row r="1856">
      <c r="A1856" s="207">
        <v>125.0</v>
      </c>
      <c r="B1856" s="6" t="str">
        <f>VLOOKUP($A1856, 'Completion rates'!$A:$E, 2, FALSE)</f>
        <v>Collecting anima-infused bark (forestry)</v>
      </c>
      <c r="C1856" s="207">
        <v>28626.0</v>
      </c>
      <c r="D1856" s="6" t="str">
        <f>VLOOKUP($C1856, 'List of log slots'!$A:$E, 2, FALSE)</f>
        <v>Fox whistle</v>
      </c>
      <c r="E1856" s="207">
        <f>VLOOKUP($C1856, 'List of log slots'!$A:$E, 5, FALSE)</f>
        <v>5</v>
      </c>
      <c r="F1856" s="208" t="b">
        <f>VLOOKUP(C1856, 'List of log slots'!$A:$C, 3, FALSE)</f>
        <v>0</v>
      </c>
      <c r="G1856" s="209" t="b">
        <f t="shared" si="1396"/>
        <v>0</v>
      </c>
      <c r="H1856" s="210" t="b">
        <f t="shared" si="7"/>
        <v>1</v>
      </c>
      <c r="I1856" s="208" t="b">
        <f t="shared" ref="I1856:J1856" si="1415">FALSE</f>
        <v>0</v>
      </c>
      <c r="J1856" s="208" t="b">
        <f t="shared" si="1415"/>
        <v>0</v>
      </c>
      <c r="K1856" s="214">
        <v>81000.0</v>
      </c>
      <c r="L1856" s="212" t="str">
        <f t="shared" si="3"/>
        <v>n/a</v>
      </c>
      <c r="M1856" s="212" t="str">
        <f t="shared" si="4"/>
        <v>n/a</v>
      </c>
      <c r="N1856" s="207" t="str">
        <f t="shared" si="5"/>
        <v>n/a</v>
      </c>
      <c r="O1856" s="207">
        <f t="shared" si="6"/>
        <v>0.00001234567901</v>
      </c>
    </row>
    <row r="1857">
      <c r="A1857" s="207">
        <v>125.0</v>
      </c>
      <c r="B1857" s="6" t="str">
        <f>VLOOKUP($A1857, 'Completion rates'!$A:$E, 2, FALSE)</f>
        <v>Collecting anima-infused bark (forestry)</v>
      </c>
      <c r="C1857" s="207">
        <v>28626.0</v>
      </c>
      <c r="D1857" s="6" t="str">
        <f>VLOOKUP($C1857, 'List of log slots'!$A:$E, 2, FALSE)</f>
        <v>Fox whistle</v>
      </c>
      <c r="E1857" s="207">
        <f>VLOOKUP($C1857, 'List of log slots'!$A:$E, 5, FALSE)</f>
        <v>5</v>
      </c>
      <c r="F1857" s="208" t="b">
        <f>VLOOKUP(C1857, 'List of log slots'!$A:$C, 3, FALSE)</f>
        <v>0</v>
      </c>
      <c r="G1857" s="209" t="b">
        <f t="shared" si="1396"/>
        <v>0</v>
      </c>
      <c r="H1857" s="210" t="b">
        <f t="shared" si="7"/>
        <v>1</v>
      </c>
      <c r="I1857" s="213" t="b">
        <f t="shared" ref="I1857:J1857" si="1416">TRUE</f>
        <v>1</v>
      </c>
      <c r="J1857" s="213" t="b">
        <f t="shared" si="1416"/>
        <v>1</v>
      </c>
      <c r="K1857" s="214">
        <v>75000.0</v>
      </c>
      <c r="L1857" s="212">
        <f t="shared" si="3"/>
        <v>75000</v>
      </c>
      <c r="M1857" s="212" t="str">
        <f t="shared" si="4"/>
        <v>n/a</v>
      </c>
      <c r="N1857" s="207" t="str">
        <f t="shared" si="5"/>
        <v>n/a</v>
      </c>
      <c r="O1857" s="207" t="str">
        <f t="shared" si="6"/>
        <v>n/a</v>
      </c>
    </row>
    <row r="1858">
      <c r="A1858" s="207">
        <v>125.0</v>
      </c>
      <c r="B1858" s="6" t="str">
        <f>VLOOKUP($A1858, 'Completion rates'!$A:$E, 2, FALSE)</f>
        <v>Collecting anima-infused bark (forestry)</v>
      </c>
      <c r="C1858" s="207">
        <v>28663.0</v>
      </c>
      <c r="D1858" s="6" t="str">
        <f>VLOOKUP($C1858, 'List of log slots'!$A:$E, 2, FALSE)</f>
        <v>Golden pheasant egg</v>
      </c>
      <c r="E1858" s="207">
        <f>VLOOKUP($C1858, 'List of log slots'!$A:$E, 5, FALSE)</f>
        <v>5</v>
      </c>
      <c r="F1858" s="208" t="b">
        <f>VLOOKUP(C1858, 'List of log slots'!$A:$C, 3, FALSE)</f>
        <v>0</v>
      </c>
      <c r="G1858" s="209" t="b">
        <f t="shared" si="1396"/>
        <v>0</v>
      </c>
      <c r="H1858" s="210" t="b">
        <f t="shared" si="7"/>
        <v>1</v>
      </c>
      <c r="I1858" s="208" t="b">
        <f t="shared" ref="I1858:J1858" si="1417">FALSE</f>
        <v>0</v>
      </c>
      <c r="J1858" s="208" t="b">
        <f t="shared" si="1417"/>
        <v>0</v>
      </c>
      <c r="K1858" s="214">
        <v>81000.0</v>
      </c>
      <c r="L1858" s="212" t="str">
        <f t="shared" si="3"/>
        <v>n/a</v>
      </c>
      <c r="M1858" s="212" t="str">
        <f t="shared" si="4"/>
        <v>n/a</v>
      </c>
      <c r="N1858" s="207" t="str">
        <f t="shared" si="5"/>
        <v>n/a</v>
      </c>
      <c r="O1858" s="207">
        <f t="shared" si="6"/>
        <v>0.00001234567901</v>
      </c>
    </row>
    <row r="1859">
      <c r="A1859" s="207">
        <v>125.0</v>
      </c>
      <c r="B1859" s="6" t="str">
        <f>VLOOKUP($A1859, 'Completion rates'!$A:$E, 2, FALSE)</f>
        <v>Collecting anima-infused bark (forestry)</v>
      </c>
      <c r="C1859" s="207">
        <v>28663.0</v>
      </c>
      <c r="D1859" s="6" t="str">
        <f>VLOOKUP($C1859, 'List of log slots'!$A:$E, 2, FALSE)</f>
        <v>Golden pheasant egg</v>
      </c>
      <c r="E1859" s="207">
        <f>VLOOKUP($C1859, 'List of log slots'!$A:$E, 5, FALSE)</f>
        <v>5</v>
      </c>
      <c r="F1859" s="208" t="b">
        <f>VLOOKUP(C1859, 'List of log slots'!$A:$C, 3, FALSE)</f>
        <v>0</v>
      </c>
      <c r="G1859" s="209" t="b">
        <f t="shared" si="1396"/>
        <v>0</v>
      </c>
      <c r="H1859" s="210" t="b">
        <f t="shared" si="7"/>
        <v>1</v>
      </c>
      <c r="I1859" s="213" t="b">
        <f t="shared" ref="I1859:J1859" si="1418">TRUE</f>
        <v>1</v>
      </c>
      <c r="J1859" s="213" t="b">
        <f t="shared" si="1418"/>
        <v>1</v>
      </c>
      <c r="K1859" s="214">
        <v>75000.0</v>
      </c>
      <c r="L1859" s="212">
        <f t="shared" si="3"/>
        <v>75000</v>
      </c>
      <c r="M1859" s="212" t="str">
        <f t="shared" si="4"/>
        <v>n/a</v>
      </c>
      <c r="N1859" s="6"/>
      <c r="O1859" s="6"/>
    </row>
    <row r="1860">
      <c r="A1860" s="207">
        <v>125.0</v>
      </c>
      <c r="B1860" s="6" t="str">
        <f>VLOOKUP($A1860, 'Completion rates'!$A:$E, 2, FALSE)</f>
        <v>Collecting anima-infused bark (forestry)</v>
      </c>
      <c r="C1860" s="207">
        <v>28620.0</v>
      </c>
      <c r="D1860" s="6" t="str">
        <f>VLOOKUP($C1860, 'List of log slots'!$A:$E, 2, FALSE)</f>
        <v>Pheasant hat</v>
      </c>
      <c r="E1860" s="207">
        <f>VLOOKUP($C1860, 'List of log slots'!$A:$E, 5, FALSE)</f>
        <v>2</v>
      </c>
      <c r="F1860" s="213" t="b">
        <f>VLOOKUP(C1860, 'List of log slots'!$A:$C, 3, FALSE)</f>
        <v>0</v>
      </c>
      <c r="G1860" s="209" t="b">
        <f t="shared" si="1396"/>
        <v>0</v>
      </c>
      <c r="H1860" s="209" t="b">
        <f t="shared" si="7"/>
        <v>1</v>
      </c>
      <c r="I1860" s="208" t="b">
        <f t="shared" ref="I1860:I1893" si="1419">FALSE</f>
        <v>0</v>
      </c>
      <c r="J1860" s="213" t="b">
        <f t="shared" ref="J1860:J1863" si="1420">TRUE</f>
        <v>1</v>
      </c>
      <c r="K1860" s="214">
        <v>1500.0</v>
      </c>
      <c r="L1860" s="212" t="str">
        <f t="shared" si="3"/>
        <v>n/a</v>
      </c>
      <c r="M1860" s="212" t="str">
        <f t="shared" si="4"/>
        <v>n/a</v>
      </c>
      <c r="N1860" s="207">
        <f t="shared" ref="N1860:N2487" si="1421">IF(AND(NOT($I1860), $J1860), $K1860, "n/a")</f>
        <v>1500</v>
      </c>
      <c r="O1860" s="207" t="str">
        <f t="shared" ref="O1860:O2487" si="1422">IF(AND(NOT($I1860), NOT($J1860)), 1/$K1860, "n/a")</f>
        <v>n/a</v>
      </c>
    </row>
    <row r="1861">
      <c r="A1861" s="207">
        <v>125.0</v>
      </c>
      <c r="B1861" s="6" t="str">
        <f>VLOOKUP($A1861, 'Completion rates'!$A:$E, 2, FALSE)</f>
        <v>Collecting anima-infused bark (forestry)</v>
      </c>
      <c r="C1861" s="207">
        <v>28622.0</v>
      </c>
      <c r="D1861" s="6" t="str">
        <f>VLOOKUP($C1861, 'List of log slots'!$A:$E, 2, FALSE)</f>
        <v>Pheasant legs</v>
      </c>
      <c r="E1861" s="207">
        <f>VLOOKUP($C1861, 'List of log slots'!$A:$E, 5, FALSE)</f>
        <v>2</v>
      </c>
      <c r="F1861" s="213" t="b">
        <f>VLOOKUP(C1861, 'List of log slots'!$A:$C, 3, FALSE)</f>
        <v>0</v>
      </c>
      <c r="G1861" s="209" t="b">
        <f t="shared" si="1396"/>
        <v>0</v>
      </c>
      <c r="H1861" s="209" t="b">
        <f t="shared" si="7"/>
        <v>1</v>
      </c>
      <c r="I1861" s="208" t="b">
        <f t="shared" si="1419"/>
        <v>0</v>
      </c>
      <c r="J1861" s="213" t="b">
        <f t="shared" si="1420"/>
        <v>1</v>
      </c>
      <c r="K1861" s="214">
        <v>1500.0</v>
      </c>
      <c r="L1861" s="212" t="str">
        <f t="shared" si="3"/>
        <v>n/a</v>
      </c>
      <c r="M1861" s="212" t="str">
        <f t="shared" si="4"/>
        <v>n/a</v>
      </c>
      <c r="N1861" s="207">
        <f t="shared" si="1421"/>
        <v>1500</v>
      </c>
      <c r="O1861" s="207" t="str">
        <f t="shared" si="1422"/>
        <v>n/a</v>
      </c>
    </row>
    <row r="1862">
      <c r="A1862" s="207">
        <v>125.0</v>
      </c>
      <c r="B1862" s="6" t="str">
        <f>VLOOKUP($A1862, 'Completion rates'!$A:$E, 2, FALSE)</f>
        <v>Collecting anima-infused bark (forestry)</v>
      </c>
      <c r="C1862" s="207">
        <v>28618.0</v>
      </c>
      <c r="D1862" s="6" t="str">
        <f>VLOOKUP($C1862, 'List of log slots'!$A:$E, 2, FALSE)</f>
        <v>Pheasant boots</v>
      </c>
      <c r="E1862" s="207">
        <f>VLOOKUP($C1862, 'List of log slots'!$A:$E, 5, FALSE)</f>
        <v>2</v>
      </c>
      <c r="F1862" s="213" t="b">
        <f>VLOOKUP(C1862, 'List of log slots'!$A:$C, 3, FALSE)</f>
        <v>0</v>
      </c>
      <c r="G1862" s="209" t="b">
        <f t="shared" si="1396"/>
        <v>0</v>
      </c>
      <c r="H1862" s="209" t="b">
        <f t="shared" si="7"/>
        <v>1</v>
      </c>
      <c r="I1862" s="208" t="b">
        <f t="shared" si="1419"/>
        <v>0</v>
      </c>
      <c r="J1862" s="213" t="b">
        <f t="shared" si="1420"/>
        <v>1</v>
      </c>
      <c r="K1862" s="214">
        <v>1500.0</v>
      </c>
      <c r="L1862" s="212" t="str">
        <f t="shared" si="3"/>
        <v>n/a</v>
      </c>
      <c r="M1862" s="212" t="str">
        <f t="shared" si="4"/>
        <v>n/a</v>
      </c>
      <c r="N1862" s="207">
        <f t="shared" si="1421"/>
        <v>1500</v>
      </c>
      <c r="O1862" s="207" t="str">
        <f t="shared" si="1422"/>
        <v>n/a</v>
      </c>
    </row>
    <row r="1863">
      <c r="A1863" s="207">
        <v>125.0</v>
      </c>
      <c r="B1863" s="6" t="str">
        <f>VLOOKUP($A1863, 'Completion rates'!$A:$E, 2, FALSE)</f>
        <v>Collecting anima-infused bark (forestry)</v>
      </c>
      <c r="C1863" s="207">
        <v>28616.0</v>
      </c>
      <c r="D1863" s="6" t="str">
        <f>VLOOKUP($C1863, 'List of log slots'!$A:$E, 2, FALSE)</f>
        <v>Pheasant cape</v>
      </c>
      <c r="E1863" s="207">
        <f>VLOOKUP($C1863, 'List of log slots'!$A:$E, 5, FALSE)</f>
        <v>2</v>
      </c>
      <c r="F1863" s="213" t="b">
        <f>VLOOKUP(C1863, 'List of log slots'!$A:$C, 3, FALSE)</f>
        <v>0</v>
      </c>
      <c r="G1863" s="209" t="b">
        <f t="shared" si="1396"/>
        <v>0</v>
      </c>
      <c r="H1863" s="209" t="b">
        <f t="shared" si="7"/>
        <v>1</v>
      </c>
      <c r="I1863" s="208" t="b">
        <f t="shared" si="1419"/>
        <v>0</v>
      </c>
      <c r="J1863" s="213" t="b">
        <f t="shared" si="1420"/>
        <v>1</v>
      </c>
      <c r="K1863" s="214">
        <v>1500.0</v>
      </c>
      <c r="L1863" s="212" t="str">
        <f t="shared" si="3"/>
        <v>n/a</v>
      </c>
      <c r="M1863" s="212" t="str">
        <f t="shared" si="4"/>
        <v>n/a</v>
      </c>
      <c r="N1863" s="207">
        <f t="shared" si="1421"/>
        <v>1500</v>
      </c>
      <c r="O1863" s="207" t="str">
        <f t="shared" si="1422"/>
        <v>n/a</v>
      </c>
    </row>
    <row r="1864">
      <c r="A1864" s="207">
        <v>125.0</v>
      </c>
      <c r="B1864" s="6" t="str">
        <f>VLOOKUP($A1864, 'Completion rates'!$A:$E, 2, FALSE)</f>
        <v>Collecting anima-infused bark (forestry)</v>
      </c>
      <c r="C1864" s="207">
        <v>28655.0</v>
      </c>
      <c r="D1864" s="6" t="str">
        <f>VLOOKUP($C1864, 'List of log slots'!$A:$E, 2, FALSE)</f>
        <v>Petal garland</v>
      </c>
      <c r="E1864" s="207">
        <f>VLOOKUP($C1864, 'List of log slots'!$A:$E, 5, FALSE)</f>
        <v>4</v>
      </c>
      <c r="F1864" s="208" t="b">
        <f>VLOOKUP(C1864, 'List of log slots'!$A:$C, 3, FALSE)</f>
        <v>0</v>
      </c>
      <c r="G1864" s="209" t="b">
        <f t="shared" si="1396"/>
        <v>0</v>
      </c>
      <c r="H1864" s="210" t="b">
        <f t="shared" si="7"/>
        <v>1</v>
      </c>
      <c r="I1864" s="208" t="b">
        <f t="shared" si="1419"/>
        <v>0</v>
      </c>
      <c r="J1864" s="208" t="b">
        <f t="shared" ref="J1864:J1869" si="1423">FALSE</f>
        <v>0</v>
      </c>
      <c r="K1864" s="214">
        <v>81000.0</v>
      </c>
      <c r="L1864" s="212" t="str">
        <f t="shared" si="3"/>
        <v>n/a</v>
      </c>
      <c r="M1864" s="212" t="str">
        <f t="shared" si="4"/>
        <v>n/a</v>
      </c>
      <c r="N1864" s="207" t="str">
        <f t="shared" si="1421"/>
        <v>n/a</v>
      </c>
      <c r="O1864" s="207">
        <f t="shared" si="1422"/>
        <v>0.00001234567901</v>
      </c>
    </row>
    <row r="1865">
      <c r="A1865" s="207">
        <v>125.0</v>
      </c>
      <c r="B1865" s="6" t="str">
        <f>VLOOKUP($A1865, 'Completion rates'!$A:$E, 2, FALSE)</f>
        <v>Collecting anima-infused bark (forestry)</v>
      </c>
      <c r="C1865" s="207">
        <v>28674.0</v>
      </c>
      <c r="D1865" s="6" t="str">
        <f>VLOOKUP($C1865, 'List of log slots'!$A:$E, 2, FALSE)</f>
        <v>Sturdy beehive parts</v>
      </c>
      <c r="E1865" s="207">
        <f>VLOOKUP($C1865, 'List of log slots'!$A:$E, 5, FALSE)</f>
        <v>2</v>
      </c>
      <c r="F1865" s="213" t="b">
        <f>VLOOKUP(C1865, 'List of log slots'!$A:$C, 3, FALSE)</f>
        <v>0</v>
      </c>
      <c r="G1865" s="209" t="b">
        <f t="shared" si="1396"/>
        <v>0</v>
      </c>
      <c r="H1865" s="209" t="b">
        <f t="shared" si="7"/>
        <v>1</v>
      </c>
      <c r="I1865" s="208" t="b">
        <f t="shared" si="1419"/>
        <v>0</v>
      </c>
      <c r="J1865" s="208" t="b">
        <f t="shared" si="1423"/>
        <v>0</v>
      </c>
      <c r="K1865" s="214">
        <v>1500.0</v>
      </c>
      <c r="L1865" s="212" t="str">
        <f t="shared" si="3"/>
        <v>n/a</v>
      </c>
      <c r="M1865" s="212" t="str">
        <f t="shared" si="4"/>
        <v>n/a</v>
      </c>
      <c r="N1865" s="207" t="str">
        <f t="shared" si="1421"/>
        <v>n/a</v>
      </c>
      <c r="O1865" s="207">
        <f t="shared" si="1422"/>
        <v>0.0006666666667</v>
      </c>
    </row>
    <row r="1866">
      <c r="A1866" s="207">
        <v>126.0</v>
      </c>
      <c r="B1866" s="6" t="str">
        <f>VLOOKUP($A1866, 'Completion rates'!$A:$E, 2, FALSE)</f>
        <v>Doing entling events for god eggs</v>
      </c>
      <c r="C1866" s="207">
        <v>20439.0</v>
      </c>
      <c r="D1866" s="6" t="str">
        <f>VLOOKUP($C1866, 'List of log slots'!$A:$E, 2, FALSE)</f>
        <v>Evil chicken head</v>
      </c>
      <c r="E1866" s="207">
        <f>VLOOKUP($C1866, 'List of log slots'!$A:$E, 5, FALSE)</f>
        <v>7</v>
      </c>
      <c r="F1866" s="208" t="b">
        <f>VLOOKUP(C1866, 'List of log slots'!$A:$C, 3, FALSE)</f>
        <v>0</v>
      </c>
      <c r="G1866" s="209" t="b">
        <f t="shared" si="1396"/>
        <v>0</v>
      </c>
      <c r="H1866" s="210" t="b">
        <f t="shared" si="7"/>
        <v>1</v>
      </c>
      <c r="I1866" s="208" t="b">
        <f t="shared" si="1419"/>
        <v>0</v>
      </c>
      <c r="J1866" s="208" t="b">
        <f t="shared" si="1423"/>
        <v>0</v>
      </c>
      <c r="K1866" s="214">
        <v>1200.0</v>
      </c>
      <c r="L1866" s="212" t="str">
        <f t="shared" si="3"/>
        <v>n/a</v>
      </c>
      <c r="M1866" s="212" t="str">
        <f t="shared" si="4"/>
        <v>n/a</v>
      </c>
      <c r="N1866" s="207" t="str">
        <f t="shared" si="1421"/>
        <v>n/a</v>
      </c>
      <c r="O1866" s="207">
        <f t="shared" si="1422"/>
        <v>0.0008333333333</v>
      </c>
    </row>
    <row r="1867">
      <c r="A1867" s="207">
        <v>126.0</v>
      </c>
      <c r="B1867" s="6" t="str">
        <f>VLOOKUP($A1867, 'Completion rates'!$A:$E, 2, FALSE)</f>
        <v>Doing entling events for god eggs</v>
      </c>
      <c r="C1867" s="207">
        <v>20436.0</v>
      </c>
      <c r="D1867" s="6" t="str">
        <f>VLOOKUP($C1867, 'List of log slots'!$A:$E, 2, FALSE)</f>
        <v>Evil chicken wings</v>
      </c>
      <c r="E1867" s="207">
        <f>VLOOKUP($C1867, 'List of log slots'!$A:$E, 5, FALSE)</f>
        <v>7</v>
      </c>
      <c r="F1867" s="208" t="b">
        <f>VLOOKUP(C1867, 'List of log slots'!$A:$C, 3, FALSE)</f>
        <v>0</v>
      </c>
      <c r="G1867" s="209" t="b">
        <f t="shared" si="1396"/>
        <v>0</v>
      </c>
      <c r="H1867" s="210" t="b">
        <f t="shared" si="7"/>
        <v>1</v>
      </c>
      <c r="I1867" s="208" t="b">
        <f t="shared" si="1419"/>
        <v>0</v>
      </c>
      <c r="J1867" s="208" t="b">
        <f t="shared" si="1423"/>
        <v>0</v>
      </c>
      <c r="K1867" s="214">
        <v>1200.0</v>
      </c>
      <c r="L1867" s="212" t="str">
        <f t="shared" si="3"/>
        <v>n/a</v>
      </c>
      <c r="M1867" s="212" t="str">
        <f t="shared" si="4"/>
        <v>n/a</v>
      </c>
      <c r="N1867" s="207" t="str">
        <f t="shared" si="1421"/>
        <v>n/a</v>
      </c>
      <c r="O1867" s="207">
        <f t="shared" si="1422"/>
        <v>0.0008333333333</v>
      </c>
    </row>
    <row r="1868">
      <c r="A1868" s="207">
        <v>126.0</v>
      </c>
      <c r="B1868" s="6" t="str">
        <f>VLOOKUP($A1868, 'Completion rates'!$A:$E, 2, FALSE)</f>
        <v>Doing entling events for god eggs</v>
      </c>
      <c r="C1868" s="207">
        <v>20442.0</v>
      </c>
      <c r="D1868" s="6" t="str">
        <f>VLOOKUP($C1868, 'List of log slots'!$A:$E, 2, FALSE)</f>
        <v>Evil chicken legs</v>
      </c>
      <c r="E1868" s="207">
        <f>VLOOKUP($C1868, 'List of log slots'!$A:$E, 5, FALSE)</f>
        <v>7</v>
      </c>
      <c r="F1868" s="208" t="b">
        <f>VLOOKUP(C1868, 'List of log slots'!$A:$C, 3, FALSE)</f>
        <v>0</v>
      </c>
      <c r="G1868" s="209" t="b">
        <f t="shared" si="1396"/>
        <v>0</v>
      </c>
      <c r="H1868" s="210" t="b">
        <f t="shared" si="7"/>
        <v>1</v>
      </c>
      <c r="I1868" s="208" t="b">
        <f t="shared" si="1419"/>
        <v>0</v>
      </c>
      <c r="J1868" s="208" t="b">
        <f t="shared" si="1423"/>
        <v>0</v>
      </c>
      <c r="K1868" s="214">
        <v>1200.0</v>
      </c>
      <c r="L1868" s="212" t="str">
        <f t="shared" si="3"/>
        <v>n/a</v>
      </c>
      <c r="M1868" s="212" t="str">
        <f t="shared" si="4"/>
        <v>n/a</v>
      </c>
      <c r="N1868" s="207" t="str">
        <f t="shared" si="1421"/>
        <v>n/a</v>
      </c>
      <c r="O1868" s="207">
        <f t="shared" si="1422"/>
        <v>0.0008333333333</v>
      </c>
    </row>
    <row r="1869">
      <c r="A1869" s="207">
        <v>126.0</v>
      </c>
      <c r="B1869" s="6" t="str">
        <f>VLOOKUP($A1869, 'Completion rates'!$A:$E, 2, FALSE)</f>
        <v>Doing entling events for god eggs</v>
      </c>
      <c r="C1869" s="207">
        <v>20433.0</v>
      </c>
      <c r="D1869" s="6" t="str">
        <f>VLOOKUP($C1869, 'List of log slots'!$A:$E, 2, FALSE)</f>
        <v>Evil chicken feet</v>
      </c>
      <c r="E1869" s="207">
        <f>VLOOKUP($C1869, 'List of log slots'!$A:$E, 5, FALSE)</f>
        <v>7</v>
      </c>
      <c r="F1869" s="208" t="b">
        <f>VLOOKUP(C1869, 'List of log slots'!$A:$C, 3, FALSE)</f>
        <v>0</v>
      </c>
      <c r="G1869" s="209" t="b">
        <f t="shared" si="1396"/>
        <v>0</v>
      </c>
      <c r="H1869" s="210" t="b">
        <f t="shared" si="7"/>
        <v>1</v>
      </c>
      <c r="I1869" s="208" t="b">
        <f t="shared" si="1419"/>
        <v>0</v>
      </c>
      <c r="J1869" s="208" t="b">
        <f t="shared" si="1423"/>
        <v>0</v>
      </c>
      <c r="K1869" s="214">
        <v>1200.0</v>
      </c>
      <c r="L1869" s="212" t="str">
        <f t="shared" si="3"/>
        <v>n/a</v>
      </c>
      <c r="M1869" s="212" t="str">
        <f t="shared" si="4"/>
        <v>n/a</v>
      </c>
      <c r="N1869" s="207" t="str">
        <f t="shared" si="1421"/>
        <v>n/a</v>
      </c>
      <c r="O1869" s="207">
        <f t="shared" si="1422"/>
        <v>0.0008333333333</v>
      </c>
    </row>
    <row r="1870">
      <c r="A1870" s="207">
        <v>127.0</v>
      </c>
      <c r="B1870" s="6" t="str">
        <f>VLOOKUP($A1870, 'Completion rates'!$A:$E, 2, FALSE)</f>
        <v>Spending 100 numulite at the fossil island notes chest</v>
      </c>
      <c r="C1870" s="207">
        <v>21664.0</v>
      </c>
      <c r="D1870" s="6" t="str">
        <f>VLOOKUP($C1870, 'List of log slots'!$A:$E, 2, FALSE)</f>
        <v>Scribbled note</v>
      </c>
      <c r="E1870" s="207">
        <f>VLOOKUP($C1870, 'List of log slots'!$A:$E, 5, FALSE)</f>
        <v>2</v>
      </c>
      <c r="F1870" s="213" t="b">
        <f>VLOOKUP(C1870, 'List of log slots'!$A:$C, 3, FALSE)</f>
        <v>0</v>
      </c>
      <c r="G1870" s="209" t="b">
        <f t="shared" si="1396"/>
        <v>0</v>
      </c>
      <c r="H1870" s="209" t="b">
        <f t="shared" si="7"/>
        <v>1</v>
      </c>
      <c r="I1870" s="208" t="b">
        <f t="shared" si="1419"/>
        <v>0</v>
      </c>
      <c r="J1870" s="213" t="b">
        <f t="shared" ref="J1870:J1879" si="1424">TRUE</f>
        <v>1</v>
      </c>
      <c r="K1870" s="214">
        <v>3.0</v>
      </c>
      <c r="L1870" s="212" t="str">
        <f t="shared" si="3"/>
        <v>n/a</v>
      </c>
      <c r="M1870" s="212" t="str">
        <f t="shared" si="4"/>
        <v>n/a</v>
      </c>
      <c r="N1870" s="207">
        <f t="shared" si="1421"/>
        <v>3</v>
      </c>
      <c r="O1870" s="207" t="str">
        <f t="shared" si="1422"/>
        <v>n/a</v>
      </c>
    </row>
    <row r="1871">
      <c r="A1871" s="207">
        <v>127.0</v>
      </c>
      <c r="B1871" s="6" t="str">
        <f>VLOOKUP($A1871, 'Completion rates'!$A:$E, 2, FALSE)</f>
        <v>Spending 100 numulite at the fossil island notes chest</v>
      </c>
      <c r="C1871" s="207">
        <v>21666.0</v>
      </c>
      <c r="D1871" s="6" t="str">
        <f>VLOOKUP($C1871, 'List of log slots'!$A:$E, 2, FALSE)</f>
        <v>Partial note</v>
      </c>
      <c r="E1871" s="207">
        <f>VLOOKUP($C1871, 'List of log slots'!$A:$E, 5, FALSE)</f>
        <v>2</v>
      </c>
      <c r="F1871" s="213" t="b">
        <f>VLOOKUP(C1871, 'List of log slots'!$A:$C, 3, FALSE)</f>
        <v>0</v>
      </c>
      <c r="G1871" s="209" t="b">
        <f t="shared" si="1396"/>
        <v>0</v>
      </c>
      <c r="H1871" s="209" t="b">
        <f t="shared" si="7"/>
        <v>1</v>
      </c>
      <c r="I1871" s="208" t="b">
        <f t="shared" si="1419"/>
        <v>0</v>
      </c>
      <c r="J1871" s="213" t="b">
        <f t="shared" si="1424"/>
        <v>1</v>
      </c>
      <c r="K1871" s="214">
        <v>3.0</v>
      </c>
      <c r="L1871" s="212" t="str">
        <f t="shared" si="3"/>
        <v>n/a</v>
      </c>
      <c r="M1871" s="212" t="str">
        <f t="shared" si="4"/>
        <v>n/a</v>
      </c>
      <c r="N1871" s="207">
        <f t="shared" si="1421"/>
        <v>3</v>
      </c>
      <c r="O1871" s="207" t="str">
        <f t="shared" si="1422"/>
        <v>n/a</v>
      </c>
    </row>
    <row r="1872">
      <c r="A1872" s="207">
        <v>127.0</v>
      </c>
      <c r="B1872" s="6" t="str">
        <f>VLOOKUP($A1872, 'Completion rates'!$A:$E, 2, FALSE)</f>
        <v>Spending 100 numulite at the fossil island notes chest</v>
      </c>
      <c r="C1872" s="207">
        <v>21668.0</v>
      </c>
      <c r="D1872" s="6" t="str">
        <f>VLOOKUP($C1872, 'List of log slots'!$A:$E, 2, FALSE)</f>
        <v>Ancient note</v>
      </c>
      <c r="E1872" s="207">
        <f>VLOOKUP($C1872, 'List of log slots'!$A:$E, 5, FALSE)</f>
        <v>2</v>
      </c>
      <c r="F1872" s="213" t="b">
        <f>VLOOKUP(C1872, 'List of log slots'!$A:$C, 3, FALSE)</f>
        <v>0</v>
      </c>
      <c r="G1872" s="209" t="b">
        <f t="shared" si="1396"/>
        <v>0</v>
      </c>
      <c r="H1872" s="209" t="b">
        <f t="shared" si="7"/>
        <v>1</v>
      </c>
      <c r="I1872" s="208" t="b">
        <f t="shared" si="1419"/>
        <v>0</v>
      </c>
      <c r="J1872" s="213" t="b">
        <f t="shared" si="1424"/>
        <v>1</v>
      </c>
      <c r="K1872" s="214">
        <v>3.0</v>
      </c>
      <c r="L1872" s="212" t="str">
        <f t="shared" si="3"/>
        <v>n/a</v>
      </c>
      <c r="M1872" s="212" t="str">
        <f t="shared" si="4"/>
        <v>n/a</v>
      </c>
      <c r="N1872" s="207">
        <f t="shared" si="1421"/>
        <v>3</v>
      </c>
      <c r="O1872" s="207" t="str">
        <f t="shared" si="1422"/>
        <v>n/a</v>
      </c>
    </row>
    <row r="1873">
      <c r="A1873" s="207">
        <v>127.0</v>
      </c>
      <c r="B1873" s="6" t="str">
        <f>VLOOKUP($A1873, 'Completion rates'!$A:$E, 2, FALSE)</f>
        <v>Spending 100 numulite at the fossil island notes chest</v>
      </c>
      <c r="C1873" s="207">
        <v>21670.0</v>
      </c>
      <c r="D1873" s="6" t="str">
        <f>VLOOKUP($C1873, 'List of log slots'!$A:$E, 2, FALSE)</f>
        <v>Ancient writings</v>
      </c>
      <c r="E1873" s="207">
        <f>VLOOKUP($C1873, 'List of log slots'!$A:$E, 5, FALSE)</f>
        <v>2</v>
      </c>
      <c r="F1873" s="213" t="b">
        <f>VLOOKUP(C1873, 'List of log slots'!$A:$C, 3, FALSE)</f>
        <v>0</v>
      </c>
      <c r="G1873" s="209" t="b">
        <f t="shared" si="1396"/>
        <v>0</v>
      </c>
      <c r="H1873" s="209" t="b">
        <f t="shared" si="7"/>
        <v>1</v>
      </c>
      <c r="I1873" s="208" t="b">
        <f t="shared" si="1419"/>
        <v>0</v>
      </c>
      <c r="J1873" s="213" t="b">
        <f t="shared" si="1424"/>
        <v>1</v>
      </c>
      <c r="K1873" s="214">
        <v>3.0</v>
      </c>
      <c r="L1873" s="212" t="str">
        <f t="shared" si="3"/>
        <v>n/a</v>
      </c>
      <c r="M1873" s="212" t="str">
        <f t="shared" si="4"/>
        <v>n/a</v>
      </c>
      <c r="N1873" s="207">
        <f t="shared" si="1421"/>
        <v>3</v>
      </c>
      <c r="O1873" s="207" t="str">
        <f t="shared" si="1422"/>
        <v>n/a</v>
      </c>
    </row>
    <row r="1874">
      <c r="A1874" s="207">
        <v>127.0</v>
      </c>
      <c r="B1874" s="6" t="str">
        <f>VLOOKUP($A1874, 'Completion rates'!$A:$E, 2, FALSE)</f>
        <v>Spending 100 numulite at the fossil island notes chest</v>
      </c>
      <c r="C1874" s="207">
        <v>21672.0</v>
      </c>
      <c r="D1874" s="6" t="str">
        <f>VLOOKUP($C1874, 'List of log slots'!$A:$E, 2, FALSE)</f>
        <v>Experimental note</v>
      </c>
      <c r="E1874" s="207">
        <f>VLOOKUP($C1874, 'List of log slots'!$A:$E, 5, FALSE)</f>
        <v>2</v>
      </c>
      <c r="F1874" s="213" t="b">
        <f>VLOOKUP(C1874, 'List of log slots'!$A:$C, 3, FALSE)</f>
        <v>0</v>
      </c>
      <c r="G1874" s="209" t="b">
        <f t="shared" si="1396"/>
        <v>0</v>
      </c>
      <c r="H1874" s="209" t="b">
        <f t="shared" si="7"/>
        <v>1</v>
      </c>
      <c r="I1874" s="208" t="b">
        <f t="shared" si="1419"/>
        <v>0</v>
      </c>
      <c r="J1874" s="213" t="b">
        <f t="shared" si="1424"/>
        <v>1</v>
      </c>
      <c r="K1874" s="214">
        <v>3.0</v>
      </c>
      <c r="L1874" s="212" t="str">
        <f t="shared" si="3"/>
        <v>n/a</v>
      </c>
      <c r="M1874" s="212" t="str">
        <f t="shared" si="4"/>
        <v>n/a</v>
      </c>
      <c r="N1874" s="207">
        <f t="shared" si="1421"/>
        <v>3</v>
      </c>
      <c r="O1874" s="207" t="str">
        <f t="shared" si="1422"/>
        <v>n/a</v>
      </c>
    </row>
    <row r="1875">
      <c r="A1875" s="207">
        <v>127.0</v>
      </c>
      <c r="B1875" s="6" t="str">
        <f>VLOOKUP($A1875, 'Completion rates'!$A:$E, 2, FALSE)</f>
        <v>Spending 100 numulite at the fossil island notes chest</v>
      </c>
      <c r="C1875" s="207">
        <v>21674.0</v>
      </c>
      <c r="D1875" s="6" t="str">
        <f>VLOOKUP($C1875, 'List of log slots'!$A:$E, 2, FALSE)</f>
        <v>Paragraph of text</v>
      </c>
      <c r="E1875" s="207">
        <f>VLOOKUP($C1875, 'List of log slots'!$A:$E, 5, FALSE)</f>
        <v>2</v>
      </c>
      <c r="F1875" s="213" t="b">
        <f>VLOOKUP(C1875, 'List of log slots'!$A:$C, 3, FALSE)</f>
        <v>0</v>
      </c>
      <c r="G1875" s="209" t="b">
        <f t="shared" si="1396"/>
        <v>0</v>
      </c>
      <c r="H1875" s="209" t="b">
        <f t="shared" si="7"/>
        <v>1</v>
      </c>
      <c r="I1875" s="208" t="b">
        <f t="shared" si="1419"/>
        <v>0</v>
      </c>
      <c r="J1875" s="213" t="b">
        <f t="shared" si="1424"/>
        <v>1</v>
      </c>
      <c r="K1875" s="214">
        <v>3.0</v>
      </c>
      <c r="L1875" s="212" t="str">
        <f t="shared" si="3"/>
        <v>n/a</v>
      </c>
      <c r="M1875" s="212" t="str">
        <f t="shared" si="4"/>
        <v>n/a</v>
      </c>
      <c r="N1875" s="207">
        <f t="shared" si="1421"/>
        <v>3</v>
      </c>
      <c r="O1875" s="207" t="str">
        <f t="shared" si="1422"/>
        <v>n/a</v>
      </c>
    </row>
    <row r="1876">
      <c r="A1876" s="207">
        <v>127.0</v>
      </c>
      <c r="B1876" s="6" t="str">
        <f>VLOOKUP($A1876, 'Completion rates'!$A:$E, 2, FALSE)</f>
        <v>Spending 100 numulite at the fossil island notes chest</v>
      </c>
      <c r="C1876" s="207">
        <v>21676.0</v>
      </c>
      <c r="D1876" s="6" t="str">
        <f>VLOOKUP($C1876, 'List of log slots'!$A:$E, 2, FALSE)</f>
        <v>Musty smelling note</v>
      </c>
      <c r="E1876" s="207">
        <f>VLOOKUP($C1876, 'List of log slots'!$A:$E, 5, FALSE)</f>
        <v>2</v>
      </c>
      <c r="F1876" s="213" t="b">
        <f>VLOOKUP(C1876, 'List of log slots'!$A:$C, 3, FALSE)</f>
        <v>0</v>
      </c>
      <c r="G1876" s="209" t="b">
        <f t="shared" si="1396"/>
        <v>0</v>
      </c>
      <c r="H1876" s="209" t="b">
        <f t="shared" si="7"/>
        <v>1</v>
      </c>
      <c r="I1876" s="208" t="b">
        <f t="shared" si="1419"/>
        <v>0</v>
      </c>
      <c r="J1876" s="213" t="b">
        <f t="shared" si="1424"/>
        <v>1</v>
      </c>
      <c r="K1876" s="214">
        <v>3.0</v>
      </c>
      <c r="L1876" s="212" t="str">
        <f t="shared" si="3"/>
        <v>n/a</v>
      </c>
      <c r="M1876" s="212" t="str">
        <f t="shared" si="4"/>
        <v>n/a</v>
      </c>
      <c r="N1876" s="207">
        <f t="shared" si="1421"/>
        <v>3</v>
      </c>
      <c r="O1876" s="207" t="str">
        <f t="shared" si="1422"/>
        <v>n/a</v>
      </c>
    </row>
    <row r="1877">
      <c r="A1877" s="207">
        <v>127.0</v>
      </c>
      <c r="B1877" s="6" t="str">
        <f>VLOOKUP($A1877, 'Completion rates'!$A:$E, 2, FALSE)</f>
        <v>Spending 100 numulite at the fossil island notes chest</v>
      </c>
      <c r="C1877" s="207">
        <v>21678.0</v>
      </c>
      <c r="D1877" s="6" t="str">
        <f>VLOOKUP($C1877, 'List of log slots'!$A:$E, 2, FALSE)</f>
        <v>Hastily scrawled note</v>
      </c>
      <c r="E1877" s="207">
        <f>VLOOKUP($C1877, 'List of log slots'!$A:$E, 5, FALSE)</f>
        <v>2</v>
      </c>
      <c r="F1877" s="213" t="b">
        <f>VLOOKUP(C1877, 'List of log slots'!$A:$C, 3, FALSE)</f>
        <v>0</v>
      </c>
      <c r="G1877" s="209" t="b">
        <f t="shared" si="1396"/>
        <v>0</v>
      </c>
      <c r="H1877" s="209" t="b">
        <f t="shared" si="7"/>
        <v>1</v>
      </c>
      <c r="I1877" s="208" t="b">
        <f t="shared" si="1419"/>
        <v>0</v>
      </c>
      <c r="J1877" s="213" t="b">
        <f t="shared" si="1424"/>
        <v>1</v>
      </c>
      <c r="K1877" s="214">
        <v>3.0</v>
      </c>
      <c r="L1877" s="212" t="str">
        <f t="shared" si="3"/>
        <v>n/a</v>
      </c>
      <c r="M1877" s="212" t="str">
        <f t="shared" si="4"/>
        <v>n/a</v>
      </c>
      <c r="N1877" s="207">
        <f t="shared" si="1421"/>
        <v>3</v>
      </c>
      <c r="O1877" s="207" t="str">
        <f t="shared" si="1422"/>
        <v>n/a</v>
      </c>
    </row>
    <row r="1878">
      <c r="A1878" s="207">
        <v>127.0</v>
      </c>
      <c r="B1878" s="6" t="str">
        <f>VLOOKUP($A1878, 'Completion rates'!$A:$E, 2, FALSE)</f>
        <v>Spending 100 numulite at the fossil island notes chest</v>
      </c>
      <c r="C1878" s="207">
        <v>21680.0</v>
      </c>
      <c r="D1878" s="6" t="str">
        <f>VLOOKUP($C1878, 'List of log slots'!$A:$E, 2, FALSE)</f>
        <v>Old writing</v>
      </c>
      <c r="E1878" s="207">
        <f>VLOOKUP($C1878, 'List of log slots'!$A:$E, 5, FALSE)</f>
        <v>2</v>
      </c>
      <c r="F1878" s="213" t="b">
        <f>VLOOKUP(C1878, 'List of log slots'!$A:$C, 3, FALSE)</f>
        <v>0</v>
      </c>
      <c r="G1878" s="209" t="b">
        <f t="shared" si="1396"/>
        <v>0</v>
      </c>
      <c r="H1878" s="209" t="b">
        <f t="shared" si="7"/>
        <v>1</v>
      </c>
      <c r="I1878" s="208" t="b">
        <f t="shared" si="1419"/>
        <v>0</v>
      </c>
      <c r="J1878" s="213" t="b">
        <f t="shared" si="1424"/>
        <v>1</v>
      </c>
      <c r="K1878" s="214">
        <v>3.0</v>
      </c>
      <c r="L1878" s="212" t="str">
        <f t="shared" si="3"/>
        <v>n/a</v>
      </c>
      <c r="M1878" s="212" t="str">
        <f t="shared" si="4"/>
        <v>n/a</v>
      </c>
      <c r="N1878" s="207">
        <f t="shared" si="1421"/>
        <v>3</v>
      </c>
      <c r="O1878" s="207" t="str">
        <f t="shared" si="1422"/>
        <v>n/a</v>
      </c>
    </row>
    <row r="1879">
      <c r="A1879" s="207">
        <v>127.0</v>
      </c>
      <c r="B1879" s="6" t="str">
        <f>VLOOKUP($A1879, 'Completion rates'!$A:$E, 2, FALSE)</f>
        <v>Spending 100 numulite at the fossil island notes chest</v>
      </c>
      <c r="C1879" s="207">
        <v>21682.0</v>
      </c>
      <c r="D1879" s="6" t="str">
        <f>VLOOKUP($C1879, 'List of log slots'!$A:$E, 2, FALSE)</f>
        <v>Short note</v>
      </c>
      <c r="E1879" s="207">
        <f>VLOOKUP($C1879, 'List of log slots'!$A:$E, 5, FALSE)</f>
        <v>2</v>
      </c>
      <c r="F1879" s="213" t="b">
        <f>VLOOKUP(C1879, 'List of log slots'!$A:$C, 3, FALSE)</f>
        <v>0</v>
      </c>
      <c r="G1879" s="209" t="b">
        <f t="shared" si="1396"/>
        <v>0</v>
      </c>
      <c r="H1879" s="209" t="b">
        <f t="shared" si="7"/>
        <v>1</v>
      </c>
      <c r="I1879" s="208" t="b">
        <f t="shared" si="1419"/>
        <v>0</v>
      </c>
      <c r="J1879" s="213" t="b">
        <f t="shared" si="1424"/>
        <v>1</v>
      </c>
      <c r="K1879" s="214">
        <v>3.0</v>
      </c>
      <c r="L1879" s="212" t="str">
        <f t="shared" si="3"/>
        <v>n/a</v>
      </c>
      <c r="M1879" s="212" t="str">
        <f t="shared" si="4"/>
        <v>n/a</v>
      </c>
      <c r="N1879" s="207">
        <f t="shared" si="1421"/>
        <v>3</v>
      </c>
      <c r="O1879" s="207" t="str">
        <f t="shared" si="1422"/>
        <v>n/a</v>
      </c>
    </row>
    <row r="1880">
      <c r="A1880" s="207">
        <v>128.0</v>
      </c>
      <c r="B1880" s="6" t="str">
        <f>VLOOKUP($A1880, 'Completion rates'!$A:$E, 2, FALSE)</f>
        <v>Killing demonic gorillas</v>
      </c>
      <c r="C1880" s="207">
        <v>19529.0</v>
      </c>
      <c r="D1880" s="6" t="str">
        <f>VLOOKUP($C1880, 'List of log slots'!$A:$E, 2, FALSE)</f>
        <v>Zenyte shard</v>
      </c>
      <c r="E1880" s="207">
        <f>VLOOKUP($C1880, 'List of log slots'!$A:$E, 5, FALSE)</f>
        <v>5</v>
      </c>
      <c r="F1880" s="213" t="b">
        <f>VLOOKUP(C1880, 'List of log slots'!$A:$C, 3, FALSE)</f>
        <v>0</v>
      </c>
      <c r="G1880" s="209" t="b">
        <f t="shared" si="1396"/>
        <v>0</v>
      </c>
      <c r="H1880" s="209" t="b">
        <f t="shared" si="7"/>
        <v>1</v>
      </c>
      <c r="I1880" s="208" t="b">
        <f t="shared" si="1419"/>
        <v>0</v>
      </c>
      <c r="J1880" s="208" t="b">
        <f t="shared" ref="J1880:J1893" si="1425">FALSE</f>
        <v>0</v>
      </c>
      <c r="K1880" s="214">
        <v>300.0</v>
      </c>
      <c r="L1880" s="212" t="str">
        <f t="shared" si="3"/>
        <v>n/a</v>
      </c>
      <c r="M1880" s="212" t="str">
        <f t="shared" si="4"/>
        <v>n/a</v>
      </c>
      <c r="N1880" s="207" t="str">
        <f t="shared" si="1421"/>
        <v>n/a</v>
      </c>
      <c r="O1880" s="207">
        <f t="shared" si="1422"/>
        <v>0.003333333333</v>
      </c>
    </row>
    <row r="1881">
      <c r="A1881" s="207">
        <v>128.0</v>
      </c>
      <c r="B1881" s="6" t="str">
        <f>VLOOKUP($A1881, 'Completion rates'!$A:$E, 2, FALSE)</f>
        <v>Killing demonic gorillas</v>
      </c>
      <c r="C1881" s="207">
        <v>19586.0</v>
      </c>
      <c r="D1881" s="6" t="str">
        <f>VLOOKUP($C1881, 'List of log slots'!$A:$E, 2, FALSE)</f>
        <v>Light frame</v>
      </c>
      <c r="E1881" s="207">
        <f>VLOOKUP($C1881, 'List of log slots'!$A:$E, 5, FALSE)</f>
        <v>5</v>
      </c>
      <c r="F1881" s="213" t="b">
        <f>VLOOKUP(C1881, 'List of log slots'!$A:$C, 3, FALSE)</f>
        <v>0</v>
      </c>
      <c r="G1881" s="209" t="b">
        <f t="shared" si="1396"/>
        <v>0</v>
      </c>
      <c r="H1881" s="209" t="b">
        <f t="shared" si="7"/>
        <v>1</v>
      </c>
      <c r="I1881" s="208" t="b">
        <f t="shared" si="1419"/>
        <v>0</v>
      </c>
      <c r="J1881" s="208" t="b">
        <f t="shared" si="1425"/>
        <v>0</v>
      </c>
      <c r="K1881" s="214">
        <v>750.0</v>
      </c>
      <c r="L1881" s="212" t="str">
        <f t="shared" si="3"/>
        <v>n/a</v>
      </c>
      <c r="M1881" s="212" t="str">
        <f t="shared" si="4"/>
        <v>n/a</v>
      </c>
      <c r="N1881" s="207" t="str">
        <f t="shared" si="1421"/>
        <v>n/a</v>
      </c>
      <c r="O1881" s="207">
        <f t="shared" si="1422"/>
        <v>0.001333333333</v>
      </c>
    </row>
    <row r="1882">
      <c r="A1882" s="207">
        <v>128.0</v>
      </c>
      <c r="B1882" s="6" t="str">
        <f>VLOOKUP($A1882, 'Completion rates'!$A:$E, 2, FALSE)</f>
        <v>Killing demonic gorillas</v>
      </c>
      <c r="C1882" s="207">
        <v>19589.0</v>
      </c>
      <c r="D1882" s="6" t="str">
        <f>VLOOKUP($C1882, 'List of log slots'!$A:$E, 2, FALSE)</f>
        <v>Heavy frame</v>
      </c>
      <c r="E1882" s="207">
        <f>VLOOKUP($C1882, 'List of log slots'!$A:$E, 5, FALSE)</f>
        <v>5</v>
      </c>
      <c r="F1882" s="208" t="b">
        <f>VLOOKUP(C1882, 'List of log slots'!$A:$C, 3, FALSE)</f>
        <v>0</v>
      </c>
      <c r="G1882" s="209" t="b">
        <f t="shared" si="1396"/>
        <v>0</v>
      </c>
      <c r="H1882" s="210" t="b">
        <f t="shared" si="7"/>
        <v>1</v>
      </c>
      <c r="I1882" s="208" t="b">
        <f t="shared" si="1419"/>
        <v>0</v>
      </c>
      <c r="J1882" s="208" t="b">
        <f t="shared" si="1425"/>
        <v>0</v>
      </c>
      <c r="K1882" s="214">
        <v>1500.0</v>
      </c>
      <c r="L1882" s="212" t="str">
        <f t="shared" si="3"/>
        <v>n/a</v>
      </c>
      <c r="M1882" s="212" t="str">
        <f t="shared" si="4"/>
        <v>n/a</v>
      </c>
      <c r="N1882" s="207" t="str">
        <f t="shared" si="1421"/>
        <v>n/a</v>
      </c>
      <c r="O1882" s="207">
        <f t="shared" si="1422"/>
        <v>0.0006666666667</v>
      </c>
    </row>
    <row r="1883">
      <c r="A1883" s="207">
        <v>128.0</v>
      </c>
      <c r="B1883" s="6" t="str">
        <f>VLOOKUP($A1883, 'Completion rates'!$A:$E, 2, FALSE)</f>
        <v>Killing demonic gorillas</v>
      </c>
      <c r="C1883" s="207">
        <v>19592.0</v>
      </c>
      <c r="D1883" s="6" t="str">
        <f>VLOOKUP($C1883, 'List of log slots'!$A:$E, 2, FALSE)</f>
        <v>Ballista limbs</v>
      </c>
      <c r="E1883" s="207">
        <f>VLOOKUP($C1883, 'List of log slots'!$A:$E, 5, FALSE)</f>
        <v>5</v>
      </c>
      <c r="F1883" s="208" t="b">
        <f>VLOOKUP(C1883, 'List of log slots'!$A:$C, 3, FALSE)</f>
        <v>0</v>
      </c>
      <c r="G1883" s="209" t="b">
        <f t="shared" si="1396"/>
        <v>0</v>
      </c>
      <c r="H1883" s="210" t="b">
        <f t="shared" si="7"/>
        <v>1</v>
      </c>
      <c r="I1883" s="208" t="b">
        <f t="shared" si="1419"/>
        <v>0</v>
      </c>
      <c r="J1883" s="208" t="b">
        <f t="shared" si="1425"/>
        <v>0</v>
      </c>
      <c r="K1883" s="214">
        <v>500.0</v>
      </c>
      <c r="L1883" s="212" t="str">
        <f t="shared" si="3"/>
        <v>n/a</v>
      </c>
      <c r="M1883" s="212" t="str">
        <f t="shared" si="4"/>
        <v>n/a</v>
      </c>
      <c r="N1883" s="207" t="str">
        <f t="shared" si="1421"/>
        <v>n/a</v>
      </c>
      <c r="O1883" s="207">
        <f t="shared" si="1422"/>
        <v>0.002</v>
      </c>
    </row>
    <row r="1884">
      <c r="A1884" s="207">
        <v>128.0</v>
      </c>
      <c r="B1884" s="6" t="str">
        <f>VLOOKUP($A1884, 'Completion rates'!$A:$E, 2, FALSE)</f>
        <v>Killing demonic gorillas</v>
      </c>
      <c r="C1884" s="207">
        <v>19610.0</v>
      </c>
      <c r="D1884" s="6" t="str">
        <f>VLOOKUP($C1884, 'List of log slots'!$A:$E, 2, FALSE)</f>
        <v>Monkey tail</v>
      </c>
      <c r="E1884" s="207">
        <f>VLOOKUP($C1884, 'List of log slots'!$A:$E, 5, FALSE)</f>
        <v>5</v>
      </c>
      <c r="F1884" s="213" t="b">
        <f>VLOOKUP(C1884, 'List of log slots'!$A:$C, 3, FALSE)</f>
        <v>0</v>
      </c>
      <c r="G1884" s="209" t="b">
        <f t="shared" si="1396"/>
        <v>0</v>
      </c>
      <c r="H1884" s="209" t="b">
        <f t="shared" si="7"/>
        <v>1</v>
      </c>
      <c r="I1884" s="208" t="b">
        <f t="shared" si="1419"/>
        <v>0</v>
      </c>
      <c r="J1884" s="208" t="b">
        <f t="shared" si="1425"/>
        <v>0</v>
      </c>
      <c r="K1884" s="214">
        <v>1500.0</v>
      </c>
      <c r="L1884" s="212" t="str">
        <f t="shared" si="3"/>
        <v>n/a</v>
      </c>
      <c r="M1884" s="212" t="str">
        <f t="shared" si="4"/>
        <v>n/a</v>
      </c>
      <c r="N1884" s="207" t="str">
        <f t="shared" si="1421"/>
        <v>n/a</v>
      </c>
      <c r="O1884" s="207">
        <f t="shared" si="1422"/>
        <v>0.0006666666667</v>
      </c>
    </row>
    <row r="1885">
      <c r="A1885" s="207">
        <v>128.0</v>
      </c>
      <c r="B1885" s="6" t="str">
        <f>VLOOKUP($A1885, 'Completion rates'!$A:$E, 2, FALSE)</f>
        <v>Killing demonic gorillas</v>
      </c>
      <c r="C1885" s="207">
        <v>19601.0</v>
      </c>
      <c r="D1885" s="6" t="str">
        <f>VLOOKUP($C1885, 'List of log slots'!$A:$E, 2, FALSE)</f>
        <v>Ballista spring</v>
      </c>
      <c r="E1885" s="207">
        <f>VLOOKUP($C1885, 'List of log slots'!$A:$E, 5, FALSE)</f>
        <v>5</v>
      </c>
      <c r="F1885" s="213" t="b">
        <f>VLOOKUP(C1885, 'List of log slots'!$A:$C, 3, FALSE)</f>
        <v>0</v>
      </c>
      <c r="G1885" s="209" t="b">
        <f t="shared" si="1396"/>
        <v>0</v>
      </c>
      <c r="H1885" s="209" t="b">
        <f t="shared" si="7"/>
        <v>1</v>
      </c>
      <c r="I1885" s="208" t="b">
        <f t="shared" si="1419"/>
        <v>0</v>
      </c>
      <c r="J1885" s="208" t="b">
        <f t="shared" si="1425"/>
        <v>0</v>
      </c>
      <c r="K1885" s="214">
        <v>500.0</v>
      </c>
      <c r="L1885" s="212" t="str">
        <f t="shared" si="3"/>
        <v>n/a</v>
      </c>
      <c r="M1885" s="212" t="str">
        <f t="shared" si="4"/>
        <v>n/a</v>
      </c>
      <c r="N1885" s="207" t="str">
        <f t="shared" si="1421"/>
        <v>n/a</v>
      </c>
      <c r="O1885" s="207">
        <f t="shared" si="1422"/>
        <v>0.002</v>
      </c>
    </row>
    <row r="1886">
      <c r="A1886" s="207">
        <v>128.0</v>
      </c>
      <c r="B1886" s="6" t="str">
        <f>VLOOKUP($A1886, 'Completion rates'!$A:$E, 2, FALSE)</f>
        <v>Killing demonic gorillas</v>
      </c>
      <c r="C1886" s="207">
        <v>2366.0</v>
      </c>
      <c r="D1886" s="6" t="str">
        <f>VLOOKUP($C1886, 'List of log slots'!$A:$E, 2, FALSE)</f>
        <v>Shield left half</v>
      </c>
      <c r="E1886" s="207">
        <f>VLOOKUP($C1886, 'List of log slots'!$A:$E, 5, FALSE)</f>
        <v>5</v>
      </c>
      <c r="F1886" s="213" t="b">
        <f>VLOOKUP(C1886, 'List of log slots'!$A:$C, 3, FALSE)</f>
        <v>0</v>
      </c>
      <c r="G1886" s="209" t="b">
        <f t="shared" si="1396"/>
        <v>0</v>
      </c>
      <c r="H1886" s="209" t="b">
        <f t="shared" si="7"/>
        <v>1</v>
      </c>
      <c r="I1886" s="208" t="b">
        <f t="shared" si="1419"/>
        <v>0</v>
      </c>
      <c r="J1886" s="208" t="b">
        <f t="shared" si="1425"/>
        <v>0</v>
      </c>
      <c r="K1886" s="214">
        <v>27025.0</v>
      </c>
      <c r="L1886" s="212" t="str">
        <f t="shared" si="3"/>
        <v>n/a</v>
      </c>
      <c r="M1886" s="212" t="str">
        <f t="shared" si="4"/>
        <v>n/a</v>
      </c>
      <c r="N1886" s="207" t="str">
        <f t="shared" si="1421"/>
        <v>n/a</v>
      </c>
      <c r="O1886" s="207">
        <f t="shared" si="1422"/>
        <v>0.00003700277521</v>
      </c>
    </row>
    <row r="1887">
      <c r="A1887" s="207">
        <v>128.0</v>
      </c>
      <c r="B1887" s="6" t="str">
        <f>VLOOKUP($A1887, 'Completion rates'!$A:$E, 2, FALSE)</f>
        <v>Killing demonic gorillas</v>
      </c>
      <c r="C1887" s="207">
        <v>1249.0</v>
      </c>
      <c r="D1887" s="6" t="str">
        <f>VLOOKUP($C1887, 'List of log slots'!$A:$E, 2, FALSE)</f>
        <v>Dragon spear</v>
      </c>
      <c r="E1887" s="207">
        <f>VLOOKUP($C1887, 'List of log slots'!$A:$E, 5, FALSE)</f>
        <v>5</v>
      </c>
      <c r="F1887" s="213" t="b">
        <f>VLOOKUP(C1887, 'List of log slots'!$A:$C, 3, FALSE)</f>
        <v>0</v>
      </c>
      <c r="G1887" s="209" t="b">
        <f t="shared" si="1396"/>
        <v>0</v>
      </c>
      <c r="H1887" s="209" t="b">
        <f t="shared" si="7"/>
        <v>1</v>
      </c>
      <c r="I1887" s="208" t="b">
        <f t="shared" si="1419"/>
        <v>0</v>
      </c>
      <c r="J1887" s="208" t="b">
        <f t="shared" si="1425"/>
        <v>0</v>
      </c>
      <c r="K1887" s="214">
        <v>36034.0</v>
      </c>
      <c r="L1887" s="212" t="str">
        <f t="shared" si="3"/>
        <v>n/a</v>
      </c>
      <c r="M1887" s="212" t="str">
        <f t="shared" si="4"/>
        <v>n/a</v>
      </c>
      <c r="N1887" s="207" t="str">
        <f t="shared" si="1421"/>
        <v>n/a</v>
      </c>
      <c r="O1887" s="207">
        <f t="shared" si="1422"/>
        <v>0.00002775156796</v>
      </c>
    </row>
    <row r="1888">
      <c r="A1888" s="207">
        <v>129.0</v>
      </c>
      <c r="B1888" s="6" t="str">
        <f>VLOOKUP($A1888, 'Completion rates'!$A:$E, 2, FALSE)</f>
        <v>Opening hunters' loot sacks (hunters' rumours)</v>
      </c>
      <c r="C1888" s="207">
        <v>28962.0</v>
      </c>
      <c r="D1888" s="6" t="str">
        <f>VLOOKUP($C1888, 'List of log slots'!$A:$E, 2, FALSE)</f>
        <v>Quetzin</v>
      </c>
      <c r="E1888" s="207">
        <f>VLOOKUP($C1888, 'List of log slots'!$A:$E, 5, FALSE)</f>
        <v>6</v>
      </c>
      <c r="F1888" s="208" t="b">
        <f>VLOOKUP(C1888, 'List of log slots'!$A:$C, 3, FALSE)</f>
        <v>0</v>
      </c>
      <c r="G1888" s="209" t="b">
        <f t="shared" si="1396"/>
        <v>0</v>
      </c>
      <c r="H1888" s="210" t="b">
        <f t="shared" si="7"/>
        <v>1</v>
      </c>
      <c r="I1888" s="208" t="b">
        <f t="shared" si="1419"/>
        <v>0</v>
      </c>
      <c r="J1888" s="208" t="b">
        <f t="shared" si="1425"/>
        <v>0</v>
      </c>
      <c r="K1888" s="214">
        <v>1000.0</v>
      </c>
      <c r="L1888" s="212" t="str">
        <f t="shared" si="3"/>
        <v>n/a</v>
      </c>
      <c r="M1888" s="212" t="str">
        <f t="shared" si="4"/>
        <v>n/a</v>
      </c>
      <c r="N1888" s="207" t="str">
        <f t="shared" si="1421"/>
        <v>n/a</v>
      </c>
      <c r="O1888" s="207">
        <f t="shared" si="1422"/>
        <v>0.001</v>
      </c>
    </row>
    <row r="1889">
      <c r="A1889" s="207">
        <v>129.0</v>
      </c>
      <c r="B1889" s="6" t="str">
        <f>VLOOKUP($A1889, 'Completion rates'!$A:$E, 2, FALSE)</f>
        <v>Opening hunters' loot sacks (hunters' rumours)</v>
      </c>
      <c r="C1889" s="207">
        <v>29309.0</v>
      </c>
      <c r="D1889" s="6" t="str">
        <f>VLOOKUP($C1889, 'List of log slots'!$A:$E, 2, FALSE)</f>
        <v>Huntsman's kit</v>
      </c>
      <c r="E1889" s="207">
        <f>VLOOKUP($C1889, 'List of log slots'!$A:$E, 5, FALSE)</f>
        <v>3</v>
      </c>
      <c r="F1889" s="213" t="b">
        <f>VLOOKUP(C1889, 'List of log slots'!$A:$C, 3, FALSE)</f>
        <v>0</v>
      </c>
      <c r="G1889" s="209" t="b">
        <f t="shared" si="1396"/>
        <v>0</v>
      </c>
      <c r="H1889" s="209" t="b">
        <f t="shared" si="7"/>
        <v>1</v>
      </c>
      <c r="I1889" s="208" t="b">
        <f t="shared" si="1419"/>
        <v>0</v>
      </c>
      <c r="J1889" s="208" t="b">
        <f t="shared" si="1425"/>
        <v>0</v>
      </c>
      <c r="K1889" s="214">
        <v>50.0</v>
      </c>
      <c r="L1889" s="212" t="str">
        <f t="shared" si="3"/>
        <v>n/a</v>
      </c>
      <c r="M1889" s="212" t="str">
        <f t="shared" si="4"/>
        <v>n/a</v>
      </c>
      <c r="N1889" s="207" t="str">
        <f t="shared" si="1421"/>
        <v>n/a</v>
      </c>
      <c r="O1889" s="207">
        <f t="shared" si="1422"/>
        <v>0.02</v>
      </c>
    </row>
    <row r="1890">
      <c r="A1890" s="207">
        <v>129.0</v>
      </c>
      <c r="B1890" s="6" t="str">
        <f>VLOOKUP($A1890, 'Completion rates'!$A:$E, 2, FALSE)</f>
        <v>Opening hunters' loot sacks (hunters' rumours)</v>
      </c>
      <c r="C1890" s="207">
        <v>29263.0</v>
      </c>
      <c r="D1890" s="6" t="str">
        <f>VLOOKUP($C1890, 'List of log slots'!$A:$E, 2, FALSE)</f>
        <v>Guild hunter headwear</v>
      </c>
      <c r="E1890" s="207">
        <f>VLOOKUP($C1890, 'List of log slots'!$A:$E, 5, FALSE)</f>
        <v>3</v>
      </c>
      <c r="F1890" s="213" t="b">
        <f>VLOOKUP(C1890, 'List of log slots'!$A:$C, 3, FALSE)</f>
        <v>0</v>
      </c>
      <c r="G1890" s="209" t="b">
        <f t="shared" si="1396"/>
        <v>0</v>
      </c>
      <c r="H1890" s="209" t="b">
        <f t="shared" si="7"/>
        <v>1</v>
      </c>
      <c r="I1890" s="208" t="b">
        <f t="shared" si="1419"/>
        <v>0</v>
      </c>
      <c r="J1890" s="208" t="b">
        <f t="shared" si="1425"/>
        <v>0</v>
      </c>
      <c r="K1890" s="214">
        <v>50.0</v>
      </c>
      <c r="L1890" s="212" t="str">
        <f t="shared" si="3"/>
        <v>n/a</v>
      </c>
      <c r="M1890" s="212" t="str">
        <f t="shared" si="4"/>
        <v>n/a</v>
      </c>
      <c r="N1890" s="207" t="str">
        <f t="shared" si="1421"/>
        <v>n/a</v>
      </c>
      <c r="O1890" s="207">
        <f t="shared" si="1422"/>
        <v>0.02</v>
      </c>
    </row>
    <row r="1891">
      <c r="A1891" s="207">
        <v>129.0</v>
      </c>
      <c r="B1891" s="6" t="str">
        <f>VLOOKUP($A1891, 'Completion rates'!$A:$E, 2, FALSE)</f>
        <v>Opening hunters' loot sacks (hunters' rumours)</v>
      </c>
      <c r="C1891" s="207">
        <v>29265.0</v>
      </c>
      <c r="D1891" s="6" t="str">
        <f>VLOOKUP($C1891, 'List of log slots'!$A:$E, 2, FALSE)</f>
        <v>Guild hunter top</v>
      </c>
      <c r="E1891" s="207">
        <f>VLOOKUP($C1891, 'List of log slots'!$A:$E, 5, FALSE)</f>
        <v>3</v>
      </c>
      <c r="F1891" s="213" t="b">
        <f>VLOOKUP(C1891, 'List of log slots'!$A:$C, 3, FALSE)</f>
        <v>0</v>
      </c>
      <c r="G1891" s="210" t="b">
        <f t="shared" ref="G1891:G1893" si="1426">TRUE</f>
        <v>1</v>
      </c>
      <c r="H1891" s="209" t="b">
        <f t="shared" si="7"/>
        <v>0</v>
      </c>
      <c r="I1891" s="208" t="b">
        <f t="shared" si="1419"/>
        <v>0</v>
      </c>
      <c r="J1891" s="208" t="b">
        <f t="shared" si="1425"/>
        <v>0</v>
      </c>
      <c r="K1891" s="214">
        <v>50.0</v>
      </c>
      <c r="L1891" s="212" t="str">
        <f t="shared" si="3"/>
        <v>n/a</v>
      </c>
      <c r="M1891" s="212" t="str">
        <f t="shared" si="4"/>
        <v>n/a</v>
      </c>
      <c r="N1891" s="207" t="str">
        <f t="shared" si="1421"/>
        <v>n/a</v>
      </c>
      <c r="O1891" s="207">
        <f t="shared" si="1422"/>
        <v>0.02</v>
      </c>
    </row>
    <row r="1892">
      <c r="A1892" s="207">
        <v>129.0</v>
      </c>
      <c r="B1892" s="6" t="str">
        <f>VLOOKUP($A1892, 'Completion rates'!$A:$E, 2, FALSE)</f>
        <v>Opening hunters' loot sacks (hunters' rumours)</v>
      </c>
      <c r="C1892" s="207">
        <v>29267.0</v>
      </c>
      <c r="D1892" s="6" t="str">
        <f>VLOOKUP($C1892, 'List of log slots'!$A:$E, 2, FALSE)</f>
        <v>Guild hunter legs</v>
      </c>
      <c r="E1892" s="207">
        <f>VLOOKUP($C1892, 'List of log slots'!$A:$E, 5, FALSE)</f>
        <v>3</v>
      </c>
      <c r="F1892" s="213" t="b">
        <f>VLOOKUP(C1892, 'List of log slots'!$A:$C, 3, FALSE)</f>
        <v>0</v>
      </c>
      <c r="G1892" s="210" t="b">
        <f t="shared" si="1426"/>
        <v>1</v>
      </c>
      <c r="H1892" s="209" t="b">
        <f t="shared" si="7"/>
        <v>0</v>
      </c>
      <c r="I1892" s="208" t="b">
        <f t="shared" si="1419"/>
        <v>0</v>
      </c>
      <c r="J1892" s="208" t="b">
        <f t="shared" si="1425"/>
        <v>0</v>
      </c>
      <c r="K1892" s="214">
        <v>50.0</v>
      </c>
      <c r="L1892" s="212" t="str">
        <f t="shared" si="3"/>
        <v>n/a</v>
      </c>
      <c r="M1892" s="212" t="str">
        <f t="shared" si="4"/>
        <v>n/a</v>
      </c>
      <c r="N1892" s="207" t="str">
        <f t="shared" si="1421"/>
        <v>n/a</v>
      </c>
      <c r="O1892" s="207">
        <f t="shared" si="1422"/>
        <v>0.02</v>
      </c>
    </row>
    <row r="1893">
      <c r="A1893" s="207">
        <v>129.0</v>
      </c>
      <c r="B1893" s="6" t="str">
        <f>VLOOKUP($A1893, 'Completion rates'!$A:$E, 2, FALSE)</f>
        <v>Opening hunters' loot sacks (hunters' rumours)</v>
      </c>
      <c r="C1893" s="207">
        <v>29269.0</v>
      </c>
      <c r="D1893" s="6" t="str">
        <f>VLOOKUP($C1893, 'List of log slots'!$A:$E, 2, FALSE)</f>
        <v>Guild hunter boots</v>
      </c>
      <c r="E1893" s="207">
        <f>VLOOKUP($C1893, 'List of log slots'!$A:$E, 5, FALSE)</f>
        <v>3</v>
      </c>
      <c r="F1893" s="213" t="b">
        <f>VLOOKUP(C1893, 'List of log slots'!$A:$C, 3, FALSE)</f>
        <v>0</v>
      </c>
      <c r="G1893" s="210" t="b">
        <f t="shared" si="1426"/>
        <v>1</v>
      </c>
      <c r="H1893" s="209" t="b">
        <f t="shared" si="7"/>
        <v>0</v>
      </c>
      <c r="I1893" s="208" t="b">
        <f t="shared" si="1419"/>
        <v>0</v>
      </c>
      <c r="J1893" s="208" t="b">
        <f t="shared" si="1425"/>
        <v>0</v>
      </c>
      <c r="K1893" s="214">
        <v>50.0</v>
      </c>
      <c r="L1893" s="212" t="str">
        <f t="shared" si="3"/>
        <v>n/a</v>
      </c>
      <c r="M1893" s="212" t="str">
        <f t="shared" si="4"/>
        <v>n/a</v>
      </c>
      <c r="N1893" s="207" t="str">
        <f t="shared" si="1421"/>
        <v>n/a</v>
      </c>
      <c r="O1893" s="207">
        <f t="shared" si="1422"/>
        <v>0.02</v>
      </c>
    </row>
    <row r="1894">
      <c r="A1894" s="207">
        <v>130.0</v>
      </c>
      <c r="B1894" s="6" t="str">
        <f>VLOOKUP($A1894, 'Completion rates'!$A:$E, 2, FALSE)</f>
        <v>Exploring sailing islands</v>
      </c>
      <c r="C1894" s="207">
        <v>32401.0</v>
      </c>
      <c r="D1894" s="6" t="str">
        <f>VLOOKUP($C1894, 'List of log slots'!$A:$E, 2, FALSE)</f>
        <v>Salvaging station schematic</v>
      </c>
      <c r="E1894" s="207">
        <f>VLOOKUP($C1894, 'List of log slots'!$A:$E, 5, FALSE)</f>
        <v>2</v>
      </c>
      <c r="F1894" s="213" t="b">
        <f>VLOOKUP(C1894, 'List of log slots'!$A:$C, 3, FALSE)</f>
        <v>0</v>
      </c>
      <c r="G1894" s="209" t="b">
        <f t="shared" ref="G1894:G1918" si="1428">FALSE</f>
        <v>0</v>
      </c>
      <c r="H1894" s="209" t="b">
        <f t="shared" si="7"/>
        <v>1</v>
      </c>
      <c r="I1894" s="213" t="b">
        <f t="shared" ref="I1894:J1894" si="1427">TRUE</f>
        <v>1</v>
      </c>
      <c r="J1894" s="213" t="b">
        <f t="shared" si="1427"/>
        <v>1</v>
      </c>
      <c r="K1894" s="214">
        <v>1.0</v>
      </c>
      <c r="L1894" s="212">
        <f t="shared" si="3"/>
        <v>1</v>
      </c>
      <c r="M1894" s="212" t="str">
        <f t="shared" si="4"/>
        <v>n/a</v>
      </c>
      <c r="N1894" s="207" t="str">
        <f t="shared" si="1421"/>
        <v>n/a</v>
      </c>
      <c r="O1894" s="207" t="str">
        <f t="shared" si="1422"/>
        <v>n/a</v>
      </c>
    </row>
    <row r="1895">
      <c r="A1895" s="207">
        <v>130.0</v>
      </c>
      <c r="B1895" s="6" t="str">
        <f>VLOOKUP($A1895, 'Completion rates'!$A:$E, 2, FALSE)</f>
        <v>Exploring sailing islands</v>
      </c>
      <c r="C1895" s="207">
        <v>32402.0</v>
      </c>
      <c r="D1895" s="6" t="str">
        <f>VLOOKUP($C1895, 'List of log slots'!$A:$E, 2, FALSE)</f>
        <v>Gale catcher schematic</v>
      </c>
      <c r="E1895" s="207">
        <f>VLOOKUP($C1895, 'List of log slots'!$A:$E, 5, FALSE)</f>
        <v>2</v>
      </c>
      <c r="F1895" s="213" t="b">
        <f>VLOOKUP(C1895, 'List of log slots'!$A:$C, 3, FALSE)</f>
        <v>0</v>
      </c>
      <c r="G1895" s="209" t="b">
        <f t="shared" si="1428"/>
        <v>0</v>
      </c>
      <c r="H1895" s="209" t="b">
        <f t="shared" si="7"/>
        <v>1</v>
      </c>
      <c r="I1895" s="213" t="b">
        <f t="shared" ref="I1895:J1895" si="1429">TRUE</f>
        <v>1</v>
      </c>
      <c r="J1895" s="213" t="b">
        <f t="shared" si="1429"/>
        <v>1</v>
      </c>
      <c r="K1895" s="214">
        <v>1.0</v>
      </c>
      <c r="L1895" s="212">
        <f t="shared" si="3"/>
        <v>1</v>
      </c>
      <c r="M1895" s="212" t="str">
        <f t="shared" si="4"/>
        <v>n/a</v>
      </c>
      <c r="N1895" s="207" t="str">
        <f t="shared" si="1421"/>
        <v>n/a</v>
      </c>
      <c r="O1895" s="207" t="str">
        <f t="shared" si="1422"/>
        <v>n/a</v>
      </c>
    </row>
    <row r="1896">
      <c r="A1896" s="207">
        <v>130.0</v>
      </c>
      <c r="B1896" s="6" t="str">
        <f>VLOOKUP($A1896, 'Completion rates'!$A:$E, 2, FALSE)</f>
        <v>Exploring sailing islands</v>
      </c>
      <c r="C1896" s="207">
        <v>32403.0</v>
      </c>
      <c r="D1896" s="6" t="str">
        <f>VLOOKUP($C1896, 'List of log slots'!$A:$E, 2, FALSE)</f>
        <v>Eternal brazier schematic</v>
      </c>
      <c r="E1896" s="207">
        <f>VLOOKUP($C1896, 'List of log slots'!$A:$E, 5, FALSE)</f>
        <v>3</v>
      </c>
      <c r="F1896" s="213" t="b">
        <f>VLOOKUP(C1896, 'List of log slots'!$A:$C, 3, FALSE)</f>
        <v>0</v>
      </c>
      <c r="G1896" s="209" t="b">
        <f t="shared" si="1428"/>
        <v>0</v>
      </c>
      <c r="H1896" s="209" t="b">
        <f t="shared" si="7"/>
        <v>1</v>
      </c>
      <c r="I1896" s="213" t="b">
        <f t="shared" ref="I1896:J1896" si="1430">TRUE</f>
        <v>1</v>
      </c>
      <c r="J1896" s="213" t="b">
        <f t="shared" si="1430"/>
        <v>1</v>
      </c>
      <c r="K1896" s="214">
        <v>1.0</v>
      </c>
      <c r="L1896" s="212">
        <f t="shared" si="3"/>
        <v>1</v>
      </c>
      <c r="M1896" s="212" t="str">
        <f t="shared" si="4"/>
        <v>n/a</v>
      </c>
      <c r="N1896" s="207" t="str">
        <f t="shared" si="1421"/>
        <v>n/a</v>
      </c>
      <c r="O1896" s="207" t="str">
        <f t="shared" si="1422"/>
        <v>n/a</v>
      </c>
    </row>
    <row r="1897">
      <c r="A1897" s="207">
        <v>130.0</v>
      </c>
      <c r="B1897" s="6" t="str">
        <f>VLOOKUP($A1897, 'Completion rates'!$A:$E, 2, FALSE)</f>
        <v>Exploring sailing islands</v>
      </c>
      <c r="C1897" s="207">
        <v>32405.0</v>
      </c>
      <c r="D1897" s="6" t="str">
        <f>VLOOKUP($C1897, 'List of log slots'!$A:$E, 2, FALSE)</f>
        <v>Rosewood cargo hold schematic</v>
      </c>
      <c r="E1897" s="207">
        <f>VLOOKUP($C1897, 'List of log slots'!$A:$E, 5, FALSE)</f>
        <v>3</v>
      </c>
      <c r="F1897" s="213" t="b">
        <f>VLOOKUP(C1897, 'List of log slots'!$A:$C, 3, FALSE)</f>
        <v>0</v>
      </c>
      <c r="G1897" s="209" t="b">
        <f t="shared" si="1428"/>
        <v>0</v>
      </c>
      <c r="H1897" s="209" t="b">
        <f t="shared" si="7"/>
        <v>1</v>
      </c>
      <c r="I1897" s="213" t="b">
        <f t="shared" ref="I1897:J1897" si="1431">TRUE</f>
        <v>1</v>
      </c>
      <c r="J1897" s="213" t="b">
        <f t="shared" si="1431"/>
        <v>1</v>
      </c>
      <c r="K1897" s="214">
        <v>1.0</v>
      </c>
      <c r="L1897" s="212">
        <f t="shared" si="3"/>
        <v>1</v>
      </c>
      <c r="M1897" s="212" t="str">
        <f t="shared" si="4"/>
        <v>n/a</v>
      </c>
      <c r="N1897" s="207" t="str">
        <f t="shared" si="1421"/>
        <v>n/a</v>
      </c>
      <c r="O1897" s="207" t="str">
        <f t="shared" si="1422"/>
        <v>n/a</v>
      </c>
    </row>
    <row r="1898">
      <c r="A1898" s="207">
        <v>130.0</v>
      </c>
      <c r="B1898" s="6" t="str">
        <f>VLOOKUP($A1898, 'Completion rates'!$A:$E, 2, FALSE)</f>
        <v>Exploring sailing islands</v>
      </c>
      <c r="C1898" s="207">
        <v>32407.0</v>
      </c>
      <c r="D1898" s="6" t="str">
        <f>VLOOKUP($C1898, 'List of log slots'!$A:$E, 2, FALSE)</f>
        <v>Rosewood hull schematic</v>
      </c>
      <c r="E1898" s="207">
        <f>VLOOKUP($C1898, 'List of log slots'!$A:$E, 5, FALSE)</f>
        <v>2</v>
      </c>
      <c r="F1898" s="213" t="b">
        <f>VLOOKUP(C1898, 'List of log slots'!$A:$C, 3, FALSE)</f>
        <v>0</v>
      </c>
      <c r="G1898" s="209" t="b">
        <f t="shared" si="1428"/>
        <v>0</v>
      </c>
      <c r="H1898" s="209" t="b">
        <f t="shared" si="7"/>
        <v>1</v>
      </c>
      <c r="I1898" s="213" t="b">
        <f t="shared" ref="I1898:J1898" si="1432">TRUE</f>
        <v>1</v>
      </c>
      <c r="J1898" s="213" t="b">
        <f t="shared" si="1432"/>
        <v>1</v>
      </c>
      <c r="K1898" s="214">
        <v>1.0</v>
      </c>
      <c r="L1898" s="212">
        <f t="shared" si="3"/>
        <v>1</v>
      </c>
      <c r="M1898" s="212" t="str">
        <f t="shared" si="4"/>
        <v>n/a</v>
      </c>
      <c r="N1898" s="207" t="str">
        <f t="shared" si="1421"/>
        <v>n/a</v>
      </c>
      <c r="O1898" s="207" t="str">
        <f t="shared" si="1422"/>
        <v>n/a</v>
      </c>
    </row>
    <row r="1899">
      <c r="A1899" s="207">
        <v>130.0</v>
      </c>
      <c r="B1899" s="6" t="str">
        <f>VLOOKUP($A1899, 'Completion rates'!$A:$E, 2, FALSE)</f>
        <v>Exploring sailing islands</v>
      </c>
      <c r="C1899" s="207">
        <v>32408.0</v>
      </c>
      <c r="D1899" s="6" t="str">
        <f>VLOOKUP($C1899, 'List of log slots'!$A:$E, 2, FALSE)</f>
        <v>Rosewood &amp; cotton sails schematic</v>
      </c>
      <c r="E1899" s="207">
        <f>VLOOKUP($C1899, 'List of log slots'!$A:$E, 5, FALSE)</f>
        <v>3</v>
      </c>
      <c r="F1899" s="213" t="b">
        <f>VLOOKUP(C1899, 'List of log slots'!$A:$C, 3, FALSE)</f>
        <v>0</v>
      </c>
      <c r="G1899" s="209" t="b">
        <f t="shared" si="1428"/>
        <v>0</v>
      </c>
      <c r="H1899" s="209" t="b">
        <f t="shared" si="7"/>
        <v>1</v>
      </c>
      <c r="I1899" s="213" t="b">
        <f t="shared" ref="I1899:J1899" si="1433">TRUE</f>
        <v>1</v>
      </c>
      <c r="J1899" s="213" t="b">
        <f t="shared" si="1433"/>
        <v>1</v>
      </c>
      <c r="K1899" s="214">
        <v>1.0</v>
      </c>
      <c r="L1899" s="212">
        <f t="shared" si="3"/>
        <v>1</v>
      </c>
      <c r="M1899" s="212" t="str">
        <f t="shared" si="4"/>
        <v>n/a</v>
      </c>
      <c r="N1899" s="207" t="str">
        <f t="shared" si="1421"/>
        <v>n/a</v>
      </c>
      <c r="O1899" s="207" t="str">
        <f t="shared" si="1422"/>
        <v>n/a</v>
      </c>
    </row>
    <row r="1900">
      <c r="A1900" s="207">
        <v>130.0</v>
      </c>
      <c r="B1900" s="6" t="str">
        <f>VLOOKUP($A1900, 'Completion rates'!$A:$E, 2, FALSE)</f>
        <v>Exploring sailing islands</v>
      </c>
      <c r="C1900" s="207">
        <v>32409.0</v>
      </c>
      <c r="D1900" s="6" t="str">
        <f>VLOOKUP($C1900, 'List of log slots'!$A:$E, 2, FALSE)</f>
        <v>Dragon helm schematic</v>
      </c>
      <c r="E1900" s="207">
        <f>VLOOKUP($C1900, 'List of log slots'!$A:$E, 5, FALSE)</f>
        <v>3</v>
      </c>
      <c r="F1900" s="213" t="b">
        <f>VLOOKUP(C1900, 'List of log slots'!$A:$C, 3, FALSE)</f>
        <v>0</v>
      </c>
      <c r="G1900" s="209" t="b">
        <f t="shared" si="1428"/>
        <v>0</v>
      </c>
      <c r="H1900" s="209" t="b">
        <f t="shared" si="7"/>
        <v>1</v>
      </c>
      <c r="I1900" s="213" t="b">
        <f t="shared" ref="I1900:J1900" si="1434">TRUE</f>
        <v>1</v>
      </c>
      <c r="J1900" s="213" t="b">
        <f t="shared" si="1434"/>
        <v>1</v>
      </c>
      <c r="K1900" s="214">
        <v>1.0</v>
      </c>
      <c r="L1900" s="212">
        <f t="shared" si="3"/>
        <v>1</v>
      </c>
      <c r="M1900" s="212" t="str">
        <f t="shared" si="4"/>
        <v>n/a</v>
      </c>
      <c r="N1900" s="207" t="str">
        <f t="shared" si="1421"/>
        <v>n/a</v>
      </c>
      <c r="O1900" s="207" t="str">
        <f t="shared" si="1422"/>
        <v>n/a</v>
      </c>
    </row>
    <row r="1901">
      <c r="A1901" s="207">
        <v>130.0</v>
      </c>
      <c r="B1901" s="6" t="str">
        <f>VLOOKUP($A1901, 'Completion rates'!$A:$E, 2, FALSE)</f>
        <v>Exploring sailing islands</v>
      </c>
      <c r="C1901" s="207">
        <v>32410.0</v>
      </c>
      <c r="D1901" s="6" t="str">
        <f>VLOOKUP($C1901, 'List of log slots'!$A:$E, 2, FALSE)</f>
        <v>Dragon keel schematic</v>
      </c>
      <c r="E1901" s="207">
        <f>VLOOKUP($C1901, 'List of log slots'!$A:$E, 5, FALSE)</f>
        <v>4</v>
      </c>
      <c r="F1901" s="213" t="b">
        <f>VLOOKUP(C1901, 'List of log slots'!$A:$C, 3, FALSE)</f>
        <v>0</v>
      </c>
      <c r="G1901" s="209" t="b">
        <f t="shared" si="1428"/>
        <v>0</v>
      </c>
      <c r="H1901" s="209" t="b">
        <f t="shared" si="7"/>
        <v>1</v>
      </c>
      <c r="I1901" s="213" t="b">
        <f t="shared" ref="I1901:J1901" si="1435">TRUE</f>
        <v>1</v>
      </c>
      <c r="J1901" s="213" t="b">
        <f t="shared" si="1435"/>
        <v>1</v>
      </c>
      <c r="K1901" s="214">
        <v>1.0</v>
      </c>
      <c r="L1901" s="212">
        <f t="shared" si="3"/>
        <v>1</v>
      </c>
      <c r="M1901" s="212" t="str">
        <f t="shared" si="4"/>
        <v>n/a</v>
      </c>
      <c r="N1901" s="207" t="str">
        <f t="shared" si="1421"/>
        <v>n/a</v>
      </c>
      <c r="O1901" s="207" t="str">
        <f t="shared" si="1422"/>
        <v>n/a</v>
      </c>
    </row>
    <row r="1902">
      <c r="A1902" s="207">
        <v>130.0</v>
      </c>
      <c r="B1902" s="6" t="str">
        <f>VLOOKUP($A1902, 'Completion rates'!$A:$E, 2, FALSE)</f>
        <v>Exploring sailing islands</v>
      </c>
      <c r="C1902" s="207">
        <v>32404.0</v>
      </c>
      <c r="D1902" s="6" t="str">
        <f>VLOOKUP($C1902, 'List of log slots'!$A:$E, 2, FALSE)</f>
        <v>Dragon salvaging hook schematic</v>
      </c>
      <c r="E1902" s="207">
        <f>VLOOKUP($C1902, 'List of log slots'!$A:$E, 5, FALSE)</f>
        <v>3</v>
      </c>
      <c r="F1902" s="213" t="b">
        <f>VLOOKUP(C1902, 'List of log slots'!$A:$C, 3, FALSE)</f>
        <v>0</v>
      </c>
      <c r="G1902" s="209" t="b">
        <f t="shared" si="1428"/>
        <v>0</v>
      </c>
      <c r="H1902" s="209" t="b">
        <f t="shared" si="7"/>
        <v>1</v>
      </c>
      <c r="I1902" s="213" t="b">
        <f t="shared" ref="I1902:J1902" si="1436">TRUE</f>
        <v>1</v>
      </c>
      <c r="J1902" s="213" t="b">
        <f t="shared" si="1436"/>
        <v>1</v>
      </c>
      <c r="K1902" s="214">
        <v>1.0</v>
      </c>
      <c r="L1902" s="212">
        <f t="shared" si="3"/>
        <v>1</v>
      </c>
      <c r="M1902" s="212" t="str">
        <f t="shared" si="4"/>
        <v>n/a</v>
      </c>
      <c r="N1902" s="207" t="str">
        <f t="shared" si="1421"/>
        <v>n/a</v>
      </c>
      <c r="O1902" s="207" t="str">
        <f t="shared" si="1422"/>
        <v>n/a</v>
      </c>
    </row>
    <row r="1903">
      <c r="A1903" s="207">
        <v>130.0</v>
      </c>
      <c r="B1903" s="6" t="str">
        <f>VLOOKUP($A1903, 'Completion rates'!$A:$E, 2, FALSE)</f>
        <v>Exploring sailing islands</v>
      </c>
      <c r="C1903" s="207">
        <v>32406.0</v>
      </c>
      <c r="D1903" s="6" t="str">
        <f>VLOOKUP($C1903, 'List of log slots'!$A:$E, 2, FALSE)</f>
        <v>Dragon cannon schematic</v>
      </c>
      <c r="E1903" s="207">
        <f>VLOOKUP($C1903, 'List of log slots'!$A:$E, 5, FALSE)</f>
        <v>3</v>
      </c>
      <c r="F1903" s="213" t="b">
        <f>VLOOKUP(C1903, 'List of log slots'!$A:$C, 3, FALSE)</f>
        <v>0</v>
      </c>
      <c r="G1903" s="209" t="b">
        <f t="shared" si="1428"/>
        <v>0</v>
      </c>
      <c r="H1903" s="209" t="b">
        <f t="shared" si="7"/>
        <v>1</v>
      </c>
      <c r="I1903" s="213" t="b">
        <f t="shared" ref="I1903:J1903" si="1437">TRUE</f>
        <v>1</v>
      </c>
      <c r="J1903" s="213" t="b">
        <f t="shared" si="1437"/>
        <v>1</v>
      </c>
      <c r="K1903" s="214">
        <v>1.0</v>
      </c>
      <c r="L1903" s="212">
        <f t="shared" si="3"/>
        <v>1</v>
      </c>
      <c r="M1903" s="212" t="str">
        <f t="shared" si="4"/>
        <v>n/a</v>
      </c>
      <c r="N1903" s="207" t="str">
        <f t="shared" si="1421"/>
        <v>n/a</v>
      </c>
      <c r="O1903" s="207" t="str">
        <f t="shared" si="1422"/>
        <v>n/a</v>
      </c>
    </row>
    <row r="1904">
      <c r="A1904" s="207">
        <v>130.0</v>
      </c>
      <c r="B1904" s="6" t="str">
        <f>VLOOKUP($A1904, 'Completion rates'!$A:$E, 2, FALSE)</f>
        <v>Exploring sailing islands</v>
      </c>
      <c r="C1904" s="207">
        <v>32102.0</v>
      </c>
      <c r="D1904" s="6" t="str">
        <f>VLOOKUP($C1904, 'List of log slots'!$A:$E, 2, FALSE)</f>
        <v>Armadylean paint</v>
      </c>
      <c r="E1904" s="207">
        <f>VLOOKUP($C1904, 'List of log slots'!$A:$E, 5, FALSE)</f>
        <v>3</v>
      </c>
      <c r="F1904" s="208" t="b">
        <f>VLOOKUP(C1904, 'List of log slots'!$A:$C, 3, FALSE)</f>
        <v>0</v>
      </c>
      <c r="G1904" s="209" t="b">
        <f t="shared" si="1428"/>
        <v>0</v>
      </c>
      <c r="H1904" s="210" t="b">
        <f t="shared" si="7"/>
        <v>1</v>
      </c>
      <c r="I1904" s="213" t="b">
        <f t="shared" ref="I1904:J1904" si="1438">TRUE</f>
        <v>1</v>
      </c>
      <c r="J1904" s="213" t="b">
        <f t="shared" si="1438"/>
        <v>1</v>
      </c>
      <c r="K1904" s="216">
        <v>1.0</v>
      </c>
      <c r="L1904" s="212">
        <f t="shared" si="3"/>
        <v>1</v>
      </c>
      <c r="M1904" s="212" t="str">
        <f t="shared" si="4"/>
        <v>n/a</v>
      </c>
      <c r="N1904" s="207" t="str">
        <f t="shared" si="1421"/>
        <v>n/a</v>
      </c>
      <c r="O1904" s="207" t="str">
        <f t="shared" si="1422"/>
        <v>n/a</v>
      </c>
    </row>
    <row r="1905">
      <c r="A1905" s="207">
        <v>130.0</v>
      </c>
      <c r="B1905" s="6" t="str">
        <f>VLOOKUP($A1905, 'Completion rates'!$A:$E, 2, FALSE)</f>
        <v>Exploring sailing islands</v>
      </c>
      <c r="C1905" s="207">
        <v>32104.0</v>
      </c>
      <c r="D1905" s="6" t="str">
        <f>VLOOKUP($C1905, 'List of log slots'!$A:$E, 2, FALSE)</f>
        <v>Zamorakian paint</v>
      </c>
      <c r="E1905" s="207">
        <f>VLOOKUP($C1905, 'List of log slots'!$A:$E, 5, FALSE)</f>
        <v>2</v>
      </c>
      <c r="F1905" s="208" t="b">
        <f>VLOOKUP(C1905, 'List of log slots'!$A:$C, 3, FALSE)</f>
        <v>0</v>
      </c>
      <c r="G1905" s="209" t="b">
        <f t="shared" si="1428"/>
        <v>0</v>
      </c>
      <c r="H1905" s="210" t="b">
        <f t="shared" si="7"/>
        <v>1</v>
      </c>
      <c r="I1905" s="213" t="b">
        <f t="shared" ref="I1905:J1905" si="1439">TRUE</f>
        <v>1</v>
      </c>
      <c r="J1905" s="213" t="b">
        <f t="shared" si="1439"/>
        <v>1</v>
      </c>
      <c r="K1905" s="216">
        <v>1.0</v>
      </c>
      <c r="L1905" s="212">
        <f t="shared" si="3"/>
        <v>1</v>
      </c>
      <c r="M1905" s="212" t="str">
        <f t="shared" si="4"/>
        <v>n/a</v>
      </c>
      <c r="N1905" s="207" t="str">
        <f t="shared" si="1421"/>
        <v>n/a</v>
      </c>
      <c r="O1905" s="207" t="str">
        <f t="shared" si="1422"/>
        <v>n/a</v>
      </c>
    </row>
    <row r="1906">
      <c r="A1906" s="207">
        <v>130.0</v>
      </c>
      <c r="B1906" s="6" t="str">
        <f>VLOOKUP($A1906, 'Completion rates'!$A:$E, 2, FALSE)</f>
        <v>Exploring sailing islands</v>
      </c>
      <c r="C1906" s="207">
        <v>32106.0</v>
      </c>
      <c r="D1906" s="6" t="str">
        <f>VLOOKUP($C1906, 'List of log slots'!$A:$E, 2, FALSE)</f>
        <v>Guthixian paint</v>
      </c>
      <c r="E1906" s="207">
        <f>VLOOKUP($C1906, 'List of log slots'!$A:$E, 5, FALSE)</f>
        <v>3</v>
      </c>
      <c r="F1906" s="208" t="b">
        <f>VLOOKUP(C1906, 'List of log slots'!$A:$C, 3, FALSE)</f>
        <v>0</v>
      </c>
      <c r="G1906" s="209" t="b">
        <f t="shared" si="1428"/>
        <v>0</v>
      </c>
      <c r="H1906" s="210" t="b">
        <f t="shared" si="7"/>
        <v>1</v>
      </c>
      <c r="I1906" s="213" t="b">
        <f t="shared" ref="I1906:J1906" si="1440">TRUE</f>
        <v>1</v>
      </c>
      <c r="J1906" s="213" t="b">
        <f t="shared" si="1440"/>
        <v>1</v>
      </c>
      <c r="K1906" s="216">
        <v>1.0</v>
      </c>
      <c r="L1906" s="212">
        <f t="shared" si="3"/>
        <v>1</v>
      </c>
      <c r="M1906" s="212" t="str">
        <f t="shared" si="4"/>
        <v>n/a</v>
      </c>
      <c r="N1906" s="207" t="str">
        <f t="shared" si="1421"/>
        <v>n/a</v>
      </c>
      <c r="O1906" s="207" t="str">
        <f t="shared" si="1422"/>
        <v>n/a</v>
      </c>
    </row>
    <row r="1907">
      <c r="A1907" s="207">
        <v>130.0</v>
      </c>
      <c r="B1907" s="6" t="str">
        <f>VLOOKUP($A1907, 'Completion rates'!$A:$E, 2, FALSE)</f>
        <v>Exploring sailing islands</v>
      </c>
      <c r="C1907" s="207">
        <v>32108.0</v>
      </c>
      <c r="D1907" s="6" t="str">
        <f>VLOOKUP($C1907, 'List of log slots'!$A:$E, 2, FALSE)</f>
        <v>Saradominist paint</v>
      </c>
      <c r="E1907" s="207">
        <f>VLOOKUP($C1907, 'List of log slots'!$A:$E, 5, FALSE)</f>
        <v>2</v>
      </c>
      <c r="F1907" s="208" t="b">
        <f>VLOOKUP(C1907, 'List of log slots'!$A:$C, 3, FALSE)</f>
        <v>0</v>
      </c>
      <c r="G1907" s="209" t="b">
        <f t="shared" si="1428"/>
        <v>0</v>
      </c>
      <c r="H1907" s="210" t="b">
        <f t="shared" si="7"/>
        <v>1</v>
      </c>
      <c r="I1907" s="213" t="b">
        <f t="shared" ref="I1907:J1907" si="1441">TRUE</f>
        <v>1</v>
      </c>
      <c r="J1907" s="213" t="b">
        <f t="shared" si="1441"/>
        <v>1</v>
      </c>
      <c r="K1907" s="216">
        <v>1.0</v>
      </c>
      <c r="L1907" s="212">
        <f t="shared" si="3"/>
        <v>1</v>
      </c>
      <c r="M1907" s="212" t="str">
        <f t="shared" si="4"/>
        <v>n/a</v>
      </c>
      <c r="N1907" s="207" t="str">
        <f t="shared" si="1421"/>
        <v>n/a</v>
      </c>
      <c r="O1907" s="207" t="str">
        <f t="shared" si="1422"/>
        <v>n/a</v>
      </c>
    </row>
    <row r="1908">
      <c r="A1908" s="207">
        <v>130.0</v>
      </c>
      <c r="B1908" s="6" t="str">
        <f>VLOOKUP($A1908, 'Completion rates'!$A:$E, 2, FALSE)</f>
        <v>Exploring sailing islands</v>
      </c>
      <c r="C1908" s="207">
        <v>32110.0</v>
      </c>
      <c r="D1908" s="6" t="str">
        <f>VLOOKUP($C1908, 'List of log slots'!$A:$E, 2, FALSE)</f>
        <v>Merchant's paint</v>
      </c>
      <c r="E1908" s="207">
        <f>VLOOKUP($C1908, 'List of log slots'!$A:$E, 5, FALSE)</f>
        <v>6</v>
      </c>
      <c r="F1908" s="208" t="b">
        <f>VLOOKUP(C1908, 'List of log slots'!$A:$C, 3, FALSE)</f>
        <v>0</v>
      </c>
      <c r="G1908" s="209" t="b">
        <f t="shared" si="1428"/>
        <v>0</v>
      </c>
      <c r="H1908" s="210" t="b">
        <f t="shared" si="7"/>
        <v>1</v>
      </c>
      <c r="I1908" s="213" t="b">
        <f t="shared" ref="I1908:J1908" si="1442">TRUE</f>
        <v>1</v>
      </c>
      <c r="J1908" s="213" t="b">
        <f t="shared" si="1442"/>
        <v>1</v>
      </c>
      <c r="K1908" s="216">
        <v>1.2</v>
      </c>
      <c r="L1908" s="212">
        <f t="shared" si="3"/>
        <v>1.2</v>
      </c>
      <c r="M1908" s="212" t="str">
        <f t="shared" si="4"/>
        <v>n/a</v>
      </c>
      <c r="N1908" s="207" t="str">
        <f t="shared" si="1421"/>
        <v>n/a</v>
      </c>
      <c r="O1908" s="207" t="str">
        <f t="shared" si="1422"/>
        <v>n/a</v>
      </c>
    </row>
    <row r="1909">
      <c r="A1909" s="207">
        <v>130.0</v>
      </c>
      <c r="B1909" s="6" t="str">
        <f>VLOOKUP($A1909, 'Completion rates'!$A:$E, 2, FALSE)</f>
        <v>Exploring sailing islands</v>
      </c>
      <c r="C1909" s="207">
        <v>32113.0</v>
      </c>
      <c r="D1909" s="6" t="str">
        <f>VLOOKUP($C1909, 'List of log slots'!$A:$E, 2, FALSE)</f>
        <v>Sandy paint</v>
      </c>
      <c r="E1909" s="207">
        <f>VLOOKUP($C1909, 'List of log slots'!$A:$E, 5, FALSE)</f>
        <v>2</v>
      </c>
      <c r="F1909" s="208" t="b">
        <f>VLOOKUP(C1909, 'List of log slots'!$A:$C, 3, FALSE)</f>
        <v>0</v>
      </c>
      <c r="G1909" s="209" t="b">
        <f t="shared" si="1428"/>
        <v>0</v>
      </c>
      <c r="H1909" s="210" t="b">
        <f t="shared" si="7"/>
        <v>1</v>
      </c>
      <c r="I1909" s="213" t="b">
        <f t="shared" ref="I1909:J1909" si="1443">TRUE</f>
        <v>1</v>
      </c>
      <c r="J1909" s="213" t="b">
        <f t="shared" si="1443"/>
        <v>1</v>
      </c>
      <c r="K1909" s="214">
        <v>1.0</v>
      </c>
      <c r="L1909" s="212">
        <f t="shared" si="3"/>
        <v>1</v>
      </c>
      <c r="M1909" s="212" t="str">
        <f t="shared" si="4"/>
        <v>n/a</v>
      </c>
      <c r="N1909" s="207" t="str">
        <f t="shared" si="1421"/>
        <v>n/a</v>
      </c>
      <c r="O1909" s="207" t="str">
        <f t="shared" si="1422"/>
        <v>n/a</v>
      </c>
    </row>
    <row r="1910">
      <c r="A1910" s="207">
        <v>130.0</v>
      </c>
      <c r="B1910" s="6" t="str">
        <f>VLOOKUP($A1910, 'Completion rates'!$A:$E, 2, FALSE)</f>
        <v>Exploring sailing islands</v>
      </c>
      <c r="C1910" s="207">
        <v>32388.0</v>
      </c>
      <c r="D1910" s="6" t="str">
        <f>VLOOKUP($C1910, 'List of log slots'!$A:$E, 2, FALSE)</f>
        <v>Medallion fragment</v>
      </c>
      <c r="E1910" s="207">
        <f>VLOOKUP($C1910, 'List of log slots'!$A:$E, 5, FALSE)</f>
        <v>3</v>
      </c>
      <c r="F1910" s="213" t="b">
        <f>VLOOKUP(C1910, 'List of log slots'!$A:$C, 3, FALSE)</f>
        <v>0</v>
      </c>
      <c r="G1910" s="209" t="b">
        <f t="shared" si="1428"/>
        <v>0</v>
      </c>
      <c r="H1910" s="209" t="b">
        <f t="shared" si="7"/>
        <v>1</v>
      </c>
      <c r="I1910" s="213" t="b">
        <f t="shared" ref="I1910:J1910" si="1444">TRUE</f>
        <v>1</v>
      </c>
      <c r="J1910" s="213" t="b">
        <f t="shared" si="1444"/>
        <v>1</v>
      </c>
      <c r="K1910" s="214">
        <v>1.0</v>
      </c>
      <c r="L1910" s="212">
        <f t="shared" si="3"/>
        <v>1</v>
      </c>
      <c r="M1910" s="212" t="str">
        <f t="shared" si="4"/>
        <v>n/a</v>
      </c>
      <c r="N1910" s="207" t="str">
        <f t="shared" si="1421"/>
        <v>n/a</v>
      </c>
      <c r="O1910" s="207" t="str">
        <f t="shared" si="1422"/>
        <v>n/a</v>
      </c>
    </row>
    <row r="1911">
      <c r="A1911" s="207">
        <v>130.0</v>
      </c>
      <c r="B1911" s="6" t="str">
        <f>VLOOKUP($A1911, 'Completion rates'!$A:$E, 2, FALSE)</f>
        <v>Exploring sailing islands</v>
      </c>
      <c r="C1911" s="207">
        <v>32389.0</v>
      </c>
      <c r="D1911" s="6" t="str">
        <f>VLOOKUP($C1911, 'List of log slots'!$A:$E, 2, FALSE)</f>
        <v>Medallion fragment</v>
      </c>
      <c r="E1911" s="207">
        <f>VLOOKUP($C1911, 'List of log slots'!$A:$E, 5, FALSE)</f>
        <v>3</v>
      </c>
      <c r="F1911" s="213" t="b">
        <f>VLOOKUP(C1911, 'List of log slots'!$A:$C, 3, FALSE)</f>
        <v>0</v>
      </c>
      <c r="G1911" s="209" t="b">
        <f t="shared" si="1428"/>
        <v>0</v>
      </c>
      <c r="H1911" s="209" t="b">
        <f t="shared" si="7"/>
        <v>1</v>
      </c>
      <c r="I1911" s="213" t="b">
        <f t="shared" ref="I1911:J1911" si="1445">TRUE</f>
        <v>1</v>
      </c>
      <c r="J1911" s="213" t="b">
        <f t="shared" si="1445"/>
        <v>1</v>
      </c>
      <c r="K1911" s="214">
        <v>1.0</v>
      </c>
      <c r="L1911" s="212">
        <f t="shared" si="3"/>
        <v>1</v>
      </c>
      <c r="M1911" s="212" t="str">
        <f t="shared" si="4"/>
        <v>n/a</v>
      </c>
      <c r="N1911" s="207" t="str">
        <f t="shared" si="1421"/>
        <v>n/a</v>
      </c>
      <c r="O1911" s="207" t="str">
        <f t="shared" si="1422"/>
        <v>n/a</v>
      </c>
    </row>
    <row r="1912">
      <c r="A1912" s="207">
        <v>130.0</v>
      </c>
      <c r="B1912" s="6" t="str">
        <f>VLOOKUP($A1912, 'Completion rates'!$A:$E, 2, FALSE)</f>
        <v>Exploring sailing islands</v>
      </c>
      <c r="C1912" s="207">
        <v>32390.0</v>
      </c>
      <c r="D1912" s="6" t="str">
        <f>VLOOKUP($C1912, 'List of log slots'!$A:$E, 2, FALSE)</f>
        <v>Medallion fragment</v>
      </c>
      <c r="E1912" s="207">
        <f>VLOOKUP($C1912, 'List of log slots'!$A:$E, 5, FALSE)</f>
        <v>3</v>
      </c>
      <c r="F1912" s="213" t="b">
        <f>VLOOKUP(C1912, 'List of log slots'!$A:$C, 3, FALSE)</f>
        <v>0</v>
      </c>
      <c r="G1912" s="209" t="b">
        <f t="shared" si="1428"/>
        <v>0</v>
      </c>
      <c r="H1912" s="209" t="b">
        <f t="shared" si="7"/>
        <v>1</v>
      </c>
      <c r="I1912" s="213" t="b">
        <f t="shared" ref="I1912:J1912" si="1446">TRUE</f>
        <v>1</v>
      </c>
      <c r="J1912" s="213" t="b">
        <f t="shared" si="1446"/>
        <v>1</v>
      </c>
      <c r="K1912" s="214">
        <v>1.0</v>
      </c>
      <c r="L1912" s="212">
        <f t="shared" si="3"/>
        <v>1</v>
      </c>
      <c r="M1912" s="212" t="str">
        <f t="shared" si="4"/>
        <v>n/a</v>
      </c>
      <c r="N1912" s="207" t="str">
        <f t="shared" si="1421"/>
        <v>n/a</v>
      </c>
      <c r="O1912" s="207" t="str">
        <f t="shared" si="1422"/>
        <v>n/a</v>
      </c>
    </row>
    <row r="1913">
      <c r="A1913" s="207">
        <v>130.0</v>
      </c>
      <c r="B1913" s="6" t="str">
        <f>VLOOKUP($A1913, 'Completion rates'!$A:$E, 2, FALSE)</f>
        <v>Exploring sailing islands</v>
      </c>
      <c r="C1913" s="207">
        <v>32391.0</v>
      </c>
      <c r="D1913" s="6" t="str">
        <f>VLOOKUP($C1913, 'List of log slots'!$A:$E, 2, FALSE)</f>
        <v>Medallion fragment</v>
      </c>
      <c r="E1913" s="207">
        <f>VLOOKUP($C1913, 'List of log slots'!$A:$E, 5, FALSE)</f>
        <v>3</v>
      </c>
      <c r="F1913" s="213" t="b">
        <f>VLOOKUP(C1913, 'List of log slots'!$A:$C, 3, FALSE)</f>
        <v>0</v>
      </c>
      <c r="G1913" s="209" t="b">
        <f t="shared" si="1428"/>
        <v>0</v>
      </c>
      <c r="H1913" s="209" t="b">
        <f t="shared" si="7"/>
        <v>1</v>
      </c>
      <c r="I1913" s="213" t="b">
        <f t="shared" ref="I1913:J1913" si="1447">TRUE</f>
        <v>1</v>
      </c>
      <c r="J1913" s="213" t="b">
        <f t="shared" si="1447"/>
        <v>1</v>
      </c>
      <c r="K1913" s="214">
        <v>1.0</v>
      </c>
      <c r="L1913" s="212">
        <f t="shared" si="3"/>
        <v>1</v>
      </c>
      <c r="M1913" s="212" t="str">
        <f t="shared" si="4"/>
        <v>n/a</v>
      </c>
      <c r="N1913" s="207" t="str">
        <f t="shared" si="1421"/>
        <v>n/a</v>
      </c>
      <c r="O1913" s="207" t="str">
        <f t="shared" si="1422"/>
        <v>n/a</v>
      </c>
    </row>
    <row r="1914">
      <c r="A1914" s="207">
        <v>130.0</v>
      </c>
      <c r="B1914" s="6" t="str">
        <f>VLOOKUP($A1914, 'Completion rates'!$A:$E, 2, FALSE)</f>
        <v>Exploring sailing islands</v>
      </c>
      <c r="C1914" s="207">
        <v>32392.0</v>
      </c>
      <c r="D1914" s="6" t="str">
        <f>VLOOKUP($C1914, 'List of log slots'!$A:$E, 2, FALSE)</f>
        <v>Medallion fragment</v>
      </c>
      <c r="E1914" s="207">
        <f>VLOOKUP($C1914, 'List of log slots'!$A:$E, 5, FALSE)</f>
        <v>3</v>
      </c>
      <c r="F1914" s="213" t="b">
        <f>VLOOKUP(C1914, 'List of log slots'!$A:$C, 3, FALSE)</f>
        <v>0</v>
      </c>
      <c r="G1914" s="209" t="b">
        <f t="shared" si="1428"/>
        <v>0</v>
      </c>
      <c r="H1914" s="209" t="b">
        <f t="shared" si="7"/>
        <v>1</v>
      </c>
      <c r="I1914" s="213" t="b">
        <f t="shared" ref="I1914:J1914" si="1448">TRUE</f>
        <v>1</v>
      </c>
      <c r="J1914" s="213" t="b">
        <f t="shared" si="1448"/>
        <v>1</v>
      </c>
      <c r="K1914" s="214">
        <v>1.0</v>
      </c>
      <c r="L1914" s="212">
        <f t="shared" si="3"/>
        <v>1</v>
      </c>
      <c r="M1914" s="212" t="str">
        <f t="shared" si="4"/>
        <v>n/a</v>
      </c>
      <c r="N1914" s="207" t="str">
        <f t="shared" si="1421"/>
        <v>n/a</v>
      </c>
      <c r="O1914" s="207" t="str">
        <f t="shared" si="1422"/>
        <v>n/a</v>
      </c>
    </row>
    <row r="1915">
      <c r="A1915" s="207">
        <v>130.0</v>
      </c>
      <c r="B1915" s="6" t="str">
        <f>VLOOKUP($A1915, 'Completion rates'!$A:$E, 2, FALSE)</f>
        <v>Exploring sailing islands</v>
      </c>
      <c r="C1915" s="207">
        <v>32393.0</v>
      </c>
      <c r="D1915" s="6" t="str">
        <f>VLOOKUP($C1915, 'List of log slots'!$A:$E, 2, FALSE)</f>
        <v>Medallion fragment</v>
      </c>
      <c r="E1915" s="207">
        <f>VLOOKUP($C1915, 'List of log slots'!$A:$E, 5, FALSE)</f>
        <v>3</v>
      </c>
      <c r="F1915" s="213" t="b">
        <f>VLOOKUP(C1915, 'List of log slots'!$A:$C, 3, FALSE)</f>
        <v>0</v>
      </c>
      <c r="G1915" s="209" t="b">
        <f t="shared" si="1428"/>
        <v>0</v>
      </c>
      <c r="H1915" s="209" t="b">
        <f t="shared" si="7"/>
        <v>1</v>
      </c>
      <c r="I1915" s="213" t="b">
        <f t="shared" ref="I1915:J1915" si="1449">TRUE</f>
        <v>1</v>
      </c>
      <c r="J1915" s="213" t="b">
        <f t="shared" si="1449"/>
        <v>1</v>
      </c>
      <c r="K1915" s="214">
        <v>1.0</v>
      </c>
      <c r="L1915" s="212">
        <f t="shared" si="3"/>
        <v>1</v>
      </c>
      <c r="M1915" s="212" t="str">
        <f t="shared" si="4"/>
        <v>n/a</v>
      </c>
      <c r="N1915" s="207" t="str">
        <f t="shared" si="1421"/>
        <v>n/a</v>
      </c>
      <c r="O1915" s="207" t="str">
        <f t="shared" si="1422"/>
        <v>n/a</v>
      </c>
    </row>
    <row r="1916">
      <c r="A1916" s="207">
        <v>130.0</v>
      </c>
      <c r="B1916" s="6" t="str">
        <f>VLOOKUP($A1916, 'Completion rates'!$A:$E, 2, FALSE)</f>
        <v>Exploring sailing islands</v>
      </c>
      <c r="C1916" s="207">
        <v>32394.0</v>
      </c>
      <c r="D1916" s="6" t="str">
        <f>VLOOKUP($C1916, 'List of log slots'!$A:$E, 2, FALSE)</f>
        <v>Medallion fragment</v>
      </c>
      <c r="E1916" s="207">
        <f>VLOOKUP($C1916, 'List of log slots'!$A:$E, 5, FALSE)</f>
        <v>3</v>
      </c>
      <c r="F1916" s="213" t="b">
        <f>VLOOKUP(C1916, 'List of log slots'!$A:$C, 3, FALSE)</f>
        <v>0</v>
      </c>
      <c r="G1916" s="209" t="b">
        <f t="shared" si="1428"/>
        <v>0</v>
      </c>
      <c r="H1916" s="209" t="b">
        <f t="shared" si="7"/>
        <v>1</v>
      </c>
      <c r="I1916" s="213" t="b">
        <f t="shared" ref="I1916:J1916" si="1450">TRUE</f>
        <v>1</v>
      </c>
      <c r="J1916" s="213" t="b">
        <f t="shared" si="1450"/>
        <v>1</v>
      </c>
      <c r="K1916" s="214">
        <v>1.0</v>
      </c>
      <c r="L1916" s="212">
        <f t="shared" si="3"/>
        <v>1</v>
      </c>
      <c r="M1916" s="212" t="str">
        <f t="shared" si="4"/>
        <v>n/a</v>
      </c>
      <c r="N1916" s="207" t="str">
        <f t="shared" si="1421"/>
        <v>n/a</v>
      </c>
      <c r="O1916" s="207" t="str">
        <f t="shared" si="1422"/>
        <v>n/a</v>
      </c>
    </row>
    <row r="1917">
      <c r="A1917" s="207">
        <v>130.0</v>
      </c>
      <c r="B1917" s="6" t="str">
        <f>VLOOKUP($A1917, 'Completion rates'!$A:$E, 2, FALSE)</f>
        <v>Exploring sailing islands</v>
      </c>
      <c r="C1917" s="207">
        <v>32395.0</v>
      </c>
      <c r="D1917" s="6" t="str">
        <f>VLOOKUP($C1917, 'List of log slots'!$A:$E, 2, FALSE)</f>
        <v>Medallion fragment</v>
      </c>
      <c r="E1917" s="207">
        <f>VLOOKUP($C1917, 'List of log slots'!$A:$E, 5, FALSE)</f>
        <v>3</v>
      </c>
      <c r="F1917" s="213" t="b">
        <f>VLOOKUP(C1917, 'List of log slots'!$A:$C, 3, FALSE)</f>
        <v>0</v>
      </c>
      <c r="G1917" s="209" t="b">
        <f t="shared" si="1428"/>
        <v>0</v>
      </c>
      <c r="H1917" s="209" t="b">
        <f t="shared" si="7"/>
        <v>1</v>
      </c>
      <c r="I1917" s="213" t="b">
        <f t="shared" ref="I1917:J1917" si="1451">TRUE</f>
        <v>1</v>
      </c>
      <c r="J1917" s="213" t="b">
        <f t="shared" si="1451"/>
        <v>1</v>
      </c>
      <c r="K1917" s="214">
        <v>1.0</v>
      </c>
      <c r="L1917" s="212">
        <f t="shared" si="3"/>
        <v>1</v>
      </c>
      <c r="M1917" s="212" t="str">
        <f t="shared" si="4"/>
        <v>n/a</v>
      </c>
      <c r="N1917" s="207" t="str">
        <f t="shared" si="1421"/>
        <v>n/a</v>
      </c>
      <c r="O1917" s="207" t="str">
        <f t="shared" si="1422"/>
        <v>n/a</v>
      </c>
    </row>
    <row r="1918">
      <c r="A1918" s="207">
        <v>131.0</v>
      </c>
      <c r="B1918" s="6" t="str">
        <f>VLOOKUP($A1918, 'Completion rates'!$A:$E, 2, FALSE)</f>
        <v>Running laps of monkey agility</v>
      </c>
      <c r="C1918" s="207">
        <v>24862.0</v>
      </c>
      <c r="D1918" s="6" t="str">
        <f>VLOOKUP($C1918, 'List of log slots'!$A:$E, 2, FALSE)</f>
        <v>Karamjan monkey</v>
      </c>
      <c r="E1918" s="207">
        <f>VLOOKUP($C1918, 'List of log slots'!$A:$E, 5, FALSE)</f>
        <v>3</v>
      </c>
      <c r="F1918" s="213" t="b">
        <f>VLOOKUP(C1918, 'List of log slots'!$A:$C, 3, FALSE)</f>
        <v>0</v>
      </c>
      <c r="G1918" s="209" t="b">
        <f t="shared" si="1428"/>
        <v>0</v>
      </c>
      <c r="H1918" s="209" t="b">
        <f t="shared" si="7"/>
        <v>1</v>
      </c>
      <c r="I1918" s="213" t="b">
        <f t="shared" ref="I1918:I1929" si="1452">TRUE</f>
        <v>1</v>
      </c>
      <c r="J1918" s="208" t="b">
        <f t="shared" ref="J1918:J1923" si="1453">FALSE</f>
        <v>0</v>
      </c>
      <c r="K1918" s="214">
        <v>100.0</v>
      </c>
      <c r="L1918" s="212" t="str">
        <f t="shared" si="3"/>
        <v>n/a</v>
      </c>
      <c r="M1918" s="212">
        <f t="shared" si="4"/>
        <v>100</v>
      </c>
      <c r="N1918" s="207" t="str">
        <f t="shared" si="1421"/>
        <v>n/a</v>
      </c>
      <c r="O1918" s="207" t="str">
        <f t="shared" si="1422"/>
        <v>n/a</v>
      </c>
    </row>
    <row r="1919">
      <c r="A1919" s="207">
        <v>131.0</v>
      </c>
      <c r="B1919" s="6" t="str">
        <f>VLOOKUP($A1919, 'Completion rates'!$A:$E, 2, FALSE)</f>
        <v>Running laps of monkey agility</v>
      </c>
      <c r="C1919" s="207">
        <v>24863.0</v>
      </c>
      <c r="D1919" s="6" t="str">
        <f>VLOOKUP($C1919, 'List of log slots'!$A:$E, 2, FALSE)</f>
        <v>Zombie monkey</v>
      </c>
      <c r="E1919" s="207">
        <f>VLOOKUP($C1919, 'List of log slots'!$A:$E, 5, FALSE)</f>
        <v>3</v>
      </c>
      <c r="F1919" s="213" t="b">
        <f>VLOOKUP(C1919, 'List of log slots'!$A:$C, 3, FALSE)</f>
        <v>0</v>
      </c>
      <c r="G1919" s="210" t="b">
        <f t="shared" ref="G1919:G1923" si="1454">TRUE</f>
        <v>1</v>
      </c>
      <c r="H1919" s="209" t="b">
        <f t="shared" si="7"/>
        <v>0</v>
      </c>
      <c r="I1919" s="213" t="b">
        <f t="shared" si="1452"/>
        <v>1</v>
      </c>
      <c r="J1919" s="208" t="b">
        <f t="shared" si="1453"/>
        <v>0</v>
      </c>
      <c r="K1919" s="214">
        <v>150.0</v>
      </c>
      <c r="L1919" s="212" t="str">
        <f t="shared" si="3"/>
        <v>n/a</v>
      </c>
      <c r="M1919" s="212">
        <f t="shared" si="4"/>
        <v>150</v>
      </c>
      <c r="N1919" s="207" t="str">
        <f t="shared" si="1421"/>
        <v>n/a</v>
      </c>
      <c r="O1919" s="207" t="str">
        <f t="shared" si="1422"/>
        <v>n/a</v>
      </c>
    </row>
    <row r="1920">
      <c r="A1920" s="207">
        <v>131.0</v>
      </c>
      <c r="B1920" s="6" t="str">
        <f>VLOOKUP($A1920, 'Completion rates'!$A:$E, 2, FALSE)</f>
        <v>Running laps of monkey agility</v>
      </c>
      <c r="C1920" s="207">
        <v>24864.0</v>
      </c>
      <c r="D1920" s="6" t="str">
        <f>VLOOKUP($C1920, 'List of log slots'!$A:$E, 2, FALSE)</f>
        <v>Maniacal monkey</v>
      </c>
      <c r="E1920" s="207">
        <f>VLOOKUP($C1920, 'List of log slots'!$A:$E, 5, FALSE)</f>
        <v>4</v>
      </c>
      <c r="F1920" s="213" t="b">
        <f>VLOOKUP(C1920, 'List of log slots'!$A:$C, 3, FALSE)</f>
        <v>0</v>
      </c>
      <c r="G1920" s="210" t="b">
        <f t="shared" si="1454"/>
        <v>1</v>
      </c>
      <c r="H1920" s="209" t="b">
        <f t="shared" si="7"/>
        <v>0</v>
      </c>
      <c r="I1920" s="213" t="b">
        <f t="shared" si="1452"/>
        <v>1</v>
      </c>
      <c r="J1920" s="208" t="b">
        <f t="shared" si="1453"/>
        <v>0</v>
      </c>
      <c r="K1920" s="214">
        <v>250.0</v>
      </c>
      <c r="L1920" s="212" t="str">
        <f t="shared" si="3"/>
        <v>n/a</v>
      </c>
      <c r="M1920" s="212">
        <f t="shared" si="4"/>
        <v>250</v>
      </c>
      <c r="N1920" s="207" t="str">
        <f t="shared" si="1421"/>
        <v>n/a</v>
      </c>
      <c r="O1920" s="207" t="str">
        <f t="shared" si="1422"/>
        <v>n/a</v>
      </c>
    </row>
    <row r="1921">
      <c r="A1921" s="207">
        <v>131.0</v>
      </c>
      <c r="B1921" s="6" t="str">
        <f>VLOOKUP($A1921, 'Completion rates'!$A:$E, 2, FALSE)</f>
        <v>Running laps of monkey agility</v>
      </c>
      <c r="C1921" s="207">
        <v>24865.0</v>
      </c>
      <c r="D1921" s="6" t="str">
        <f>VLOOKUP($C1921, 'List of log slots'!$A:$E, 2, FALSE)</f>
        <v>Skeleton monkey</v>
      </c>
      <c r="E1921" s="207">
        <f>VLOOKUP($C1921, 'List of log slots'!$A:$E, 5, FALSE)</f>
        <v>4</v>
      </c>
      <c r="F1921" s="213" t="b">
        <f>VLOOKUP(C1921, 'List of log slots'!$A:$C, 3, FALSE)</f>
        <v>0</v>
      </c>
      <c r="G1921" s="210" t="b">
        <f t="shared" si="1454"/>
        <v>1</v>
      </c>
      <c r="H1921" s="209" t="b">
        <f t="shared" si="7"/>
        <v>0</v>
      </c>
      <c r="I1921" s="213" t="b">
        <f t="shared" si="1452"/>
        <v>1</v>
      </c>
      <c r="J1921" s="208" t="b">
        <f t="shared" si="1453"/>
        <v>0</v>
      </c>
      <c r="K1921" s="214">
        <v>500.0</v>
      </c>
      <c r="L1921" s="212" t="str">
        <f t="shared" si="3"/>
        <v>n/a</v>
      </c>
      <c r="M1921" s="212">
        <f t="shared" si="4"/>
        <v>500</v>
      </c>
      <c r="N1921" s="207" t="str">
        <f t="shared" si="1421"/>
        <v>n/a</v>
      </c>
      <c r="O1921" s="207" t="str">
        <f t="shared" si="1422"/>
        <v>n/a</v>
      </c>
    </row>
    <row r="1922">
      <c r="A1922" s="207">
        <v>131.0</v>
      </c>
      <c r="B1922" s="6" t="str">
        <f>VLOOKUP($A1922, 'Completion rates'!$A:$E, 2, FALSE)</f>
        <v>Running laps of monkey agility</v>
      </c>
      <c r="C1922" s="207">
        <v>24866.0</v>
      </c>
      <c r="D1922" s="6" t="str">
        <f>VLOOKUP($C1922, 'List of log slots'!$A:$E, 2, FALSE)</f>
        <v>Kruk jr</v>
      </c>
      <c r="E1922" s="207">
        <f>VLOOKUP($C1922, 'List of log slots'!$A:$E, 5, FALSE)</f>
        <v>4</v>
      </c>
      <c r="F1922" s="213" t="b">
        <f>VLOOKUP(C1922, 'List of log slots'!$A:$C, 3, FALSE)</f>
        <v>0</v>
      </c>
      <c r="G1922" s="210" t="b">
        <f t="shared" si="1454"/>
        <v>1</v>
      </c>
      <c r="H1922" s="209" t="b">
        <f t="shared" si="7"/>
        <v>0</v>
      </c>
      <c r="I1922" s="213" t="b">
        <f t="shared" si="1452"/>
        <v>1</v>
      </c>
      <c r="J1922" s="208" t="b">
        <f t="shared" si="1453"/>
        <v>0</v>
      </c>
      <c r="K1922" s="214">
        <v>500.0</v>
      </c>
      <c r="L1922" s="212" t="str">
        <f t="shared" si="3"/>
        <v>n/a</v>
      </c>
      <c r="M1922" s="212">
        <f t="shared" si="4"/>
        <v>500</v>
      </c>
      <c r="N1922" s="207" t="str">
        <f t="shared" si="1421"/>
        <v>n/a</v>
      </c>
      <c r="O1922" s="207" t="str">
        <f t="shared" si="1422"/>
        <v>n/a</v>
      </c>
    </row>
    <row r="1923">
      <c r="A1923" s="207">
        <v>131.0</v>
      </c>
      <c r="B1923" s="6" t="str">
        <f>VLOOKUP($A1923, 'Completion rates'!$A:$E, 2, FALSE)</f>
        <v>Running laps of monkey agility</v>
      </c>
      <c r="C1923" s="207">
        <v>24867.0</v>
      </c>
      <c r="D1923" s="6" t="str">
        <f>VLOOKUP($C1923, 'List of log slots'!$A:$E, 2, FALSE)</f>
        <v>Princely monkey</v>
      </c>
      <c r="E1923" s="207">
        <f>VLOOKUP($C1923, 'List of log slots'!$A:$E, 5, FALSE)</f>
        <v>4</v>
      </c>
      <c r="F1923" s="213" t="b">
        <f>VLOOKUP(C1923, 'List of log slots'!$A:$C, 3, FALSE)</f>
        <v>0</v>
      </c>
      <c r="G1923" s="210" t="b">
        <f t="shared" si="1454"/>
        <v>1</v>
      </c>
      <c r="H1923" s="209" t="b">
        <f t="shared" si="7"/>
        <v>0</v>
      </c>
      <c r="I1923" s="213" t="b">
        <f t="shared" si="1452"/>
        <v>1</v>
      </c>
      <c r="J1923" s="208" t="b">
        <f t="shared" si="1453"/>
        <v>0</v>
      </c>
      <c r="K1923" s="214">
        <v>500.0</v>
      </c>
      <c r="L1923" s="212" t="str">
        <f t="shared" si="3"/>
        <v>n/a</v>
      </c>
      <c r="M1923" s="212">
        <f t="shared" si="4"/>
        <v>500</v>
      </c>
      <c r="N1923" s="207" t="str">
        <f t="shared" si="1421"/>
        <v>n/a</v>
      </c>
      <c r="O1923" s="207" t="str">
        <f t="shared" si="1422"/>
        <v>n/a</v>
      </c>
    </row>
    <row r="1924">
      <c r="A1924" s="207">
        <v>132.0</v>
      </c>
      <c r="B1924" s="6" t="str">
        <f>VLOOKUP($A1924, 'Completion rates'!$A:$E, 2, FALSE)</f>
        <v>Collecting gold nuggets at the motherlode mine</v>
      </c>
      <c r="C1924" s="207">
        <v>25627.0</v>
      </c>
      <c r="D1924" s="6" t="str">
        <f>VLOOKUP($C1924, 'List of log slots'!$A:$E, 2, FALSE)</f>
        <v>Coal bag</v>
      </c>
      <c r="E1924" s="207">
        <f>VLOOKUP($C1924, 'List of log slots'!$A:$E, 5, FALSE)</f>
        <v>2</v>
      </c>
      <c r="F1924" s="213" t="b">
        <f>VLOOKUP(C1924, 'List of log slots'!$A:$C, 3, FALSE)</f>
        <v>0</v>
      </c>
      <c r="G1924" s="209" t="b">
        <f t="shared" ref="G1924:G1967" si="1455">FALSE</f>
        <v>0</v>
      </c>
      <c r="H1924" s="209" t="b">
        <f t="shared" si="7"/>
        <v>1</v>
      </c>
      <c r="I1924" s="213" t="b">
        <f t="shared" si="1452"/>
        <v>1</v>
      </c>
      <c r="J1924" s="213" t="b">
        <f t="shared" ref="J1924:J1929" si="1456">TRUE</f>
        <v>1</v>
      </c>
      <c r="K1924" s="214">
        <v>100.0</v>
      </c>
      <c r="L1924" s="212">
        <f t="shared" si="3"/>
        <v>100</v>
      </c>
      <c r="M1924" s="212" t="str">
        <f t="shared" si="4"/>
        <v>n/a</v>
      </c>
      <c r="N1924" s="207" t="str">
        <f t="shared" si="1421"/>
        <v>n/a</v>
      </c>
      <c r="O1924" s="207" t="str">
        <f t="shared" si="1422"/>
        <v>n/a</v>
      </c>
    </row>
    <row r="1925">
      <c r="A1925" s="207">
        <v>132.0</v>
      </c>
      <c r="B1925" s="6" t="str">
        <f>VLOOKUP($A1925, 'Completion rates'!$A:$E, 2, FALSE)</f>
        <v>Collecting gold nuggets at the motherlode mine</v>
      </c>
      <c r="C1925" s="207">
        <v>25628.0</v>
      </c>
      <c r="D1925" s="6" t="str">
        <f>VLOOKUP($C1925, 'List of log slots'!$A:$E, 2, FALSE)</f>
        <v>Gem bag</v>
      </c>
      <c r="E1925" s="207">
        <f>VLOOKUP($C1925, 'List of log slots'!$A:$E, 5, FALSE)</f>
        <v>2</v>
      </c>
      <c r="F1925" s="213" t="b">
        <f>VLOOKUP(C1925, 'List of log slots'!$A:$C, 3, FALSE)</f>
        <v>0</v>
      </c>
      <c r="G1925" s="209" t="b">
        <f t="shared" si="1455"/>
        <v>0</v>
      </c>
      <c r="H1925" s="209" t="b">
        <f t="shared" si="7"/>
        <v>1</v>
      </c>
      <c r="I1925" s="213" t="b">
        <f t="shared" si="1452"/>
        <v>1</v>
      </c>
      <c r="J1925" s="213" t="b">
        <f t="shared" si="1456"/>
        <v>1</v>
      </c>
      <c r="K1925" s="214">
        <v>100.0</v>
      </c>
      <c r="L1925" s="212">
        <f t="shared" si="3"/>
        <v>100</v>
      </c>
      <c r="M1925" s="212" t="str">
        <f t="shared" si="4"/>
        <v>n/a</v>
      </c>
      <c r="N1925" s="207" t="str">
        <f t="shared" si="1421"/>
        <v>n/a</v>
      </c>
      <c r="O1925" s="207" t="str">
        <f t="shared" si="1422"/>
        <v>n/a</v>
      </c>
    </row>
    <row r="1926">
      <c r="A1926" s="207">
        <v>132.0</v>
      </c>
      <c r="B1926" s="6" t="str">
        <f>VLOOKUP($A1926, 'Completion rates'!$A:$E, 2, FALSE)</f>
        <v>Collecting gold nuggets at the motherlode mine</v>
      </c>
      <c r="C1926" s="207">
        <v>12013.0</v>
      </c>
      <c r="D1926" s="6" t="str">
        <f>VLOOKUP($C1926, 'List of log slots'!$A:$E, 2, FALSE)</f>
        <v>Prospector helmet</v>
      </c>
      <c r="E1926" s="207">
        <f>VLOOKUP($C1926, 'List of log slots'!$A:$E, 5, FALSE)</f>
        <v>2</v>
      </c>
      <c r="F1926" s="213" t="b">
        <f>VLOOKUP(C1926, 'List of log slots'!$A:$C, 3, FALSE)</f>
        <v>0</v>
      </c>
      <c r="G1926" s="209" t="b">
        <f t="shared" si="1455"/>
        <v>0</v>
      </c>
      <c r="H1926" s="209" t="b">
        <f t="shared" si="7"/>
        <v>1</v>
      </c>
      <c r="I1926" s="213" t="b">
        <f t="shared" si="1452"/>
        <v>1</v>
      </c>
      <c r="J1926" s="213" t="b">
        <f t="shared" si="1456"/>
        <v>1</v>
      </c>
      <c r="K1926" s="214">
        <v>40.0</v>
      </c>
      <c r="L1926" s="212">
        <f t="shared" si="3"/>
        <v>40</v>
      </c>
      <c r="M1926" s="212" t="str">
        <f t="shared" si="4"/>
        <v>n/a</v>
      </c>
      <c r="N1926" s="207" t="str">
        <f t="shared" si="1421"/>
        <v>n/a</v>
      </c>
      <c r="O1926" s="207" t="str">
        <f t="shared" si="1422"/>
        <v>n/a</v>
      </c>
    </row>
    <row r="1927">
      <c r="A1927" s="207">
        <v>132.0</v>
      </c>
      <c r="B1927" s="6" t="str">
        <f>VLOOKUP($A1927, 'Completion rates'!$A:$E, 2, FALSE)</f>
        <v>Collecting gold nuggets at the motherlode mine</v>
      </c>
      <c r="C1927" s="207">
        <v>12014.0</v>
      </c>
      <c r="D1927" s="6" t="str">
        <f>VLOOKUP($C1927, 'List of log slots'!$A:$E, 2, FALSE)</f>
        <v>Prospector jacket</v>
      </c>
      <c r="E1927" s="207">
        <f>VLOOKUP($C1927, 'List of log slots'!$A:$E, 5, FALSE)</f>
        <v>2</v>
      </c>
      <c r="F1927" s="213" t="b">
        <f>VLOOKUP(C1927, 'List of log slots'!$A:$C, 3, FALSE)</f>
        <v>0</v>
      </c>
      <c r="G1927" s="209" t="b">
        <f t="shared" si="1455"/>
        <v>0</v>
      </c>
      <c r="H1927" s="209" t="b">
        <f t="shared" si="7"/>
        <v>1</v>
      </c>
      <c r="I1927" s="213" t="b">
        <f t="shared" si="1452"/>
        <v>1</v>
      </c>
      <c r="J1927" s="213" t="b">
        <f t="shared" si="1456"/>
        <v>1</v>
      </c>
      <c r="K1927" s="214">
        <v>60.0</v>
      </c>
      <c r="L1927" s="212">
        <f t="shared" si="3"/>
        <v>60</v>
      </c>
      <c r="M1927" s="212" t="str">
        <f t="shared" si="4"/>
        <v>n/a</v>
      </c>
      <c r="N1927" s="207" t="str">
        <f t="shared" si="1421"/>
        <v>n/a</v>
      </c>
      <c r="O1927" s="207" t="str">
        <f t="shared" si="1422"/>
        <v>n/a</v>
      </c>
    </row>
    <row r="1928">
      <c r="A1928" s="207">
        <v>132.0</v>
      </c>
      <c r="B1928" s="6" t="str">
        <f>VLOOKUP($A1928, 'Completion rates'!$A:$E, 2, FALSE)</f>
        <v>Collecting gold nuggets at the motherlode mine</v>
      </c>
      <c r="C1928" s="207">
        <v>12015.0</v>
      </c>
      <c r="D1928" s="6" t="str">
        <f>VLOOKUP($C1928, 'List of log slots'!$A:$E, 2, FALSE)</f>
        <v>Prospector legs</v>
      </c>
      <c r="E1928" s="207">
        <f>VLOOKUP($C1928, 'List of log slots'!$A:$E, 5, FALSE)</f>
        <v>2</v>
      </c>
      <c r="F1928" s="213" t="b">
        <f>VLOOKUP(C1928, 'List of log slots'!$A:$C, 3, FALSE)</f>
        <v>0</v>
      </c>
      <c r="G1928" s="209" t="b">
        <f t="shared" si="1455"/>
        <v>0</v>
      </c>
      <c r="H1928" s="209" t="b">
        <f t="shared" si="7"/>
        <v>1</v>
      </c>
      <c r="I1928" s="213" t="b">
        <f t="shared" si="1452"/>
        <v>1</v>
      </c>
      <c r="J1928" s="213" t="b">
        <f t="shared" si="1456"/>
        <v>1</v>
      </c>
      <c r="K1928" s="214">
        <v>50.0</v>
      </c>
      <c r="L1928" s="212">
        <f t="shared" si="3"/>
        <v>50</v>
      </c>
      <c r="M1928" s="212" t="str">
        <f t="shared" si="4"/>
        <v>n/a</v>
      </c>
      <c r="N1928" s="207" t="str">
        <f t="shared" si="1421"/>
        <v>n/a</v>
      </c>
      <c r="O1928" s="207" t="str">
        <f t="shared" si="1422"/>
        <v>n/a</v>
      </c>
    </row>
    <row r="1929">
      <c r="A1929" s="207">
        <v>132.0</v>
      </c>
      <c r="B1929" s="6" t="str">
        <f>VLOOKUP($A1929, 'Completion rates'!$A:$E, 2, FALSE)</f>
        <v>Collecting gold nuggets at the motherlode mine</v>
      </c>
      <c r="C1929" s="207">
        <v>12016.0</v>
      </c>
      <c r="D1929" s="6" t="str">
        <f>VLOOKUP($C1929, 'List of log slots'!$A:$E, 2, FALSE)</f>
        <v>Prospector boots</v>
      </c>
      <c r="E1929" s="207">
        <f>VLOOKUP($C1929, 'List of log slots'!$A:$E, 5, FALSE)</f>
        <v>2</v>
      </c>
      <c r="F1929" s="213" t="b">
        <f>VLOOKUP(C1929, 'List of log slots'!$A:$C, 3, FALSE)</f>
        <v>0</v>
      </c>
      <c r="G1929" s="209" t="b">
        <f t="shared" si="1455"/>
        <v>0</v>
      </c>
      <c r="H1929" s="209" t="b">
        <f t="shared" si="7"/>
        <v>1</v>
      </c>
      <c r="I1929" s="213" t="b">
        <f t="shared" si="1452"/>
        <v>1</v>
      </c>
      <c r="J1929" s="213" t="b">
        <f t="shared" si="1456"/>
        <v>1</v>
      </c>
      <c r="K1929" s="214">
        <v>30.0</v>
      </c>
      <c r="L1929" s="212">
        <f t="shared" si="3"/>
        <v>30</v>
      </c>
      <c r="M1929" s="212" t="str">
        <f t="shared" si="4"/>
        <v>n/a</v>
      </c>
      <c r="N1929" s="207" t="str">
        <f t="shared" si="1421"/>
        <v>n/a</v>
      </c>
      <c r="O1929" s="207" t="str">
        <f t="shared" si="1422"/>
        <v>n/a</v>
      </c>
    </row>
    <row r="1930">
      <c r="A1930" s="207">
        <v>133.0</v>
      </c>
      <c r="B1930" s="6" t="str">
        <f>VLOOKUP($A1930, 'Completion rates'!$A:$E, 2, FALSE)</f>
        <v>Looting skeletons in the ancient cavern (my notes / ancient page)</v>
      </c>
      <c r="C1930" s="207">
        <v>11341.0</v>
      </c>
      <c r="D1930" s="6" t="str">
        <f>VLOOKUP($C1930, 'List of log slots'!$A:$E, 2, FALSE)</f>
        <v>Ancient page</v>
      </c>
      <c r="E1930" s="207">
        <f>VLOOKUP($C1930, 'List of log slots'!$A:$E, 5, FALSE)</f>
        <v>3</v>
      </c>
      <c r="F1930" s="208" t="b">
        <f>VLOOKUP(C1930, 'List of log slots'!$A:$C, 3, FALSE)</f>
        <v>0</v>
      </c>
      <c r="G1930" s="209" t="b">
        <f t="shared" si="1455"/>
        <v>0</v>
      </c>
      <c r="H1930" s="210" t="b">
        <f t="shared" si="7"/>
        <v>1</v>
      </c>
      <c r="I1930" s="208" t="b">
        <f t="shared" ref="I1930:J1930" si="1457">FALSE</f>
        <v>0</v>
      </c>
      <c r="J1930" s="208" t="b">
        <f t="shared" si="1457"/>
        <v>0</v>
      </c>
      <c r="K1930" s="214">
        <v>328.0</v>
      </c>
      <c r="L1930" s="212" t="str">
        <f t="shared" si="3"/>
        <v>n/a</v>
      </c>
      <c r="M1930" s="212" t="str">
        <f t="shared" si="4"/>
        <v>n/a</v>
      </c>
      <c r="N1930" s="207" t="str">
        <f t="shared" si="1421"/>
        <v>n/a</v>
      </c>
      <c r="O1930" s="207">
        <f t="shared" si="1422"/>
        <v>0.003048780488</v>
      </c>
    </row>
    <row r="1931">
      <c r="A1931" s="207">
        <v>133.0</v>
      </c>
      <c r="B1931" s="6" t="str">
        <f>VLOOKUP($A1931, 'Completion rates'!$A:$E, 2, FALSE)</f>
        <v>Looting skeletons in the ancient cavern (my notes / ancient page)</v>
      </c>
      <c r="C1931" s="207">
        <v>11342.0</v>
      </c>
      <c r="D1931" s="6" t="str">
        <f>VLOOKUP($C1931, 'List of log slots'!$A:$E, 2, FALSE)</f>
        <v>Ancient page</v>
      </c>
      <c r="E1931" s="207">
        <f>VLOOKUP($C1931, 'List of log slots'!$A:$E, 5, FALSE)</f>
        <v>3</v>
      </c>
      <c r="F1931" s="208" t="b">
        <f>VLOOKUP(C1931, 'List of log slots'!$A:$C, 3, FALSE)</f>
        <v>0</v>
      </c>
      <c r="G1931" s="209" t="b">
        <f t="shared" si="1455"/>
        <v>0</v>
      </c>
      <c r="H1931" s="210" t="b">
        <f t="shared" si="7"/>
        <v>1</v>
      </c>
      <c r="I1931" s="208" t="b">
        <f t="shared" ref="I1931:J1931" si="1458">FALSE</f>
        <v>0</v>
      </c>
      <c r="J1931" s="208" t="b">
        <f t="shared" si="1458"/>
        <v>0</v>
      </c>
      <c r="K1931" s="214">
        <v>328.0</v>
      </c>
      <c r="L1931" s="212" t="str">
        <f t="shared" si="3"/>
        <v>n/a</v>
      </c>
      <c r="M1931" s="212" t="str">
        <f t="shared" si="4"/>
        <v>n/a</v>
      </c>
      <c r="N1931" s="207" t="str">
        <f t="shared" si="1421"/>
        <v>n/a</v>
      </c>
      <c r="O1931" s="207">
        <f t="shared" si="1422"/>
        <v>0.003048780488</v>
      </c>
    </row>
    <row r="1932">
      <c r="A1932" s="207">
        <v>133.0</v>
      </c>
      <c r="B1932" s="6" t="str">
        <f>VLOOKUP($A1932, 'Completion rates'!$A:$E, 2, FALSE)</f>
        <v>Looting skeletons in the ancient cavern (my notes / ancient page)</v>
      </c>
      <c r="C1932" s="207">
        <v>11343.0</v>
      </c>
      <c r="D1932" s="6" t="str">
        <f>VLOOKUP($C1932, 'List of log slots'!$A:$E, 2, FALSE)</f>
        <v>Ancient page</v>
      </c>
      <c r="E1932" s="207">
        <f>VLOOKUP($C1932, 'List of log slots'!$A:$E, 5, FALSE)</f>
        <v>3</v>
      </c>
      <c r="F1932" s="208" t="b">
        <f>VLOOKUP(C1932, 'List of log slots'!$A:$C, 3, FALSE)</f>
        <v>0</v>
      </c>
      <c r="G1932" s="209" t="b">
        <f t="shared" si="1455"/>
        <v>0</v>
      </c>
      <c r="H1932" s="210" t="b">
        <f t="shared" si="7"/>
        <v>1</v>
      </c>
      <c r="I1932" s="208" t="b">
        <f t="shared" ref="I1932:J1932" si="1459">FALSE</f>
        <v>0</v>
      </c>
      <c r="J1932" s="208" t="b">
        <f t="shared" si="1459"/>
        <v>0</v>
      </c>
      <c r="K1932" s="214">
        <v>328.0</v>
      </c>
      <c r="L1932" s="212" t="str">
        <f t="shared" si="3"/>
        <v>n/a</v>
      </c>
      <c r="M1932" s="212" t="str">
        <f t="shared" si="4"/>
        <v>n/a</v>
      </c>
      <c r="N1932" s="207" t="str">
        <f t="shared" si="1421"/>
        <v>n/a</v>
      </c>
      <c r="O1932" s="207">
        <f t="shared" si="1422"/>
        <v>0.003048780488</v>
      </c>
    </row>
    <row r="1933">
      <c r="A1933" s="207">
        <v>133.0</v>
      </c>
      <c r="B1933" s="6" t="str">
        <f>VLOOKUP($A1933, 'Completion rates'!$A:$E, 2, FALSE)</f>
        <v>Looting skeletons in the ancient cavern (my notes / ancient page)</v>
      </c>
      <c r="C1933" s="207">
        <v>11344.0</v>
      </c>
      <c r="D1933" s="6" t="str">
        <f>VLOOKUP($C1933, 'List of log slots'!$A:$E, 2, FALSE)</f>
        <v>Ancient page</v>
      </c>
      <c r="E1933" s="207">
        <f>VLOOKUP($C1933, 'List of log slots'!$A:$E, 5, FALSE)</f>
        <v>3</v>
      </c>
      <c r="F1933" s="213" t="b">
        <f>VLOOKUP(C1933, 'List of log slots'!$A:$C, 3, FALSE)</f>
        <v>0</v>
      </c>
      <c r="G1933" s="209" t="b">
        <f t="shared" si="1455"/>
        <v>0</v>
      </c>
      <c r="H1933" s="209" t="b">
        <f t="shared" si="7"/>
        <v>1</v>
      </c>
      <c r="I1933" s="208" t="b">
        <f t="shared" ref="I1933:J1933" si="1460">FALSE</f>
        <v>0</v>
      </c>
      <c r="J1933" s="208" t="b">
        <f t="shared" si="1460"/>
        <v>0</v>
      </c>
      <c r="K1933" s="214">
        <v>328.0</v>
      </c>
      <c r="L1933" s="212" t="str">
        <f t="shared" si="3"/>
        <v>n/a</v>
      </c>
      <c r="M1933" s="212" t="str">
        <f t="shared" si="4"/>
        <v>n/a</v>
      </c>
      <c r="N1933" s="207" t="str">
        <f t="shared" si="1421"/>
        <v>n/a</v>
      </c>
      <c r="O1933" s="207">
        <f t="shared" si="1422"/>
        <v>0.003048780488</v>
      </c>
    </row>
    <row r="1934">
      <c r="A1934" s="207">
        <v>133.0</v>
      </c>
      <c r="B1934" s="6" t="str">
        <f>VLOOKUP($A1934, 'Completion rates'!$A:$E, 2, FALSE)</f>
        <v>Looting skeletons in the ancient cavern (my notes / ancient page)</v>
      </c>
      <c r="C1934" s="207">
        <v>11345.0</v>
      </c>
      <c r="D1934" s="6" t="str">
        <f>VLOOKUP($C1934, 'List of log slots'!$A:$E, 2, FALSE)</f>
        <v>Ancient page</v>
      </c>
      <c r="E1934" s="207">
        <f>VLOOKUP($C1934, 'List of log slots'!$A:$E, 5, FALSE)</f>
        <v>3</v>
      </c>
      <c r="F1934" s="208" t="b">
        <f>VLOOKUP(C1934, 'List of log slots'!$A:$C, 3, FALSE)</f>
        <v>0</v>
      </c>
      <c r="G1934" s="209" t="b">
        <f t="shared" si="1455"/>
        <v>0</v>
      </c>
      <c r="H1934" s="210" t="b">
        <f t="shared" si="7"/>
        <v>1</v>
      </c>
      <c r="I1934" s="208" t="b">
        <f t="shared" ref="I1934:J1934" si="1461">FALSE</f>
        <v>0</v>
      </c>
      <c r="J1934" s="208" t="b">
        <f t="shared" si="1461"/>
        <v>0</v>
      </c>
      <c r="K1934" s="214">
        <v>328.0</v>
      </c>
      <c r="L1934" s="212" t="str">
        <f t="shared" si="3"/>
        <v>n/a</v>
      </c>
      <c r="M1934" s="212" t="str">
        <f t="shared" si="4"/>
        <v>n/a</v>
      </c>
      <c r="N1934" s="207" t="str">
        <f t="shared" si="1421"/>
        <v>n/a</v>
      </c>
      <c r="O1934" s="207">
        <f t="shared" si="1422"/>
        <v>0.003048780488</v>
      </c>
    </row>
    <row r="1935">
      <c r="A1935" s="207">
        <v>133.0</v>
      </c>
      <c r="B1935" s="6" t="str">
        <f>VLOOKUP($A1935, 'Completion rates'!$A:$E, 2, FALSE)</f>
        <v>Looting skeletons in the ancient cavern (my notes / ancient page)</v>
      </c>
      <c r="C1935" s="207">
        <v>11346.0</v>
      </c>
      <c r="D1935" s="6" t="str">
        <f>VLOOKUP($C1935, 'List of log slots'!$A:$E, 2, FALSE)</f>
        <v>Ancient page</v>
      </c>
      <c r="E1935" s="207">
        <f>VLOOKUP($C1935, 'List of log slots'!$A:$E, 5, FALSE)</f>
        <v>3</v>
      </c>
      <c r="F1935" s="213" t="b">
        <f>VLOOKUP(C1935, 'List of log slots'!$A:$C, 3, FALSE)</f>
        <v>0</v>
      </c>
      <c r="G1935" s="209" t="b">
        <f t="shared" si="1455"/>
        <v>0</v>
      </c>
      <c r="H1935" s="209" t="b">
        <f t="shared" si="7"/>
        <v>1</v>
      </c>
      <c r="I1935" s="208" t="b">
        <f t="shared" ref="I1935:J1935" si="1462">FALSE</f>
        <v>0</v>
      </c>
      <c r="J1935" s="208" t="b">
        <f t="shared" si="1462"/>
        <v>0</v>
      </c>
      <c r="K1935" s="214">
        <v>328.0</v>
      </c>
      <c r="L1935" s="212" t="str">
        <f t="shared" si="3"/>
        <v>n/a</v>
      </c>
      <c r="M1935" s="212" t="str">
        <f t="shared" si="4"/>
        <v>n/a</v>
      </c>
      <c r="N1935" s="207" t="str">
        <f t="shared" si="1421"/>
        <v>n/a</v>
      </c>
      <c r="O1935" s="207">
        <f t="shared" si="1422"/>
        <v>0.003048780488</v>
      </c>
    </row>
    <row r="1936">
      <c r="A1936" s="207">
        <v>133.0</v>
      </c>
      <c r="B1936" s="6" t="str">
        <f>VLOOKUP($A1936, 'Completion rates'!$A:$E, 2, FALSE)</f>
        <v>Looting skeletons in the ancient cavern (my notes / ancient page)</v>
      </c>
      <c r="C1936" s="207">
        <v>11347.0</v>
      </c>
      <c r="D1936" s="6" t="str">
        <f>VLOOKUP($C1936, 'List of log slots'!$A:$E, 2, FALSE)</f>
        <v>Ancient page</v>
      </c>
      <c r="E1936" s="207">
        <f>VLOOKUP($C1936, 'List of log slots'!$A:$E, 5, FALSE)</f>
        <v>3</v>
      </c>
      <c r="F1936" s="208" t="b">
        <f>VLOOKUP(C1936, 'List of log slots'!$A:$C, 3, FALSE)</f>
        <v>0</v>
      </c>
      <c r="G1936" s="209" t="b">
        <f t="shared" si="1455"/>
        <v>0</v>
      </c>
      <c r="H1936" s="210" t="b">
        <f t="shared" si="7"/>
        <v>1</v>
      </c>
      <c r="I1936" s="208" t="b">
        <f t="shared" ref="I1936:J1936" si="1463">FALSE</f>
        <v>0</v>
      </c>
      <c r="J1936" s="208" t="b">
        <f t="shared" si="1463"/>
        <v>0</v>
      </c>
      <c r="K1936" s="214">
        <v>328.0</v>
      </c>
      <c r="L1936" s="212" t="str">
        <f t="shared" si="3"/>
        <v>n/a</v>
      </c>
      <c r="M1936" s="212" t="str">
        <f t="shared" si="4"/>
        <v>n/a</v>
      </c>
      <c r="N1936" s="207" t="str">
        <f t="shared" si="1421"/>
        <v>n/a</v>
      </c>
      <c r="O1936" s="207">
        <f t="shared" si="1422"/>
        <v>0.003048780488</v>
      </c>
    </row>
    <row r="1937">
      <c r="A1937" s="207">
        <v>133.0</v>
      </c>
      <c r="B1937" s="6" t="str">
        <f>VLOOKUP($A1937, 'Completion rates'!$A:$E, 2, FALSE)</f>
        <v>Looting skeletons in the ancient cavern (my notes / ancient page)</v>
      </c>
      <c r="C1937" s="207">
        <v>11348.0</v>
      </c>
      <c r="D1937" s="6" t="str">
        <f>VLOOKUP($C1937, 'List of log slots'!$A:$E, 2, FALSE)</f>
        <v>Ancient page</v>
      </c>
      <c r="E1937" s="207">
        <f>VLOOKUP($C1937, 'List of log slots'!$A:$E, 5, FALSE)</f>
        <v>3</v>
      </c>
      <c r="F1937" s="208" t="b">
        <f>VLOOKUP(C1937, 'List of log slots'!$A:$C, 3, FALSE)</f>
        <v>0</v>
      </c>
      <c r="G1937" s="209" t="b">
        <f t="shared" si="1455"/>
        <v>0</v>
      </c>
      <c r="H1937" s="210" t="b">
        <f t="shared" si="7"/>
        <v>1</v>
      </c>
      <c r="I1937" s="208" t="b">
        <f t="shared" ref="I1937:J1937" si="1464">FALSE</f>
        <v>0</v>
      </c>
      <c r="J1937" s="208" t="b">
        <f t="shared" si="1464"/>
        <v>0</v>
      </c>
      <c r="K1937" s="214">
        <v>328.0</v>
      </c>
      <c r="L1937" s="212" t="str">
        <f t="shared" si="3"/>
        <v>n/a</v>
      </c>
      <c r="M1937" s="212" t="str">
        <f t="shared" si="4"/>
        <v>n/a</v>
      </c>
      <c r="N1937" s="207" t="str">
        <f t="shared" si="1421"/>
        <v>n/a</v>
      </c>
      <c r="O1937" s="207">
        <f t="shared" si="1422"/>
        <v>0.003048780488</v>
      </c>
    </row>
    <row r="1938">
      <c r="A1938" s="207">
        <v>133.0</v>
      </c>
      <c r="B1938" s="6" t="str">
        <f>VLOOKUP($A1938, 'Completion rates'!$A:$E, 2, FALSE)</f>
        <v>Looting skeletons in the ancient cavern (my notes / ancient page)</v>
      </c>
      <c r="C1938" s="207">
        <v>11349.0</v>
      </c>
      <c r="D1938" s="6" t="str">
        <f>VLOOKUP($C1938, 'List of log slots'!$A:$E, 2, FALSE)</f>
        <v>Ancient page</v>
      </c>
      <c r="E1938" s="207">
        <f>VLOOKUP($C1938, 'List of log slots'!$A:$E, 5, FALSE)</f>
        <v>3</v>
      </c>
      <c r="F1938" s="208" t="b">
        <f>VLOOKUP(C1938, 'List of log slots'!$A:$C, 3, FALSE)</f>
        <v>0</v>
      </c>
      <c r="G1938" s="209" t="b">
        <f t="shared" si="1455"/>
        <v>0</v>
      </c>
      <c r="H1938" s="210" t="b">
        <f t="shared" si="7"/>
        <v>1</v>
      </c>
      <c r="I1938" s="208" t="b">
        <f t="shared" ref="I1938:J1938" si="1465">FALSE</f>
        <v>0</v>
      </c>
      <c r="J1938" s="208" t="b">
        <f t="shared" si="1465"/>
        <v>0</v>
      </c>
      <c r="K1938" s="214">
        <v>328.0</v>
      </c>
      <c r="L1938" s="212" t="str">
        <f t="shared" si="3"/>
        <v>n/a</v>
      </c>
      <c r="M1938" s="212" t="str">
        <f t="shared" si="4"/>
        <v>n/a</v>
      </c>
      <c r="N1938" s="207" t="str">
        <f t="shared" si="1421"/>
        <v>n/a</v>
      </c>
      <c r="O1938" s="207">
        <f t="shared" si="1422"/>
        <v>0.003048780488</v>
      </c>
    </row>
    <row r="1939">
      <c r="A1939" s="207">
        <v>133.0</v>
      </c>
      <c r="B1939" s="6" t="str">
        <f>VLOOKUP($A1939, 'Completion rates'!$A:$E, 2, FALSE)</f>
        <v>Looting skeletons in the ancient cavern (my notes / ancient page)</v>
      </c>
      <c r="C1939" s="207">
        <v>11350.0</v>
      </c>
      <c r="D1939" s="6" t="str">
        <f>VLOOKUP($C1939, 'List of log slots'!$A:$E, 2, FALSE)</f>
        <v>Ancient page</v>
      </c>
      <c r="E1939" s="207">
        <f>VLOOKUP($C1939, 'List of log slots'!$A:$E, 5, FALSE)</f>
        <v>3</v>
      </c>
      <c r="F1939" s="208" t="b">
        <f>VLOOKUP(C1939, 'List of log slots'!$A:$C, 3, FALSE)</f>
        <v>0</v>
      </c>
      <c r="G1939" s="209" t="b">
        <f t="shared" si="1455"/>
        <v>0</v>
      </c>
      <c r="H1939" s="210" t="b">
        <f t="shared" si="7"/>
        <v>1</v>
      </c>
      <c r="I1939" s="208" t="b">
        <f t="shared" ref="I1939:J1939" si="1466">FALSE</f>
        <v>0</v>
      </c>
      <c r="J1939" s="208" t="b">
        <f t="shared" si="1466"/>
        <v>0</v>
      </c>
      <c r="K1939" s="214">
        <v>328.0</v>
      </c>
      <c r="L1939" s="212" t="str">
        <f t="shared" si="3"/>
        <v>n/a</v>
      </c>
      <c r="M1939" s="212" t="str">
        <f t="shared" si="4"/>
        <v>n/a</v>
      </c>
      <c r="N1939" s="207" t="str">
        <f t="shared" si="1421"/>
        <v>n/a</v>
      </c>
      <c r="O1939" s="207">
        <f t="shared" si="1422"/>
        <v>0.003048780488</v>
      </c>
    </row>
    <row r="1940">
      <c r="A1940" s="207">
        <v>133.0</v>
      </c>
      <c r="B1940" s="6" t="str">
        <f>VLOOKUP($A1940, 'Completion rates'!$A:$E, 2, FALSE)</f>
        <v>Looting skeletons in the ancient cavern (my notes / ancient page)</v>
      </c>
      <c r="C1940" s="207">
        <v>11351.0</v>
      </c>
      <c r="D1940" s="6" t="str">
        <f>VLOOKUP($C1940, 'List of log slots'!$A:$E, 2, FALSE)</f>
        <v>Ancient page</v>
      </c>
      <c r="E1940" s="207">
        <f>VLOOKUP($C1940, 'List of log slots'!$A:$E, 5, FALSE)</f>
        <v>3</v>
      </c>
      <c r="F1940" s="208" t="b">
        <f>VLOOKUP(C1940, 'List of log slots'!$A:$C, 3, FALSE)</f>
        <v>0</v>
      </c>
      <c r="G1940" s="209" t="b">
        <f t="shared" si="1455"/>
        <v>0</v>
      </c>
      <c r="H1940" s="210" t="b">
        <f t="shared" si="7"/>
        <v>1</v>
      </c>
      <c r="I1940" s="208" t="b">
        <f t="shared" ref="I1940:J1940" si="1467">FALSE</f>
        <v>0</v>
      </c>
      <c r="J1940" s="208" t="b">
        <f t="shared" si="1467"/>
        <v>0</v>
      </c>
      <c r="K1940" s="214">
        <v>328.0</v>
      </c>
      <c r="L1940" s="212" t="str">
        <f t="shared" si="3"/>
        <v>n/a</v>
      </c>
      <c r="M1940" s="212" t="str">
        <f t="shared" si="4"/>
        <v>n/a</v>
      </c>
      <c r="N1940" s="207" t="str">
        <f t="shared" si="1421"/>
        <v>n/a</v>
      </c>
      <c r="O1940" s="207">
        <f t="shared" si="1422"/>
        <v>0.003048780488</v>
      </c>
    </row>
    <row r="1941">
      <c r="A1941" s="207">
        <v>133.0</v>
      </c>
      <c r="B1941" s="6" t="str">
        <f>VLOOKUP($A1941, 'Completion rates'!$A:$E, 2, FALSE)</f>
        <v>Looting skeletons in the ancient cavern (my notes / ancient page)</v>
      </c>
      <c r="C1941" s="207">
        <v>11352.0</v>
      </c>
      <c r="D1941" s="6" t="str">
        <f>VLOOKUP($C1941, 'List of log slots'!$A:$E, 2, FALSE)</f>
        <v>Ancient page</v>
      </c>
      <c r="E1941" s="207">
        <f>VLOOKUP($C1941, 'List of log slots'!$A:$E, 5, FALSE)</f>
        <v>3</v>
      </c>
      <c r="F1941" s="213" t="b">
        <f>VLOOKUP(C1941, 'List of log slots'!$A:$C, 3, FALSE)</f>
        <v>0</v>
      </c>
      <c r="G1941" s="209" t="b">
        <f t="shared" si="1455"/>
        <v>0</v>
      </c>
      <c r="H1941" s="209" t="b">
        <f t="shared" si="7"/>
        <v>1</v>
      </c>
      <c r="I1941" s="208" t="b">
        <f t="shared" ref="I1941:J1941" si="1468">FALSE</f>
        <v>0</v>
      </c>
      <c r="J1941" s="208" t="b">
        <f t="shared" si="1468"/>
        <v>0</v>
      </c>
      <c r="K1941" s="214">
        <v>328.0</v>
      </c>
      <c r="L1941" s="212" t="str">
        <f t="shared" si="3"/>
        <v>n/a</v>
      </c>
      <c r="M1941" s="212" t="str">
        <f t="shared" si="4"/>
        <v>n/a</v>
      </c>
      <c r="N1941" s="207" t="str">
        <f t="shared" si="1421"/>
        <v>n/a</v>
      </c>
      <c r="O1941" s="207">
        <f t="shared" si="1422"/>
        <v>0.003048780488</v>
      </c>
    </row>
    <row r="1942">
      <c r="A1942" s="207">
        <v>133.0</v>
      </c>
      <c r="B1942" s="6" t="str">
        <f>VLOOKUP($A1942, 'Completion rates'!$A:$E, 2, FALSE)</f>
        <v>Looting skeletons in the ancient cavern (my notes / ancient page)</v>
      </c>
      <c r="C1942" s="207">
        <v>11353.0</v>
      </c>
      <c r="D1942" s="6" t="str">
        <f>VLOOKUP($C1942, 'List of log slots'!$A:$E, 2, FALSE)</f>
        <v>Ancient page</v>
      </c>
      <c r="E1942" s="207">
        <f>VLOOKUP($C1942, 'List of log slots'!$A:$E, 5, FALSE)</f>
        <v>3</v>
      </c>
      <c r="F1942" s="208" t="b">
        <f>VLOOKUP(C1942, 'List of log slots'!$A:$C, 3, FALSE)</f>
        <v>0</v>
      </c>
      <c r="G1942" s="209" t="b">
        <f t="shared" si="1455"/>
        <v>0</v>
      </c>
      <c r="H1942" s="210" t="b">
        <f t="shared" si="7"/>
        <v>1</v>
      </c>
      <c r="I1942" s="208" t="b">
        <f t="shared" ref="I1942:J1942" si="1469">FALSE</f>
        <v>0</v>
      </c>
      <c r="J1942" s="208" t="b">
        <f t="shared" si="1469"/>
        <v>0</v>
      </c>
      <c r="K1942" s="214">
        <v>328.0</v>
      </c>
      <c r="L1942" s="212" t="str">
        <f t="shared" si="3"/>
        <v>n/a</v>
      </c>
      <c r="M1942" s="212" t="str">
        <f t="shared" si="4"/>
        <v>n/a</v>
      </c>
      <c r="N1942" s="207" t="str">
        <f t="shared" si="1421"/>
        <v>n/a</v>
      </c>
      <c r="O1942" s="207">
        <f t="shared" si="1422"/>
        <v>0.003048780488</v>
      </c>
    </row>
    <row r="1943">
      <c r="A1943" s="207">
        <v>133.0</v>
      </c>
      <c r="B1943" s="6" t="str">
        <f>VLOOKUP($A1943, 'Completion rates'!$A:$E, 2, FALSE)</f>
        <v>Looting skeletons in the ancient cavern (my notes / ancient page)</v>
      </c>
      <c r="C1943" s="207">
        <v>11354.0</v>
      </c>
      <c r="D1943" s="6" t="str">
        <f>VLOOKUP($C1943, 'List of log slots'!$A:$E, 2, FALSE)</f>
        <v>Ancient page</v>
      </c>
      <c r="E1943" s="207">
        <f>VLOOKUP($C1943, 'List of log slots'!$A:$E, 5, FALSE)</f>
        <v>3</v>
      </c>
      <c r="F1943" s="213" t="b">
        <f>VLOOKUP(C1943, 'List of log slots'!$A:$C, 3, FALSE)</f>
        <v>0</v>
      </c>
      <c r="G1943" s="209" t="b">
        <f t="shared" si="1455"/>
        <v>0</v>
      </c>
      <c r="H1943" s="209" t="b">
        <f t="shared" si="7"/>
        <v>1</v>
      </c>
      <c r="I1943" s="208" t="b">
        <f t="shared" ref="I1943:J1943" si="1470">FALSE</f>
        <v>0</v>
      </c>
      <c r="J1943" s="208" t="b">
        <f t="shared" si="1470"/>
        <v>0</v>
      </c>
      <c r="K1943" s="214">
        <v>328.0</v>
      </c>
      <c r="L1943" s="212" t="str">
        <f t="shared" si="3"/>
        <v>n/a</v>
      </c>
      <c r="M1943" s="212" t="str">
        <f t="shared" si="4"/>
        <v>n/a</v>
      </c>
      <c r="N1943" s="207" t="str">
        <f t="shared" si="1421"/>
        <v>n/a</v>
      </c>
      <c r="O1943" s="207">
        <f t="shared" si="1422"/>
        <v>0.003048780488</v>
      </c>
    </row>
    <row r="1944">
      <c r="A1944" s="207">
        <v>133.0</v>
      </c>
      <c r="B1944" s="6" t="str">
        <f>VLOOKUP($A1944, 'Completion rates'!$A:$E, 2, FALSE)</f>
        <v>Looting skeletons in the ancient cavern (my notes / ancient page)</v>
      </c>
      <c r="C1944" s="207">
        <v>11355.0</v>
      </c>
      <c r="D1944" s="6" t="str">
        <f>VLOOKUP($C1944, 'List of log slots'!$A:$E, 2, FALSE)</f>
        <v>Ancient page</v>
      </c>
      <c r="E1944" s="207">
        <f>VLOOKUP($C1944, 'List of log slots'!$A:$E, 5, FALSE)</f>
        <v>3</v>
      </c>
      <c r="F1944" s="208" t="b">
        <f>VLOOKUP(C1944, 'List of log slots'!$A:$C, 3, FALSE)</f>
        <v>0</v>
      </c>
      <c r="G1944" s="209" t="b">
        <f t="shared" si="1455"/>
        <v>0</v>
      </c>
      <c r="H1944" s="210" t="b">
        <f t="shared" si="7"/>
        <v>1</v>
      </c>
      <c r="I1944" s="208" t="b">
        <f t="shared" ref="I1944:J1944" si="1471">FALSE</f>
        <v>0</v>
      </c>
      <c r="J1944" s="208" t="b">
        <f t="shared" si="1471"/>
        <v>0</v>
      </c>
      <c r="K1944" s="214">
        <v>328.0</v>
      </c>
      <c r="L1944" s="212" t="str">
        <f t="shared" si="3"/>
        <v>n/a</v>
      </c>
      <c r="M1944" s="212" t="str">
        <f t="shared" si="4"/>
        <v>n/a</v>
      </c>
      <c r="N1944" s="207" t="str">
        <f t="shared" si="1421"/>
        <v>n/a</v>
      </c>
      <c r="O1944" s="207">
        <f t="shared" si="1422"/>
        <v>0.003048780488</v>
      </c>
    </row>
    <row r="1945">
      <c r="A1945" s="207">
        <v>133.0</v>
      </c>
      <c r="B1945" s="6" t="str">
        <f>VLOOKUP($A1945, 'Completion rates'!$A:$E, 2, FALSE)</f>
        <v>Looting skeletons in the ancient cavern (my notes / ancient page)</v>
      </c>
      <c r="C1945" s="207">
        <v>11356.0</v>
      </c>
      <c r="D1945" s="6" t="str">
        <f>VLOOKUP($C1945, 'List of log slots'!$A:$E, 2, FALSE)</f>
        <v>Ancient page</v>
      </c>
      <c r="E1945" s="207">
        <f>VLOOKUP($C1945, 'List of log slots'!$A:$E, 5, FALSE)</f>
        <v>3</v>
      </c>
      <c r="F1945" s="208" t="b">
        <f>VLOOKUP(C1945, 'List of log slots'!$A:$C, 3, FALSE)</f>
        <v>0</v>
      </c>
      <c r="G1945" s="209" t="b">
        <f t="shared" si="1455"/>
        <v>0</v>
      </c>
      <c r="H1945" s="210" t="b">
        <f t="shared" si="7"/>
        <v>1</v>
      </c>
      <c r="I1945" s="208" t="b">
        <f t="shared" ref="I1945:J1945" si="1472">FALSE</f>
        <v>0</v>
      </c>
      <c r="J1945" s="208" t="b">
        <f t="shared" si="1472"/>
        <v>0</v>
      </c>
      <c r="K1945" s="214">
        <v>328.0</v>
      </c>
      <c r="L1945" s="212" t="str">
        <f t="shared" si="3"/>
        <v>n/a</v>
      </c>
      <c r="M1945" s="212" t="str">
        <f t="shared" si="4"/>
        <v>n/a</v>
      </c>
      <c r="N1945" s="207" t="str">
        <f t="shared" si="1421"/>
        <v>n/a</v>
      </c>
      <c r="O1945" s="207">
        <f t="shared" si="1422"/>
        <v>0.003048780488</v>
      </c>
    </row>
    <row r="1946">
      <c r="A1946" s="207">
        <v>133.0</v>
      </c>
      <c r="B1946" s="6" t="str">
        <f>VLOOKUP($A1946, 'Completion rates'!$A:$E, 2, FALSE)</f>
        <v>Looting skeletons in the ancient cavern (my notes / ancient page)</v>
      </c>
      <c r="C1946" s="207">
        <v>11357.0</v>
      </c>
      <c r="D1946" s="6" t="str">
        <f>VLOOKUP($C1946, 'List of log slots'!$A:$E, 2, FALSE)</f>
        <v>Ancient page</v>
      </c>
      <c r="E1946" s="207">
        <f>VLOOKUP($C1946, 'List of log slots'!$A:$E, 5, FALSE)</f>
        <v>3</v>
      </c>
      <c r="F1946" s="213" t="b">
        <f>VLOOKUP(C1946, 'List of log slots'!$A:$C, 3, FALSE)</f>
        <v>0</v>
      </c>
      <c r="G1946" s="209" t="b">
        <f t="shared" si="1455"/>
        <v>0</v>
      </c>
      <c r="H1946" s="209" t="b">
        <f t="shared" si="7"/>
        <v>1</v>
      </c>
      <c r="I1946" s="208" t="b">
        <f t="shared" ref="I1946:J1946" si="1473">FALSE</f>
        <v>0</v>
      </c>
      <c r="J1946" s="208" t="b">
        <f t="shared" si="1473"/>
        <v>0</v>
      </c>
      <c r="K1946" s="214">
        <v>328.0</v>
      </c>
      <c r="L1946" s="212" t="str">
        <f t="shared" si="3"/>
        <v>n/a</v>
      </c>
      <c r="M1946" s="212" t="str">
        <f t="shared" si="4"/>
        <v>n/a</v>
      </c>
      <c r="N1946" s="207" t="str">
        <f t="shared" si="1421"/>
        <v>n/a</v>
      </c>
      <c r="O1946" s="207">
        <f t="shared" si="1422"/>
        <v>0.003048780488</v>
      </c>
    </row>
    <row r="1947">
      <c r="A1947" s="207">
        <v>133.0</v>
      </c>
      <c r="B1947" s="6" t="str">
        <f>VLOOKUP($A1947, 'Completion rates'!$A:$E, 2, FALSE)</f>
        <v>Looting skeletons in the ancient cavern (my notes / ancient page)</v>
      </c>
      <c r="C1947" s="207">
        <v>11358.0</v>
      </c>
      <c r="D1947" s="6" t="str">
        <f>VLOOKUP($C1947, 'List of log slots'!$A:$E, 2, FALSE)</f>
        <v>Ancient page</v>
      </c>
      <c r="E1947" s="207">
        <f>VLOOKUP($C1947, 'List of log slots'!$A:$E, 5, FALSE)</f>
        <v>3</v>
      </c>
      <c r="F1947" s="208" t="b">
        <f>VLOOKUP(C1947, 'List of log slots'!$A:$C, 3, FALSE)</f>
        <v>0</v>
      </c>
      <c r="G1947" s="209" t="b">
        <f t="shared" si="1455"/>
        <v>0</v>
      </c>
      <c r="H1947" s="210" t="b">
        <f t="shared" si="7"/>
        <v>1</v>
      </c>
      <c r="I1947" s="208" t="b">
        <f t="shared" ref="I1947:J1947" si="1474">FALSE</f>
        <v>0</v>
      </c>
      <c r="J1947" s="208" t="b">
        <f t="shared" si="1474"/>
        <v>0</v>
      </c>
      <c r="K1947" s="214">
        <v>328.0</v>
      </c>
      <c r="L1947" s="212" t="str">
        <f t="shared" si="3"/>
        <v>n/a</v>
      </c>
      <c r="M1947" s="212" t="str">
        <f t="shared" si="4"/>
        <v>n/a</v>
      </c>
      <c r="N1947" s="207" t="str">
        <f t="shared" si="1421"/>
        <v>n/a</v>
      </c>
      <c r="O1947" s="207">
        <f t="shared" si="1422"/>
        <v>0.003048780488</v>
      </c>
    </row>
    <row r="1948">
      <c r="A1948" s="207">
        <v>133.0</v>
      </c>
      <c r="B1948" s="6" t="str">
        <f>VLOOKUP($A1948, 'Completion rates'!$A:$E, 2, FALSE)</f>
        <v>Looting skeletons in the ancient cavern (my notes / ancient page)</v>
      </c>
      <c r="C1948" s="207">
        <v>11359.0</v>
      </c>
      <c r="D1948" s="6" t="str">
        <f>VLOOKUP($C1948, 'List of log slots'!$A:$E, 2, FALSE)</f>
        <v>Ancient page</v>
      </c>
      <c r="E1948" s="207">
        <f>VLOOKUP($C1948, 'List of log slots'!$A:$E, 5, FALSE)</f>
        <v>3</v>
      </c>
      <c r="F1948" s="208" t="b">
        <f>VLOOKUP(C1948, 'List of log slots'!$A:$C, 3, FALSE)</f>
        <v>0</v>
      </c>
      <c r="G1948" s="209" t="b">
        <f t="shared" si="1455"/>
        <v>0</v>
      </c>
      <c r="H1948" s="210" t="b">
        <f t="shared" si="7"/>
        <v>1</v>
      </c>
      <c r="I1948" s="208" t="b">
        <f t="shared" ref="I1948:J1948" si="1475">FALSE</f>
        <v>0</v>
      </c>
      <c r="J1948" s="208" t="b">
        <f t="shared" si="1475"/>
        <v>0</v>
      </c>
      <c r="K1948" s="214">
        <v>328.0</v>
      </c>
      <c r="L1948" s="212" t="str">
        <f t="shared" si="3"/>
        <v>n/a</v>
      </c>
      <c r="M1948" s="212" t="str">
        <f t="shared" si="4"/>
        <v>n/a</v>
      </c>
      <c r="N1948" s="207" t="str">
        <f t="shared" si="1421"/>
        <v>n/a</v>
      </c>
      <c r="O1948" s="207">
        <f t="shared" si="1422"/>
        <v>0.003048780488</v>
      </c>
    </row>
    <row r="1949">
      <c r="A1949" s="207">
        <v>133.0</v>
      </c>
      <c r="B1949" s="6" t="str">
        <f>VLOOKUP($A1949, 'Completion rates'!$A:$E, 2, FALSE)</f>
        <v>Looting skeletons in the ancient cavern (my notes / ancient page)</v>
      </c>
      <c r="C1949" s="207">
        <v>11360.0</v>
      </c>
      <c r="D1949" s="6" t="str">
        <f>VLOOKUP($C1949, 'List of log slots'!$A:$E, 2, FALSE)</f>
        <v>Ancient page</v>
      </c>
      <c r="E1949" s="207">
        <f>VLOOKUP($C1949, 'List of log slots'!$A:$E, 5, FALSE)</f>
        <v>3</v>
      </c>
      <c r="F1949" s="213" t="b">
        <f>VLOOKUP(C1949, 'List of log slots'!$A:$C, 3, FALSE)</f>
        <v>0</v>
      </c>
      <c r="G1949" s="209" t="b">
        <f t="shared" si="1455"/>
        <v>0</v>
      </c>
      <c r="H1949" s="209" t="b">
        <f t="shared" si="7"/>
        <v>1</v>
      </c>
      <c r="I1949" s="208" t="b">
        <f t="shared" ref="I1949:J1949" si="1476">FALSE</f>
        <v>0</v>
      </c>
      <c r="J1949" s="208" t="b">
        <f t="shared" si="1476"/>
        <v>0</v>
      </c>
      <c r="K1949" s="214">
        <v>328.0</v>
      </c>
      <c r="L1949" s="212" t="str">
        <f t="shared" si="3"/>
        <v>n/a</v>
      </c>
      <c r="M1949" s="212" t="str">
        <f t="shared" si="4"/>
        <v>n/a</v>
      </c>
      <c r="N1949" s="207" t="str">
        <f t="shared" si="1421"/>
        <v>n/a</v>
      </c>
      <c r="O1949" s="207">
        <f t="shared" si="1422"/>
        <v>0.003048780488</v>
      </c>
    </row>
    <row r="1950">
      <c r="A1950" s="207">
        <v>133.0</v>
      </c>
      <c r="B1950" s="6" t="str">
        <f>VLOOKUP($A1950, 'Completion rates'!$A:$E, 2, FALSE)</f>
        <v>Looting skeletons in the ancient cavern (my notes / ancient page)</v>
      </c>
      <c r="C1950" s="207">
        <v>11361.0</v>
      </c>
      <c r="D1950" s="6" t="str">
        <f>VLOOKUP($C1950, 'List of log slots'!$A:$E, 2, FALSE)</f>
        <v>Ancient page</v>
      </c>
      <c r="E1950" s="207">
        <f>VLOOKUP($C1950, 'List of log slots'!$A:$E, 5, FALSE)</f>
        <v>3</v>
      </c>
      <c r="F1950" s="208" t="b">
        <f>VLOOKUP(C1950, 'List of log slots'!$A:$C, 3, FALSE)</f>
        <v>0</v>
      </c>
      <c r="G1950" s="209" t="b">
        <f t="shared" si="1455"/>
        <v>0</v>
      </c>
      <c r="H1950" s="210" t="b">
        <f t="shared" si="7"/>
        <v>1</v>
      </c>
      <c r="I1950" s="208" t="b">
        <f t="shared" ref="I1950:J1950" si="1477">FALSE</f>
        <v>0</v>
      </c>
      <c r="J1950" s="208" t="b">
        <f t="shared" si="1477"/>
        <v>0</v>
      </c>
      <c r="K1950" s="214">
        <v>328.0</v>
      </c>
      <c r="L1950" s="212" t="str">
        <f t="shared" si="3"/>
        <v>n/a</v>
      </c>
      <c r="M1950" s="212" t="str">
        <f t="shared" si="4"/>
        <v>n/a</v>
      </c>
      <c r="N1950" s="207" t="str">
        <f t="shared" si="1421"/>
        <v>n/a</v>
      </c>
      <c r="O1950" s="207">
        <f t="shared" si="1422"/>
        <v>0.003048780488</v>
      </c>
    </row>
    <row r="1951">
      <c r="A1951" s="207">
        <v>133.0</v>
      </c>
      <c r="B1951" s="6" t="str">
        <f>VLOOKUP($A1951, 'Completion rates'!$A:$E, 2, FALSE)</f>
        <v>Looting skeletons in the ancient cavern (my notes / ancient page)</v>
      </c>
      <c r="C1951" s="207">
        <v>11362.0</v>
      </c>
      <c r="D1951" s="6" t="str">
        <f>VLOOKUP($C1951, 'List of log slots'!$A:$E, 2, FALSE)</f>
        <v>Ancient page</v>
      </c>
      <c r="E1951" s="207">
        <f>VLOOKUP($C1951, 'List of log slots'!$A:$E, 5, FALSE)</f>
        <v>3</v>
      </c>
      <c r="F1951" s="208" t="b">
        <f>VLOOKUP(C1951, 'List of log slots'!$A:$C, 3, FALSE)</f>
        <v>0</v>
      </c>
      <c r="G1951" s="209" t="b">
        <f t="shared" si="1455"/>
        <v>0</v>
      </c>
      <c r="H1951" s="210" t="b">
        <f t="shared" si="7"/>
        <v>1</v>
      </c>
      <c r="I1951" s="208" t="b">
        <f t="shared" ref="I1951:J1951" si="1478">FALSE</f>
        <v>0</v>
      </c>
      <c r="J1951" s="208" t="b">
        <f t="shared" si="1478"/>
        <v>0</v>
      </c>
      <c r="K1951" s="214">
        <v>328.0</v>
      </c>
      <c r="L1951" s="212" t="str">
        <f t="shared" si="3"/>
        <v>n/a</v>
      </c>
      <c r="M1951" s="212" t="str">
        <f t="shared" si="4"/>
        <v>n/a</v>
      </c>
      <c r="N1951" s="207" t="str">
        <f t="shared" si="1421"/>
        <v>n/a</v>
      </c>
      <c r="O1951" s="207">
        <f t="shared" si="1422"/>
        <v>0.003048780488</v>
      </c>
    </row>
    <row r="1952">
      <c r="A1952" s="207">
        <v>133.0</v>
      </c>
      <c r="B1952" s="6" t="str">
        <f>VLOOKUP($A1952, 'Completion rates'!$A:$E, 2, FALSE)</f>
        <v>Looting skeletons in the ancient cavern (my notes / ancient page)</v>
      </c>
      <c r="C1952" s="207">
        <v>11363.0</v>
      </c>
      <c r="D1952" s="6" t="str">
        <f>VLOOKUP($C1952, 'List of log slots'!$A:$E, 2, FALSE)</f>
        <v>Ancient page</v>
      </c>
      <c r="E1952" s="207">
        <f>VLOOKUP($C1952, 'List of log slots'!$A:$E, 5, FALSE)</f>
        <v>3</v>
      </c>
      <c r="F1952" s="208" t="b">
        <f>VLOOKUP(C1952, 'List of log slots'!$A:$C, 3, FALSE)</f>
        <v>0</v>
      </c>
      <c r="G1952" s="209" t="b">
        <f t="shared" si="1455"/>
        <v>0</v>
      </c>
      <c r="H1952" s="210" t="b">
        <f t="shared" si="7"/>
        <v>1</v>
      </c>
      <c r="I1952" s="208" t="b">
        <f t="shared" ref="I1952:J1952" si="1479">FALSE</f>
        <v>0</v>
      </c>
      <c r="J1952" s="208" t="b">
        <f t="shared" si="1479"/>
        <v>0</v>
      </c>
      <c r="K1952" s="214">
        <v>328.0</v>
      </c>
      <c r="L1952" s="212" t="str">
        <f t="shared" si="3"/>
        <v>n/a</v>
      </c>
      <c r="M1952" s="212" t="str">
        <f t="shared" si="4"/>
        <v>n/a</v>
      </c>
      <c r="N1952" s="207" t="str">
        <f t="shared" si="1421"/>
        <v>n/a</v>
      </c>
      <c r="O1952" s="207">
        <f t="shared" si="1422"/>
        <v>0.003048780488</v>
      </c>
    </row>
    <row r="1953">
      <c r="A1953" s="207">
        <v>133.0</v>
      </c>
      <c r="B1953" s="6" t="str">
        <f>VLOOKUP($A1953, 'Completion rates'!$A:$E, 2, FALSE)</f>
        <v>Looting skeletons in the ancient cavern (my notes / ancient page)</v>
      </c>
      <c r="C1953" s="207">
        <v>11364.0</v>
      </c>
      <c r="D1953" s="6" t="str">
        <f>VLOOKUP($C1953, 'List of log slots'!$A:$E, 2, FALSE)</f>
        <v>Ancient page</v>
      </c>
      <c r="E1953" s="207">
        <f>VLOOKUP($C1953, 'List of log slots'!$A:$E, 5, FALSE)</f>
        <v>3</v>
      </c>
      <c r="F1953" s="213" t="b">
        <f>VLOOKUP(C1953, 'List of log slots'!$A:$C, 3, FALSE)</f>
        <v>0</v>
      </c>
      <c r="G1953" s="209" t="b">
        <f t="shared" si="1455"/>
        <v>0</v>
      </c>
      <c r="H1953" s="209" t="b">
        <f t="shared" si="7"/>
        <v>1</v>
      </c>
      <c r="I1953" s="208" t="b">
        <f t="shared" ref="I1953:J1953" si="1480">FALSE</f>
        <v>0</v>
      </c>
      <c r="J1953" s="208" t="b">
        <f t="shared" si="1480"/>
        <v>0</v>
      </c>
      <c r="K1953" s="214">
        <v>328.0</v>
      </c>
      <c r="L1953" s="212" t="str">
        <f t="shared" si="3"/>
        <v>n/a</v>
      </c>
      <c r="M1953" s="212" t="str">
        <f t="shared" si="4"/>
        <v>n/a</v>
      </c>
      <c r="N1953" s="207" t="str">
        <f t="shared" si="1421"/>
        <v>n/a</v>
      </c>
      <c r="O1953" s="207">
        <f t="shared" si="1422"/>
        <v>0.003048780488</v>
      </c>
    </row>
    <row r="1954">
      <c r="A1954" s="207">
        <v>133.0</v>
      </c>
      <c r="B1954" s="6" t="str">
        <f>VLOOKUP($A1954, 'Completion rates'!$A:$E, 2, FALSE)</f>
        <v>Looting skeletons in the ancient cavern (my notes / ancient page)</v>
      </c>
      <c r="C1954" s="207">
        <v>11365.0</v>
      </c>
      <c r="D1954" s="6" t="str">
        <f>VLOOKUP($C1954, 'List of log slots'!$A:$E, 2, FALSE)</f>
        <v>Ancient page</v>
      </c>
      <c r="E1954" s="207">
        <f>VLOOKUP($C1954, 'List of log slots'!$A:$E, 5, FALSE)</f>
        <v>3</v>
      </c>
      <c r="F1954" s="213" t="b">
        <f>VLOOKUP(C1954, 'List of log slots'!$A:$C, 3, FALSE)</f>
        <v>0</v>
      </c>
      <c r="G1954" s="209" t="b">
        <f t="shared" si="1455"/>
        <v>0</v>
      </c>
      <c r="H1954" s="209" t="b">
        <f t="shared" si="7"/>
        <v>1</v>
      </c>
      <c r="I1954" s="208" t="b">
        <f t="shared" ref="I1954:J1954" si="1481">FALSE</f>
        <v>0</v>
      </c>
      <c r="J1954" s="208" t="b">
        <f t="shared" si="1481"/>
        <v>0</v>
      </c>
      <c r="K1954" s="214">
        <v>328.0</v>
      </c>
      <c r="L1954" s="212" t="str">
        <f t="shared" si="3"/>
        <v>n/a</v>
      </c>
      <c r="M1954" s="212" t="str">
        <f t="shared" si="4"/>
        <v>n/a</v>
      </c>
      <c r="N1954" s="207" t="str">
        <f t="shared" si="1421"/>
        <v>n/a</v>
      </c>
      <c r="O1954" s="207">
        <f t="shared" si="1422"/>
        <v>0.003048780488</v>
      </c>
    </row>
    <row r="1955">
      <c r="A1955" s="207">
        <v>133.0</v>
      </c>
      <c r="B1955" s="6" t="str">
        <f>VLOOKUP($A1955, 'Completion rates'!$A:$E, 2, FALSE)</f>
        <v>Looting skeletons in the ancient cavern (my notes / ancient page)</v>
      </c>
      <c r="C1955" s="207">
        <v>11366.0</v>
      </c>
      <c r="D1955" s="6" t="str">
        <f>VLOOKUP($C1955, 'List of log slots'!$A:$E, 2, FALSE)</f>
        <v>Ancient page</v>
      </c>
      <c r="E1955" s="207">
        <f>VLOOKUP($C1955, 'List of log slots'!$A:$E, 5, FALSE)</f>
        <v>3</v>
      </c>
      <c r="F1955" s="213" t="b">
        <f>VLOOKUP(C1955, 'List of log slots'!$A:$C, 3, FALSE)</f>
        <v>0</v>
      </c>
      <c r="G1955" s="209" t="b">
        <f t="shared" si="1455"/>
        <v>0</v>
      </c>
      <c r="H1955" s="209" t="b">
        <f t="shared" si="7"/>
        <v>1</v>
      </c>
      <c r="I1955" s="208" t="b">
        <f t="shared" ref="I1955:J1955" si="1482">FALSE</f>
        <v>0</v>
      </c>
      <c r="J1955" s="208" t="b">
        <f t="shared" si="1482"/>
        <v>0</v>
      </c>
      <c r="K1955" s="214">
        <v>328.0</v>
      </c>
      <c r="L1955" s="212" t="str">
        <f t="shared" si="3"/>
        <v>n/a</v>
      </c>
      <c r="M1955" s="212" t="str">
        <f t="shared" si="4"/>
        <v>n/a</v>
      </c>
      <c r="N1955" s="207" t="str">
        <f t="shared" si="1421"/>
        <v>n/a</v>
      </c>
      <c r="O1955" s="207">
        <f t="shared" si="1422"/>
        <v>0.003048780488</v>
      </c>
    </row>
    <row r="1956">
      <c r="A1956" s="207">
        <v>134.0</v>
      </c>
      <c r="B1956" s="6" t="str">
        <f>VLOOKUP($A1956, 'Completion rates'!$A:$E, 2, FALSE)</f>
        <v>Giving items to the clam (ocean encounters)</v>
      </c>
      <c r="C1956" s="207">
        <v>31770.0</v>
      </c>
      <c r="D1956" s="6" t="str">
        <f>VLOOKUP($C1956, 'List of log slots'!$A:$E, 2, FALSE)</f>
        <v>Tiny pearl</v>
      </c>
      <c r="E1956" s="207">
        <f>VLOOKUP($C1956, 'List of log slots'!$A:$E, 5, FALSE)</f>
        <v>2</v>
      </c>
      <c r="F1956" s="213" t="b">
        <f>VLOOKUP(C1956, 'List of log slots'!$A:$C, 3, FALSE)</f>
        <v>0</v>
      </c>
      <c r="G1956" s="209" t="b">
        <f t="shared" si="1455"/>
        <v>0</v>
      </c>
      <c r="H1956" s="209" t="b">
        <f t="shared" si="7"/>
        <v>1</v>
      </c>
      <c r="I1956" s="213" t="b">
        <f t="shared" ref="I1956:J1956" si="1483">TRUE</f>
        <v>1</v>
      </c>
      <c r="J1956" s="213" t="b">
        <f t="shared" si="1483"/>
        <v>1</v>
      </c>
      <c r="K1956" s="214">
        <v>1.0</v>
      </c>
      <c r="L1956" s="212">
        <f t="shared" si="3"/>
        <v>1</v>
      </c>
      <c r="M1956" s="212" t="str">
        <f t="shared" si="4"/>
        <v>n/a</v>
      </c>
      <c r="N1956" s="207" t="str">
        <f t="shared" si="1421"/>
        <v>n/a</v>
      </c>
      <c r="O1956" s="207" t="str">
        <f t="shared" si="1422"/>
        <v>n/a</v>
      </c>
    </row>
    <row r="1957">
      <c r="A1957" s="207">
        <v>134.0</v>
      </c>
      <c r="B1957" s="6" t="str">
        <f>VLOOKUP($A1957, 'Completion rates'!$A:$E, 2, FALSE)</f>
        <v>Giving items to the clam (ocean encounters)</v>
      </c>
      <c r="C1957" s="207">
        <v>31773.0</v>
      </c>
      <c r="D1957" s="6" t="str">
        <f>VLOOKUP($C1957, 'List of log slots'!$A:$E, 2, FALSE)</f>
        <v>Small pearl</v>
      </c>
      <c r="E1957" s="207">
        <f>VLOOKUP($C1957, 'List of log slots'!$A:$E, 5, FALSE)</f>
        <v>2</v>
      </c>
      <c r="F1957" s="213" t="b">
        <f>VLOOKUP(C1957, 'List of log slots'!$A:$C, 3, FALSE)</f>
        <v>0</v>
      </c>
      <c r="G1957" s="209" t="b">
        <f t="shared" si="1455"/>
        <v>0</v>
      </c>
      <c r="H1957" s="209" t="b">
        <f t="shared" si="7"/>
        <v>1</v>
      </c>
      <c r="I1957" s="213" t="b">
        <f t="shared" ref="I1957:J1957" si="1484">TRUE</f>
        <v>1</v>
      </c>
      <c r="J1957" s="213" t="b">
        <f t="shared" si="1484"/>
        <v>1</v>
      </c>
      <c r="K1957" s="214">
        <v>1.0</v>
      </c>
      <c r="L1957" s="212">
        <f t="shared" si="3"/>
        <v>1</v>
      </c>
      <c r="M1957" s="212" t="str">
        <f t="shared" si="4"/>
        <v>n/a</v>
      </c>
      <c r="N1957" s="207" t="str">
        <f t="shared" si="1421"/>
        <v>n/a</v>
      </c>
      <c r="O1957" s="207" t="str">
        <f t="shared" si="1422"/>
        <v>n/a</v>
      </c>
    </row>
    <row r="1958">
      <c r="A1958" s="207">
        <v>134.0</v>
      </c>
      <c r="B1958" s="6" t="str">
        <f>VLOOKUP($A1958, 'Completion rates'!$A:$E, 2, FALSE)</f>
        <v>Giving items to the clam (ocean encounters)</v>
      </c>
      <c r="C1958" s="207">
        <v>31776.0</v>
      </c>
      <c r="D1958" s="6" t="str">
        <f>VLOOKUP($C1958, 'List of log slots'!$A:$E, 2, FALSE)</f>
        <v>Shiny pearl</v>
      </c>
      <c r="E1958" s="207">
        <f>VLOOKUP($C1958, 'List of log slots'!$A:$E, 5, FALSE)</f>
        <v>2</v>
      </c>
      <c r="F1958" s="213" t="b">
        <f>VLOOKUP(C1958, 'List of log slots'!$A:$C, 3, FALSE)</f>
        <v>0</v>
      </c>
      <c r="G1958" s="209" t="b">
        <f t="shared" si="1455"/>
        <v>0</v>
      </c>
      <c r="H1958" s="209" t="b">
        <f t="shared" si="7"/>
        <v>1</v>
      </c>
      <c r="I1958" s="213" t="b">
        <f t="shared" ref="I1958:J1958" si="1485">TRUE</f>
        <v>1</v>
      </c>
      <c r="J1958" s="213" t="b">
        <f t="shared" si="1485"/>
        <v>1</v>
      </c>
      <c r="K1958" s="214">
        <v>1.0</v>
      </c>
      <c r="L1958" s="212">
        <f t="shared" si="3"/>
        <v>1</v>
      </c>
      <c r="M1958" s="212" t="str">
        <f t="shared" si="4"/>
        <v>n/a</v>
      </c>
      <c r="N1958" s="207" t="str">
        <f t="shared" si="1421"/>
        <v>n/a</v>
      </c>
      <c r="O1958" s="207" t="str">
        <f t="shared" si="1422"/>
        <v>n/a</v>
      </c>
    </row>
    <row r="1959">
      <c r="A1959" s="207">
        <v>134.0</v>
      </c>
      <c r="B1959" s="6" t="str">
        <f>VLOOKUP($A1959, 'Completion rates'!$A:$E, 2, FALSE)</f>
        <v>Giving items to the clam (ocean encounters)</v>
      </c>
      <c r="C1959" s="207">
        <v>31779.0</v>
      </c>
      <c r="D1959" s="6" t="str">
        <f>VLOOKUP($C1959, 'List of log slots'!$A:$E, 2, FALSE)</f>
        <v>Bright pearl</v>
      </c>
      <c r="E1959" s="207">
        <f>VLOOKUP($C1959, 'List of log slots'!$A:$E, 5, FALSE)</f>
        <v>2</v>
      </c>
      <c r="F1959" s="208" t="b">
        <f>VLOOKUP(C1959, 'List of log slots'!$A:$C, 3, FALSE)</f>
        <v>0</v>
      </c>
      <c r="G1959" s="209" t="b">
        <f t="shared" si="1455"/>
        <v>0</v>
      </c>
      <c r="H1959" s="210" t="b">
        <f t="shared" si="7"/>
        <v>1</v>
      </c>
      <c r="I1959" s="213" t="b">
        <f t="shared" ref="I1959:J1959" si="1486">TRUE</f>
        <v>1</v>
      </c>
      <c r="J1959" s="213" t="b">
        <f t="shared" si="1486"/>
        <v>1</v>
      </c>
      <c r="K1959" s="214">
        <v>1.0</v>
      </c>
      <c r="L1959" s="212">
        <f t="shared" si="3"/>
        <v>1</v>
      </c>
      <c r="M1959" s="212" t="str">
        <f t="shared" si="4"/>
        <v>n/a</v>
      </c>
      <c r="N1959" s="207" t="str">
        <f t="shared" si="1421"/>
        <v>n/a</v>
      </c>
      <c r="O1959" s="207" t="str">
        <f t="shared" si="1422"/>
        <v>n/a</v>
      </c>
    </row>
    <row r="1960">
      <c r="A1960" s="207">
        <v>134.0</v>
      </c>
      <c r="B1960" s="6" t="str">
        <f>VLOOKUP($A1960, 'Completion rates'!$A:$E, 2, FALSE)</f>
        <v>Giving items to the clam (ocean encounters)</v>
      </c>
      <c r="C1960" s="207">
        <v>31782.0</v>
      </c>
      <c r="D1960" s="6" t="str">
        <f>VLOOKUP($C1960, 'List of log slots'!$A:$E, 2, FALSE)</f>
        <v>Big pearl</v>
      </c>
      <c r="E1960" s="207">
        <f>VLOOKUP($C1960, 'List of log slots'!$A:$E, 5, FALSE)</f>
        <v>2</v>
      </c>
      <c r="F1960" s="208" t="b">
        <f>VLOOKUP(C1960, 'List of log slots'!$A:$C, 3, FALSE)</f>
        <v>0</v>
      </c>
      <c r="G1960" s="209" t="b">
        <f t="shared" si="1455"/>
        <v>0</v>
      </c>
      <c r="H1960" s="210" t="b">
        <f t="shared" si="7"/>
        <v>1</v>
      </c>
      <c r="I1960" s="213" t="b">
        <f t="shared" ref="I1960:J1960" si="1487">TRUE</f>
        <v>1</v>
      </c>
      <c r="J1960" s="213" t="b">
        <f t="shared" si="1487"/>
        <v>1</v>
      </c>
      <c r="K1960" s="214">
        <v>1.0</v>
      </c>
      <c r="L1960" s="212">
        <f t="shared" si="3"/>
        <v>1</v>
      </c>
      <c r="M1960" s="212" t="str">
        <f t="shared" si="4"/>
        <v>n/a</v>
      </c>
      <c r="N1960" s="207" t="str">
        <f t="shared" si="1421"/>
        <v>n/a</v>
      </c>
      <c r="O1960" s="207" t="str">
        <f t="shared" si="1422"/>
        <v>n/a</v>
      </c>
    </row>
    <row r="1961">
      <c r="A1961" s="207">
        <v>134.0</v>
      </c>
      <c r="B1961" s="6" t="str">
        <f>VLOOKUP($A1961, 'Completion rates'!$A:$E, 2, FALSE)</f>
        <v>Giving items to the clam (ocean encounters)</v>
      </c>
      <c r="C1961" s="207">
        <v>31785.0</v>
      </c>
      <c r="D1961" s="6" t="str">
        <f>VLOOKUP($C1961, 'List of log slots'!$A:$E, 2, FALSE)</f>
        <v>Huge pearl</v>
      </c>
      <c r="E1961" s="207">
        <f>VLOOKUP($C1961, 'List of log slots'!$A:$E, 5, FALSE)</f>
        <v>2</v>
      </c>
      <c r="F1961" s="208" t="b">
        <f>VLOOKUP(C1961, 'List of log slots'!$A:$C, 3, FALSE)</f>
        <v>0</v>
      </c>
      <c r="G1961" s="209" t="b">
        <f t="shared" si="1455"/>
        <v>0</v>
      </c>
      <c r="H1961" s="210" t="b">
        <f t="shared" si="7"/>
        <v>1</v>
      </c>
      <c r="I1961" s="213" t="b">
        <f t="shared" ref="I1961:J1961" si="1488">TRUE</f>
        <v>1</v>
      </c>
      <c r="J1961" s="213" t="b">
        <f t="shared" si="1488"/>
        <v>1</v>
      </c>
      <c r="K1961" s="214">
        <v>1.0</v>
      </c>
      <c r="L1961" s="212">
        <f t="shared" si="3"/>
        <v>1</v>
      </c>
      <c r="M1961" s="212" t="str">
        <f t="shared" si="4"/>
        <v>n/a</v>
      </c>
      <c r="N1961" s="207" t="str">
        <f t="shared" si="1421"/>
        <v>n/a</v>
      </c>
      <c r="O1961" s="207" t="str">
        <f t="shared" si="1422"/>
        <v>n/a</v>
      </c>
    </row>
    <row r="1962">
      <c r="A1962" s="207">
        <v>134.0</v>
      </c>
      <c r="B1962" s="6" t="str">
        <f>VLOOKUP($A1962, 'Completion rates'!$A:$E, 2, FALSE)</f>
        <v>Giving items to the clam (ocean encounters)</v>
      </c>
      <c r="C1962" s="207">
        <v>31788.0</v>
      </c>
      <c r="D1962" s="6" t="str">
        <f>VLOOKUP($C1962, 'List of log slots'!$A:$E, 2, FALSE)</f>
        <v>Enormous pearl</v>
      </c>
      <c r="E1962" s="207">
        <f>VLOOKUP($C1962, 'List of log slots'!$A:$E, 5, FALSE)</f>
        <v>2</v>
      </c>
      <c r="F1962" s="208" t="b">
        <f>VLOOKUP(C1962, 'List of log slots'!$A:$C, 3, FALSE)</f>
        <v>0</v>
      </c>
      <c r="G1962" s="209" t="b">
        <f t="shared" si="1455"/>
        <v>0</v>
      </c>
      <c r="H1962" s="210" t="b">
        <f t="shared" si="7"/>
        <v>1</v>
      </c>
      <c r="I1962" s="213" t="b">
        <f t="shared" ref="I1962:J1962" si="1489">TRUE</f>
        <v>1</v>
      </c>
      <c r="J1962" s="213" t="b">
        <f t="shared" si="1489"/>
        <v>1</v>
      </c>
      <c r="K1962" s="214">
        <v>1.0</v>
      </c>
      <c r="L1962" s="212">
        <f t="shared" si="3"/>
        <v>1</v>
      </c>
      <c r="M1962" s="212" t="str">
        <f t="shared" si="4"/>
        <v>n/a</v>
      </c>
      <c r="N1962" s="207" t="str">
        <f t="shared" si="1421"/>
        <v>n/a</v>
      </c>
      <c r="O1962" s="207" t="str">
        <f t="shared" si="1422"/>
        <v>n/a</v>
      </c>
    </row>
    <row r="1963">
      <c r="A1963" s="207">
        <v>134.0</v>
      </c>
      <c r="B1963" s="6" t="str">
        <f>VLOOKUP($A1963, 'Completion rates'!$A:$E, 2, FALSE)</f>
        <v>Giving items to the clam (ocean encounters)</v>
      </c>
      <c r="C1963" s="207">
        <v>31791.0</v>
      </c>
      <c r="D1963" s="6" t="str">
        <f>VLOOKUP($C1963, 'List of log slots'!$A:$E, 2, FALSE)</f>
        <v>Shimmering pearl</v>
      </c>
      <c r="E1963" s="207">
        <f>VLOOKUP($C1963, 'List of log slots'!$A:$E, 5, FALSE)</f>
        <v>3</v>
      </c>
      <c r="F1963" s="208" t="b">
        <f>VLOOKUP(C1963, 'List of log slots'!$A:$C, 3, FALSE)</f>
        <v>0</v>
      </c>
      <c r="G1963" s="209" t="b">
        <f t="shared" si="1455"/>
        <v>0</v>
      </c>
      <c r="H1963" s="210" t="b">
        <f t="shared" si="7"/>
        <v>1</v>
      </c>
      <c r="I1963" s="213" t="b">
        <f t="shared" ref="I1963:J1963" si="1490">TRUE</f>
        <v>1</v>
      </c>
      <c r="J1963" s="213" t="b">
        <f t="shared" si="1490"/>
        <v>1</v>
      </c>
      <c r="K1963" s="214">
        <v>1.0</v>
      </c>
      <c r="L1963" s="212">
        <f t="shared" si="3"/>
        <v>1</v>
      </c>
      <c r="M1963" s="212" t="str">
        <f t="shared" si="4"/>
        <v>n/a</v>
      </c>
      <c r="N1963" s="207" t="str">
        <f t="shared" si="1421"/>
        <v>n/a</v>
      </c>
      <c r="O1963" s="207" t="str">
        <f t="shared" si="1422"/>
        <v>n/a</v>
      </c>
    </row>
    <row r="1964">
      <c r="A1964" s="207">
        <v>134.0</v>
      </c>
      <c r="B1964" s="6" t="str">
        <f>VLOOKUP($A1964, 'Completion rates'!$A:$E, 2, FALSE)</f>
        <v>Giving items to the clam (ocean encounters)</v>
      </c>
      <c r="C1964" s="207">
        <v>31794.0</v>
      </c>
      <c r="D1964" s="6" t="str">
        <f>VLOOKUP($C1964, 'List of log slots'!$A:$E, 2, FALSE)</f>
        <v>Glistening pearl</v>
      </c>
      <c r="E1964" s="207">
        <f>VLOOKUP($C1964, 'List of log slots'!$A:$E, 5, FALSE)</f>
        <v>3</v>
      </c>
      <c r="F1964" s="208" t="b">
        <f>VLOOKUP(C1964, 'List of log slots'!$A:$C, 3, FALSE)</f>
        <v>0</v>
      </c>
      <c r="G1964" s="209" t="b">
        <f t="shared" si="1455"/>
        <v>0</v>
      </c>
      <c r="H1964" s="210" t="b">
        <f t="shared" si="7"/>
        <v>1</v>
      </c>
      <c r="I1964" s="213" t="b">
        <f t="shared" ref="I1964:J1964" si="1491">TRUE</f>
        <v>1</v>
      </c>
      <c r="J1964" s="213" t="b">
        <f t="shared" si="1491"/>
        <v>1</v>
      </c>
      <c r="K1964" s="214">
        <v>1.0</v>
      </c>
      <c r="L1964" s="212">
        <f t="shared" si="3"/>
        <v>1</v>
      </c>
      <c r="M1964" s="212" t="str">
        <f t="shared" si="4"/>
        <v>n/a</v>
      </c>
      <c r="N1964" s="207" t="str">
        <f t="shared" si="1421"/>
        <v>n/a</v>
      </c>
      <c r="O1964" s="207" t="str">
        <f t="shared" si="1422"/>
        <v>n/a</v>
      </c>
    </row>
    <row r="1965">
      <c r="A1965" s="207">
        <v>134.0</v>
      </c>
      <c r="B1965" s="6" t="str">
        <f>VLOOKUP($A1965, 'Completion rates'!$A:$E, 2, FALSE)</f>
        <v>Giving items to the clam (ocean encounters)</v>
      </c>
      <c r="C1965" s="207">
        <v>31797.0</v>
      </c>
      <c r="D1965" s="6" t="str">
        <f>VLOOKUP($C1965, 'List of log slots'!$A:$E, 2, FALSE)</f>
        <v>Brilliant pearl</v>
      </c>
      <c r="E1965" s="207">
        <f>VLOOKUP($C1965, 'List of log slots'!$A:$E, 5, FALSE)</f>
        <v>3</v>
      </c>
      <c r="F1965" s="208" t="b">
        <f>VLOOKUP(C1965, 'List of log slots'!$A:$C, 3, FALSE)</f>
        <v>0</v>
      </c>
      <c r="G1965" s="209" t="b">
        <f t="shared" si="1455"/>
        <v>0</v>
      </c>
      <c r="H1965" s="210" t="b">
        <f t="shared" si="7"/>
        <v>1</v>
      </c>
      <c r="I1965" s="213" t="b">
        <f t="shared" ref="I1965:J1965" si="1492">TRUE</f>
        <v>1</v>
      </c>
      <c r="J1965" s="213" t="b">
        <f t="shared" si="1492"/>
        <v>1</v>
      </c>
      <c r="K1965" s="214">
        <v>1.0</v>
      </c>
      <c r="L1965" s="212">
        <f t="shared" si="3"/>
        <v>1</v>
      </c>
      <c r="M1965" s="212" t="str">
        <f t="shared" si="4"/>
        <v>n/a</v>
      </c>
      <c r="N1965" s="207" t="str">
        <f t="shared" si="1421"/>
        <v>n/a</v>
      </c>
      <c r="O1965" s="207" t="str">
        <f t="shared" si="1422"/>
        <v>n/a</v>
      </c>
    </row>
    <row r="1966">
      <c r="A1966" s="207">
        <v>134.0</v>
      </c>
      <c r="B1966" s="6" t="str">
        <f>VLOOKUP($A1966, 'Completion rates'!$A:$E, 2, FALSE)</f>
        <v>Giving items to the clam (ocean encounters)</v>
      </c>
      <c r="C1966" s="207">
        <v>31800.0</v>
      </c>
      <c r="D1966" s="6" t="str">
        <f>VLOOKUP($C1966, 'List of log slots'!$A:$E, 2, FALSE)</f>
        <v>Radiant pearl</v>
      </c>
      <c r="E1966" s="207">
        <f>VLOOKUP($C1966, 'List of log slots'!$A:$E, 5, FALSE)</f>
        <v>4</v>
      </c>
      <c r="F1966" s="208" t="b">
        <f>VLOOKUP(C1966, 'List of log slots'!$A:$C, 3, FALSE)</f>
        <v>0</v>
      </c>
      <c r="G1966" s="209" t="b">
        <f t="shared" si="1455"/>
        <v>0</v>
      </c>
      <c r="H1966" s="210" t="b">
        <f t="shared" si="7"/>
        <v>1</v>
      </c>
      <c r="I1966" s="213" t="b">
        <f t="shared" ref="I1966:J1966" si="1493">TRUE</f>
        <v>1</v>
      </c>
      <c r="J1966" s="213" t="b">
        <f t="shared" si="1493"/>
        <v>1</v>
      </c>
      <c r="K1966" s="214">
        <v>1.0</v>
      </c>
      <c r="L1966" s="212">
        <f t="shared" si="3"/>
        <v>1</v>
      </c>
      <c r="M1966" s="212" t="str">
        <f t="shared" si="4"/>
        <v>n/a</v>
      </c>
      <c r="N1966" s="207" t="str">
        <f t="shared" si="1421"/>
        <v>n/a</v>
      </c>
      <c r="O1966" s="207" t="str">
        <f t="shared" si="1422"/>
        <v>n/a</v>
      </c>
    </row>
    <row r="1967">
      <c r="A1967" s="207">
        <v>135.0</v>
      </c>
      <c r="B1967" s="6" t="str">
        <f>VLOOKUP($A1967, 'Completion rates'!$A:$E, 2, FALSE)</f>
        <v>Waiting for random events</v>
      </c>
      <c r="C1967" s="207">
        <v>6654.0</v>
      </c>
      <c r="D1967" s="6" t="str">
        <f>VLOOKUP($C1967, 'List of log slots'!$A:$E, 2, FALSE)</f>
        <v>Camo top</v>
      </c>
      <c r="E1967" s="207">
        <f>VLOOKUP($C1967, 'List of log slots'!$A:$E, 5, FALSE)</f>
        <v>2</v>
      </c>
      <c r="F1967" s="213" t="b">
        <f>VLOOKUP(C1967, 'List of log slots'!$A:$C, 3, FALSE)</f>
        <v>0</v>
      </c>
      <c r="G1967" s="209" t="b">
        <f t="shared" si="1455"/>
        <v>0</v>
      </c>
      <c r="H1967" s="209" t="b">
        <f t="shared" si="7"/>
        <v>1</v>
      </c>
      <c r="I1967" s="208" t="b">
        <f t="shared" ref="I1967:J1967" si="1494">FALSE</f>
        <v>0</v>
      </c>
      <c r="J1967" s="208" t="b">
        <f t="shared" si="1494"/>
        <v>0</v>
      </c>
      <c r="K1967" s="214">
        <v>24.0</v>
      </c>
      <c r="L1967" s="212" t="str">
        <f t="shared" si="3"/>
        <v>n/a</v>
      </c>
      <c r="M1967" s="212" t="str">
        <f t="shared" si="4"/>
        <v>n/a</v>
      </c>
      <c r="N1967" s="207" t="str">
        <f t="shared" si="1421"/>
        <v>n/a</v>
      </c>
      <c r="O1967" s="207">
        <f t="shared" si="1422"/>
        <v>0.04166666667</v>
      </c>
    </row>
    <row r="1968">
      <c r="A1968" s="207">
        <v>135.0</v>
      </c>
      <c r="B1968" s="6" t="str">
        <f>VLOOKUP($A1968, 'Completion rates'!$A:$E, 2, FALSE)</f>
        <v>Waiting for random events</v>
      </c>
      <c r="C1968" s="207">
        <v>6655.0</v>
      </c>
      <c r="D1968" s="6" t="str">
        <f>VLOOKUP($C1968, 'List of log slots'!$A:$E, 2, FALSE)</f>
        <v>Camo bottoms</v>
      </c>
      <c r="E1968" s="207">
        <f>VLOOKUP($C1968, 'List of log slots'!$A:$E, 5, FALSE)</f>
        <v>2</v>
      </c>
      <c r="F1968" s="213" t="b">
        <f>VLOOKUP(C1968, 'List of log slots'!$A:$C, 3, FALSE)</f>
        <v>0</v>
      </c>
      <c r="G1968" s="210" t="b">
        <f t="shared" ref="G1968:G1969" si="1496">TRUE</f>
        <v>1</v>
      </c>
      <c r="H1968" s="209" t="b">
        <f t="shared" si="7"/>
        <v>0</v>
      </c>
      <c r="I1968" s="208" t="b">
        <f t="shared" ref="I1968:J1968" si="1495">FALSE</f>
        <v>0</v>
      </c>
      <c r="J1968" s="208" t="b">
        <f t="shared" si="1495"/>
        <v>0</v>
      </c>
      <c r="K1968" s="214">
        <v>24.0</v>
      </c>
      <c r="L1968" s="212" t="str">
        <f t="shared" si="3"/>
        <v>n/a</v>
      </c>
      <c r="M1968" s="212" t="str">
        <f t="shared" si="4"/>
        <v>n/a</v>
      </c>
      <c r="N1968" s="207" t="str">
        <f t="shared" si="1421"/>
        <v>n/a</v>
      </c>
      <c r="O1968" s="207">
        <f t="shared" si="1422"/>
        <v>0.04166666667</v>
      </c>
    </row>
    <row r="1969">
      <c r="A1969" s="207">
        <v>135.0</v>
      </c>
      <c r="B1969" s="6" t="str">
        <f>VLOOKUP($A1969, 'Completion rates'!$A:$E, 2, FALSE)</f>
        <v>Waiting for random events</v>
      </c>
      <c r="C1969" s="207">
        <v>6656.0</v>
      </c>
      <c r="D1969" s="6" t="str">
        <f>VLOOKUP($C1969, 'List of log slots'!$A:$E, 2, FALSE)</f>
        <v>Camo helmet</v>
      </c>
      <c r="E1969" s="207">
        <f>VLOOKUP($C1969, 'List of log slots'!$A:$E, 5, FALSE)</f>
        <v>2</v>
      </c>
      <c r="F1969" s="213" t="b">
        <f>VLOOKUP(C1969, 'List of log slots'!$A:$C, 3, FALSE)</f>
        <v>0</v>
      </c>
      <c r="G1969" s="210" t="b">
        <f t="shared" si="1496"/>
        <v>1</v>
      </c>
      <c r="H1969" s="209" t="b">
        <f t="shared" si="7"/>
        <v>0</v>
      </c>
      <c r="I1969" s="208" t="b">
        <f t="shared" ref="I1969:J1969" si="1497">FALSE</f>
        <v>0</v>
      </c>
      <c r="J1969" s="208" t="b">
        <f t="shared" si="1497"/>
        <v>0</v>
      </c>
      <c r="K1969" s="214">
        <v>24.0</v>
      </c>
      <c r="L1969" s="212" t="str">
        <f t="shared" si="3"/>
        <v>n/a</v>
      </c>
      <c r="M1969" s="212" t="str">
        <f t="shared" si="4"/>
        <v>n/a</v>
      </c>
      <c r="N1969" s="207" t="str">
        <f t="shared" si="1421"/>
        <v>n/a</v>
      </c>
      <c r="O1969" s="207">
        <f t="shared" si="1422"/>
        <v>0.04166666667</v>
      </c>
    </row>
    <row r="1970">
      <c r="A1970" s="207">
        <v>135.0</v>
      </c>
      <c r="B1970" s="6" t="str">
        <f>VLOOKUP($A1970, 'Completion rates'!$A:$E, 2, FALSE)</f>
        <v>Waiting for random events</v>
      </c>
      <c r="C1970" s="207">
        <v>6180.0</v>
      </c>
      <c r="D1970" s="6" t="str">
        <f>VLOOKUP($C1970, 'List of log slots'!$A:$E, 2, FALSE)</f>
        <v>Lederhosen top</v>
      </c>
      <c r="E1970" s="207">
        <f>VLOOKUP($C1970, 'List of log slots'!$A:$E, 5, FALSE)</f>
        <v>2</v>
      </c>
      <c r="F1970" s="213" t="b">
        <f>VLOOKUP(C1970, 'List of log slots'!$A:$C, 3, FALSE)</f>
        <v>0</v>
      </c>
      <c r="G1970" s="209" t="b">
        <f>FALSE</f>
        <v>0</v>
      </c>
      <c r="H1970" s="209" t="b">
        <f t="shared" si="7"/>
        <v>1</v>
      </c>
      <c r="I1970" s="208" t="b">
        <f t="shared" ref="I1970:J1970" si="1498">FALSE</f>
        <v>0</v>
      </c>
      <c r="J1970" s="208" t="b">
        <f t="shared" si="1498"/>
        <v>0</v>
      </c>
      <c r="K1970" s="214">
        <v>24.0</v>
      </c>
      <c r="L1970" s="212" t="str">
        <f t="shared" si="3"/>
        <v>n/a</v>
      </c>
      <c r="M1970" s="212" t="str">
        <f t="shared" si="4"/>
        <v>n/a</v>
      </c>
      <c r="N1970" s="207" t="str">
        <f t="shared" si="1421"/>
        <v>n/a</v>
      </c>
      <c r="O1970" s="207">
        <f t="shared" si="1422"/>
        <v>0.04166666667</v>
      </c>
    </row>
    <row r="1971">
      <c r="A1971" s="207">
        <v>135.0</v>
      </c>
      <c r="B1971" s="6" t="str">
        <f>VLOOKUP($A1971, 'Completion rates'!$A:$E, 2, FALSE)</f>
        <v>Waiting for random events</v>
      </c>
      <c r="C1971" s="207">
        <v>6181.0</v>
      </c>
      <c r="D1971" s="6" t="str">
        <f>VLOOKUP($C1971, 'List of log slots'!$A:$E, 2, FALSE)</f>
        <v>Lederhosen shorts</v>
      </c>
      <c r="E1971" s="207">
        <f>VLOOKUP($C1971, 'List of log slots'!$A:$E, 5, FALSE)</f>
        <v>2</v>
      </c>
      <c r="F1971" s="213" t="b">
        <f>VLOOKUP(C1971, 'List of log slots'!$A:$C, 3, FALSE)</f>
        <v>0</v>
      </c>
      <c r="G1971" s="210" t="b">
        <f t="shared" ref="G1971:G1972" si="1500">TRUE</f>
        <v>1</v>
      </c>
      <c r="H1971" s="209" t="b">
        <f t="shared" si="7"/>
        <v>0</v>
      </c>
      <c r="I1971" s="208" t="b">
        <f t="shared" ref="I1971:J1971" si="1499">FALSE</f>
        <v>0</v>
      </c>
      <c r="J1971" s="208" t="b">
        <f t="shared" si="1499"/>
        <v>0</v>
      </c>
      <c r="K1971" s="214">
        <v>24.0</v>
      </c>
      <c r="L1971" s="212" t="str">
        <f t="shared" si="3"/>
        <v>n/a</v>
      </c>
      <c r="M1971" s="212" t="str">
        <f t="shared" si="4"/>
        <v>n/a</v>
      </c>
      <c r="N1971" s="207" t="str">
        <f t="shared" si="1421"/>
        <v>n/a</v>
      </c>
      <c r="O1971" s="207">
        <f t="shared" si="1422"/>
        <v>0.04166666667</v>
      </c>
    </row>
    <row r="1972">
      <c r="A1972" s="207">
        <v>135.0</v>
      </c>
      <c r="B1972" s="6" t="str">
        <f>VLOOKUP($A1972, 'Completion rates'!$A:$E, 2, FALSE)</f>
        <v>Waiting for random events</v>
      </c>
      <c r="C1972" s="207">
        <v>6182.0</v>
      </c>
      <c r="D1972" s="6" t="str">
        <f>VLOOKUP($C1972, 'List of log slots'!$A:$E, 2, FALSE)</f>
        <v>Lederhosen hat</v>
      </c>
      <c r="E1972" s="207">
        <f>VLOOKUP($C1972, 'List of log slots'!$A:$E, 5, FALSE)</f>
        <v>2</v>
      </c>
      <c r="F1972" s="213" t="b">
        <f>VLOOKUP(C1972, 'List of log slots'!$A:$C, 3, FALSE)</f>
        <v>0</v>
      </c>
      <c r="G1972" s="210" t="b">
        <f t="shared" si="1500"/>
        <v>1</v>
      </c>
      <c r="H1972" s="209" t="b">
        <f t="shared" si="7"/>
        <v>0</v>
      </c>
      <c r="I1972" s="208" t="b">
        <f t="shared" ref="I1972:J1972" si="1501">FALSE</f>
        <v>0</v>
      </c>
      <c r="J1972" s="208" t="b">
        <f t="shared" si="1501"/>
        <v>0</v>
      </c>
      <c r="K1972" s="214">
        <v>24.0</v>
      </c>
      <c r="L1972" s="212" t="str">
        <f t="shared" si="3"/>
        <v>n/a</v>
      </c>
      <c r="M1972" s="212" t="str">
        <f t="shared" si="4"/>
        <v>n/a</v>
      </c>
      <c r="N1972" s="207" t="str">
        <f t="shared" si="1421"/>
        <v>n/a</v>
      </c>
      <c r="O1972" s="207">
        <f t="shared" si="1422"/>
        <v>0.04166666667</v>
      </c>
    </row>
    <row r="1973">
      <c r="A1973" s="207">
        <v>135.0</v>
      </c>
      <c r="B1973" s="6" t="str">
        <f>VLOOKUP($A1973, 'Completion rates'!$A:$E, 2, FALSE)</f>
        <v>Waiting for random events</v>
      </c>
      <c r="C1973" s="207">
        <v>7592.0</v>
      </c>
      <c r="D1973" s="6" t="str">
        <f>VLOOKUP($C1973, 'List of log slots'!$A:$E, 2, FALSE)</f>
        <v>Zombie shirt</v>
      </c>
      <c r="E1973" s="207">
        <f>VLOOKUP($C1973, 'List of log slots'!$A:$E, 5, FALSE)</f>
        <v>2</v>
      </c>
      <c r="F1973" s="213" t="b">
        <f>VLOOKUP(C1973, 'List of log slots'!$A:$C, 3, FALSE)</f>
        <v>0</v>
      </c>
      <c r="G1973" s="209" t="b">
        <f>FALSE</f>
        <v>0</v>
      </c>
      <c r="H1973" s="209" t="b">
        <f t="shared" si="7"/>
        <v>1</v>
      </c>
      <c r="I1973" s="208" t="b">
        <f t="shared" ref="I1973:J1973" si="1502">FALSE</f>
        <v>0</v>
      </c>
      <c r="J1973" s="208" t="b">
        <f t="shared" si="1502"/>
        <v>0</v>
      </c>
      <c r="K1973" s="214">
        <v>24.0</v>
      </c>
      <c r="L1973" s="212" t="str">
        <f t="shared" si="3"/>
        <v>n/a</v>
      </c>
      <c r="M1973" s="212" t="str">
        <f t="shared" si="4"/>
        <v>n/a</v>
      </c>
      <c r="N1973" s="207" t="str">
        <f t="shared" si="1421"/>
        <v>n/a</v>
      </c>
      <c r="O1973" s="207">
        <f t="shared" si="1422"/>
        <v>0.04166666667</v>
      </c>
    </row>
    <row r="1974">
      <c r="A1974" s="207">
        <v>135.0</v>
      </c>
      <c r="B1974" s="6" t="str">
        <f>VLOOKUP($A1974, 'Completion rates'!$A:$E, 2, FALSE)</f>
        <v>Waiting for random events</v>
      </c>
      <c r="C1974" s="207">
        <v>7593.0</v>
      </c>
      <c r="D1974" s="6" t="str">
        <f>VLOOKUP($C1974, 'List of log slots'!$A:$E, 2, FALSE)</f>
        <v>Zombie trousers</v>
      </c>
      <c r="E1974" s="207">
        <f>VLOOKUP($C1974, 'List of log slots'!$A:$E, 5, FALSE)</f>
        <v>2</v>
      </c>
      <c r="F1974" s="213" t="b">
        <f>VLOOKUP(C1974, 'List of log slots'!$A:$C, 3, FALSE)</f>
        <v>0</v>
      </c>
      <c r="G1974" s="210" t="b">
        <f t="shared" ref="G1974:G1977" si="1504">TRUE</f>
        <v>1</v>
      </c>
      <c r="H1974" s="209" t="b">
        <f t="shared" si="7"/>
        <v>0</v>
      </c>
      <c r="I1974" s="208" t="b">
        <f t="shared" ref="I1974:J1974" si="1503">FALSE</f>
        <v>0</v>
      </c>
      <c r="J1974" s="208" t="b">
        <f t="shared" si="1503"/>
        <v>0</v>
      </c>
      <c r="K1974" s="214">
        <v>24.0</v>
      </c>
      <c r="L1974" s="212" t="str">
        <f t="shared" si="3"/>
        <v>n/a</v>
      </c>
      <c r="M1974" s="212" t="str">
        <f t="shared" si="4"/>
        <v>n/a</v>
      </c>
      <c r="N1974" s="207" t="str">
        <f t="shared" si="1421"/>
        <v>n/a</v>
      </c>
      <c r="O1974" s="207">
        <f t="shared" si="1422"/>
        <v>0.04166666667</v>
      </c>
    </row>
    <row r="1975">
      <c r="A1975" s="207">
        <v>135.0</v>
      </c>
      <c r="B1975" s="6" t="str">
        <f>VLOOKUP($A1975, 'Completion rates'!$A:$E, 2, FALSE)</f>
        <v>Waiting for random events</v>
      </c>
      <c r="C1975" s="207">
        <v>7594.0</v>
      </c>
      <c r="D1975" s="6" t="str">
        <f>VLOOKUP($C1975, 'List of log slots'!$A:$E, 2, FALSE)</f>
        <v>Zombie mask</v>
      </c>
      <c r="E1975" s="207">
        <f>VLOOKUP($C1975, 'List of log slots'!$A:$E, 5, FALSE)</f>
        <v>2</v>
      </c>
      <c r="F1975" s="213" t="b">
        <f>VLOOKUP(C1975, 'List of log slots'!$A:$C, 3, FALSE)</f>
        <v>0</v>
      </c>
      <c r="G1975" s="210" t="b">
        <f t="shared" si="1504"/>
        <v>1</v>
      </c>
      <c r="H1975" s="209" t="b">
        <f t="shared" si="7"/>
        <v>0</v>
      </c>
      <c r="I1975" s="208" t="b">
        <f t="shared" ref="I1975:J1975" si="1505">FALSE</f>
        <v>0</v>
      </c>
      <c r="J1975" s="208" t="b">
        <f t="shared" si="1505"/>
        <v>0</v>
      </c>
      <c r="K1975" s="214">
        <v>24.0</v>
      </c>
      <c r="L1975" s="212" t="str">
        <f t="shared" si="3"/>
        <v>n/a</v>
      </c>
      <c r="M1975" s="212" t="str">
        <f t="shared" si="4"/>
        <v>n/a</v>
      </c>
      <c r="N1975" s="207" t="str">
        <f t="shared" si="1421"/>
        <v>n/a</v>
      </c>
      <c r="O1975" s="207">
        <f t="shared" si="1422"/>
        <v>0.04166666667</v>
      </c>
    </row>
    <row r="1976">
      <c r="A1976" s="207">
        <v>135.0</v>
      </c>
      <c r="B1976" s="6" t="str">
        <f>VLOOKUP($A1976, 'Completion rates'!$A:$E, 2, FALSE)</f>
        <v>Waiting for random events</v>
      </c>
      <c r="C1976" s="207">
        <v>7595.0</v>
      </c>
      <c r="D1976" s="6" t="str">
        <f>VLOOKUP($C1976, 'List of log slots'!$A:$E, 2, FALSE)</f>
        <v>Zombie gloves</v>
      </c>
      <c r="E1976" s="207">
        <f>VLOOKUP($C1976, 'List of log slots'!$A:$E, 5, FALSE)</f>
        <v>2</v>
      </c>
      <c r="F1976" s="213" t="b">
        <f>VLOOKUP(C1976, 'List of log slots'!$A:$C, 3, FALSE)</f>
        <v>0</v>
      </c>
      <c r="G1976" s="210" t="b">
        <f t="shared" si="1504"/>
        <v>1</v>
      </c>
      <c r="H1976" s="209" t="b">
        <f t="shared" si="7"/>
        <v>0</v>
      </c>
      <c r="I1976" s="208" t="b">
        <f t="shared" ref="I1976:J1976" si="1506">FALSE</f>
        <v>0</v>
      </c>
      <c r="J1976" s="208" t="b">
        <f t="shared" si="1506"/>
        <v>0</v>
      </c>
      <c r="K1976" s="214">
        <v>24.0</v>
      </c>
      <c r="L1976" s="212" t="str">
        <f t="shared" si="3"/>
        <v>n/a</v>
      </c>
      <c r="M1976" s="212" t="str">
        <f t="shared" si="4"/>
        <v>n/a</v>
      </c>
      <c r="N1976" s="207" t="str">
        <f t="shared" si="1421"/>
        <v>n/a</v>
      </c>
      <c r="O1976" s="207">
        <f t="shared" si="1422"/>
        <v>0.04166666667</v>
      </c>
    </row>
    <row r="1977">
      <c r="A1977" s="207">
        <v>135.0</v>
      </c>
      <c r="B1977" s="6" t="str">
        <f>VLOOKUP($A1977, 'Completion rates'!$A:$E, 2, FALSE)</f>
        <v>Waiting for random events</v>
      </c>
      <c r="C1977" s="207">
        <v>7596.0</v>
      </c>
      <c r="D1977" s="6" t="str">
        <f>VLOOKUP($C1977, 'List of log slots'!$A:$E, 2, FALSE)</f>
        <v>Zombie boots</v>
      </c>
      <c r="E1977" s="207">
        <f>VLOOKUP($C1977, 'List of log slots'!$A:$E, 5, FALSE)</f>
        <v>2</v>
      </c>
      <c r="F1977" s="213" t="b">
        <f>VLOOKUP(C1977, 'List of log slots'!$A:$C, 3, FALSE)</f>
        <v>0</v>
      </c>
      <c r="G1977" s="210" t="b">
        <f t="shared" si="1504"/>
        <v>1</v>
      </c>
      <c r="H1977" s="209" t="b">
        <f t="shared" si="7"/>
        <v>0</v>
      </c>
      <c r="I1977" s="208" t="b">
        <f t="shared" ref="I1977:J1977" si="1507">FALSE</f>
        <v>0</v>
      </c>
      <c r="J1977" s="208" t="b">
        <f t="shared" si="1507"/>
        <v>0</v>
      </c>
      <c r="K1977" s="214">
        <v>24.0</v>
      </c>
      <c r="L1977" s="212" t="str">
        <f t="shared" si="3"/>
        <v>n/a</v>
      </c>
      <c r="M1977" s="212" t="str">
        <f t="shared" si="4"/>
        <v>n/a</v>
      </c>
      <c r="N1977" s="207" t="str">
        <f t="shared" si="1421"/>
        <v>n/a</v>
      </c>
      <c r="O1977" s="207">
        <f t="shared" si="1422"/>
        <v>0.04166666667</v>
      </c>
    </row>
    <row r="1978">
      <c r="A1978" s="207">
        <v>135.0</v>
      </c>
      <c r="B1978" s="6" t="str">
        <f>VLOOKUP($A1978, 'Completion rates'!$A:$E, 2, FALSE)</f>
        <v>Waiting for random events</v>
      </c>
      <c r="C1978" s="207">
        <v>3057.0</v>
      </c>
      <c r="D1978" s="6" t="str">
        <f>VLOOKUP($C1978, 'List of log slots'!$A:$E, 2, FALSE)</f>
        <v>Mime mask</v>
      </c>
      <c r="E1978" s="207">
        <f>VLOOKUP($C1978, 'List of log slots'!$A:$E, 5, FALSE)</f>
        <v>2</v>
      </c>
      <c r="F1978" s="213" t="b">
        <f>VLOOKUP(C1978, 'List of log slots'!$A:$C, 3, FALSE)</f>
        <v>0</v>
      </c>
      <c r="G1978" s="209" t="b">
        <f>FALSE</f>
        <v>0</v>
      </c>
      <c r="H1978" s="209" t="b">
        <f t="shared" si="7"/>
        <v>1</v>
      </c>
      <c r="I1978" s="208" t="b">
        <f t="shared" ref="I1978:J1978" si="1508">FALSE</f>
        <v>0</v>
      </c>
      <c r="J1978" s="208" t="b">
        <f t="shared" si="1508"/>
        <v>0</v>
      </c>
      <c r="K1978" s="214">
        <v>24.0</v>
      </c>
      <c r="L1978" s="212" t="str">
        <f t="shared" si="3"/>
        <v>n/a</v>
      </c>
      <c r="M1978" s="212" t="str">
        <f t="shared" si="4"/>
        <v>n/a</v>
      </c>
      <c r="N1978" s="207" t="str">
        <f t="shared" si="1421"/>
        <v>n/a</v>
      </c>
      <c r="O1978" s="207">
        <f t="shared" si="1422"/>
        <v>0.04166666667</v>
      </c>
    </row>
    <row r="1979">
      <c r="A1979" s="207">
        <v>135.0</v>
      </c>
      <c r="B1979" s="6" t="str">
        <f>VLOOKUP($A1979, 'Completion rates'!$A:$E, 2, FALSE)</f>
        <v>Waiting for random events</v>
      </c>
      <c r="C1979" s="207">
        <v>3058.0</v>
      </c>
      <c r="D1979" s="6" t="str">
        <f>VLOOKUP($C1979, 'List of log slots'!$A:$E, 2, FALSE)</f>
        <v>Mime top</v>
      </c>
      <c r="E1979" s="207">
        <f>VLOOKUP($C1979, 'List of log slots'!$A:$E, 5, FALSE)</f>
        <v>2</v>
      </c>
      <c r="F1979" s="213" t="b">
        <f>VLOOKUP(C1979, 'List of log slots'!$A:$C, 3, FALSE)</f>
        <v>0</v>
      </c>
      <c r="G1979" s="210" t="b">
        <f t="shared" ref="G1979:G1982" si="1510">TRUE</f>
        <v>1</v>
      </c>
      <c r="H1979" s="209" t="b">
        <f t="shared" si="7"/>
        <v>0</v>
      </c>
      <c r="I1979" s="208" t="b">
        <f t="shared" ref="I1979:J1979" si="1509">FALSE</f>
        <v>0</v>
      </c>
      <c r="J1979" s="208" t="b">
        <f t="shared" si="1509"/>
        <v>0</v>
      </c>
      <c r="K1979" s="214">
        <v>24.0</v>
      </c>
      <c r="L1979" s="212" t="str">
        <f t="shared" si="3"/>
        <v>n/a</v>
      </c>
      <c r="M1979" s="212" t="str">
        <f t="shared" si="4"/>
        <v>n/a</v>
      </c>
      <c r="N1979" s="207" t="str">
        <f t="shared" si="1421"/>
        <v>n/a</v>
      </c>
      <c r="O1979" s="207">
        <f t="shared" si="1422"/>
        <v>0.04166666667</v>
      </c>
    </row>
    <row r="1980">
      <c r="A1980" s="207">
        <v>135.0</v>
      </c>
      <c r="B1980" s="6" t="str">
        <f>VLOOKUP($A1980, 'Completion rates'!$A:$E, 2, FALSE)</f>
        <v>Waiting for random events</v>
      </c>
      <c r="C1980" s="207">
        <v>3059.0</v>
      </c>
      <c r="D1980" s="6" t="str">
        <f>VLOOKUP($C1980, 'List of log slots'!$A:$E, 2, FALSE)</f>
        <v>Mime legs</v>
      </c>
      <c r="E1980" s="207">
        <f>VLOOKUP($C1980, 'List of log slots'!$A:$E, 5, FALSE)</f>
        <v>2</v>
      </c>
      <c r="F1980" s="213" t="b">
        <f>VLOOKUP(C1980, 'List of log slots'!$A:$C, 3, FALSE)</f>
        <v>0</v>
      </c>
      <c r="G1980" s="210" t="b">
        <f t="shared" si="1510"/>
        <v>1</v>
      </c>
      <c r="H1980" s="209" t="b">
        <f t="shared" si="7"/>
        <v>0</v>
      </c>
      <c r="I1980" s="208" t="b">
        <f t="shared" ref="I1980:J1980" si="1511">FALSE</f>
        <v>0</v>
      </c>
      <c r="J1980" s="208" t="b">
        <f t="shared" si="1511"/>
        <v>0</v>
      </c>
      <c r="K1980" s="214">
        <v>24.0</v>
      </c>
      <c r="L1980" s="212" t="str">
        <f t="shared" si="3"/>
        <v>n/a</v>
      </c>
      <c r="M1980" s="212" t="str">
        <f t="shared" si="4"/>
        <v>n/a</v>
      </c>
      <c r="N1980" s="207" t="str">
        <f t="shared" si="1421"/>
        <v>n/a</v>
      </c>
      <c r="O1980" s="207">
        <f t="shared" si="1422"/>
        <v>0.04166666667</v>
      </c>
    </row>
    <row r="1981">
      <c r="A1981" s="207">
        <v>135.0</v>
      </c>
      <c r="B1981" s="6" t="str">
        <f>VLOOKUP($A1981, 'Completion rates'!$A:$E, 2, FALSE)</f>
        <v>Waiting for random events</v>
      </c>
      <c r="C1981" s="207">
        <v>3060.0</v>
      </c>
      <c r="D1981" s="6" t="str">
        <f>VLOOKUP($C1981, 'List of log slots'!$A:$E, 2, FALSE)</f>
        <v>Mime gloves</v>
      </c>
      <c r="E1981" s="207">
        <f>VLOOKUP($C1981, 'List of log slots'!$A:$E, 5, FALSE)</f>
        <v>2</v>
      </c>
      <c r="F1981" s="213" t="b">
        <f>VLOOKUP(C1981, 'List of log slots'!$A:$C, 3, FALSE)</f>
        <v>0</v>
      </c>
      <c r="G1981" s="210" t="b">
        <f t="shared" si="1510"/>
        <v>1</v>
      </c>
      <c r="H1981" s="209" t="b">
        <f t="shared" si="7"/>
        <v>0</v>
      </c>
      <c r="I1981" s="208" t="b">
        <f t="shared" ref="I1981:J1981" si="1512">FALSE</f>
        <v>0</v>
      </c>
      <c r="J1981" s="208" t="b">
        <f t="shared" si="1512"/>
        <v>0</v>
      </c>
      <c r="K1981" s="214">
        <v>24.0</v>
      </c>
      <c r="L1981" s="212" t="str">
        <f t="shared" si="3"/>
        <v>n/a</v>
      </c>
      <c r="M1981" s="212" t="str">
        <f t="shared" si="4"/>
        <v>n/a</v>
      </c>
      <c r="N1981" s="207" t="str">
        <f t="shared" si="1421"/>
        <v>n/a</v>
      </c>
      <c r="O1981" s="207">
        <f t="shared" si="1422"/>
        <v>0.04166666667</v>
      </c>
    </row>
    <row r="1982">
      <c r="A1982" s="207">
        <v>135.0</v>
      </c>
      <c r="B1982" s="6" t="str">
        <f>VLOOKUP($A1982, 'Completion rates'!$A:$E, 2, FALSE)</f>
        <v>Waiting for random events</v>
      </c>
      <c r="C1982" s="207">
        <v>3061.0</v>
      </c>
      <c r="D1982" s="6" t="str">
        <f>VLOOKUP($C1982, 'List of log slots'!$A:$E, 2, FALSE)</f>
        <v>Mime boots</v>
      </c>
      <c r="E1982" s="207">
        <f>VLOOKUP($C1982, 'List of log slots'!$A:$E, 5, FALSE)</f>
        <v>2</v>
      </c>
      <c r="F1982" s="213" t="b">
        <f>VLOOKUP(C1982, 'List of log slots'!$A:$C, 3, FALSE)</f>
        <v>0</v>
      </c>
      <c r="G1982" s="210" t="b">
        <f t="shared" si="1510"/>
        <v>1</v>
      </c>
      <c r="H1982" s="209" t="b">
        <f t="shared" si="7"/>
        <v>0</v>
      </c>
      <c r="I1982" s="208" t="b">
        <f t="shared" ref="I1982:J1982" si="1513">FALSE</f>
        <v>0</v>
      </c>
      <c r="J1982" s="208" t="b">
        <f t="shared" si="1513"/>
        <v>0</v>
      </c>
      <c r="K1982" s="214">
        <v>24.0</v>
      </c>
      <c r="L1982" s="212" t="str">
        <f t="shared" si="3"/>
        <v>n/a</v>
      </c>
      <c r="M1982" s="212" t="str">
        <f t="shared" si="4"/>
        <v>n/a</v>
      </c>
      <c r="N1982" s="207" t="str">
        <f t="shared" si="1421"/>
        <v>n/a</v>
      </c>
      <c r="O1982" s="207">
        <f t="shared" si="1422"/>
        <v>0.04166666667</v>
      </c>
    </row>
    <row r="1983">
      <c r="A1983" s="207">
        <v>135.0</v>
      </c>
      <c r="B1983" s="6" t="str">
        <f>VLOOKUP($A1983, 'Completion rates'!$A:$E, 2, FALSE)</f>
        <v>Waiting for random events</v>
      </c>
      <c r="C1983" s="207">
        <v>6183.0</v>
      </c>
      <c r="D1983" s="6" t="str">
        <f>VLOOKUP($C1983, 'List of log slots'!$A:$E, 2, FALSE)</f>
        <v>Frog token</v>
      </c>
      <c r="E1983" s="207">
        <f>VLOOKUP($C1983, 'List of log slots'!$A:$E, 5, FALSE)</f>
        <v>2</v>
      </c>
      <c r="F1983" s="213" t="b">
        <f>VLOOKUP(C1983, 'List of log slots'!$A:$C, 3, FALSE)</f>
        <v>0</v>
      </c>
      <c r="G1983" s="209" t="b">
        <f t="shared" ref="G1983:G1985" si="1515">FALSE</f>
        <v>0</v>
      </c>
      <c r="H1983" s="209" t="b">
        <f t="shared" si="7"/>
        <v>1</v>
      </c>
      <c r="I1983" s="208" t="b">
        <f t="shared" ref="I1983:J1983" si="1514">FALSE</f>
        <v>0</v>
      </c>
      <c r="J1983" s="208" t="b">
        <f t="shared" si="1514"/>
        <v>0</v>
      </c>
      <c r="K1983" s="214">
        <v>24.0</v>
      </c>
      <c r="L1983" s="212" t="str">
        <f t="shared" si="3"/>
        <v>n/a</v>
      </c>
      <c r="M1983" s="212" t="str">
        <f t="shared" si="4"/>
        <v>n/a</v>
      </c>
      <c r="N1983" s="207" t="str">
        <f t="shared" si="1421"/>
        <v>n/a</v>
      </c>
      <c r="O1983" s="207">
        <f t="shared" si="1422"/>
        <v>0.04166666667</v>
      </c>
    </row>
    <row r="1984">
      <c r="A1984" s="207">
        <v>135.0</v>
      </c>
      <c r="B1984" s="6" t="str">
        <f>VLOOKUP($A1984, 'Completion rates'!$A:$E, 2, FALSE)</f>
        <v>Waiting for random events</v>
      </c>
      <c r="C1984" s="207">
        <v>20590.0</v>
      </c>
      <c r="D1984" s="6" t="str">
        <f>VLOOKUP($C1984, 'List of log slots'!$A:$E, 2, FALSE)</f>
        <v>Stale baguette</v>
      </c>
      <c r="E1984" s="207">
        <f>VLOOKUP($C1984, 'List of log slots'!$A:$E, 5, FALSE)</f>
        <v>7</v>
      </c>
      <c r="F1984" s="208" t="b">
        <f>VLOOKUP(C1984, 'List of log slots'!$A:$C, 3, FALSE)</f>
        <v>0</v>
      </c>
      <c r="G1984" s="209" t="b">
        <f t="shared" si="1515"/>
        <v>0</v>
      </c>
      <c r="H1984" s="210" t="b">
        <f t="shared" si="7"/>
        <v>1</v>
      </c>
      <c r="I1984" s="208" t="b">
        <f t="shared" ref="I1984:J1984" si="1516">FALSE</f>
        <v>0</v>
      </c>
      <c r="J1984" s="208" t="b">
        <f t="shared" si="1516"/>
        <v>0</v>
      </c>
      <c r="K1984" s="214">
        <v>3910.0</v>
      </c>
      <c r="L1984" s="212" t="str">
        <f t="shared" si="3"/>
        <v>n/a</v>
      </c>
      <c r="M1984" s="212" t="str">
        <f t="shared" si="4"/>
        <v>n/a</v>
      </c>
      <c r="N1984" s="207" t="str">
        <f t="shared" si="1421"/>
        <v>n/a</v>
      </c>
      <c r="O1984" s="207">
        <f t="shared" si="1422"/>
        <v>0.0002557544757</v>
      </c>
    </row>
    <row r="1985">
      <c r="A1985" s="207">
        <v>135.0</v>
      </c>
      <c r="B1985" s="6" t="str">
        <f>VLOOKUP($A1985, 'Completion rates'!$A:$E, 2, FALSE)</f>
        <v>Waiting for random events</v>
      </c>
      <c r="C1985" s="207">
        <v>25129.0</v>
      </c>
      <c r="D1985" s="6" t="str">
        <f>VLOOKUP($C1985, 'List of log slots'!$A:$E, 2, FALSE)</f>
        <v>Beekeeper's hat</v>
      </c>
      <c r="E1985" s="207">
        <f>VLOOKUP($C1985, 'List of log slots'!$A:$E, 5, FALSE)</f>
        <v>2</v>
      </c>
      <c r="F1985" s="213" t="b">
        <f>VLOOKUP(C1985, 'List of log slots'!$A:$C, 3, FALSE)</f>
        <v>0</v>
      </c>
      <c r="G1985" s="209" t="b">
        <f t="shared" si="1515"/>
        <v>0</v>
      </c>
      <c r="H1985" s="209" t="b">
        <f t="shared" si="7"/>
        <v>1</v>
      </c>
      <c r="I1985" s="208" t="b">
        <f t="shared" ref="I1985:J1985" si="1517">FALSE</f>
        <v>0</v>
      </c>
      <c r="J1985" s="208" t="b">
        <f t="shared" si="1517"/>
        <v>0</v>
      </c>
      <c r="K1985" s="214">
        <v>24.0</v>
      </c>
      <c r="L1985" s="212" t="str">
        <f t="shared" si="3"/>
        <v>n/a</v>
      </c>
      <c r="M1985" s="212" t="str">
        <f t="shared" si="4"/>
        <v>n/a</v>
      </c>
      <c r="N1985" s="207" t="str">
        <f t="shared" si="1421"/>
        <v>n/a</v>
      </c>
      <c r="O1985" s="207">
        <f t="shared" si="1422"/>
        <v>0.04166666667</v>
      </c>
    </row>
    <row r="1986">
      <c r="A1986" s="207">
        <v>135.0</v>
      </c>
      <c r="B1986" s="6" t="str">
        <f>VLOOKUP($A1986, 'Completion rates'!$A:$E, 2, FALSE)</f>
        <v>Waiting for random events</v>
      </c>
      <c r="C1986" s="207">
        <v>25131.0</v>
      </c>
      <c r="D1986" s="6" t="str">
        <f>VLOOKUP($C1986, 'List of log slots'!$A:$E, 2, FALSE)</f>
        <v>Beekeeper's top</v>
      </c>
      <c r="E1986" s="207">
        <f>VLOOKUP($C1986, 'List of log slots'!$A:$E, 5, FALSE)</f>
        <v>2</v>
      </c>
      <c r="F1986" s="213" t="b">
        <f>VLOOKUP(C1986, 'List of log slots'!$A:$C, 3, FALSE)</f>
        <v>0</v>
      </c>
      <c r="G1986" s="210" t="b">
        <f t="shared" ref="G1986:G1989" si="1519">TRUE</f>
        <v>1</v>
      </c>
      <c r="H1986" s="209" t="b">
        <f t="shared" si="7"/>
        <v>0</v>
      </c>
      <c r="I1986" s="208" t="b">
        <f t="shared" ref="I1986:J1986" si="1518">FALSE</f>
        <v>0</v>
      </c>
      <c r="J1986" s="208" t="b">
        <f t="shared" si="1518"/>
        <v>0</v>
      </c>
      <c r="K1986" s="214">
        <v>24.0</v>
      </c>
      <c r="L1986" s="212" t="str">
        <f t="shared" si="3"/>
        <v>n/a</v>
      </c>
      <c r="M1986" s="212" t="str">
        <f t="shared" si="4"/>
        <v>n/a</v>
      </c>
      <c r="N1986" s="207" t="str">
        <f t="shared" si="1421"/>
        <v>n/a</v>
      </c>
      <c r="O1986" s="207">
        <f t="shared" si="1422"/>
        <v>0.04166666667</v>
      </c>
    </row>
    <row r="1987">
      <c r="A1987" s="207">
        <v>135.0</v>
      </c>
      <c r="B1987" s="6" t="str">
        <f>VLOOKUP($A1987, 'Completion rates'!$A:$E, 2, FALSE)</f>
        <v>Waiting for random events</v>
      </c>
      <c r="C1987" s="207">
        <v>25133.0</v>
      </c>
      <c r="D1987" s="6" t="str">
        <f>VLOOKUP($C1987, 'List of log slots'!$A:$E, 2, FALSE)</f>
        <v>Beekeeper's legs</v>
      </c>
      <c r="E1987" s="207">
        <f>VLOOKUP($C1987, 'List of log slots'!$A:$E, 5, FALSE)</f>
        <v>2</v>
      </c>
      <c r="F1987" s="213" t="b">
        <f>VLOOKUP(C1987, 'List of log slots'!$A:$C, 3, FALSE)</f>
        <v>0</v>
      </c>
      <c r="G1987" s="210" t="b">
        <f t="shared" si="1519"/>
        <v>1</v>
      </c>
      <c r="H1987" s="209" t="b">
        <f t="shared" si="7"/>
        <v>0</v>
      </c>
      <c r="I1987" s="208" t="b">
        <f t="shared" ref="I1987:J1987" si="1520">FALSE</f>
        <v>0</v>
      </c>
      <c r="J1987" s="208" t="b">
        <f t="shared" si="1520"/>
        <v>0</v>
      </c>
      <c r="K1987" s="214">
        <v>24.0</v>
      </c>
      <c r="L1987" s="212" t="str">
        <f t="shared" si="3"/>
        <v>n/a</v>
      </c>
      <c r="M1987" s="212" t="str">
        <f t="shared" si="4"/>
        <v>n/a</v>
      </c>
      <c r="N1987" s="207" t="str">
        <f t="shared" si="1421"/>
        <v>n/a</v>
      </c>
      <c r="O1987" s="207">
        <f t="shared" si="1422"/>
        <v>0.04166666667</v>
      </c>
    </row>
    <row r="1988">
      <c r="A1988" s="207">
        <v>135.0</v>
      </c>
      <c r="B1988" s="6" t="str">
        <f>VLOOKUP($A1988, 'Completion rates'!$A:$E, 2, FALSE)</f>
        <v>Waiting for random events</v>
      </c>
      <c r="C1988" s="207">
        <v>25135.0</v>
      </c>
      <c r="D1988" s="6" t="str">
        <f>VLOOKUP($C1988, 'List of log slots'!$A:$E, 2, FALSE)</f>
        <v>Beekeeper's gloves</v>
      </c>
      <c r="E1988" s="207">
        <f>VLOOKUP($C1988, 'List of log slots'!$A:$E, 5, FALSE)</f>
        <v>2</v>
      </c>
      <c r="F1988" s="213" t="b">
        <f>VLOOKUP(C1988, 'List of log slots'!$A:$C, 3, FALSE)</f>
        <v>0</v>
      </c>
      <c r="G1988" s="210" t="b">
        <f t="shared" si="1519"/>
        <v>1</v>
      </c>
      <c r="H1988" s="209" t="b">
        <f t="shared" si="7"/>
        <v>0</v>
      </c>
      <c r="I1988" s="208" t="b">
        <f t="shared" ref="I1988:J1988" si="1521">FALSE</f>
        <v>0</v>
      </c>
      <c r="J1988" s="208" t="b">
        <f t="shared" si="1521"/>
        <v>0</v>
      </c>
      <c r="K1988" s="214">
        <v>24.0</v>
      </c>
      <c r="L1988" s="212" t="str">
        <f t="shared" si="3"/>
        <v>n/a</v>
      </c>
      <c r="M1988" s="212" t="str">
        <f t="shared" si="4"/>
        <v>n/a</v>
      </c>
      <c r="N1988" s="207" t="str">
        <f t="shared" si="1421"/>
        <v>n/a</v>
      </c>
      <c r="O1988" s="207">
        <f t="shared" si="1422"/>
        <v>0.04166666667</v>
      </c>
    </row>
    <row r="1989">
      <c r="A1989" s="207">
        <v>135.0</v>
      </c>
      <c r="B1989" s="6" t="str">
        <f>VLOOKUP($A1989, 'Completion rates'!$A:$E, 2, FALSE)</f>
        <v>Waiting for random events</v>
      </c>
      <c r="C1989" s="207">
        <v>25137.0</v>
      </c>
      <c r="D1989" s="6" t="str">
        <f>VLOOKUP($C1989, 'List of log slots'!$A:$E, 2, FALSE)</f>
        <v>Beekeeper's boots</v>
      </c>
      <c r="E1989" s="207">
        <f>VLOOKUP($C1989, 'List of log slots'!$A:$E, 5, FALSE)</f>
        <v>2</v>
      </c>
      <c r="F1989" s="213" t="b">
        <f>VLOOKUP(C1989, 'List of log slots'!$A:$C, 3, FALSE)</f>
        <v>0</v>
      </c>
      <c r="G1989" s="210" t="b">
        <f t="shared" si="1519"/>
        <v>1</v>
      </c>
      <c r="H1989" s="209" t="b">
        <f t="shared" si="7"/>
        <v>0</v>
      </c>
      <c r="I1989" s="208" t="b">
        <f t="shared" ref="I1989:J1989" si="1522">FALSE</f>
        <v>0</v>
      </c>
      <c r="J1989" s="208" t="b">
        <f t="shared" si="1522"/>
        <v>0</v>
      </c>
      <c r="K1989" s="214">
        <v>24.0</v>
      </c>
      <c r="L1989" s="212" t="str">
        <f t="shared" si="3"/>
        <v>n/a</v>
      </c>
      <c r="M1989" s="212" t="str">
        <f t="shared" si="4"/>
        <v>n/a</v>
      </c>
      <c r="N1989" s="207" t="str">
        <f t="shared" si="1421"/>
        <v>n/a</v>
      </c>
      <c r="O1989" s="207">
        <f t="shared" si="1422"/>
        <v>0.04166666667</v>
      </c>
    </row>
    <row r="1990">
      <c r="A1990" s="207">
        <v>136.0</v>
      </c>
      <c r="B1990" s="6" t="str">
        <f>VLOOKUP($A1990, 'Completion rates'!$A:$E, 2, FALSE)</f>
        <v>Killing revenants (demon cyclops quads, skulled, off task)</v>
      </c>
      <c r="C1990" s="207">
        <v>22542.0</v>
      </c>
      <c r="D1990" s="6" t="str">
        <f>VLOOKUP($C1990, 'List of log slots'!$A:$E, 2, FALSE)</f>
        <v>Viggora's chainmace (u)</v>
      </c>
      <c r="E1990" s="207">
        <f>VLOOKUP($C1990, 'List of log slots'!$A:$E, 5, FALSE)</f>
        <v>6</v>
      </c>
      <c r="F1990" s="208" t="b">
        <f>VLOOKUP(C1990, 'List of log slots'!$A:$C, 3, FALSE)</f>
        <v>0</v>
      </c>
      <c r="G1990" s="209" t="b">
        <f t="shared" ref="G1990:G2155" si="1524">FALSE</f>
        <v>0</v>
      </c>
      <c r="H1990" s="210" t="b">
        <f t="shared" si="7"/>
        <v>1</v>
      </c>
      <c r="I1990" s="208" t="b">
        <f t="shared" ref="I1990:J1990" si="1523">FALSE</f>
        <v>0</v>
      </c>
      <c r="J1990" s="208" t="b">
        <f t="shared" si="1523"/>
        <v>0</v>
      </c>
      <c r="K1990" s="214">
        <v>17894.0</v>
      </c>
      <c r="L1990" s="212" t="str">
        <f t="shared" si="3"/>
        <v>n/a</v>
      </c>
      <c r="M1990" s="212" t="str">
        <f t="shared" si="4"/>
        <v>n/a</v>
      </c>
      <c r="N1990" s="207" t="str">
        <f t="shared" si="1421"/>
        <v>n/a</v>
      </c>
      <c r="O1990" s="207">
        <f t="shared" si="1422"/>
        <v>0.00005588465407</v>
      </c>
    </row>
    <row r="1991">
      <c r="A1991" s="207">
        <v>136.0</v>
      </c>
      <c r="B1991" s="6" t="str">
        <f>VLOOKUP($A1991, 'Completion rates'!$A:$E, 2, FALSE)</f>
        <v>Killing revenants (demon cyclops quads, skulled, off task)</v>
      </c>
      <c r="C1991" s="207">
        <v>22547.0</v>
      </c>
      <c r="D1991" s="6" t="str">
        <f>VLOOKUP($C1991, 'List of log slots'!$A:$E, 2, FALSE)</f>
        <v>Craw's bow (u)</v>
      </c>
      <c r="E1991" s="207">
        <f>VLOOKUP($C1991, 'List of log slots'!$A:$E, 5, FALSE)</f>
        <v>6</v>
      </c>
      <c r="F1991" s="208" t="b">
        <f>VLOOKUP(C1991, 'List of log slots'!$A:$C, 3, FALSE)</f>
        <v>0</v>
      </c>
      <c r="G1991" s="209" t="b">
        <f t="shared" si="1524"/>
        <v>0</v>
      </c>
      <c r="H1991" s="210" t="b">
        <f t="shared" si="7"/>
        <v>1</v>
      </c>
      <c r="I1991" s="208" t="b">
        <f t="shared" ref="I1991:J1991" si="1525">FALSE</f>
        <v>0</v>
      </c>
      <c r="J1991" s="208" t="b">
        <f t="shared" si="1525"/>
        <v>0</v>
      </c>
      <c r="K1991" s="214">
        <v>17894.0</v>
      </c>
      <c r="L1991" s="212" t="str">
        <f t="shared" si="3"/>
        <v>n/a</v>
      </c>
      <c r="M1991" s="212" t="str">
        <f t="shared" si="4"/>
        <v>n/a</v>
      </c>
      <c r="N1991" s="207" t="str">
        <f t="shared" si="1421"/>
        <v>n/a</v>
      </c>
      <c r="O1991" s="207">
        <f t="shared" si="1422"/>
        <v>0.00005588465407</v>
      </c>
    </row>
    <row r="1992">
      <c r="A1992" s="207">
        <v>136.0</v>
      </c>
      <c r="B1992" s="6" t="str">
        <f>VLOOKUP($A1992, 'Completion rates'!$A:$E, 2, FALSE)</f>
        <v>Killing revenants (demon cyclops quads, skulled, off task)</v>
      </c>
      <c r="C1992" s="207">
        <v>22552.0</v>
      </c>
      <c r="D1992" s="6" t="str">
        <f>VLOOKUP($C1992, 'List of log slots'!$A:$E, 2, FALSE)</f>
        <v>Thammaron's sceptre (u)</v>
      </c>
      <c r="E1992" s="207">
        <f>VLOOKUP($C1992, 'List of log slots'!$A:$E, 5, FALSE)</f>
        <v>6</v>
      </c>
      <c r="F1992" s="208" t="b">
        <f>VLOOKUP(C1992, 'List of log slots'!$A:$C, 3, FALSE)</f>
        <v>0</v>
      </c>
      <c r="G1992" s="209" t="b">
        <f t="shared" si="1524"/>
        <v>0</v>
      </c>
      <c r="H1992" s="210" t="b">
        <f t="shared" si="7"/>
        <v>1</v>
      </c>
      <c r="I1992" s="208" t="b">
        <f t="shared" ref="I1992:J1992" si="1526">FALSE</f>
        <v>0</v>
      </c>
      <c r="J1992" s="208" t="b">
        <f t="shared" si="1526"/>
        <v>0</v>
      </c>
      <c r="K1992" s="214">
        <v>17894.0</v>
      </c>
      <c r="L1992" s="212" t="str">
        <f t="shared" si="3"/>
        <v>n/a</v>
      </c>
      <c r="M1992" s="212" t="str">
        <f t="shared" si="4"/>
        <v>n/a</v>
      </c>
      <c r="N1992" s="207" t="str">
        <f t="shared" si="1421"/>
        <v>n/a</v>
      </c>
      <c r="O1992" s="207">
        <f t="shared" si="1422"/>
        <v>0.00005588465407</v>
      </c>
    </row>
    <row r="1993">
      <c r="A1993" s="207">
        <v>136.0</v>
      </c>
      <c r="B1993" s="6" t="str">
        <f>VLOOKUP($A1993, 'Completion rates'!$A:$E, 2, FALSE)</f>
        <v>Killing revenants (demon cyclops quads, skulled, off task)</v>
      </c>
      <c r="C1993" s="207">
        <v>22557.0</v>
      </c>
      <c r="D1993" s="6" t="str">
        <f>VLOOKUP($C1993, 'List of log slots'!$A:$E, 2, FALSE)</f>
        <v>Amulet of avarice</v>
      </c>
      <c r="E1993" s="207">
        <f>VLOOKUP($C1993, 'List of log slots'!$A:$E, 5, FALSE)</f>
        <v>6</v>
      </c>
      <c r="F1993" s="208" t="b">
        <f>VLOOKUP(C1993, 'List of log slots'!$A:$C, 3, FALSE)</f>
        <v>0</v>
      </c>
      <c r="G1993" s="209" t="b">
        <f t="shared" si="1524"/>
        <v>0</v>
      </c>
      <c r="H1993" s="210" t="b">
        <f t="shared" si="7"/>
        <v>1</v>
      </c>
      <c r="I1993" s="208" t="b">
        <f t="shared" ref="I1993:J1993" si="1527">FALSE</f>
        <v>0</v>
      </c>
      <c r="J1993" s="208" t="b">
        <f t="shared" si="1527"/>
        <v>0</v>
      </c>
      <c r="K1993" s="214">
        <v>8947.0</v>
      </c>
      <c r="L1993" s="212" t="str">
        <f t="shared" si="3"/>
        <v>n/a</v>
      </c>
      <c r="M1993" s="212" t="str">
        <f t="shared" si="4"/>
        <v>n/a</v>
      </c>
      <c r="N1993" s="207" t="str">
        <f t="shared" si="1421"/>
        <v>n/a</v>
      </c>
      <c r="O1993" s="207">
        <f t="shared" si="1422"/>
        <v>0.0001117693081</v>
      </c>
    </row>
    <row r="1994">
      <c r="A1994" s="207">
        <v>136.0</v>
      </c>
      <c r="B1994" s="6" t="str">
        <f>VLOOKUP($A1994, 'Completion rates'!$A:$E, 2, FALSE)</f>
        <v>Killing revenants (demon cyclops quads, skulled, off task)</v>
      </c>
      <c r="C1994" s="207">
        <v>21817.0</v>
      </c>
      <c r="D1994" s="6" t="str">
        <f>VLOOKUP($C1994, 'List of log slots'!$A:$E, 2, FALSE)</f>
        <v>Bracelet of ethereum (uncharged)</v>
      </c>
      <c r="E1994" s="207">
        <f>VLOOKUP($C1994, 'List of log slots'!$A:$E, 5, FALSE)</f>
        <v>2</v>
      </c>
      <c r="F1994" s="213" t="b">
        <f>VLOOKUP(C1994, 'List of log slots'!$A:$C, 3, FALSE)</f>
        <v>0</v>
      </c>
      <c r="G1994" s="209" t="b">
        <f t="shared" si="1524"/>
        <v>0</v>
      </c>
      <c r="H1994" s="209" t="b">
        <f t="shared" si="7"/>
        <v>1</v>
      </c>
      <c r="I1994" s="208" t="b">
        <f t="shared" ref="I1994:J1994" si="1528">FALSE</f>
        <v>0</v>
      </c>
      <c r="J1994" s="208" t="b">
        <f t="shared" si="1528"/>
        <v>0</v>
      </c>
      <c r="K1994" s="214">
        <v>14.0</v>
      </c>
      <c r="L1994" s="212" t="str">
        <f t="shared" si="3"/>
        <v>n/a</v>
      </c>
      <c r="M1994" s="212" t="str">
        <f t="shared" si="4"/>
        <v>n/a</v>
      </c>
      <c r="N1994" s="207" t="str">
        <f t="shared" si="1421"/>
        <v>n/a</v>
      </c>
      <c r="O1994" s="207">
        <f t="shared" si="1422"/>
        <v>0.07142857143</v>
      </c>
    </row>
    <row r="1995">
      <c r="A1995" s="207">
        <v>136.0</v>
      </c>
      <c r="B1995" s="6" t="str">
        <f>VLOOKUP($A1995, 'Completion rates'!$A:$E, 2, FALSE)</f>
        <v>Killing revenants (demon cyclops quads, skulled, off task)</v>
      </c>
      <c r="C1995" s="207">
        <v>21804.0</v>
      </c>
      <c r="D1995" s="6" t="str">
        <f>VLOOKUP($C1995, 'List of log slots'!$A:$E, 2, FALSE)</f>
        <v>Ancient crystal</v>
      </c>
      <c r="E1995" s="207">
        <f>VLOOKUP($C1995, 'List of log slots'!$A:$E, 5, FALSE)</f>
        <v>5</v>
      </c>
      <c r="F1995" s="208" t="b">
        <f>VLOOKUP(C1995, 'List of log slots'!$A:$C, 3, FALSE)</f>
        <v>0</v>
      </c>
      <c r="G1995" s="209" t="b">
        <f t="shared" si="1524"/>
        <v>0</v>
      </c>
      <c r="H1995" s="210" t="b">
        <f t="shared" si="7"/>
        <v>1</v>
      </c>
      <c r="I1995" s="208" t="b">
        <f t="shared" ref="I1995:J1995" si="1529">FALSE</f>
        <v>0</v>
      </c>
      <c r="J1995" s="208" t="b">
        <f t="shared" si="1529"/>
        <v>0</v>
      </c>
      <c r="K1995" s="214">
        <v>1789.0</v>
      </c>
      <c r="L1995" s="212" t="str">
        <f t="shared" si="3"/>
        <v>n/a</v>
      </c>
      <c r="M1995" s="212" t="str">
        <f t="shared" si="4"/>
        <v>n/a</v>
      </c>
      <c r="N1995" s="207" t="str">
        <f t="shared" si="1421"/>
        <v>n/a</v>
      </c>
      <c r="O1995" s="207">
        <f t="shared" si="1422"/>
        <v>0.0005589714925</v>
      </c>
    </row>
    <row r="1996">
      <c r="A1996" s="207">
        <v>136.0</v>
      </c>
      <c r="B1996" s="6" t="str">
        <f>VLOOKUP($A1996, 'Completion rates'!$A:$E, 2, FALSE)</f>
        <v>Killing revenants (demon cyclops quads, skulled, off task)</v>
      </c>
      <c r="C1996" s="207">
        <v>22305.0</v>
      </c>
      <c r="D1996" s="6" t="str">
        <f>VLOOKUP($C1996, 'List of log slots'!$A:$E, 2, FALSE)</f>
        <v>Ancient relic</v>
      </c>
      <c r="E1996" s="207">
        <f>VLOOKUP($C1996, 'List of log slots'!$A:$E, 5, FALSE)</f>
        <v>6</v>
      </c>
      <c r="F1996" s="208" t="b">
        <f>VLOOKUP(C1996, 'List of log slots'!$A:$C, 3, FALSE)</f>
        <v>0</v>
      </c>
      <c r="G1996" s="209" t="b">
        <f t="shared" si="1524"/>
        <v>0</v>
      </c>
      <c r="H1996" s="210" t="b">
        <f t="shared" si="7"/>
        <v>1</v>
      </c>
      <c r="I1996" s="208" t="b">
        <f t="shared" ref="I1996:J1996" si="1530">FALSE</f>
        <v>0</v>
      </c>
      <c r="J1996" s="208" t="b">
        <f t="shared" si="1530"/>
        <v>0</v>
      </c>
      <c r="K1996" s="214">
        <v>5368.0</v>
      </c>
      <c r="L1996" s="212" t="str">
        <f t="shared" si="3"/>
        <v>n/a</v>
      </c>
      <c r="M1996" s="212" t="str">
        <f t="shared" si="4"/>
        <v>n/a</v>
      </c>
      <c r="N1996" s="207" t="str">
        <f t="shared" si="1421"/>
        <v>n/a</v>
      </c>
      <c r="O1996" s="207">
        <f t="shared" si="1422"/>
        <v>0.0001862891207</v>
      </c>
    </row>
    <row r="1997">
      <c r="A1997" s="207">
        <v>136.0</v>
      </c>
      <c r="B1997" s="6" t="str">
        <f>VLOOKUP($A1997, 'Completion rates'!$A:$E, 2, FALSE)</f>
        <v>Killing revenants (demon cyclops quads, skulled, off task)</v>
      </c>
      <c r="C1997" s="207">
        <v>22302.0</v>
      </c>
      <c r="D1997" s="6" t="str">
        <f>VLOOKUP($C1997, 'List of log slots'!$A:$E, 2, FALSE)</f>
        <v>Ancient effigy</v>
      </c>
      <c r="E1997" s="207">
        <f>VLOOKUP($C1997, 'List of log slots'!$A:$E, 5, FALSE)</f>
        <v>6</v>
      </c>
      <c r="F1997" s="208" t="b">
        <f>VLOOKUP(C1997, 'List of log slots'!$A:$C, 3, FALSE)</f>
        <v>0</v>
      </c>
      <c r="G1997" s="209" t="b">
        <f t="shared" si="1524"/>
        <v>0</v>
      </c>
      <c r="H1997" s="210" t="b">
        <f t="shared" si="7"/>
        <v>1</v>
      </c>
      <c r="I1997" s="208" t="b">
        <f t="shared" ref="I1997:J1997" si="1531">FALSE</f>
        <v>0</v>
      </c>
      <c r="J1997" s="208" t="b">
        <f t="shared" si="1531"/>
        <v>0</v>
      </c>
      <c r="K1997" s="214">
        <v>5368.0</v>
      </c>
      <c r="L1997" s="212" t="str">
        <f t="shared" si="3"/>
        <v>n/a</v>
      </c>
      <c r="M1997" s="212" t="str">
        <f t="shared" si="4"/>
        <v>n/a</v>
      </c>
      <c r="N1997" s="207" t="str">
        <f t="shared" si="1421"/>
        <v>n/a</v>
      </c>
      <c r="O1997" s="207">
        <f t="shared" si="1422"/>
        <v>0.0001862891207</v>
      </c>
    </row>
    <row r="1998">
      <c r="A1998" s="207">
        <v>136.0</v>
      </c>
      <c r="B1998" s="6" t="str">
        <f>VLOOKUP($A1998, 'Completion rates'!$A:$E, 2, FALSE)</f>
        <v>Killing revenants (demon cyclops quads, skulled, off task)</v>
      </c>
      <c r="C1998" s="207">
        <v>22299.0</v>
      </c>
      <c r="D1998" s="6" t="str">
        <f>VLOOKUP($C1998, 'List of log slots'!$A:$E, 2, FALSE)</f>
        <v>Ancient medallion</v>
      </c>
      <c r="E1998" s="207">
        <f>VLOOKUP($C1998, 'List of log slots'!$A:$E, 5, FALSE)</f>
        <v>6</v>
      </c>
      <c r="F1998" s="208" t="b">
        <f>VLOOKUP(C1998, 'List of log slots'!$A:$C, 3, FALSE)</f>
        <v>0</v>
      </c>
      <c r="G1998" s="209" t="b">
        <f t="shared" si="1524"/>
        <v>0</v>
      </c>
      <c r="H1998" s="210" t="b">
        <f t="shared" si="7"/>
        <v>1</v>
      </c>
      <c r="I1998" s="208" t="b">
        <f t="shared" ref="I1998:J1998" si="1532">FALSE</f>
        <v>0</v>
      </c>
      <c r="J1998" s="208" t="b">
        <f t="shared" si="1532"/>
        <v>0</v>
      </c>
      <c r="K1998" s="214">
        <v>5368.0</v>
      </c>
      <c r="L1998" s="212" t="str">
        <f t="shared" si="3"/>
        <v>n/a</v>
      </c>
      <c r="M1998" s="212" t="str">
        <f t="shared" si="4"/>
        <v>n/a</v>
      </c>
      <c r="N1998" s="207" t="str">
        <f t="shared" si="1421"/>
        <v>n/a</v>
      </c>
      <c r="O1998" s="207">
        <f t="shared" si="1422"/>
        <v>0.0001862891207</v>
      </c>
    </row>
    <row r="1999">
      <c r="A1999" s="207">
        <v>136.0</v>
      </c>
      <c r="B1999" s="6" t="str">
        <f>VLOOKUP($A1999, 'Completion rates'!$A:$E, 2, FALSE)</f>
        <v>Killing revenants (demon cyclops quads, skulled, off task)</v>
      </c>
      <c r="C1999" s="207">
        <v>21813.0</v>
      </c>
      <c r="D1999" s="6" t="str">
        <f>VLOOKUP($C1999, 'List of log slots'!$A:$E, 2, FALSE)</f>
        <v>Ancient statuette</v>
      </c>
      <c r="E1999" s="207">
        <f>VLOOKUP($C1999, 'List of log slots'!$A:$E, 5, FALSE)</f>
        <v>6</v>
      </c>
      <c r="F1999" s="208" t="b">
        <f>VLOOKUP(C1999, 'List of log slots'!$A:$C, 3, FALSE)</f>
        <v>0</v>
      </c>
      <c r="G1999" s="209" t="b">
        <f t="shared" si="1524"/>
        <v>0</v>
      </c>
      <c r="H1999" s="210" t="b">
        <f t="shared" si="7"/>
        <v>1</v>
      </c>
      <c r="I1999" s="208" t="b">
        <f t="shared" ref="I1999:J1999" si="1533">FALSE</f>
        <v>0</v>
      </c>
      <c r="J1999" s="208" t="b">
        <f t="shared" si="1533"/>
        <v>0</v>
      </c>
      <c r="K1999" s="214">
        <v>2684.0</v>
      </c>
      <c r="L1999" s="212" t="str">
        <f t="shared" si="3"/>
        <v>n/a</v>
      </c>
      <c r="M1999" s="212" t="str">
        <f t="shared" si="4"/>
        <v>n/a</v>
      </c>
      <c r="N1999" s="207" t="str">
        <f t="shared" si="1421"/>
        <v>n/a</v>
      </c>
      <c r="O1999" s="207">
        <f t="shared" si="1422"/>
        <v>0.0003725782414</v>
      </c>
    </row>
    <row r="2000">
      <c r="A2000" s="207">
        <v>136.0</v>
      </c>
      <c r="B2000" s="6" t="str">
        <f>VLOOKUP($A2000, 'Completion rates'!$A:$E, 2, FALSE)</f>
        <v>Killing revenants (demon cyclops quads, skulled, off task)</v>
      </c>
      <c r="C2000" s="207">
        <v>21810.0</v>
      </c>
      <c r="D2000" s="6" t="str">
        <f>VLOOKUP($C2000, 'List of log slots'!$A:$E, 2, FALSE)</f>
        <v>Ancient totem</v>
      </c>
      <c r="E2000" s="207">
        <f>VLOOKUP($C2000, 'List of log slots'!$A:$E, 5, FALSE)</f>
        <v>5</v>
      </c>
      <c r="F2000" s="208" t="b">
        <f>VLOOKUP(C2000, 'List of log slots'!$A:$C, 3, FALSE)</f>
        <v>0</v>
      </c>
      <c r="G2000" s="209" t="b">
        <f t="shared" si="1524"/>
        <v>0</v>
      </c>
      <c r="H2000" s="210" t="b">
        <f t="shared" si="7"/>
        <v>1</v>
      </c>
      <c r="I2000" s="208" t="b">
        <f t="shared" ref="I2000:J2000" si="1534">FALSE</f>
        <v>0</v>
      </c>
      <c r="J2000" s="208" t="b">
        <f t="shared" si="1534"/>
        <v>0</v>
      </c>
      <c r="K2000" s="214">
        <v>1342.0</v>
      </c>
      <c r="L2000" s="212" t="str">
        <f t="shared" si="3"/>
        <v>n/a</v>
      </c>
      <c r="M2000" s="212" t="str">
        <f t="shared" si="4"/>
        <v>n/a</v>
      </c>
      <c r="N2000" s="207" t="str">
        <f t="shared" si="1421"/>
        <v>n/a</v>
      </c>
      <c r="O2000" s="207">
        <f t="shared" si="1422"/>
        <v>0.0007451564829</v>
      </c>
    </row>
    <row r="2001">
      <c r="A2001" s="207">
        <v>136.0</v>
      </c>
      <c r="B2001" s="6" t="str">
        <f>VLOOKUP($A2001, 'Completion rates'!$A:$E, 2, FALSE)</f>
        <v>Killing revenants (demon cyclops quads, skulled, off task)</v>
      </c>
      <c r="C2001" s="207">
        <v>21807.0</v>
      </c>
      <c r="D2001" s="6" t="str">
        <f>VLOOKUP($C2001, 'List of log slots'!$A:$E, 2, FALSE)</f>
        <v>Ancient emblem</v>
      </c>
      <c r="E2001" s="207">
        <f>VLOOKUP($C2001, 'List of log slots'!$A:$E, 5, FALSE)</f>
        <v>5</v>
      </c>
      <c r="F2001" s="208" t="b">
        <f>VLOOKUP(C2001, 'List of log slots'!$A:$C, 3, FALSE)</f>
        <v>0</v>
      </c>
      <c r="G2001" s="209" t="b">
        <f t="shared" si="1524"/>
        <v>0</v>
      </c>
      <c r="H2001" s="210" t="b">
        <f t="shared" si="7"/>
        <v>1</v>
      </c>
      <c r="I2001" s="208" t="b">
        <f t="shared" ref="I2001:J2001" si="1535">FALSE</f>
        <v>0</v>
      </c>
      <c r="J2001" s="208" t="b">
        <f t="shared" si="1535"/>
        <v>0</v>
      </c>
      <c r="K2001" s="214">
        <v>5368.0</v>
      </c>
      <c r="L2001" s="212" t="str">
        <f t="shared" si="3"/>
        <v>n/a</v>
      </c>
      <c r="M2001" s="212" t="str">
        <f t="shared" si="4"/>
        <v>n/a</v>
      </c>
      <c r="N2001" s="207" t="str">
        <f t="shared" si="1421"/>
        <v>n/a</v>
      </c>
      <c r="O2001" s="207">
        <f t="shared" si="1422"/>
        <v>0.0001862891207</v>
      </c>
    </row>
    <row r="2002">
      <c r="A2002" s="207">
        <v>136.0</v>
      </c>
      <c r="B2002" s="6" t="str">
        <f>VLOOKUP($A2002, 'Completion rates'!$A:$E, 2, FALSE)</f>
        <v>Killing revenants (demon cyclops quads, skulled, off task)</v>
      </c>
      <c r="C2002" s="207">
        <v>21802.0</v>
      </c>
      <c r="D2002" s="6" t="str">
        <f>VLOOKUP($C2002, 'List of log slots'!$A:$E, 2, FALSE)</f>
        <v>Revenant cave teleport</v>
      </c>
      <c r="E2002" s="207">
        <f>VLOOKUP($C2002, 'List of log slots'!$A:$E, 5, FALSE)</f>
        <v>2</v>
      </c>
      <c r="F2002" s="213" t="b">
        <f>VLOOKUP(C2002, 'List of log slots'!$A:$C, 3, FALSE)</f>
        <v>0</v>
      </c>
      <c r="G2002" s="209" t="b">
        <f t="shared" si="1524"/>
        <v>0</v>
      </c>
      <c r="H2002" s="209" t="b">
        <f t="shared" si="7"/>
        <v>1</v>
      </c>
      <c r="I2002" s="208" t="b">
        <f t="shared" ref="I2002:J2002" si="1536">FALSE</f>
        <v>0</v>
      </c>
      <c r="J2002" s="208" t="b">
        <f t="shared" si="1536"/>
        <v>0</v>
      </c>
      <c r="K2002" s="214">
        <v>18.0</v>
      </c>
      <c r="L2002" s="212" t="str">
        <f t="shared" si="3"/>
        <v>n/a</v>
      </c>
      <c r="M2002" s="212" t="str">
        <f t="shared" si="4"/>
        <v>n/a</v>
      </c>
      <c r="N2002" s="207" t="str">
        <f t="shared" si="1421"/>
        <v>n/a</v>
      </c>
      <c r="O2002" s="207">
        <f t="shared" si="1422"/>
        <v>0.05555555556</v>
      </c>
    </row>
    <row r="2003">
      <c r="A2003" s="207">
        <v>136.0</v>
      </c>
      <c r="B2003" s="6" t="str">
        <f>VLOOKUP($A2003, 'Completion rates'!$A:$E, 2, FALSE)</f>
        <v>Killing revenants (demon cyclops quads, skulled, off task)</v>
      </c>
      <c r="C2003" s="207">
        <v>21820.0</v>
      </c>
      <c r="D2003" s="6" t="str">
        <f>VLOOKUP($C2003, 'List of log slots'!$A:$E, 2, FALSE)</f>
        <v>Revenant ether</v>
      </c>
      <c r="E2003" s="207">
        <f>VLOOKUP($C2003, 'List of log slots'!$A:$E, 5, FALSE)</f>
        <v>1</v>
      </c>
      <c r="F2003" s="213" t="b">
        <f>VLOOKUP(C2003, 'List of log slots'!$A:$C, 3, FALSE)</f>
        <v>0</v>
      </c>
      <c r="G2003" s="209" t="b">
        <f t="shared" si="1524"/>
        <v>0</v>
      </c>
      <c r="H2003" s="209" t="b">
        <f t="shared" si="7"/>
        <v>1</v>
      </c>
      <c r="I2003" s="213" t="b">
        <f>TRUE</f>
        <v>1</v>
      </c>
      <c r="J2003" s="208" t="b">
        <f>FALSE</f>
        <v>0</v>
      </c>
      <c r="K2003" s="214">
        <v>1.0</v>
      </c>
      <c r="L2003" s="212" t="str">
        <f t="shared" si="3"/>
        <v>n/a</v>
      </c>
      <c r="M2003" s="212">
        <f t="shared" si="4"/>
        <v>1</v>
      </c>
      <c r="N2003" s="207" t="str">
        <f t="shared" si="1421"/>
        <v>n/a</v>
      </c>
      <c r="O2003" s="207" t="str">
        <f t="shared" si="1422"/>
        <v>n/a</v>
      </c>
    </row>
    <row r="2004">
      <c r="A2004" s="207">
        <v>137.0</v>
      </c>
      <c r="B2004" s="6" t="str">
        <f>VLOOKUP($A2004, 'Completion rates'!$A:$E, 2, FALSE)</f>
        <v>Killing revenants (demon cyclops quads, skulled, skipping for task)</v>
      </c>
      <c r="C2004" s="207">
        <v>22542.0</v>
      </c>
      <c r="D2004" s="6" t="str">
        <f>VLOOKUP($C2004, 'List of log slots'!$A:$E, 2, FALSE)</f>
        <v>Viggora's chainmace (u)</v>
      </c>
      <c r="E2004" s="207">
        <f>VLOOKUP($C2004, 'List of log slots'!$A:$E, 5, FALSE)</f>
        <v>6</v>
      </c>
      <c r="F2004" s="208" t="b">
        <f>VLOOKUP(C2004, 'List of log slots'!$A:$C, 3, FALSE)</f>
        <v>0</v>
      </c>
      <c r="G2004" s="209" t="b">
        <f t="shared" si="1524"/>
        <v>0</v>
      </c>
      <c r="H2004" s="210" t="b">
        <f t="shared" si="7"/>
        <v>1</v>
      </c>
      <c r="I2004" s="208" t="b">
        <f t="shared" ref="I2004:J2004" si="1537">FALSE</f>
        <v>0</v>
      </c>
      <c r="J2004" s="208" t="b">
        <f t="shared" si="1537"/>
        <v>0</v>
      </c>
      <c r="K2004" s="214">
        <v>3578.0</v>
      </c>
      <c r="L2004" s="212" t="str">
        <f t="shared" si="3"/>
        <v>n/a</v>
      </c>
      <c r="M2004" s="212" t="str">
        <f t="shared" si="4"/>
        <v>n/a</v>
      </c>
      <c r="N2004" s="207" t="str">
        <f t="shared" si="1421"/>
        <v>n/a</v>
      </c>
      <c r="O2004" s="207">
        <f t="shared" si="1422"/>
        <v>0.0002794857462</v>
      </c>
    </row>
    <row r="2005">
      <c r="A2005" s="207">
        <v>137.0</v>
      </c>
      <c r="B2005" s="6" t="str">
        <f>VLOOKUP($A2005, 'Completion rates'!$A:$E, 2, FALSE)</f>
        <v>Killing revenants (demon cyclops quads, skulled, skipping for task)</v>
      </c>
      <c r="C2005" s="207">
        <v>22547.0</v>
      </c>
      <c r="D2005" s="6" t="str">
        <f>VLOOKUP($C2005, 'List of log slots'!$A:$E, 2, FALSE)</f>
        <v>Craw's bow (u)</v>
      </c>
      <c r="E2005" s="207">
        <f>VLOOKUP($C2005, 'List of log slots'!$A:$E, 5, FALSE)</f>
        <v>6</v>
      </c>
      <c r="F2005" s="208" t="b">
        <f>VLOOKUP(C2005, 'List of log slots'!$A:$C, 3, FALSE)</f>
        <v>0</v>
      </c>
      <c r="G2005" s="209" t="b">
        <f t="shared" si="1524"/>
        <v>0</v>
      </c>
      <c r="H2005" s="210" t="b">
        <f t="shared" si="7"/>
        <v>1</v>
      </c>
      <c r="I2005" s="208" t="b">
        <f t="shared" ref="I2005:J2005" si="1538">FALSE</f>
        <v>0</v>
      </c>
      <c r="J2005" s="208" t="b">
        <f t="shared" si="1538"/>
        <v>0</v>
      </c>
      <c r="K2005" s="214">
        <v>3578.0</v>
      </c>
      <c r="L2005" s="212" t="str">
        <f t="shared" si="3"/>
        <v>n/a</v>
      </c>
      <c r="M2005" s="212" t="str">
        <f t="shared" si="4"/>
        <v>n/a</v>
      </c>
      <c r="N2005" s="207" t="str">
        <f t="shared" si="1421"/>
        <v>n/a</v>
      </c>
      <c r="O2005" s="207">
        <f t="shared" si="1422"/>
        <v>0.0002794857462</v>
      </c>
    </row>
    <row r="2006">
      <c r="A2006" s="207">
        <v>137.0</v>
      </c>
      <c r="B2006" s="6" t="str">
        <f>VLOOKUP($A2006, 'Completion rates'!$A:$E, 2, FALSE)</f>
        <v>Killing revenants (demon cyclops quads, skulled, skipping for task)</v>
      </c>
      <c r="C2006" s="207">
        <v>22552.0</v>
      </c>
      <c r="D2006" s="6" t="str">
        <f>VLOOKUP($C2006, 'List of log slots'!$A:$E, 2, FALSE)</f>
        <v>Thammaron's sceptre (u)</v>
      </c>
      <c r="E2006" s="207">
        <f>VLOOKUP($C2006, 'List of log slots'!$A:$E, 5, FALSE)</f>
        <v>6</v>
      </c>
      <c r="F2006" s="208" t="b">
        <f>VLOOKUP(C2006, 'List of log slots'!$A:$C, 3, FALSE)</f>
        <v>0</v>
      </c>
      <c r="G2006" s="209" t="b">
        <f t="shared" si="1524"/>
        <v>0</v>
      </c>
      <c r="H2006" s="210" t="b">
        <f t="shared" si="7"/>
        <v>1</v>
      </c>
      <c r="I2006" s="208" t="b">
        <f t="shared" ref="I2006:J2006" si="1539">FALSE</f>
        <v>0</v>
      </c>
      <c r="J2006" s="208" t="b">
        <f t="shared" si="1539"/>
        <v>0</v>
      </c>
      <c r="K2006" s="214">
        <v>3578.0</v>
      </c>
      <c r="L2006" s="212" t="str">
        <f t="shared" si="3"/>
        <v>n/a</v>
      </c>
      <c r="M2006" s="212" t="str">
        <f t="shared" si="4"/>
        <v>n/a</v>
      </c>
      <c r="N2006" s="207" t="str">
        <f t="shared" si="1421"/>
        <v>n/a</v>
      </c>
      <c r="O2006" s="207">
        <f t="shared" si="1422"/>
        <v>0.0002794857462</v>
      </c>
    </row>
    <row r="2007">
      <c r="A2007" s="207">
        <v>137.0</v>
      </c>
      <c r="B2007" s="6" t="str">
        <f>VLOOKUP($A2007, 'Completion rates'!$A:$E, 2, FALSE)</f>
        <v>Killing revenants (demon cyclops quads, skulled, skipping for task)</v>
      </c>
      <c r="C2007" s="207">
        <v>22557.0</v>
      </c>
      <c r="D2007" s="6" t="str">
        <f>VLOOKUP($C2007, 'List of log slots'!$A:$E, 2, FALSE)</f>
        <v>Amulet of avarice</v>
      </c>
      <c r="E2007" s="207">
        <f>VLOOKUP($C2007, 'List of log slots'!$A:$E, 5, FALSE)</f>
        <v>6</v>
      </c>
      <c r="F2007" s="208" t="b">
        <f>VLOOKUP(C2007, 'List of log slots'!$A:$C, 3, FALSE)</f>
        <v>0</v>
      </c>
      <c r="G2007" s="209" t="b">
        <f t="shared" si="1524"/>
        <v>0</v>
      </c>
      <c r="H2007" s="210" t="b">
        <f t="shared" si="7"/>
        <v>1</v>
      </c>
      <c r="I2007" s="208" t="b">
        <f t="shared" ref="I2007:J2007" si="1540">FALSE</f>
        <v>0</v>
      </c>
      <c r="J2007" s="208" t="b">
        <f t="shared" si="1540"/>
        <v>0</v>
      </c>
      <c r="K2007" s="214">
        <v>1789.0</v>
      </c>
      <c r="L2007" s="212" t="str">
        <f t="shared" si="3"/>
        <v>n/a</v>
      </c>
      <c r="M2007" s="212" t="str">
        <f t="shared" si="4"/>
        <v>n/a</v>
      </c>
      <c r="N2007" s="207" t="str">
        <f t="shared" si="1421"/>
        <v>n/a</v>
      </c>
      <c r="O2007" s="207">
        <f t="shared" si="1422"/>
        <v>0.0005589714925</v>
      </c>
    </row>
    <row r="2008">
      <c r="A2008" s="207">
        <v>137.0</v>
      </c>
      <c r="B2008" s="6" t="str">
        <f>VLOOKUP($A2008, 'Completion rates'!$A:$E, 2, FALSE)</f>
        <v>Killing revenants (demon cyclops quads, skulled, skipping for task)</v>
      </c>
      <c r="C2008" s="207">
        <v>21817.0</v>
      </c>
      <c r="D2008" s="6" t="str">
        <f>VLOOKUP($C2008, 'List of log slots'!$A:$E, 2, FALSE)</f>
        <v>Bracelet of ethereum (uncharged)</v>
      </c>
      <c r="E2008" s="207">
        <f>VLOOKUP($C2008, 'List of log slots'!$A:$E, 5, FALSE)</f>
        <v>2</v>
      </c>
      <c r="F2008" s="213" t="b">
        <f>VLOOKUP(C2008, 'List of log slots'!$A:$C, 3, FALSE)</f>
        <v>0</v>
      </c>
      <c r="G2008" s="209" t="b">
        <f t="shared" si="1524"/>
        <v>0</v>
      </c>
      <c r="H2008" s="209" t="b">
        <f t="shared" si="7"/>
        <v>1</v>
      </c>
      <c r="I2008" s="208" t="b">
        <f t="shared" ref="I2008:J2008" si="1541">FALSE</f>
        <v>0</v>
      </c>
      <c r="J2008" s="208" t="b">
        <f t="shared" si="1541"/>
        <v>0</v>
      </c>
      <c r="K2008" s="214">
        <v>14.0</v>
      </c>
      <c r="L2008" s="212" t="str">
        <f t="shared" si="3"/>
        <v>n/a</v>
      </c>
      <c r="M2008" s="212" t="str">
        <f t="shared" si="4"/>
        <v>n/a</v>
      </c>
      <c r="N2008" s="207" t="str">
        <f t="shared" si="1421"/>
        <v>n/a</v>
      </c>
      <c r="O2008" s="207">
        <f t="shared" si="1422"/>
        <v>0.07142857143</v>
      </c>
    </row>
    <row r="2009">
      <c r="A2009" s="207">
        <v>137.0</v>
      </c>
      <c r="B2009" s="6" t="str">
        <f>VLOOKUP($A2009, 'Completion rates'!$A:$E, 2, FALSE)</f>
        <v>Killing revenants (demon cyclops quads, skulled, skipping for task)</v>
      </c>
      <c r="C2009" s="207">
        <v>21804.0</v>
      </c>
      <c r="D2009" s="6" t="str">
        <f>VLOOKUP($C2009, 'List of log slots'!$A:$E, 2, FALSE)</f>
        <v>Ancient crystal</v>
      </c>
      <c r="E2009" s="207">
        <f>VLOOKUP($C2009, 'List of log slots'!$A:$E, 5, FALSE)</f>
        <v>5</v>
      </c>
      <c r="F2009" s="208" t="b">
        <f>VLOOKUP(C2009, 'List of log slots'!$A:$C, 3, FALSE)</f>
        <v>0</v>
      </c>
      <c r="G2009" s="209" t="b">
        <f t="shared" si="1524"/>
        <v>0</v>
      </c>
      <c r="H2009" s="210" t="b">
        <f t="shared" si="7"/>
        <v>1</v>
      </c>
      <c r="I2009" s="208" t="b">
        <f t="shared" ref="I2009:J2009" si="1542">FALSE</f>
        <v>0</v>
      </c>
      <c r="J2009" s="208" t="b">
        <f t="shared" si="1542"/>
        <v>0</v>
      </c>
      <c r="K2009" s="214">
        <v>1789.0</v>
      </c>
      <c r="L2009" s="212" t="str">
        <f t="shared" si="3"/>
        <v>n/a</v>
      </c>
      <c r="M2009" s="212" t="str">
        <f t="shared" si="4"/>
        <v>n/a</v>
      </c>
      <c r="N2009" s="207" t="str">
        <f t="shared" si="1421"/>
        <v>n/a</v>
      </c>
      <c r="O2009" s="207">
        <f t="shared" si="1422"/>
        <v>0.0005589714925</v>
      </c>
    </row>
    <row r="2010" ht="15.75" customHeight="1">
      <c r="A2010" s="207">
        <v>137.0</v>
      </c>
      <c r="B2010" s="6" t="str">
        <f>VLOOKUP($A2010, 'Completion rates'!$A:$E, 2, FALSE)</f>
        <v>Killing revenants (demon cyclops quads, skulled, skipping for task)</v>
      </c>
      <c r="C2010" s="207">
        <v>22305.0</v>
      </c>
      <c r="D2010" s="6" t="str">
        <f>VLOOKUP($C2010, 'List of log slots'!$A:$E, 2, FALSE)</f>
        <v>Ancient relic</v>
      </c>
      <c r="E2010" s="207">
        <f>VLOOKUP($C2010, 'List of log slots'!$A:$E, 5, FALSE)</f>
        <v>6</v>
      </c>
      <c r="F2010" s="208" t="b">
        <f>VLOOKUP(C2010, 'List of log slots'!$A:$C, 3, FALSE)</f>
        <v>0</v>
      </c>
      <c r="G2010" s="209" t="b">
        <f t="shared" si="1524"/>
        <v>0</v>
      </c>
      <c r="H2010" s="210" t="b">
        <f t="shared" si="7"/>
        <v>1</v>
      </c>
      <c r="I2010" s="208" t="b">
        <f t="shared" ref="I2010:J2010" si="1543">FALSE</f>
        <v>0</v>
      </c>
      <c r="J2010" s="208" t="b">
        <f t="shared" si="1543"/>
        <v>0</v>
      </c>
      <c r="K2010" s="214">
        <v>5368.0</v>
      </c>
      <c r="L2010" s="207" t="str">
        <f t="shared" si="3"/>
        <v>n/a</v>
      </c>
      <c r="M2010" s="212" t="str">
        <f t="shared" si="4"/>
        <v>n/a</v>
      </c>
      <c r="N2010" s="207" t="str">
        <f t="shared" si="1421"/>
        <v>n/a</v>
      </c>
      <c r="O2010" s="207">
        <f t="shared" si="1422"/>
        <v>0.0001862891207</v>
      </c>
    </row>
    <row r="2011" ht="15.75" customHeight="1">
      <c r="A2011" s="207">
        <v>137.0</v>
      </c>
      <c r="B2011" s="6" t="str">
        <f>VLOOKUP($A2011, 'Completion rates'!$A:$E, 2, FALSE)</f>
        <v>Killing revenants (demon cyclops quads, skulled, skipping for task)</v>
      </c>
      <c r="C2011" s="207">
        <v>22302.0</v>
      </c>
      <c r="D2011" s="6" t="str">
        <f>VLOOKUP($C2011, 'List of log slots'!$A:$E, 2, FALSE)</f>
        <v>Ancient effigy</v>
      </c>
      <c r="E2011" s="207">
        <f>VLOOKUP($C2011, 'List of log slots'!$A:$E, 5, FALSE)</f>
        <v>6</v>
      </c>
      <c r="F2011" s="208" t="b">
        <f>VLOOKUP(C2011, 'List of log slots'!$A:$C, 3, FALSE)</f>
        <v>0</v>
      </c>
      <c r="G2011" s="209" t="b">
        <f t="shared" si="1524"/>
        <v>0</v>
      </c>
      <c r="H2011" s="210" t="b">
        <f t="shared" si="7"/>
        <v>1</v>
      </c>
      <c r="I2011" s="208" t="b">
        <f t="shared" ref="I2011:J2011" si="1544">FALSE</f>
        <v>0</v>
      </c>
      <c r="J2011" s="208" t="b">
        <f t="shared" si="1544"/>
        <v>0</v>
      </c>
      <c r="K2011" s="214">
        <v>5368.0</v>
      </c>
      <c r="L2011" s="207" t="str">
        <f t="shared" si="3"/>
        <v>n/a</v>
      </c>
      <c r="M2011" s="212" t="str">
        <f t="shared" si="4"/>
        <v>n/a</v>
      </c>
      <c r="N2011" s="207" t="str">
        <f t="shared" si="1421"/>
        <v>n/a</v>
      </c>
      <c r="O2011" s="207">
        <f t="shared" si="1422"/>
        <v>0.0001862891207</v>
      </c>
    </row>
    <row r="2012" ht="15.75" customHeight="1">
      <c r="A2012" s="207">
        <v>137.0</v>
      </c>
      <c r="B2012" s="6" t="str">
        <f>VLOOKUP($A2012, 'Completion rates'!$A:$E, 2, FALSE)</f>
        <v>Killing revenants (demon cyclops quads, skulled, skipping for task)</v>
      </c>
      <c r="C2012" s="207">
        <v>22299.0</v>
      </c>
      <c r="D2012" s="6" t="str">
        <f>VLOOKUP($C2012, 'List of log slots'!$A:$E, 2, FALSE)</f>
        <v>Ancient medallion</v>
      </c>
      <c r="E2012" s="207">
        <f>VLOOKUP($C2012, 'List of log slots'!$A:$E, 5, FALSE)</f>
        <v>6</v>
      </c>
      <c r="F2012" s="208" t="b">
        <f>VLOOKUP(C2012, 'List of log slots'!$A:$C, 3, FALSE)</f>
        <v>0</v>
      </c>
      <c r="G2012" s="209" t="b">
        <f t="shared" si="1524"/>
        <v>0</v>
      </c>
      <c r="H2012" s="210" t="b">
        <f t="shared" si="7"/>
        <v>1</v>
      </c>
      <c r="I2012" s="208" t="b">
        <f t="shared" ref="I2012:J2012" si="1545">FALSE</f>
        <v>0</v>
      </c>
      <c r="J2012" s="208" t="b">
        <f t="shared" si="1545"/>
        <v>0</v>
      </c>
      <c r="K2012" s="214">
        <v>5368.0</v>
      </c>
      <c r="L2012" s="207" t="str">
        <f t="shared" si="3"/>
        <v>n/a</v>
      </c>
      <c r="M2012" s="212" t="str">
        <f t="shared" si="4"/>
        <v>n/a</v>
      </c>
      <c r="N2012" s="207" t="str">
        <f t="shared" si="1421"/>
        <v>n/a</v>
      </c>
      <c r="O2012" s="207">
        <f t="shared" si="1422"/>
        <v>0.0001862891207</v>
      </c>
    </row>
    <row r="2013" ht="15.75" customHeight="1">
      <c r="A2013" s="207">
        <v>137.0</v>
      </c>
      <c r="B2013" s="6" t="str">
        <f>VLOOKUP($A2013, 'Completion rates'!$A:$E, 2, FALSE)</f>
        <v>Killing revenants (demon cyclops quads, skulled, skipping for task)</v>
      </c>
      <c r="C2013" s="207">
        <v>21813.0</v>
      </c>
      <c r="D2013" s="6" t="str">
        <f>VLOOKUP($C2013, 'List of log slots'!$A:$E, 2, FALSE)</f>
        <v>Ancient statuette</v>
      </c>
      <c r="E2013" s="207">
        <f>VLOOKUP($C2013, 'List of log slots'!$A:$E, 5, FALSE)</f>
        <v>6</v>
      </c>
      <c r="F2013" s="208" t="b">
        <f>VLOOKUP(C2013, 'List of log slots'!$A:$C, 3, FALSE)</f>
        <v>0</v>
      </c>
      <c r="G2013" s="209" t="b">
        <f t="shared" si="1524"/>
        <v>0</v>
      </c>
      <c r="H2013" s="210" t="b">
        <f t="shared" si="7"/>
        <v>1</v>
      </c>
      <c r="I2013" s="208" t="b">
        <f t="shared" ref="I2013:J2013" si="1546">FALSE</f>
        <v>0</v>
      </c>
      <c r="J2013" s="208" t="b">
        <f t="shared" si="1546"/>
        <v>0</v>
      </c>
      <c r="K2013" s="214">
        <v>2684.0</v>
      </c>
      <c r="L2013" s="207" t="str">
        <f t="shared" si="3"/>
        <v>n/a</v>
      </c>
      <c r="M2013" s="212" t="str">
        <f t="shared" si="4"/>
        <v>n/a</v>
      </c>
      <c r="N2013" s="207" t="str">
        <f t="shared" si="1421"/>
        <v>n/a</v>
      </c>
      <c r="O2013" s="207">
        <f t="shared" si="1422"/>
        <v>0.0003725782414</v>
      </c>
    </row>
    <row r="2014" ht="15.75" customHeight="1">
      <c r="A2014" s="207">
        <v>137.0</v>
      </c>
      <c r="B2014" s="6" t="str">
        <f>VLOOKUP($A2014, 'Completion rates'!$A:$E, 2, FALSE)</f>
        <v>Killing revenants (demon cyclops quads, skulled, skipping for task)</v>
      </c>
      <c r="C2014" s="207">
        <v>21810.0</v>
      </c>
      <c r="D2014" s="6" t="str">
        <f>VLOOKUP($C2014, 'List of log slots'!$A:$E, 2, FALSE)</f>
        <v>Ancient totem</v>
      </c>
      <c r="E2014" s="207">
        <f>VLOOKUP($C2014, 'List of log slots'!$A:$E, 5, FALSE)</f>
        <v>5</v>
      </c>
      <c r="F2014" s="208" t="b">
        <f>VLOOKUP(C2014, 'List of log slots'!$A:$C, 3, FALSE)</f>
        <v>0</v>
      </c>
      <c r="G2014" s="209" t="b">
        <f t="shared" si="1524"/>
        <v>0</v>
      </c>
      <c r="H2014" s="210" t="b">
        <f t="shared" si="7"/>
        <v>1</v>
      </c>
      <c r="I2014" s="208" t="b">
        <f t="shared" ref="I2014:J2014" si="1547">FALSE</f>
        <v>0</v>
      </c>
      <c r="J2014" s="208" t="b">
        <f t="shared" si="1547"/>
        <v>0</v>
      </c>
      <c r="K2014" s="214">
        <v>1342.0</v>
      </c>
      <c r="L2014" s="207" t="str">
        <f t="shared" si="3"/>
        <v>n/a</v>
      </c>
      <c r="M2014" s="212" t="str">
        <f t="shared" si="4"/>
        <v>n/a</v>
      </c>
      <c r="N2014" s="207" t="str">
        <f t="shared" si="1421"/>
        <v>n/a</v>
      </c>
      <c r="O2014" s="207">
        <f t="shared" si="1422"/>
        <v>0.0007451564829</v>
      </c>
    </row>
    <row r="2015" ht="15.75" customHeight="1">
      <c r="A2015" s="207">
        <v>137.0</v>
      </c>
      <c r="B2015" s="6" t="str">
        <f>VLOOKUP($A2015, 'Completion rates'!$A:$E, 2, FALSE)</f>
        <v>Killing revenants (demon cyclops quads, skulled, skipping for task)</v>
      </c>
      <c r="C2015" s="207">
        <v>21807.0</v>
      </c>
      <c r="D2015" s="6" t="str">
        <f>VLOOKUP($C2015, 'List of log slots'!$A:$E, 2, FALSE)</f>
        <v>Ancient emblem</v>
      </c>
      <c r="E2015" s="207">
        <f>VLOOKUP($C2015, 'List of log slots'!$A:$E, 5, FALSE)</f>
        <v>5</v>
      </c>
      <c r="F2015" s="208" t="b">
        <f>VLOOKUP(C2015, 'List of log slots'!$A:$C, 3, FALSE)</f>
        <v>0</v>
      </c>
      <c r="G2015" s="209" t="b">
        <f t="shared" si="1524"/>
        <v>0</v>
      </c>
      <c r="H2015" s="210" t="b">
        <f t="shared" si="7"/>
        <v>1</v>
      </c>
      <c r="I2015" s="208" t="b">
        <f t="shared" ref="I2015:J2015" si="1548">FALSE</f>
        <v>0</v>
      </c>
      <c r="J2015" s="208" t="b">
        <f t="shared" si="1548"/>
        <v>0</v>
      </c>
      <c r="K2015" s="214">
        <v>5368.0</v>
      </c>
      <c r="L2015" s="207" t="str">
        <f t="shared" si="3"/>
        <v>n/a</v>
      </c>
      <c r="M2015" s="212" t="str">
        <f t="shared" si="4"/>
        <v>n/a</v>
      </c>
      <c r="N2015" s="207" t="str">
        <f t="shared" si="1421"/>
        <v>n/a</v>
      </c>
      <c r="O2015" s="207">
        <f t="shared" si="1422"/>
        <v>0.0001862891207</v>
      </c>
    </row>
    <row r="2016" ht="15.75" customHeight="1">
      <c r="A2016" s="207">
        <v>137.0</v>
      </c>
      <c r="B2016" s="6" t="str">
        <f>VLOOKUP($A2016, 'Completion rates'!$A:$E, 2, FALSE)</f>
        <v>Killing revenants (demon cyclops quads, skulled, skipping for task)</v>
      </c>
      <c r="C2016" s="207">
        <v>21802.0</v>
      </c>
      <c r="D2016" s="6" t="str">
        <f>VLOOKUP($C2016, 'List of log slots'!$A:$E, 2, FALSE)</f>
        <v>Revenant cave teleport</v>
      </c>
      <c r="E2016" s="207">
        <f>VLOOKUP($C2016, 'List of log slots'!$A:$E, 5, FALSE)</f>
        <v>2</v>
      </c>
      <c r="F2016" s="213" t="b">
        <f>VLOOKUP(C2016, 'List of log slots'!$A:$C, 3, FALSE)</f>
        <v>0</v>
      </c>
      <c r="G2016" s="209" t="b">
        <f t="shared" si="1524"/>
        <v>0</v>
      </c>
      <c r="H2016" s="209" t="b">
        <f t="shared" si="7"/>
        <v>1</v>
      </c>
      <c r="I2016" s="208" t="b">
        <f t="shared" ref="I2016:J2016" si="1549">FALSE</f>
        <v>0</v>
      </c>
      <c r="J2016" s="208" t="b">
        <f t="shared" si="1549"/>
        <v>0</v>
      </c>
      <c r="K2016" s="214">
        <v>18.0</v>
      </c>
      <c r="L2016" s="207" t="str">
        <f t="shared" si="3"/>
        <v>n/a</v>
      </c>
      <c r="M2016" s="212" t="str">
        <f t="shared" si="4"/>
        <v>n/a</v>
      </c>
      <c r="N2016" s="207" t="str">
        <f t="shared" si="1421"/>
        <v>n/a</v>
      </c>
      <c r="O2016" s="207">
        <f t="shared" si="1422"/>
        <v>0.05555555556</v>
      </c>
    </row>
    <row r="2017" ht="15.75" customHeight="1">
      <c r="A2017" s="207">
        <v>137.0</v>
      </c>
      <c r="B2017" s="6" t="str">
        <f>VLOOKUP($A2017, 'Completion rates'!$A:$E, 2, FALSE)</f>
        <v>Killing revenants (demon cyclops quads, skulled, skipping for task)</v>
      </c>
      <c r="C2017" s="207">
        <v>21820.0</v>
      </c>
      <c r="D2017" s="6" t="str">
        <f>VLOOKUP($C2017, 'List of log slots'!$A:$E, 2, FALSE)</f>
        <v>Revenant ether</v>
      </c>
      <c r="E2017" s="207">
        <f>VLOOKUP($C2017, 'List of log slots'!$A:$E, 5, FALSE)</f>
        <v>1</v>
      </c>
      <c r="F2017" s="213" t="b">
        <f>VLOOKUP(C2017, 'List of log slots'!$A:$C, 3, FALSE)</f>
        <v>0</v>
      </c>
      <c r="G2017" s="209" t="b">
        <f t="shared" si="1524"/>
        <v>0</v>
      </c>
      <c r="H2017" s="209" t="b">
        <f t="shared" si="7"/>
        <v>1</v>
      </c>
      <c r="I2017" s="213" t="b">
        <f t="shared" ref="I2017:I2024" si="1550">TRUE</f>
        <v>1</v>
      </c>
      <c r="J2017" s="208" t="b">
        <f t="shared" ref="J2017:J2018" si="1551">FALSE</f>
        <v>0</v>
      </c>
      <c r="K2017" s="214">
        <v>1.0</v>
      </c>
      <c r="L2017" s="207" t="str">
        <f t="shared" si="3"/>
        <v>n/a</v>
      </c>
      <c r="M2017" s="212">
        <f t="shared" si="4"/>
        <v>1</v>
      </c>
      <c r="N2017" s="207" t="str">
        <f t="shared" si="1421"/>
        <v>n/a</v>
      </c>
      <c r="O2017" s="207" t="str">
        <f t="shared" si="1422"/>
        <v>n/a</v>
      </c>
    </row>
    <row r="2018" ht="15.75" customHeight="1">
      <c r="A2018" s="207">
        <v>138.0</v>
      </c>
      <c r="B2018" s="6" t="str">
        <f>VLOOKUP($A2018, 'Completion rates'!$A:$E, 2, FALSE)</f>
        <v>Collecting marks of grace (rooftop agility)</v>
      </c>
      <c r="C2018" s="207">
        <v>11849.0</v>
      </c>
      <c r="D2018" s="6" t="str">
        <f>VLOOKUP($C2018, 'List of log slots'!$A:$E, 2, FALSE)</f>
        <v>Mark of grace</v>
      </c>
      <c r="E2018" s="207">
        <f>VLOOKUP($C2018, 'List of log slots'!$A:$E, 5, FALSE)</f>
        <v>1</v>
      </c>
      <c r="F2018" s="213" t="b">
        <f>VLOOKUP(C2018, 'List of log slots'!$A:$C, 3, FALSE)</f>
        <v>0</v>
      </c>
      <c r="G2018" s="209" t="b">
        <f t="shared" si="1524"/>
        <v>0</v>
      </c>
      <c r="H2018" s="209" t="b">
        <f t="shared" si="7"/>
        <v>1</v>
      </c>
      <c r="I2018" s="213" t="b">
        <f t="shared" si="1550"/>
        <v>1</v>
      </c>
      <c r="J2018" s="208" t="b">
        <f t="shared" si="1551"/>
        <v>0</v>
      </c>
      <c r="K2018" s="214">
        <v>1.0</v>
      </c>
      <c r="L2018" s="207" t="str">
        <f t="shared" si="3"/>
        <v>n/a</v>
      </c>
      <c r="M2018" s="212">
        <f t="shared" si="4"/>
        <v>1</v>
      </c>
      <c r="N2018" s="207" t="str">
        <f t="shared" si="1421"/>
        <v>n/a</v>
      </c>
      <c r="O2018" s="207" t="str">
        <f t="shared" si="1422"/>
        <v>n/a</v>
      </c>
    </row>
    <row r="2019" ht="15.75" customHeight="1">
      <c r="A2019" s="207">
        <v>138.0</v>
      </c>
      <c r="B2019" s="6" t="str">
        <f>VLOOKUP($A2019, 'Completion rates'!$A:$E, 2, FALSE)</f>
        <v>Collecting marks of grace (rooftop agility)</v>
      </c>
      <c r="C2019" s="207">
        <v>11850.0</v>
      </c>
      <c r="D2019" s="6" t="str">
        <f>VLOOKUP($C2019, 'List of log slots'!$A:$E, 2, FALSE)</f>
        <v>Graceful hood</v>
      </c>
      <c r="E2019" s="207">
        <f>VLOOKUP($C2019, 'List of log slots'!$A:$E, 5, FALSE)</f>
        <v>2</v>
      </c>
      <c r="F2019" s="213" t="b">
        <f>VLOOKUP(C2019, 'List of log slots'!$A:$C, 3, FALSE)</f>
        <v>0</v>
      </c>
      <c r="G2019" s="209" t="b">
        <f t="shared" si="1524"/>
        <v>0</v>
      </c>
      <c r="H2019" s="209" t="b">
        <f t="shared" si="7"/>
        <v>1</v>
      </c>
      <c r="I2019" s="213" t="b">
        <f t="shared" si="1550"/>
        <v>1</v>
      </c>
      <c r="J2019" s="213" t="b">
        <f t="shared" ref="J2019:J2024" si="1552">TRUE</f>
        <v>1</v>
      </c>
      <c r="K2019" s="214">
        <v>35.0</v>
      </c>
      <c r="L2019" s="207">
        <f t="shared" si="3"/>
        <v>35</v>
      </c>
      <c r="M2019" s="212" t="str">
        <f t="shared" si="4"/>
        <v>n/a</v>
      </c>
      <c r="N2019" s="207" t="str">
        <f t="shared" si="1421"/>
        <v>n/a</v>
      </c>
      <c r="O2019" s="207" t="str">
        <f t="shared" si="1422"/>
        <v>n/a</v>
      </c>
    </row>
    <row r="2020" ht="15.75" customHeight="1">
      <c r="A2020" s="207">
        <v>138.0</v>
      </c>
      <c r="B2020" s="6" t="str">
        <f>VLOOKUP($A2020, 'Completion rates'!$A:$E, 2, FALSE)</f>
        <v>Collecting marks of grace (rooftop agility)</v>
      </c>
      <c r="C2020" s="207">
        <v>11852.0</v>
      </c>
      <c r="D2020" s="6" t="str">
        <f>VLOOKUP($C2020, 'List of log slots'!$A:$E, 2, FALSE)</f>
        <v>Graceful cape</v>
      </c>
      <c r="E2020" s="207">
        <f>VLOOKUP($C2020, 'List of log slots'!$A:$E, 5, FALSE)</f>
        <v>2</v>
      </c>
      <c r="F2020" s="213" t="b">
        <f>VLOOKUP(C2020, 'List of log slots'!$A:$C, 3, FALSE)</f>
        <v>0</v>
      </c>
      <c r="G2020" s="209" t="b">
        <f t="shared" si="1524"/>
        <v>0</v>
      </c>
      <c r="H2020" s="209" t="b">
        <f t="shared" si="7"/>
        <v>1</v>
      </c>
      <c r="I2020" s="213" t="b">
        <f t="shared" si="1550"/>
        <v>1</v>
      </c>
      <c r="J2020" s="213" t="b">
        <f t="shared" si="1552"/>
        <v>1</v>
      </c>
      <c r="K2020" s="214">
        <v>40.0</v>
      </c>
      <c r="L2020" s="207">
        <f t="shared" si="3"/>
        <v>40</v>
      </c>
      <c r="M2020" s="212" t="str">
        <f t="shared" si="4"/>
        <v>n/a</v>
      </c>
      <c r="N2020" s="207" t="str">
        <f t="shared" si="1421"/>
        <v>n/a</v>
      </c>
      <c r="O2020" s="207" t="str">
        <f t="shared" si="1422"/>
        <v>n/a</v>
      </c>
    </row>
    <row r="2021" ht="15.75" customHeight="1">
      <c r="A2021" s="207">
        <v>138.0</v>
      </c>
      <c r="B2021" s="6" t="str">
        <f>VLOOKUP($A2021, 'Completion rates'!$A:$E, 2, FALSE)</f>
        <v>Collecting marks of grace (rooftop agility)</v>
      </c>
      <c r="C2021" s="207">
        <v>11854.0</v>
      </c>
      <c r="D2021" s="6" t="str">
        <f>VLOOKUP($C2021, 'List of log slots'!$A:$E, 2, FALSE)</f>
        <v>Graceful top</v>
      </c>
      <c r="E2021" s="207">
        <f>VLOOKUP($C2021, 'List of log slots'!$A:$E, 5, FALSE)</f>
        <v>2</v>
      </c>
      <c r="F2021" s="213" t="b">
        <f>VLOOKUP(C2021, 'List of log slots'!$A:$C, 3, FALSE)</f>
        <v>0</v>
      </c>
      <c r="G2021" s="209" t="b">
        <f t="shared" si="1524"/>
        <v>0</v>
      </c>
      <c r="H2021" s="209" t="b">
        <f t="shared" si="7"/>
        <v>1</v>
      </c>
      <c r="I2021" s="213" t="b">
        <f t="shared" si="1550"/>
        <v>1</v>
      </c>
      <c r="J2021" s="213" t="b">
        <f t="shared" si="1552"/>
        <v>1</v>
      </c>
      <c r="K2021" s="214">
        <v>55.0</v>
      </c>
      <c r="L2021" s="207">
        <f t="shared" si="3"/>
        <v>55</v>
      </c>
      <c r="M2021" s="212" t="str">
        <f t="shared" si="4"/>
        <v>n/a</v>
      </c>
      <c r="N2021" s="207" t="str">
        <f t="shared" si="1421"/>
        <v>n/a</v>
      </c>
      <c r="O2021" s="207" t="str">
        <f t="shared" si="1422"/>
        <v>n/a</v>
      </c>
    </row>
    <row r="2022" ht="15.75" customHeight="1">
      <c r="A2022" s="207">
        <v>138.0</v>
      </c>
      <c r="B2022" s="6" t="str">
        <f>VLOOKUP($A2022, 'Completion rates'!$A:$E, 2, FALSE)</f>
        <v>Collecting marks of grace (rooftop agility)</v>
      </c>
      <c r="C2022" s="207">
        <v>11856.0</v>
      </c>
      <c r="D2022" s="6" t="str">
        <f>VLOOKUP($C2022, 'List of log slots'!$A:$E, 2, FALSE)</f>
        <v>Graceful legs</v>
      </c>
      <c r="E2022" s="207">
        <f>VLOOKUP($C2022, 'List of log slots'!$A:$E, 5, FALSE)</f>
        <v>2</v>
      </c>
      <c r="F2022" s="213" t="b">
        <f>VLOOKUP(C2022, 'List of log slots'!$A:$C, 3, FALSE)</f>
        <v>0</v>
      </c>
      <c r="G2022" s="209" t="b">
        <f t="shared" si="1524"/>
        <v>0</v>
      </c>
      <c r="H2022" s="209" t="b">
        <f t="shared" si="7"/>
        <v>1</v>
      </c>
      <c r="I2022" s="213" t="b">
        <f t="shared" si="1550"/>
        <v>1</v>
      </c>
      <c r="J2022" s="213" t="b">
        <f t="shared" si="1552"/>
        <v>1</v>
      </c>
      <c r="K2022" s="214">
        <v>60.0</v>
      </c>
      <c r="L2022" s="207">
        <f t="shared" si="3"/>
        <v>60</v>
      </c>
      <c r="M2022" s="212" t="str">
        <f t="shared" si="4"/>
        <v>n/a</v>
      </c>
      <c r="N2022" s="207" t="str">
        <f t="shared" si="1421"/>
        <v>n/a</v>
      </c>
      <c r="O2022" s="207" t="str">
        <f t="shared" si="1422"/>
        <v>n/a</v>
      </c>
    </row>
    <row r="2023" ht="15.75" customHeight="1">
      <c r="A2023" s="207">
        <v>138.0</v>
      </c>
      <c r="B2023" s="6" t="str">
        <f>VLOOKUP($A2023, 'Completion rates'!$A:$E, 2, FALSE)</f>
        <v>Collecting marks of grace (rooftop agility)</v>
      </c>
      <c r="C2023" s="207">
        <v>11858.0</v>
      </c>
      <c r="D2023" s="6" t="str">
        <f>VLOOKUP($C2023, 'List of log slots'!$A:$E, 2, FALSE)</f>
        <v>Graceful gloves</v>
      </c>
      <c r="E2023" s="207">
        <f>VLOOKUP($C2023, 'List of log slots'!$A:$E, 5, FALSE)</f>
        <v>2</v>
      </c>
      <c r="F2023" s="213" t="b">
        <f>VLOOKUP(C2023, 'List of log slots'!$A:$C, 3, FALSE)</f>
        <v>0</v>
      </c>
      <c r="G2023" s="209" t="b">
        <f t="shared" si="1524"/>
        <v>0</v>
      </c>
      <c r="H2023" s="209" t="b">
        <f t="shared" si="7"/>
        <v>1</v>
      </c>
      <c r="I2023" s="213" t="b">
        <f t="shared" si="1550"/>
        <v>1</v>
      </c>
      <c r="J2023" s="213" t="b">
        <f t="shared" si="1552"/>
        <v>1</v>
      </c>
      <c r="K2023" s="214">
        <v>30.0</v>
      </c>
      <c r="L2023" s="207">
        <f t="shared" si="3"/>
        <v>30</v>
      </c>
      <c r="M2023" s="212" t="str">
        <f t="shared" si="4"/>
        <v>n/a</v>
      </c>
      <c r="N2023" s="207" t="str">
        <f t="shared" si="1421"/>
        <v>n/a</v>
      </c>
      <c r="O2023" s="207" t="str">
        <f t="shared" si="1422"/>
        <v>n/a</v>
      </c>
    </row>
    <row r="2024" ht="15.75" customHeight="1">
      <c r="A2024" s="207">
        <v>138.0</v>
      </c>
      <c r="B2024" s="6" t="str">
        <f>VLOOKUP($A2024, 'Completion rates'!$A:$E, 2, FALSE)</f>
        <v>Collecting marks of grace (rooftop agility)</v>
      </c>
      <c r="C2024" s="207">
        <v>11860.0</v>
      </c>
      <c r="D2024" s="6" t="str">
        <f>VLOOKUP($C2024, 'List of log slots'!$A:$E, 2, FALSE)</f>
        <v>Graceful boots</v>
      </c>
      <c r="E2024" s="207">
        <f>VLOOKUP($C2024, 'List of log slots'!$A:$E, 5, FALSE)</f>
        <v>2</v>
      </c>
      <c r="F2024" s="213" t="b">
        <f>VLOOKUP(C2024, 'List of log slots'!$A:$C, 3, FALSE)</f>
        <v>0</v>
      </c>
      <c r="G2024" s="209" t="b">
        <f t="shared" si="1524"/>
        <v>0</v>
      </c>
      <c r="H2024" s="209" t="b">
        <f t="shared" si="7"/>
        <v>1</v>
      </c>
      <c r="I2024" s="213" t="b">
        <f t="shared" si="1550"/>
        <v>1</v>
      </c>
      <c r="J2024" s="213" t="b">
        <f t="shared" si="1552"/>
        <v>1</v>
      </c>
      <c r="K2024" s="214">
        <v>40.0</v>
      </c>
      <c r="L2024" s="207">
        <f t="shared" si="3"/>
        <v>40</v>
      </c>
      <c r="M2024" s="212" t="str">
        <f t="shared" si="4"/>
        <v>n/a</v>
      </c>
      <c r="N2024" s="207" t="str">
        <f t="shared" si="1421"/>
        <v>n/a</v>
      </c>
      <c r="O2024" s="207" t="str">
        <f t="shared" si="1422"/>
        <v>n/a</v>
      </c>
    </row>
    <row r="2025" ht="15.75" customHeight="1">
      <c r="A2025" s="207">
        <v>139.0</v>
      </c>
      <c r="B2025" s="6" t="str">
        <f>VLOOKUP($A2025, 'Completion rates'!$A:$E, 2, FALSE)</f>
        <v>Killing frost dragons</v>
      </c>
      <c r="C2025" s="207">
        <v>31996.0</v>
      </c>
      <c r="D2025" s="6" t="str">
        <f>VLOOKUP($C2025, 'List of log slots'!$A:$E, 2, FALSE)</f>
        <v>Dragon metal sheet</v>
      </c>
      <c r="E2025" s="207">
        <f>VLOOKUP($C2025, 'List of log slots'!$A:$E, 5, FALSE)</f>
        <v>4</v>
      </c>
      <c r="F2025" s="213" t="b">
        <f>VLOOKUP(C2025, 'List of log slots'!$A:$C, 3, FALSE)</f>
        <v>0</v>
      </c>
      <c r="G2025" s="209" t="b">
        <f t="shared" si="1524"/>
        <v>0</v>
      </c>
      <c r="H2025" s="209" t="b">
        <f t="shared" si="7"/>
        <v>1</v>
      </c>
      <c r="I2025" s="208" t="b">
        <f t="shared" ref="I2025:J2025" si="1553">FALSE</f>
        <v>0</v>
      </c>
      <c r="J2025" s="208" t="b">
        <f t="shared" si="1553"/>
        <v>0</v>
      </c>
      <c r="K2025" s="214">
        <v>200.0</v>
      </c>
      <c r="L2025" s="207" t="str">
        <f t="shared" si="3"/>
        <v>n/a</v>
      </c>
      <c r="M2025" s="212" t="str">
        <f t="shared" si="4"/>
        <v>n/a</v>
      </c>
      <c r="N2025" s="207" t="str">
        <f t="shared" si="1421"/>
        <v>n/a</v>
      </c>
      <c r="O2025" s="207">
        <f t="shared" si="1422"/>
        <v>0.005</v>
      </c>
    </row>
    <row r="2026" ht="15.75" customHeight="1">
      <c r="A2026" s="207">
        <v>139.0</v>
      </c>
      <c r="B2026" s="6" t="str">
        <f>VLOOKUP($A2026, 'Completion rates'!$A:$E, 2, FALSE)</f>
        <v>Killing frost dragons</v>
      </c>
      <c r="C2026" s="207">
        <v>31406.0</v>
      </c>
      <c r="D2026" s="6" t="str">
        <f>VLOOKUP($C2026, 'List of log slots'!$A:$E, 2, FALSE)</f>
        <v>Dragon nails</v>
      </c>
      <c r="E2026" s="207">
        <f>VLOOKUP($C2026, 'List of log slots'!$A:$E, 5, FALSE)</f>
        <v>3</v>
      </c>
      <c r="F2026" s="213" t="b">
        <f>VLOOKUP(C2026, 'List of log slots'!$A:$C, 3, FALSE)</f>
        <v>0</v>
      </c>
      <c r="G2026" s="209" t="b">
        <f t="shared" si="1524"/>
        <v>0</v>
      </c>
      <c r="H2026" s="209" t="b">
        <f t="shared" si="7"/>
        <v>1</v>
      </c>
      <c r="I2026" s="208" t="b">
        <f t="shared" ref="I2026:J2026" si="1554">FALSE</f>
        <v>0</v>
      </c>
      <c r="J2026" s="208" t="b">
        <f t="shared" si="1554"/>
        <v>0</v>
      </c>
      <c r="K2026" s="214">
        <v>65.0</v>
      </c>
      <c r="L2026" s="207" t="str">
        <f t="shared" si="3"/>
        <v>n/a</v>
      </c>
      <c r="M2026" s="212" t="str">
        <f t="shared" si="4"/>
        <v>n/a</v>
      </c>
      <c r="N2026" s="207" t="str">
        <f t="shared" si="1421"/>
        <v>n/a</v>
      </c>
      <c r="O2026" s="207">
        <f t="shared" si="1422"/>
        <v>0.01538461538</v>
      </c>
    </row>
    <row r="2027" ht="15.75" customHeight="1">
      <c r="A2027" s="207">
        <v>139.0</v>
      </c>
      <c r="B2027" s="6" t="str">
        <f>VLOOKUP($A2027, 'Completion rates'!$A:$E, 2, FALSE)</f>
        <v>Killing frost dragons</v>
      </c>
      <c r="C2027" s="207">
        <v>31916.0</v>
      </c>
      <c r="D2027" s="6" t="str">
        <f>VLOOKUP($C2027, 'List of log slots'!$A:$E, 2, FALSE)</f>
        <v>Dragon cannonball</v>
      </c>
      <c r="E2027" s="207">
        <f>VLOOKUP($C2027, 'List of log slots'!$A:$E, 5, FALSE)</f>
        <v>4</v>
      </c>
      <c r="F2027" s="213" t="b">
        <f>VLOOKUP(C2027, 'List of log slots'!$A:$C, 3, FALSE)</f>
        <v>0</v>
      </c>
      <c r="G2027" s="209" t="b">
        <f t="shared" si="1524"/>
        <v>0</v>
      </c>
      <c r="H2027" s="209" t="b">
        <f t="shared" si="7"/>
        <v>1</v>
      </c>
      <c r="I2027" s="208" t="b">
        <f t="shared" ref="I2027:J2027" si="1555">FALSE</f>
        <v>0</v>
      </c>
      <c r="J2027" s="208" t="b">
        <f t="shared" si="1555"/>
        <v>0</v>
      </c>
      <c r="K2027" s="214">
        <v>65.0</v>
      </c>
      <c r="L2027" s="207" t="str">
        <f t="shared" si="3"/>
        <v>n/a</v>
      </c>
      <c r="M2027" s="212" t="str">
        <f t="shared" si="4"/>
        <v>n/a</v>
      </c>
      <c r="N2027" s="207" t="str">
        <f t="shared" si="1421"/>
        <v>n/a</v>
      </c>
      <c r="O2027" s="207">
        <f t="shared" si="1422"/>
        <v>0.01538461538</v>
      </c>
    </row>
    <row r="2028" ht="15.75" customHeight="1">
      <c r="A2028" s="207">
        <v>139.0</v>
      </c>
      <c r="B2028" s="6" t="str">
        <f>VLOOKUP($A2028, 'Completion rates'!$A:$E, 2, FALSE)</f>
        <v>Killing frost dragons</v>
      </c>
      <c r="C2028" s="207">
        <v>11286.0</v>
      </c>
      <c r="D2028" s="6" t="str">
        <f>VLOOKUP($C2028, 'List of log slots'!$A:$E, 2, FALSE)</f>
        <v>Draconic visage</v>
      </c>
      <c r="E2028" s="207">
        <f>VLOOKUP($C2028, 'List of log slots'!$A:$E, 5, FALSE)</f>
        <v>6</v>
      </c>
      <c r="F2028" s="209" t="b">
        <f>VLOOKUP(C2028, 'List of log slots'!$A:$C, 3, FALSE)</f>
        <v>0</v>
      </c>
      <c r="G2028" s="209" t="b">
        <f t="shared" si="1524"/>
        <v>0</v>
      </c>
      <c r="H2028" s="210" t="b">
        <f t="shared" si="7"/>
        <v>1</v>
      </c>
      <c r="I2028" s="208" t="b">
        <f t="shared" ref="I2028:J2028" si="1556">FALSE</f>
        <v>0</v>
      </c>
      <c r="J2028" s="208" t="b">
        <f t="shared" si="1556"/>
        <v>0</v>
      </c>
      <c r="K2028" s="214">
        <v>10000.0</v>
      </c>
      <c r="L2028" s="207" t="str">
        <f t="shared" si="3"/>
        <v>n/a</v>
      </c>
      <c r="M2028" s="212" t="str">
        <f t="shared" si="4"/>
        <v>n/a</v>
      </c>
      <c r="N2028" s="207" t="str">
        <f t="shared" si="1421"/>
        <v>n/a</v>
      </c>
      <c r="O2028" s="207">
        <f t="shared" si="1422"/>
        <v>0.0001</v>
      </c>
    </row>
    <row r="2029" ht="15.75" customHeight="1">
      <c r="A2029" s="207">
        <v>139.0</v>
      </c>
      <c r="B2029" s="6" t="str">
        <f>VLOOKUP($A2029, 'Completion rates'!$A:$E, 2, FALSE)</f>
        <v>Killing frost dragons</v>
      </c>
      <c r="C2029" s="207">
        <v>2366.0</v>
      </c>
      <c r="D2029" s="6" t="str">
        <f>VLOOKUP($C2029, 'List of log slots'!$A:$E, 2, FALSE)</f>
        <v>Shield left half</v>
      </c>
      <c r="E2029" s="207">
        <f>VLOOKUP($C2029, 'List of log slots'!$A:$E, 5, FALSE)</f>
        <v>5</v>
      </c>
      <c r="F2029" s="210" t="b">
        <f>VLOOKUP(C2029, 'List of log slots'!$A:$C, 3, FALSE)</f>
        <v>0</v>
      </c>
      <c r="G2029" s="209" t="b">
        <f t="shared" si="1524"/>
        <v>0</v>
      </c>
      <c r="H2029" s="209" t="b">
        <f t="shared" si="7"/>
        <v>1</v>
      </c>
      <c r="I2029" s="208" t="b">
        <f t="shared" ref="I2029:J2029" si="1557">FALSE</f>
        <v>0</v>
      </c>
      <c r="J2029" s="208" t="b">
        <f t="shared" si="1557"/>
        <v>0</v>
      </c>
      <c r="K2029" s="214">
        <v>15984.0</v>
      </c>
      <c r="L2029" s="207" t="str">
        <f t="shared" si="3"/>
        <v>n/a</v>
      </c>
      <c r="M2029" s="212" t="str">
        <f t="shared" si="4"/>
        <v>n/a</v>
      </c>
      <c r="N2029" s="207" t="str">
        <f t="shared" si="1421"/>
        <v>n/a</v>
      </c>
      <c r="O2029" s="207">
        <f t="shared" si="1422"/>
        <v>0.00006256256256</v>
      </c>
    </row>
    <row r="2030" ht="15.75" customHeight="1">
      <c r="A2030" s="207">
        <v>139.0</v>
      </c>
      <c r="B2030" s="6" t="str">
        <f>VLOOKUP($A2030, 'Completion rates'!$A:$E, 2, FALSE)</f>
        <v>Killing frost dragons</v>
      </c>
      <c r="C2030" s="207">
        <v>1249.0</v>
      </c>
      <c r="D2030" s="6" t="str">
        <f>VLOOKUP($C2030, 'List of log slots'!$A:$E, 2, FALSE)</f>
        <v>Dragon spear</v>
      </c>
      <c r="E2030" s="207">
        <f>VLOOKUP($C2030, 'List of log slots'!$A:$E, 5, FALSE)</f>
        <v>5</v>
      </c>
      <c r="F2030" s="210" t="b">
        <f>VLOOKUP(C2030, 'List of log slots'!$A:$C, 3, FALSE)</f>
        <v>0</v>
      </c>
      <c r="G2030" s="209" t="b">
        <f t="shared" si="1524"/>
        <v>0</v>
      </c>
      <c r="H2030" s="209" t="b">
        <f t="shared" si="7"/>
        <v>1</v>
      </c>
      <c r="I2030" s="208" t="b">
        <f t="shared" ref="I2030:J2030" si="1558">FALSE</f>
        <v>0</v>
      </c>
      <c r="J2030" s="208" t="b">
        <f t="shared" si="1558"/>
        <v>0</v>
      </c>
      <c r="K2030" s="214">
        <v>21313.0</v>
      </c>
      <c r="L2030" s="207" t="str">
        <f t="shared" si="3"/>
        <v>n/a</v>
      </c>
      <c r="M2030" s="212" t="str">
        <f t="shared" si="4"/>
        <v>n/a</v>
      </c>
      <c r="N2030" s="207" t="str">
        <f t="shared" si="1421"/>
        <v>n/a</v>
      </c>
      <c r="O2030" s="207">
        <f t="shared" si="1422"/>
        <v>0.00004691972036</v>
      </c>
    </row>
    <row r="2031" ht="15.75" customHeight="1">
      <c r="A2031" s="207">
        <v>140.0</v>
      </c>
      <c r="B2031" s="6" t="str">
        <f>VLOOKUP($A2031, 'Completion rates'!$A:$E, 2, FALSE)</f>
        <v>Killing orcas (boat combat)</v>
      </c>
      <c r="C2031" s="207">
        <v>31916.0</v>
      </c>
      <c r="D2031" s="6" t="str">
        <f>VLOOKUP($C2031, 'List of log slots'!$A:$E, 2, FALSE)</f>
        <v>Dragon cannonball</v>
      </c>
      <c r="E2031" s="207">
        <f>VLOOKUP($C2031, 'List of log slots'!$A:$E, 5, FALSE)</f>
        <v>4</v>
      </c>
      <c r="F2031" s="210" t="b">
        <f>VLOOKUP(C2031, 'List of log slots'!$A:$C, 3, FALSE)</f>
        <v>0</v>
      </c>
      <c r="G2031" s="209" t="b">
        <f t="shared" si="1524"/>
        <v>0</v>
      </c>
      <c r="H2031" s="209" t="b">
        <f t="shared" si="7"/>
        <v>1</v>
      </c>
      <c r="I2031" s="208" t="b">
        <f t="shared" ref="I2031:J2031" si="1559">FALSE</f>
        <v>0</v>
      </c>
      <c r="J2031" s="208" t="b">
        <f t="shared" si="1559"/>
        <v>0</v>
      </c>
      <c r="K2031" s="214">
        <v>46.0</v>
      </c>
      <c r="L2031" s="207" t="str">
        <f t="shared" si="3"/>
        <v>n/a</v>
      </c>
      <c r="M2031" s="212" t="str">
        <f t="shared" si="4"/>
        <v>n/a</v>
      </c>
      <c r="N2031" s="207" t="str">
        <f t="shared" si="1421"/>
        <v>n/a</v>
      </c>
      <c r="O2031" s="207">
        <f t="shared" si="1422"/>
        <v>0.02173913043</v>
      </c>
    </row>
    <row r="2032" ht="15.75" customHeight="1">
      <c r="A2032" s="207">
        <v>140.0</v>
      </c>
      <c r="B2032" s="6" t="str">
        <f>VLOOKUP($A2032, 'Completion rates'!$A:$E, 2, FALSE)</f>
        <v>Killing orcas (boat combat)</v>
      </c>
      <c r="C2032" s="207">
        <v>31946.0</v>
      </c>
      <c r="D2032" s="6" t="str">
        <f>VLOOKUP($C2032, 'List of log slots'!$A:$E, 2, FALSE)</f>
        <v>Echo pearl</v>
      </c>
      <c r="E2032" s="207">
        <f>VLOOKUP($C2032, 'List of log slots'!$A:$E, 5, FALSE)</f>
        <v>3</v>
      </c>
      <c r="F2032" s="209" t="b">
        <f>VLOOKUP(C2032, 'List of log slots'!$A:$C, 3, FALSE)</f>
        <v>0</v>
      </c>
      <c r="G2032" s="209" t="b">
        <f t="shared" si="1524"/>
        <v>0</v>
      </c>
      <c r="H2032" s="210" t="b">
        <f t="shared" si="7"/>
        <v>1</v>
      </c>
      <c r="I2032" s="208" t="b">
        <f t="shared" ref="I2032:J2032" si="1560">FALSE</f>
        <v>0</v>
      </c>
      <c r="J2032" s="208" t="b">
        <f t="shared" si="1560"/>
        <v>0</v>
      </c>
      <c r="K2032" s="214">
        <v>66.0</v>
      </c>
      <c r="L2032" s="207" t="str">
        <f t="shared" si="3"/>
        <v>n/a</v>
      </c>
      <c r="M2032" s="212" t="str">
        <f t="shared" si="4"/>
        <v>n/a</v>
      </c>
      <c r="N2032" s="207" t="str">
        <f t="shared" si="1421"/>
        <v>n/a</v>
      </c>
      <c r="O2032" s="207">
        <f t="shared" si="1422"/>
        <v>0.01515151515</v>
      </c>
    </row>
    <row r="2033" ht="15.75" customHeight="1">
      <c r="A2033" s="207">
        <v>140.0</v>
      </c>
      <c r="B2033" s="6" t="str">
        <f>VLOOKUP($A2033, 'Completion rates'!$A:$E, 2, FALSE)</f>
        <v>Killing orcas (boat combat)</v>
      </c>
      <c r="C2033" s="207">
        <v>2366.0</v>
      </c>
      <c r="D2033" s="6" t="str">
        <f>VLOOKUP($C2033, 'List of log slots'!$A:$E, 2, FALSE)</f>
        <v>Shield left half</v>
      </c>
      <c r="E2033" s="207">
        <f>VLOOKUP($C2033, 'List of log slots'!$A:$E, 5, FALSE)</f>
        <v>5</v>
      </c>
      <c r="F2033" s="210" t="b">
        <f>VLOOKUP(C2033, 'List of log slots'!$A:$C, 3, FALSE)</f>
        <v>0</v>
      </c>
      <c r="G2033" s="209" t="b">
        <f t="shared" si="1524"/>
        <v>0</v>
      </c>
      <c r="H2033" s="209" t="b">
        <f t="shared" si="7"/>
        <v>1</v>
      </c>
      <c r="I2033" s="208" t="b">
        <f t="shared" ref="I2033:J2033" si="1561">FALSE</f>
        <v>0</v>
      </c>
      <c r="J2033" s="208" t="b">
        <f t="shared" si="1561"/>
        <v>0</v>
      </c>
      <c r="K2033" s="214">
        <v>188416.0</v>
      </c>
      <c r="L2033" s="207" t="str">
        <f t="shared" si="3"/>
        <v>n/a</v>
      </c>
      <c r="M2033" s="212" t="str">
        <f t="shared" si="4"/>
        <v>n/a</v>
      </c>
      <c r="N2033" s="207" t="str">
        <f t="shared" si="1421"/>
        <v>n/a</v>
      </c>
      <c r="O2033" s="207">
        <f t="shared" si="1422"/>
        <v>0.000005307404891</v>
      </c>
    </row>
    <row r="2034" ht="15.75" customHeight="1">
      <c r="A2034" s="207">
        <v>140.0</v>
      </c>
      <c r="B2034" s="6" t="str">
        <f>VLOOKUP($A2034, 'Completion rates'!$A:$E, 2, FALSE)</f>
        <v>Killing orcas (boat combat)</v>
      </c>
      <c r="C2034" s="207">
        <v>1249.0</v>
      </c>
      <c r="D2034" s="6" t="str">
        <f>VLOOKUP($C2034, 'List of log slots'!$A:$E, 2, FALSE)</f>
        <v>Dragon spear</v>
      </c>
      <c r="E2034" s="207">
        <f>VLOOKUP($C2034, 'List of log slots'!$A:$E, 5, FALSE)</f>
        <v>5</v>
      </c>
      <c r="F2034" s="210" t="b">
        <f>VLOOKUP(C2034, 'List of log slots'!$A:$C, 3, FALSE)</f>
        <v>0</v>
      </c>
      <c r="G2034" s="209" t="b">
        <f t="shared" si="1524"/>
        <v>0</v>
      </c>
      <c r="H2034" s="209" t="b">
        <f t="shared" si="7"/>
        <v>1</v>
      </c>
      <c r="I2034" s="208" t="b">
        <f t="shared" ref="I2034:J2034" si="1562">FALSE</f>
        <v>0</v>
      </c>
      <c r="J2034" s="208" t="b">
        <f t="shared" si="1562"/>
        <v>0</v>
      </c>
      <c r="K2034" s="214">
        <v>251221.0</v>
      </c>
      <c r="L2034" s="207" t="str">
        <f t="shared" si="3"/>
        <v>n/a</v>
      </c>
      <c r="M2034" s="212" t="str">
        <f t="shared" si="4"/>
        <v>n/a</v>
      </c>
      <c r="N2034" s="207" t="str">
        <f t="shared" si="1421"/>
        <v>n/a</v>
      </c>
      <c r="O2034" s="207">
        <f t="shared" si="1422"/>
        <v>0.00000398055895</v>
      </c>
    </row>
    <row r="2035" ht="15.75" customHeight="1">
      <c r="A2035" s="207">
        <v>141.0</v>
      </c>
      <c r="B2035" s="6" t="str">
        <f>VLOOKUP($A2035, 'Completion rates'!$A:$E, 2, FALSE)</f>
        <v>Killing albatross (boat combat)</v>
      </c>
      <c r="C2035" s="207">
        <v>31952.0</v>
      </c>
      <c r="D2035" s="6" t="str">
        <f>VLOOKUP($C2035, 'List of log slots'!$A:$E, 2, FALSE)</f>
        <v>Swift albatross feather</v>
      </c>
      <c r="E2035" s="207">
        <f>VLOOKUP($C2035, 'List of log slots'!$A:$E, 5, FALSE)</f>
        <v>2</v>
      </c>
      <c r="F2035" s="209" t="b">
        <f>VLOOKUP(C2035, 'List of log slots'!$A:$C, 3, FALSE)</f>
        <v>0</v>
      </c>
      <c r="G2035" s="209" t="b">
        <f t="shared" si="1524"/>
        <v>0</v>
      </c>
      <c r="H2035" s="210" t="b">
        <f t="shared" si="7"/>
        <v>1</v>
      </c>
      <c r="I2035" s="208" t="b">
        <f t="shared" ref="I2035:J2035" si="1563">FALSE</f>
        <v>0</v>
      </c>
      <c r="J2035" s="208" t="b">
        <f t="shared" si="1563"/>
        <v>0</v>
      </c>
      <c r="K2035" s="214">
        <v>30.0</v>
      </c>
      <c r="L2035" s="207" t="str">
        <f t="shared" si="3"/>
        <v>n/a</v>
      </c>
      <c r="M2035" s="212" t="str">
        <f t="shared" si="4"/>
        <v>n/a</v>
      </c>
      <c r="N2035" s="207" t="str">
        <f t="shared" si="1421"/>
        <v>n/a</v>
      </c>
      <c r="O2035" s="207">
        <f t="shared" si="1422"/>
        <v>0.03333333333</v>
      </c>
    </row>
    <row r="2036" ht="15.75" customHeight="1">
      <c r="A2036" s="207">
        <v>142.0</v>
      </c>
      <c r="B2036" s="6" t="str">
        <f>VLOOKUP($A2036, 'Completion rates'!$A:$E, 2, FALSE)</f>
        <v>Killing narwhal (boat combat)</v>
      </c>
      <c r="C2036" s="207">
        <v>31406.0</v>
      </c>
      <c r="D2036" s="6" t="str">
        <f>VLOOKUP($C2036, 'List of log slots'!$A:$E, 2, FALSE)</f>
        <v>Dragon nails</v>
      </c>
      <c r="E2036" s="207">
        <f>VLOOKUP($C2036, 'List of log slots'!$A:$E, 5, FALSE)</f>
        <v>3</v>
      </c>
      <c r="F2036" s="210" t="b">
        <f>VLOOKUP(C2036, 'List of log slots'!$A:$C, 3, FALSE)</f>
        <v>0</v>
      </c>
      <c r="G2036" s="209" t="b">
        <f t="shared" si="1524"/>
        <v>0</v>
      </c>
      <c r="H2036" s="209" t="b">
        <f t="shared" si="7"/>
        <v>1</v>
      </c>
      <c r="I2036" s="208" t="b">
        <f t="shared" ref="I2036:J2036" si="1564">FALSE</f>
        <v>0</v>
      </c>
      <c r="J2036" s="208" t="b">
        <f t="shared" si="1564"/>
        <v>0</v>
      </c>
      <c r="K2036" s="214">
        <v>120.0</v>
      </c>
      <c r="L2036" s="207" t="str">
        <f t="shared" si="3"/>
        <v>n/a</v>
      </c>
      <c r="M2036" s="212" t="str">
        <f t="shared" si="4"/>
        <v>n/a</v>
      </c>
      <c r="N2036" s="207" t="str">
        <f t="shared" si="1421"/>
        <v>n/a</v>
      </c>
      <c r="O2036" s="207">
        <f t="shared" si="1422"/>
        <v>0.008333333333</v>
      </c>
    </row>
    <row r="2037" ht="15.75" customHeight="1">
      <c r="A2037" s="207">
        <v>142.0</v>
      </c>
      <c r="B2037" s="6" t="str">
        <f>VLOOKUP($A2037, 'Completion rates'!$A:$E, 2, FALSE)</f>
        <v>Killing narwhal (boat combat)</v>
      </c>
      <c r="C2037" s="207">
        <v>31954.0</v>
      </c>
      <c r="D2037" s="6" t="str">
        <f>VLOOKUP($C2037, 'List of log slots'!$A:$E, 2, FALSE)</f>
        <v>Narwhal horn</v>
      </c>
      <c r="E2037" s="207">
        <f>VLOOKUP($C2037, 'List of log slots'!$A:$E, 5, FALSE)</f>
        <v>3</v>
      </c>
      <c r="F2037" s="209" t="b">
        <f>VLOOKUP(C2037, 'List of log slots'!$A:$C, 3, FALSE)</f>
        <v>0</v>
      </c>
      <c r="G2037" s="209" t="b">
        <f t="shared" si="1524"/>
        <v>0</v>
      </c>
      <c r="H2037" s="210" t="b">
        <f t="shared" si="7"/>
        <v>1</v>
      </c>
      <c r="I2037" s="208" t="b">
        <f t="shared" ref="I2037:J2037" si="1565">FALSE</f>
        <v>0</v>
      </c>
      <c r="J2037" s="208" t="b">
        <f t="shared" si="1565"/>
        <v>0</v>
      </c>
      <c r="K2037" s="214">
        <v>100.0</v>
      </c>
      <c r="L2037" s="207" t="str">
        <f t="shared" si="3"/>
        <v>n/a</v>
      </c>
      <c r="M2037" s="212" t="str">
        <f t="shared" si="4"/>
        <v>n/a</v>
      </c>
      <c r="N2037" s="207" t="str">
        <f t="shared" si="1421"/>
        <v>n/a</v>
      </c>
      <c r="O2037" s="207">
        <f t="shared" si="1422"/>
        <v>0.01</v>
      </c>
    </row>
    <row r="2038" ht="15.75" customHeight="1">
      <c r="A2038" s="207">
        <v>142.0</v>
      </c>
      <c r="B2038" s="6" t="str">
        <f>VLOOKUP($A2038, 'Completion rates'!$A:$E, 2, FALSE)</f>
        <v>Killing narwhal (boat combat)</v>
      </c>
      <c r="C2038" s="207">
        <v>2366.0</v>
      </c>
      <c r="D2038" s="6" t="str">
        <f>VLOOKUP($C2038, 'List of log slots'!$A:$E, 2, FALSE)</f>
        <v>Shield left half</v>
      </c>
      <c r="E2038" s="207">
        <f>VLOOKUP($C2038, 'List of log slots'!$A:$E, 5, FALSE)</f>
        <v>5</v>
      </c>
      <c r="F2038" s="210" t="b">
        <f>VLOOKUP(C2038, 'List of log slots'!$A:$C, 3, FALSE)</f>
        <v>0</v>
      </c>
      <c r="G2038" s="209" t="b">
        <f t="shared" si="1524"/>
        <v>0</v>
      </c>
      <c r="H2038" s="209" t="b">
        <f t="shared" si="7"/>
        <v>1</v>
      </c>
      <c r="I2038" s="208" t="b">
        <f t="shared" ref="I2038:J2038" si="1566">FALSE</f>
        <v>0</v>
      </c>
      <c r="J2038" s="208" t="b">
        <f t="shared" si="1566"/>
        <v>0</v>
      </c>
      <c r="K2038" s="214">
        <v>245760.0</v>
      </c>
      <c r="L2038" s="207" t="str">
        <f t="shared" si="3"/>
        <v>n/a</v>
      </c>
      <c r="M2038" s="212" t="str">
        <f t="shared" si="4"/>
        <v>n/a</v>
      </c>
      <c r="N2038" s="207" t="str">
        <f t="shared" si="1421"/>
        <v>n/a</v>
      </c>
      <c r="O2038" s="207">
        <f t="shared" si="1422"/>
        <v>0.000004069010417</v>
      </c>
    </row>
    <row r="2039" ht="15.75" customHeight="1">
      <c r="A2039" s="207">
        <v>142.0</v>
      </c>
      <c r="B2039" s="6" t="str">
        <f>VLOOKUP($A2039, 'Completion rates'!$A:$E, 2, FALSE)</f>
        <v>Killing narwhal (boat combat)</v>
      </c>
      <c r="C2039" s="207">
        <v>1249.0</v>
      </c>
      <c r="D2039" s="6" t="str">
        <f>VLOOKUP($C2039, 'List of log slots'!$A:$E, 2, FALSE)</f>
        <v>Dragon spear</v>
      </c>
      <c r="E2039" s="207">
        <f>VLOOKUP($C2039, 'List of log slots'!$A:$E, 5, FALSE)</f>
        <v>5</v>
      </c>
      <c r="F2039" s="210" t="b">
        <f>VLOOKUP(C2039, 'List of log slots'!$A:$C, 3, FALSE)</f>
        <v>0</v>
      </c>
      <c r="G2039" s="209" t="b">
        <f t="shared" si="1524"/>
        <v>0</v>
      </c>
      <c r="H2039" s="209" t="b">
        <f t="shared" si="7"/>
        <v>1</v>
      </c>
      <c r="I2039" s="208" t="b">
        <f t="shared" ref="I2039:J2039" si="1567">FALSE</f>
        <v>0</v>
      </c>
      <c r="J2039" s="208" t="b">
        <f t="shared" si="1567"/>
        <v>0</v>
      </c>
      <c r="K2039" s="214">
        <v>327680.0</v>
      </c>
      <c r="L2039" s="207" t="str">
        <f t="shared" si="3"/>
        <v>n/a</v>
      </c>
      <c r="M2039" s="212" t="str">
        <f t="shared" si="4"/>
        <v>n/a</v>
      </c>
      <c r="N2039" s="207" t="str">
        <f t="shared" si="1421"/>
        <v>n/a</v>
      </c>
      <c r="O2039" s="207">
        <f t="shared" si="1422"/>
        <v>0.000003051757813</v>
      </c>
    </row>
    <row r="2040" ht="15.75" customHeight="1">
      <c r="A2040" s="207">
        <v>143.0</v>
      </c>
      <c r="B2040" s="6" t="str">
        <f>VLOOKUP($A2040, 'Completion rates'!$A:$E, 2, FALSE)</f>
        <v>Killing stingray (boat combat)</v>
      </c>
      <c r="C2040" s="207">
        <v>31959.0</v>
      </c>
      <c r="D2040" s="6" t="str">
        <f>VLOOKUP($C2040, 'List of log slots'!$A:$E, 2, FALSE)</f>
        <v>Ray barbs</v>
      </c>
      <c r="E2040" s="207">
        <f>VLOOKUP($C2040, 'List of log slots'!$A:$E, 5, FALSE)</f>
        <v>2</v>
      </c>
      <c r="F2040" s="209" t="b">
        <f>VLOOKUP(C2040, 'List of log slots'!$A:$C, 3, FALSE)</f>
        <v>0</v>
      </c>
      <c r="G2040" s="209" t="b">
        <f t="shared" si="1524"/>
        <v>0</v>
      </c>
      <c r="H2040" s="210" t="b">
        <f t="shared" si="7"/>
        <v>1</v>
      </c>
      <c r="I2040" s="208" t="b">
        <f t="shared" ref="I2040:J2040" si="1568">FALSE</f>
        <v>0</v>
      </c>
      <c r="J2040" s="208" t="b">
        <f t="shared" si="1568"/>
        <v>0</v>
      </c>
      <c r="K2040" s="214">
        <v>23.0</v>
      </c>
      <c r="L2040" s="207" t="str">
        <f t="shared" si="3"/>
        <v>n/a</v>
      </c>
      <c r="M2040" s="212" t="str">
        <f t="shared" si="4"/>
        <v>n/a</v>
      </c>
      <c r="N2040" s="207" t="str">
        <f t="shared" si="1421"/>
        <v>n/a</v>
      </c>
      <c r="O2040" s="207">
        <f t="shared" si="1422"/>
        <v>0.04347826087</v>
      </c>
    </row>
    <row r="2041" ht="15.75" customHeight="1">
      <c r="A2041" s="207">
        <v>144.0</v>
      </c>
      <c r="B2041" s="6" t="str">
        <f>VLOOKUP($A2041, 'Completion rates'!$A:$E, 2, FALSE)</f>
        <v>Killing great white shark (boat combat)</v>
      </c>
      <c r="C2041" s="207">
        <v>31996.0</v>
      </c>
      <c r="D2041" s="6" t="str">
        <f>VLOOKUP($C2041, 'List of log slots'!$A:$E, 2, FALSE)</f>
        <v>Dragon metal sheet</v>
      </c>
      <c r="E2041" s="207">
        <f>VLOOKUP($C2041, 'List of log slots'!$A:$E, 5, FALSE)</f>
        <v>4</v>
      </c>
      <c r="F2041" s="210" t="b">
        <f>VLOOKUP(C2041, 'List of log slots'!$A:$C, 3, FALSE)</f>
        <v>0</v>
      </c>
      <c r="G2041" s="209" t="b">
        <f t="shared" si="1524"/>
        <v>0</v>
      </c>
      <c r="H2041" s="209" t="b">
        <f t="shared" si="7"/>
        <v>1</v>
      </c>
      <c r="I2041" s="208" t="b">
        <f t="shared" ref="I2041:J2041" si="1569">FALSE</f>
        <v>0</v>
      </c>
      <c r="J2041" s="208" t="b">
        <f t="shared" si="1569"/>
        <v>0</v>
      </c>
      <c r="K2041" s="214">
        <v>1535.0</v>
      </c>
      <c r="L2041" s="207" t="str">
        <f t="shared" si="3"/>
        <v>n/a</v>
      </c>
      <c r="M2041" s="212" t="str">
        <f t="shared" si="4"/>
        <v>n/a</v>
      </c>
      <c r="N2041" s="207" t="str">
        <f t="shared" si="1421"/>
        <v>n/a</v>
      </c>
      <c r="O2041" s="207">
        <f t="shared" si="1422"/>
        <v>0.000651465798</v>
      </c>
    </row>
    <row r="2042" ht="15.75" customHeight="1">
      <c r="A2042" s="207">
        <v>144.0</v>
      </c>
      <c r="B2042" s="6" t="str">
        <f>VLOOKUP($A2042, 'Completion rates'!$A:$E, 2, FALSE)</f>
        <v>Killing great white shark (boat combat)</v>
      </c>
      <c r="C2042" s="207">
        <v>31916.0</v>
      </c>
      <c r="D2042" s="6" t="str">
        <f>VLOOKUP($C2042, 'List of log slots'!$A:$E, 2, FALSE)</f>
        <v>Dragon cannonball</v>
      </c>
      <c r="E2042" s="207">
        <f>VLOOKUP($C2042, 'List of log slots'!$A:$E, 5, FALSE)</f>
        <v>4</v>
      </c>
      <c r="F2042" s="210" t="b">
        <f>VLOOKUP(C2042, 'List of log slots'!$A:$C, 3, FALSE)</f>
        <v>0</v>
      </c>
      <c r="G2042" s="209" t="b">
        <f t="shared" si="1524"/>
        <v>0</v>
      </c>
      <c r="H2042" s="209" t="b">
        <f t="shared" si="7"/>
        <v>1</v>
      </c>
      <c r="I2042" s="208" t="b">
        <f t="shared" ref="I2042:J2042" si="1570">FALSE</f>
        <v>0</v>
      </c>
      <c r="J2042" s="208" t="b">
        <f t="shared" si="1570"/>
        <v>0</v>
      </c>
      <c r="K2042" s="214">
        <v>50.0</v>
      </c>
      <c r="L2042" s="207" t="str">
        <f t="shared" si="3"/>
        <v>n/a</v>
      </c>
      <c r="M2042" s="212" t="str">
        <f t="shared" si="4"/>
        <v>n/a</v>
      </c>
      <c r="N2042" s="207" t="str">
        <f t="shared" si="1421"/>
        <v>n/a</v>
      </c>
      <c r="O2042" s="207">
        <f t="shared" si="1422"/>
        <v>0.02</v>
      </c>
    </row>
    <row r="2043" ht="15.75" customHeight="1">
      <c r="A2043" s="207">
        <v>144.0</v>
      </c>
      <c r="B2043" s="6" t="str">
        <f>VLOOKUP($A2043, 'Completion rates'!$A:$E, 2, FALSE)</f>
        <v>Killing great white shark (boat combat)</v>
      </c>
      <c r="C2043" s="207">
        <v>31961.0</v>
      </c>
      <c r="D2043" s="6" t="str">
        <f>VLOOKUP($C2043, 'List of log slots'!$A:$E, 2, FALSE)</f>
        <v>Broken dragon hook</v>
      </c>
      <c r="E2043" s="207">
        <f>VLOOKUP($C2043, 'List of log slots'!$A:$E, 5, FALSE)</f>
        <v>5</v>
      </c>
      <c r="F2043" s="209" t="b">
        <f>VLOOKUP(C2043, 'List of log slots'!$A:$C, 3, FALSE)</f>
        <v>0</v>
      </c>
      <c r="G2043" s="209" t="b">
        <f t="shared" si="1524"/>
        <v>0</v>
      </c>
      <c r="H2043" s="210" t="b">
        <f t="shared" si="7"/>
        <v>1</v>
      </c>
      <c r="I2043" s="208" t="b">
        <f t="shared" ref="I2043:J2043" si="1571">FALSE</f>
        <v>0</v>
      </c>
      <c r="J2043" s="208" t="b">
        <f t="shared" si="1571"/>
        <v>0</v>
      </c>
      <c r="K2043" s="214">
        <v>1023.0</v>
      </c>
      <c r="L2043" s="207" t="str">
        <f t="shared" si="3"/>
        <v>n/a</v>
      </c>
      <c r="M2043" s="212" t="str">
        <f t="shared" si="4"/>
        <v>n/a</v>
      </c>
      <c r="N2043" s="207" t="str">
        <f t="shared" si="1421"/>
        <v>n/a</v>
      </c>
      <c r="O2043" s="207">
        <f t="shared" si="1422"/>
        <v>0.0009775171065</v>
      </c>
    </row>
    <row r="2044" ht="15.75" customHeight="1">
      <c r="A2044" s="207">
        <v>144.0</v>
      </c>
      <c r="B2044" s="6" t="str">
        <f>VLOOKUP($A2044, 'Completion rates'!$A:$E, 2, FALSE)</f>
        <v>Killing great white shark (boat combat)</v>
      </c>
      <c r="C2044" s="207">
        <v>2366.0</v>
      </c>
      <c r="D2044" s="6" t="str">
        <f>VLOOKUP($C2044, 'List of log slots'!$A:$E, 2, FALSE)</f>
        <v>Shield left half</v>
      </c>
      <c r="E2044" s="207">
        <f>VLOOKUP($C2044, 'List of log slots'!$A:$E, 5, FALSE)</f>
        <v>5</v>
      </c>
      <c r="F2044" s="210" t="b">
        <f>VLOOKUP(C2044, 'List of log slots'!$A:$C, 3, FALSE)</f>
        <v>0</v>
      </c>
      <c r="G2044" s="209" t="b">
        <f t="shared" si="1524"/>
        <v>0</v>
      </c>
      <c r="H2044" s="209" t="b">
        <f t="shared" si="7"/>
        <v>1</v>
      </c>
      <c r="I2044" s="208" t="b">
        <f t="shared" ref="I2044:J2044" si="1572">FALSE</f>
        <v>0</v>
      </c>
      <c r="J2044" s="208" t="b">
        <f t="shared" si="1572"/>
        <v>0</v>
      </c>
      <c r="K2044" s="214">
        <v>409600.0</v>
      </c>
      <c r="L2044" s="207" t="str">
        <f t="shared" si="3"/>
        <v>n/a</v>
      </c>
      <c r="M2044" s="212" t="str">
        <f t="shared" si="4"/>
        <v>n/a</v>
      </c>
      <c r="N2044" s="207" t="str">
        <f t="shared" si="1421"/>
        <v>n/a</v>
      </c>
      <c r="O2044" s="207">
        <f t="shared" si="1422"/>
        <v>0.00000244140625</v>
      </c>
    </row>
    <row r="2045" ht="15.75" customHeight="1">
      <c r="A2045" s="207">
        <v>144.0</v>
      </c>
      <c r="B2045" s="6" t="str">
        <f>VLOOKUP($A2045, 'Completion rates'!$A:$E, 2, FALSE)</f>
        <v>Killing great white shark (boat combat)</v>
      </c>
      <c r="C2045" s="207">
        <v>1249.0</v>
      </c>
      <c r="D2045" s="6" t="str">
        <f>VLOOKUP($C2045, 'List of log slots'!$A:$E, 2, FALSE)</f>
        <v>Dragon spear</v>
      </c>
      <c r="E2045" s="207">
        <f>VLOOKUP($C2045, 'List of log slots'!$A:$E, 5, FALSE)</f>
        <v>5</v>
      </c>
      <c r="F2045" s="210" t="b">
        <f>VLOOKUP(C2045, 'List of log slots'!$A:$C, 3, FALSE)</f>
        <v>0</v>
      </c>
      <c r="G2045" s="209" t="b">
        <f t="shared" si="1524"/>
        <v>0</v>
      </c>
      <c r="H2045" s="209" t="b">
        <f t="shared" si="7"/>
        <v>1</v>
      </c>
      <c r="I2045" s="208" t="b">
        <f t="shared" ref="I2045:J2045" si="1573">FALSE</f>
        <v>0</v>
      </c>
      <c r="J2045" s="208" t="b">
        <f t="shared" si="1573"/>
        <v>0</v>
      </c>
      <c r="K2045" s="214">
        <v>546133.0</v>
      </c>
      <c r="L2045" s="207" t="str">
        <f t="shared" si="3"/>
        <v>n/a</v>
      </c>
      <c r="M2045" s="212" t="str">
        <f t="shared" si="4"/>
        <v>n/a</v>
      </c>
      <c r="N2045" s="207" t="str">
        <f t="shared" si="1421"/>
        <v>n/a</v>
      </c>
      <c r="O2045" s="207">
        <f t="shared" si="1422"/>
        <v>0.000001831055805</v>
      </c>
    </row>
    <row r="2046" ht="15.75" customHeight="1">
      <c r="A2046" s="207">
        <v>145.0</v>
      </c>
      <c r="B2046" s="6" t="str">
        <f>VLOOKUP($A2046, 'Completion rates'!$A:$E, 2, FALSE)</f>
        <v>Killing vampyre kraken (boat combat)</v>
      </c>
      <c r="C2046" s="207">
        <v>32093.0</v>
      </c>
      <c r="D2046" s="6" t="str">
        <f>VLOOKUP($C2046, 'List of log slots'!$A:$E, 2, FALSE)</f>
        <v>Inky paint</v>
      </c>
      <c r="E2046" s="207">
        <f>VLOOKUP($C2046, 'List of log slots'!$A:$E, 5, FALSE)</f>
        <v>6</v>
      </c>
      <c r="F2046" s="209" t="b">
        <f>VLOOKUP(C2046, 'List of log slots'!$A:$C, 3, FALSE)</f>
        <v>0</v>
      </c>
      <c r="G2046" s="209" t="b">
        <f t="shared" si="1524"/>
        <v>0</v>
      </c>
      <c r="H2046" s="210" t="b">
        <f t="shared" si="7"/>
        <v>1</v>
      </c>
      <c r="I2046" s="208" t="b">
        <f t="shared" ref="I2046:J2046" si="1574">FALSE</f>
        <v>0</v>
      </c>
      <c r="J2046" s="208" t="b">
        <f t="shared" si="1574"/>
        <v>0</v>
      </c>
      <c r="K2046" s="214">
        <v>1500.0</v>
      </c>
      <c r="L2046" s="207" t="str">
        <f t="shared" si="3"/>
        <v>n/a</v>
      </c>
      <c r="M2046" s="212" t="str">
        <f t="shared" si="4"/>
        <v>n/a</v>
      </c>
      <c r="N2046" s="207" t="str">
        <f t="shared" si="1421"/>
        <v>n/a</v>
      </c>
      <c r="O2046" s="207">
        <f t="shared" si="1422"/>
        <v>0.0006666666667</v>
      </c>
    </row>
    <row r="2047" ht="15.75" customHeight="1">
      <c r="A2047" s="207">
        <v>145.0</v>
      </c>
      <c r="B2047" s="6" t="str">
        <f>VLOOKUP($A2047, 'Completion rates'!$A:$E, 2, FALSE)</f>
        <v>Killing vampyre kraken (boat combat)</v>
      </c>
      <c r="C2047" s="207">
        <v>31996.0</v>
      </c>
      <c r="D2047" s="6" t="str">
        <f>VLOOKUP($C2047, 'List of log slots'!$A:$E, 2, FALSE)</f>
        <v>Dragon metal sheet</v>
      </c>
      <c r="E2047" s="207">
        <f>VLOOKUP($C2047, 'List of log slots'!$A:$E, 5, FALSE)</f>
        <v>4</v>
      </c>
      <c r="F2047" s="210" t="b">
        <f>VLOOKUP(C2047, 'List of log slots'!$A:$C, 3, FALSE)</f>
        <v>0</v>
      </c>
      <c r="G2047" s="209" t="b">
        <f t="shared" si="1524"/>
        <v>0</v>
      </c>
      <c r="H2047" s="209" t="b">
        <f t="shared" si="7"/>
        <v>1</v>
      </c>
      <c r="I2047" s="208" t="b">
        <f t="shared" ref="I2047:J2047" si="1575">FALSE</f>
        <v>0</v>
      </c>
      <c r="J2047" s="208" t="b">
        <f t="shared" si="1575"/>
        <v>0</v>
      </c>
      <c r="K2047" s="214">
        <v>426.0</v>
      </c>
      <c r="L2047" s="207" t="str">
        <f t="shared" si="3"/>
        <v>n/a</v>
      </c>
      <c r="M2047" s="212" t="str">
        <f t="shared" si="4"/>
        <v>n/a</v>
      </c>
      <c r="N2047" s="207" t="str">
        <f t="shared" si="1421"/>
        <v>n/a</v>
      </c>
      <c r="O2047" s="207">
        <f t="shared" si="1422"/>
        <v>0.00234741784</v>
      </c>
    </row>
    <row r="2048" ht="15.75" customHeight="1">
      <c r="A2048" s="207">
        <v>145.0</v>
      </c>
      <c r="B2048" s="6" t="str">
        <f>VLOOKUP($A2048, 'Completion rates'!$A:$E, 2, FALSE)</f>
        <v>Killing vampyre kraken (boat combat)</v>
      </c>
      <c r="C2048" s="207">
        <v>31916.0</v>
      </c>
      <c r="D2048" s="6" t="str">
        <f>VLOOKUP($C2048, 'List of log slots'!$A:$E, 2, FALSE)</f>
        <v>Dragon cannonball</v>
      </c>
      <c r="E2048" s="207">
        <f>VLOOKUP($C2048, 'List of log slots'!$A:$E, 5, FALSE)</f>
        <v>4</v>
      </c>
      <c r="F2048" s="210" t="b">
        <f>VLOOKUP(C2048, 'List of log slots'!$A:$C, 3, FALSE)</f>
        <v>0</v>
      </c>
      <c r="G2048" s="209" t="b">
        <f t="shared" si="1524"/>
        <v>0</v>
      </c>
      <c r="H2048" s="209" t="b">
        <f t="shared" si="7"/>
        <v>1</v>
      </c>
      <c r="I2048" s="208" t="b">
        <f t="shared" ref="I2048:J2048" si="1576">FALSE</f>
        <v>0</v>
      </c>
      <c r="J2048" s="208" t="b">
        <f t="shared" si="1576"/>
        <v>0</v>
      </c>
      <c r="K2048" s="214">
        <v>59.0</v>
      </c>
      <c r="L2048" s="207" t="str">
        <f t="shared" si="3"/>
        <v>n/a</v>
      </c>
      <c r="M2048" s="212" t="str">
        <f t="shared" si="4"/>
        <v>n/a</v>
      </c>
      <c r="N2048" s="207" t="str">
        <f t="shared" si="1421"/>
        <v>n/a</v>
      </c>
      <c r="O2048" s="207">
        <f t="shared" si="1422"/>
        <v>0.01694915254</v>
      </c>
    </row>
    <row r="2049" ht="15.75" customHeight="1">
      <c r="A2049" s="207">
        <v>145.0</v>
      </c>
      <c r="B2049" s="6" t="str">
        <f>VLOOKUP($A2049, 'Completion rates'!$A:$E, 2, FALSE)</f>
        <v>Killing vampyre kraken (boat combat)</v>
      </c>
      <c r="C2049" s="207">
        <v>31949.0</v>
      </c>
      <c r="D2049" s="6" t="str">
        <f>VLOOKUP($C2049, 'List of log slots'!$A:$E, 2, FALSE)</f>
        <v>Bottled storm</v>
      </c>
      <c r="E2049" s="207">
        <f>VLOOKUP($C2049, 'List of log slots'!$A:$E, 5, FALSE)</f>
        <v>5</v>
      </c>
      <c r="F2049" s="209" t="b">
        <f>VLOOKUP(C2049, 'List of log slots'!$A:$C, 3, FALSE)</f>
        <v>0</v>
      </c>
      <c r="G2049" s="209" t="b">
        <f t="shared" si="1524"/>
        <v>0</v>
      </c>
      <c r="H2049" s="210" t="b">
        <f t="shared" si="7"/>
        <v>1</v>
      </c>
      <c r="I2049" s="208" t="b">
        <f t="shared" ref="I2049:J2049" si="1577">FALSE</f>
        <v>0</v>
      </c>
      <c r="J2049" s="208" t="b">
        <f t="shared" si="1577"/>
        <v>0</v>
      </c>
      <c r="K2049" s="214">
        <v>512.0</v>
      </c>
      <c r="L2049" s="207" t="str">
        <f t="shared" si="3"/>
        <v>n/a</v>
      </c>
      <c r="M2049" s="212" t="str">
        <f t="shared" si="4"/>
        <v>n/a</v>
      </c>
      <c r="N2049" s="207" t="str">
        <f t="shared" si="1421"/>
        <v>n/a</v>
      </c>
      <c r="O2049" s="207">
        <f t="shared" si="1422"/>
        <v>0.001953125</v>
      </c>
    </row>
    <row r="2050" ht="15.75" customHeight="1">
      <c r="A2050" s="207">
        <v>145.0</v>
      </c>
      <c r="B2050" s="6" t="str">
        <f>VLOOKUP($A2050, 'Completion rates'!$A:$E, 2, FALSE)</f>
        <v>Killing vampyre kraken (boat combat)</v>
      </c>
      <c r="C2050" s="207">
        <v>2366.0</v>
      </c>
      <c r="D2050" s="6" t="str">
        <f>VLOOKUP($C2050, 'List of log slots'!$A:$E, 2, FALSE)</f>
        <v>Shield left half</v>
      </c>
      <c r="E2050" s="207">
        <f>VLOOKUP($C2050, 'List of log slots'!$A:$E, 5, FALSE)</f>
        <v>5</v>
      </c>
      <c r="F2050" s="210" t="b">
        <f>VLOOKUP(C2050, 'List of log slots'!$A:$C, 3, FALSE)</f>
        <v>0</v>
      </c>
      <c r="G2050" s="209" t="b">
        <f t="shared" si="1524"/>
        <v>0</v>
      </c>
      <c r="H2050" s="209" t="b">
        <f t="shared" si="7"/>
        <v>1</v>
      </c>
      <c r="I2050" s="208" t="b">
        <f t="shared" ref="I2050:J2050" si="1578">FALSE</f>
        <v>0</v>
      </c>
      <c r="J2050" s="208" t="b">
        <f t="shared" si="1578"/>
        <v>0</v>
      </c>
      <c r="K2050" s="214">
        <v>483328.0</v>
      </c>
      <c r="L2050" s="207" t="str">
        <f t="shared" si="3"/>
        <v>n/a</v>
      </c>
      <c r="M2050" s="212" t="str">
        <f t="shared" si="4"/>
        <v>n/a</v>
      </c>
      <c r="N2050" s="207" t="str">
        <f t="shared" si="1421"/>
        <v>n/a</v>
      </c>
      <c r="O2050" s="207">
        <f t="shared" si="1422"/>
        <v>0.000002068988347</v>
      </c>
    </row>
    <row r="2051" ht="15.75" customHeight="1">
      <c r="A2051" s="207">
        <v>145.0</v>
      </c>
      <c r="B2051" s="6" t="str">
        <f>VLOOKUP($A2051, 'Completion rates'!$A:$E, 2, FALSE)</f>
        <v>Killing vampyre kraken (boat combat)</v>
      </c>
      <c r="C2051" s="207">
        <v>1249.0</v>
      </c>
      <c r="D2051" s="6" t="str">
        <f>VLOOKUP($C2051, 'List of log slots'!$A:$E, 2, FALSE)</f>
        <v>Dragon spear</v>
      </c>
      <c r="E2051" s="207">
        <f>VLOOKUP($C2051, 'List of log slots'!$A:$E, 5, FALSE)</f>
        <v>5</v>
      </c>
      <c r="F2051" s="210" t="b">
        <f>VLOOKUP(C2051, 'List of log slots'!$A:$C, 3, FALSE)</f>
        <v>0</v>
      </c>
      <c r="G2051" s="209" t="b">
        <f t="shared" si="1524"/>
        <v>0</v>
      </c>
      <c r="H2051" s="209" t="b">
        <f t="shared" si="7"/>
        <v>1</v>
      </c>
      <c r="I2051" s="208" t="b">
        <f t="shared" ref="I2051:J2051" si="1579">FALSE</f>
        <v>0</v>
      </c>
      <c r="J2051" s="208" t="b">
        <f t="shared" si="1579"/>
        <v>0</v>
      </c>
      <c r="K2051" s="214">
        <v>644437.0</v>
      </c>
      <c r="L2051" s="207" t="str">
        <f t="shared" si="3"/>
        <v>n/a</v>
      </c>
      <c r="M2051" s="212" t="str">
        <f t="shared" si="4"/>
        <v>n/a</v>
      </c>
      <c r="N2051" s="207" t="str">
        <f t="shared" si="1421"/>
        <v>n/a</v>
      </c>
      <c r="O2051" s="207">
        <f t="shared" si="1422"/>
        <v>0.000001551742063</v>
      </c>
    </row>
    <row r="2052" ht="15.75" customHeight="1">
      <c r="A2052" s="207">
        <v>146.0</v>
      </c>
      <c r="B2052" s="6" t="str">
        <f>VLOOKUP($A2052, 'Completion rates'!$A:$E, 2, FALSE)</f>
        <v>Sorting through small salvage</v>
      </c>
      <c r="C2052" s="207">
        <v>31989.0</v>
      </c>
      <c r="D2052" s="6" t="str">
        <f>VLOOKUP($C2052, 'List of log slots'!$A:$E, 2, FALSE)</f>
        <v>Boat bottle (empty)</v>
      </c>
      <c r="E2052" s="207">
        <f>VLOOKUP($C2052, 'List of log slots'!$A:$E, 5, FALSE)</f>
        <v>3</v>
      </c>
      <c r="F2052" s="213" t="b">
        <f>VLOOKUP(C2052, 'List of log slots'!$A:$C, 3, FALSE)</f>
        <v>0</v>
      </c>
      <c r="G2052" s="209" t="b">
        <f t="shared" si="1524"/>
        <v>0</v>
      </c>
      <c r="H2052" s="209" t="b">
        <f t="shared" si="7"/>
        <v>1</v>
      </c>
      <c r="I2052" s="208" t="b">
        <f t="shared" ref="I2052:J2052" si="1580">FALSE</f>
        <v>0</v>
      </c>
      <c r="J2052" s="208" t="b">
        <f t="shared" si="1580"/>
        <v>0</v>
      </c>
      <c r="K2052" s="214">
        <v>750.0</v>
      </c>
      <c r="L2052" s="207" t="str">
        <f t="shared" si="3"/>
        <v>n/a</v>
      </c>
      <c r="M2052" s="212" t="str">
        <f t="shared" si="4"/>
        <v>n/a</v>
      </c>
      <c r="N2052" s="207" t="str">
        <f t="shared" si="1421"/>
        <v>n/a</v>
      </c>
      <c r="O2052" s="207">
        <f t="shared" si="1422"/>
        <v>0.001333333333</v>
      </c>
    </row>
    <row r="2053" ht="15.75" customHeight="1">
      <c r="A2053" s="207">
        <v>146.0</v>
      </c>
      <c r="B2053" s="6" t="str">
        <f>VLOOKUP($A2053, 'Completion rates'!$A:$E, 2, FALSE)</f>
        <v>Sorting through small salvage</v>
      </c>
      <c r="C2053" s="207">
        <v>32398.0</v>
      </c>
      <c r="D2053" s="6" t="str">
        <f>VLOOKUP($C2053, 'List of log slots'!$A:$E, 2, FALSE)</f>
        <v>Sailors' amulet (inert)</v>
      </c>
      <c r="E2053" s="207">
        <f>VLOOKUP($C2053, 'List of log slots'!$A:$E, 5, FALSE)</f>
        <v>3</v>
      </c>
      <c r="F2053" s="210" t="b">
        <f>VLOOKUP(C2053, 'List of log slots'!$A:$C, 3, FALSE)</f>
        <v>0</v>
      </c>
      <c r="G2053" s="209" t="b">
        <f t="shared" si="1524"/>
        <v>0</v>
      </c>
      <c r="H2053" s="209" t="b">
        <f t="shared" si="7"/>
        <v>1</v>
      </c>
      <c r="I2053" s="208" t="b">
        <f t="shared" ref="I2053:J2053" si="1581">FALSE</f>
        <v>0</v>
      </c>
      <c r="J2053" s="208" t="b">
        <f t="shared" si="1581"/>
        <v>0</v>
      </c>
      <c r="K2053" s="214">
        <v>2000.0</v>
      </c>
      <c r="L2053" s="207" t="str">
        <f t="shared" si="3"/>
        <v>n/a</v>
      </c>
      <c r="M2053" s="212" t="str">
        <f t="shared" si="4"/>
        <v>n/a</v>
      </c>
      <c r="N2053" s="207" t="str">
        <f t="shared" si="1421"/>
        <v>n/a</v>
      </c>
      <c r="O2053" s="207">
        <f t="shared" si="1422"/>
        <v>0.0005</v>
      </c>
    </row>
    <row r="2054" ht="15.75" customHeight="1">
      <c r="A2054" s="207">
        <v>146.0</v>
      </c>
      <c r="B2054" s="6" t="str">
        <f>VLOOKUP($A2054, 'Completion rates'!$A:$E, 2, FALSE)</f>
        <v>Sorting through small salvage</v>
      </c>
      <c r="C2054" s="207">
        <v>32863.0</v>
      </c>
      <c r="D2054" s="6" t="str">
        <f>VLOOKUP($C2054, 'List of log slots'!$A:$E, 2, FALSE)</f>
        <v>Rusty locket</v>
      </c>
      <c r="E2054" s="207">
        <f>VLOOKUP($C2054, 'List of log slots'!$A:$E, 5, FALSE)</f>
        <v>5</v>
      </c>
      <c r="F2054" s="208" t="b">
        <f>VLOOKUP(C2054, 'List of log slots'!$A:$C, 3, FALSE)</f>
        <v>0</v>
      </c>
      <c r="G2054" s="209" t="b">
        <f t="shared" si="1524"/>
        <v>0</v>
      </c>
      <c r="H2054" s="210" t="b">
        <f t="shared" si="7"/>
        <v>1</v>
      </c>
      <c r="I2054" s="208" t="b">
        <f t="shared" ref="I2054:J2054" si="1582">FALSE</f>
        <v>0</v>
      </c>
      <c r="J2054" s="208" t="b">
        <f t="shared" si="1582"/>
        <v>0</v>
      </c>
      <c r="K2054" s="214">
        <v>3000.0</v>
      </c>
      <c r="L2054" s="207" t="str">
        <f t="shared" si="3"/>
        <v>n/a</v>
      </c>
      <c r="M2054" s="212" t="str">
        <f t="shared" si="4"/>
        <v>n/a</v>
      </c>
      <c r="N2054" s="207" t="str">
        <f t="shared" si="1421"/>
        <v>n/a</v>
      </c>
      <c r="O2054" s="207">
        <f t="shared" si="1422"/>
        <v>0.0003333333333</v>
      </c>
    </row>
    <row r="2055" ht="15.75" customHeight="1">
      <c r="A2055" s="207">
        <v>147.0</v>
      </c>
      <c r="B2055" s="6" t="str">
        <f>VLOOKUP($A2055, 'Completion rates'!$A:$E, 2, FALSE)</f>
        <v>Sorting through fishy salvage</v>
      </c>
      <c r="C2055" s="207">
        <v>31989.0</v>
      </c>
      <c r="D2055" s="6" t="str">
        <f>VLOOKUP($C2055, 'List of log slots'!$A:$E, 2, FALSE)</f>
        <v>Boat bottle (empty)</v>
      </c>
      <c r="E2055" s="207">
        <f>VLOOKUP($C2055, 'List of log slots'!$A:$E, 5, FALSE)</f>
        <v>3</v>
      </c>
      <c r="F2055" s="213" t="b">
        <f>VLOOKUP(C2055, 'List of log slots'!$A:$C, 3, FALSE)</f>
        <v>0</v>
      </c>
      <c r="G2055" s="209" t="b">
        <f t="shared" si="1524"/>
        <v>0</v>
      </c>
      <c r="H2055" s="209" t="b">
        <f t="shared" si="7"/>
        <v>1</v>
      </c>
      <c r="I2055" s="208" t="b">
        <f t="shared" ref="I2055:J2055" si="1583">FALSE</f>
        <v>0</v>
      </c>
      <c r="J2055" s="208" t="b">
        <f t="shared" si="1583"/>
        <v>0</v>
      </c>
      <c r="K2055" s="214">
        <v>750.0</v>
      </c>
      <c r="L2055" s="207" t="str">
        <f t="shared" si="3"/>
        <v>n/a</v>
      </c>
      <c r="M2055" s="212" t="str">
        <f t="shared" si="4"/>
        <v>n/a</v>
      </c>
      <c r="N2055" s="207" t="str">
        <f t="shared" si="1421"/>
        <v>n/a</v>
      </c>
      <c r="O2055" s="207">
        <f t="shared" si="1422"/>
        <v>0.001333333333</v>
      </c>
    </row>
    <row r="2056" ht="15.75" customHeight="1">
      <c r="A2056" s="207">
        <v>147.0</v>
      </c>
      <c r="B2056" s="6" t="str">
        <f>VLOOKUP($A2056, 'Completion rates'!$A:$E, 2, FALSE)</f>
        <v>Sorting through fishy salvage</v>
      </c>
      <c r="C2056" s="207">
        <v>32398.0</v>
      </c>
      <c r="D2056" s="6" t="str">
        <f>VLOOKUP($C2056, 'List of log slots'!$A:$E, 2, FALSE)</f>
        <v>Sailors' amulet (inert)</v>
      </c>
      <c r="E2056" s="207">
        <f>VLOOKUP($C2056, 'List of log slots'!$A:$E, 5, FALSE)</f>
        <v>3</v>
      </c>
      <c r="F2056" s="213" t="b">
        <f>VLOOKUP(C2056, 'List of log slots'!$A:$C, 3, FALSE)</f>
        <v>0</v>
      </c>
      <c r="G2056" s="209" t="b">
        <f t="shared" si="1524"/>
        <v>0</v>
      </c>
      <c r="H2056" s="209" t="b">
        <f t="shared" si="7"/>
        <v>1</v>
      </c>
      <c r="I2056" s="208" t="b">
        <f t="shared" ref="I2056:J2056" si="1584">FALSE</f>
        <v>0</v>
      </c>
      <c r="J2056" s="208" t="b">
        <f t="shared" si="1584"/>
        <v>0</v>
      </c>
      <c r="K2056" s="214">
        <v>1500.0</v>
      </c>
      <c r="L2056" s="207" t="str">
        <f t="shared" si="3"/>
        <v>n/a</v>
      </c>
      <c r="M2056" s="212" t="str">
        <f t="shared" si="4"/>
        <v>n/a</v>
      </c>
      <c r="N2056" s="207" t="str">
        <f t="shared" si="1421"/>
        <v>n/a</v>
      </c>
      <c r="O2056" s="207">
        <f t="shared" si="1422"/>
        <v>0.0006666666667</v>
      </c>
    </row>
    <row r="2057" ht="15.75" customHeight="1">
      <c r="A2057" s="207">
        <v>147.0</v>
      </c>
      <c r="B2057" s="6" t="str">
        <f>VLOOKUP($A2057, 'Completion rates'!$A:$E, 2, FALSE)</f>
        <v>Sorting through fishy salvage</v>
      </c>
      <c r="C2057" s="207">
        <v>32864.0</v>
      </c>
      <c r="D2057" s="6" t="str">
        <f>VLOOKUP($C2057, 'List of log slots'!$A:$E, 2, FALSE)</f>
        <v>Mouldy block</v>
      </c>
      <c r="E2057" s="207">
        <f>VLOOKUP($C2057, 'List of log slots'!$A:$E, 5, FALSE)</f>
        <v>5</v>
      </c>
      <c r="F2057" s="208" t="b">
        <f>VLOOKUP(C2057, 'List of log slots'!$A:$C, 3, FALSE)</f>
        <v>0</v>
      </c>
      <c r="G2057" s="209" t="b">
        <f t="shared" si="1524"/>
        <v>0</v>
      </c>
      <c r="H2057" s="210" t="b">
        <f t="shared" si="7"/>
        <v>1</v>
      </c>
      <c r="I2057" s="208" t="b">
        <f t="shared" ref="I2057:J2057" si="1585">FALSE</f>
        <v>0</v>
      </c>
      <c r="J2057" s="208" t="b">
        <f t="shared" si="1585"/>
        <v>0</v>
      </c>
      <c r="K2057" s="214">
        <v>3000.0</v>
      </c>
      <c r="L2057" s="207" t="str">
        <f t="shared" si="3"/>
        <v>n/a</v>
      </c>
      <c r="M2057" s="212" t="str">
        <f t="shared" si="4"/>
        <v>n/a</v>
      </c>
      <c r="N2057" s="207" t="str">
        <f t="shared" si="1421"/>
        <v>n/a</v>
      </c>
      <c r="O2057" s="207">
        <f t="shared" si="1422"/>
        <v>0.0003333333333</v>
      </c>
    </row>
    <row r="2058" ht="15.75" customHeight="1">
      <c r="A2058" s="207">
        <v>148.0</v>
      </c>
      <c r="B2058" s="6" t="str">
        <f>VLOOKUP($A2058, 'Completion rates'!$A:$E, 2, FALSE)</f>
        <v>Sorting through barracuda salvage</v>
      </c>
      <c r="C2058" s="207">
        <v>31989.0</v>
      </c>
      <c r="D2058" s="6" t="str">
        <f>VLOOKUP($C2058, 'List of log slots'!$A:$E, 2, FALSE)</f>
        <v>Boat bottle (empty)</v>
      </c>
      <c r="E2058" s="207">
        <f>VLOOKUP($C2058, 'List of log slots'!$A:$E, 5, FALSE)</f>
        <v>3</v>
      </c>
      <c r="F2058" s="213" t="b">
        <f>VLOOKUP(C2058, 'List of log slots'!$A:$C, 3, FALSE)</f>
        <v>0</v>
      </c>
      <c r="G2058" s="209" t="b">
        <f t="shared" si="1524"/>
        <v>0</v>
      </c>
      <c r="H2058" s="209" t="b">
        <f t="shared" si="7"/>
        <v>1</v>
      </c>
      <c r="I2058" s="208" t="b">
        <f t="shared" ref="I2058:J2058" si="1586">FALSE</f>
        <v>0</v>
      </c>
      <c r="J2058" s="208" t="b">
        <f t="shared" si="1586"/>
        <v>0</v>
      </c>
      <c r="K2058" s="214">
        <v>500.0</v>
      </c>
      <c r="L2058" s="207" t="str">
        <f t="shared" si="3"/>
        <v>n/a</v>
      </c>
      <c r="M2058" s="212" t="str">
        <f t="shared" si="4"/>
        <v>n/a</v>
      </c>
      <c r="N2058" s="207" t="str">
        <f t="shared" si="1421"/>
        <v>n/a</v>
      </c>
      <c r="O2058" s="207">
        <f t="shared" si="1422"/>
        <v>0.002</v>
      </c>
    </row>
    <row r="2059" ht="15.75" customHeight="1">
      <c r="A2059" s="207">
        <v>148.0</v>
      </c>
      <c r="B2059" s="6" t="str">
        <f>VLOOKUP($A2059, 'Completion rates'!$A:$E, 2, FALSE)</f>
        <v>Sorting through barracuda salvage</v>
      </c>
      <c r="C2059" s="207">
        <v>32398.0</v>
      </c>
      <c r="D2059" s="6" t="str">
        <f>VLOOKUP($C2059, 'List of log slots'!$A:$E, 2, FALSE)</f>
        <v>Sailors' amulet (inert)</v>
      </c>
      <c r="E2059" s="207">
        <f>VLOOKUP($C2059, 'List of log slots'!$A:$E, 5, FALSE)</f>
        <v>3</v>
      </c>
      <c r="F2059" s="213" t="b">
        <f>VLOOKUP(C2059, 'List of log slots'!$A:$C, 3, FALSE)</f>
        <v>0</v>
      </c>
      <c r="G2059" s="209" t="b">
        <f t="shared" si="1524"/>
        <v>0</v>
      </c>
      <c r="H2059" s="209" t="b">
        <f t="shared" si="7"/>
        <v>1</v>
      </c>
      <c r="I2059" s="208" t="b">
        <f t="shared" ref="I2059:J2059" si="1587">FALSE</f>
        <v>0</v>
      </c>
      <c r="J2059" s="208" t="b">
        <f t="shared" si="1587"/>
        <v>0</v>
      </c>
      <c r="K2059" s="214">
        <v>1000.0</v>
      </c>
      <c r="L2059" s="207" t="str">
        <f t="shared" si="3"/>
        <v>n/a</v>
      </c>
      <c r="M2059" s="212" t="str">
        <f t="shared" si="4"/>
        <v>n/a</v>
      </c>
      <c r="N2059" s="207" t="str">
        <f t="shared" si="1421"/>
        <v>n/a</v>
      </c>
      <c r="O2059" s="207">
        <f t="shared" si="1422"/>
        <v>0.001</v>
      </c>
    </row>
    <row r="2060" ht="15.75" customHeight="1">
      <c r="A2060" s="207">
        <v>148.0</v>
      </c>
      <c r="B2060" s="6" t="str">
        <f>VLOOKUP($A2060, 'Completion rates'!$A:$E, 2, FALSE)</f>
        <v>Sorting through barracuda salvage</v>
      </c>
      <c r="C2060" s="207">
        <v>32865.0</v>
      </c>
      <c r="D2060" s="6" t="str">
        <f>VLOOKUP($C2060, 'List of log slots'!$A:$E, 2, FALSE)</f>
        <v>Dull knife</v>
      </c>
      <c r="E2060" s="207">
        <f>VLOOKUP($C2060, 'List of log slots'!$A:$E, 5, FALSE)</f>
        <v>5</v>
      </c>
      <c r="F2060" s="208" t="b">
        <f>VLOOKUP(C2060, 'List of log slots'!$A:$C, 3, FALSE)</f>
        <v>0</v>
      </c>
      <c r="G2060" s="209" t="b">
        <f t="shared" si="1524"/>
        <v>0</v>
      </c>
      <c r="H2060" s="210" t="b">
        <f t="shared" si="7"/>
        <v>1</v>
      </c>
      <c r="I2060" s="208" t="b">
        <f t="shared" ref="I2060:J2060" si="1588">FALSE</f>
        <v>0</v>
      </c>
      <c r="J2060" s="208" t="b">
        <f t="shared" si="1588"/>
        <v>0</v>
      </c>
      <c r="K2060" s="214">
        <v>3000.0</v>
      </c>
      <c r="L2060" s="207" t="str">
        <f t="shared" si="3"/>
        <v>n/a</v>
      </c>
      <c r="M2060" s="212" t="str">
        <f t="shared" si="4"/>
        <v>n/a</v>
      </c>
      <c r="N2060" s="207" t="str">
        <f t="shared" si="1421"/>
        <v>n/a</v>
      </c>
      <c r="O2060" s="207">
        <f t="shared" si="1422"/>
        <v>0.0003333333333</v>
      </c>
    </row>
    <row r="2061" ht="15.75" customHeight="1">
      <c r="A2061" s="207">
        <v>149.0</v>
      </c>
      <c r="B2061" s="6" t="str">
        <f>VLOOKUP($A2061, 'Completion rates'!$A:$E, 2, FALSE)</f>
        <v>Sorting through large salvage</v>
      </c>
      <c r="C2061" s="207">
        <v>32398.0</v>
      </c>
      <c r="D2061" s="6" t="str">
        <f>VLOOKUP($C2061, 'List of log slots'!$A:$E, 2, FALSE)</f>
        <v>Sailors' amulet (inert)</v>
      </c>
      <c r="E2061" s="207">
        <f>VLOOKUP($C2061, 'List of log slots'!$A:$E, 5, FALSE)</f>
        <v>3</v>
      </c>
      <c r="F2061" s="213" t="b">
        <f>VLOOKUP(C2061, 'List of log slots'!$A:$C, 3, FALSE)</f>
        <v>0</v>
      </c>
      <c r="G2061" s="209" t="b">
        <f t="shared" si="1524"/>
        <v>0</v>
      </c>
      <c r="H2061" s="209" t="b">
        <f t="shared" si="7"/>
        <v>1</v>
      </c>
      <c r="I2061" s="208" t="b">
        <f t="shared" ref="I2061:J2061" si="1589">FALSE</f>
        <v>0</v>
      </c>
      <c r="J2061" s="208" t="b">
        <f t="shared" si="1589"/>
        <v>0</v>
      </c>
      <c r="K2061" s="214">
        <v>500.0</v>
      </c>
      <c r="L2061" s="207" t="str">
        <f t="shared" si="3"/>
        <v>n/a</v>
      </c>
      <c r="M2061" s="212" t="str">
        <f t="shared" si="4"/>
        <v>n/a</v>
      </c>
      <c r="N2061" s="207" t="str">
        <f t="shared" si="1421"/>
        <v>n/a</v>
      </c>
      <c r="O2061" s="207">
        <f t="shared" si="1422"/>
        <v>0.002</v>
      </c>
    </row>
    <row r="2062" ht="15.75" customHeight="1">
      <c r="A2062" s="207">
        <v>149.0</v>
      </c>
      <c r="B2062" s="6" t="str">
        <f>VLOOKUP($A2062, 'Completion rates'!$A:$E, 2, FALSE)</f>
        <v>Sorting through large salvage</v>
      </c>
      <c r="C2062" s="207">
        <v>32866.0</v>
      </c>
      <c r="D2062" s="6" t="str">
        <f>VLOOKUP($C2062, 'List of log slots'!$A:$E, 2, FALSE)</f>
        <v>Broken compass</v>
      </c>
      <c r="E2062" s="207">
        <f>VLOOKUP($C2062, 'List of log slots'!$A:$E, 5, FALSE)</f>
        <v>5</v>
      </c>
      <c r="F2062" s="208" t="b">
        <f>VLOOKUP(C2062, 'List of log slots'!$A:$C, 3, FALSE)</f>
        <v>0</v>
      </c>
      <c r="G2062" s="209" t="b">
        <f t="shared" si="1524"/>
        <v>0</v>
      </c>
      <c r="H2062" s="210" t="b">
        <f t="shared" si="7"/>
        <v>1</v>
      </c>
      <c r="I2062" s="208" t="b">
        <f t="shared" ref="I2062:J2062" si="1590">FALSE</f>
        <v>0</v>
      </c>
      <c r="J2062" s="208" t="b">
        <f t="shared" si="1590"/>
        <v>0</v>
      </c>
      <c r="K2062" s="214">
        <v>3000.0</v>
      </c>
      <c r="L2062" s="207" t="str">
        <f t="shared" si="3"/>
        <v>n/a</v>
      </c>
      <c r="M2062" s="212" t="str">
        <f t="shared" si="4"/>
        <v>n/a</v>
      </c>
      <c r="N2062" s="207" t="str">
        <f t="shared" si="1421"/>
        <v>n/a</v>
      </c>
      <c r="O2062" s="207">
        <f t="shared" si="1422"/>
        <v>0.0003333333333</v>
      </c>
    </row>
    <row r="2063" ht="15.75" customHeight="1">
      <c r="A2063" s="207">
        <v>150.0</v>
      </c>
      <c r="B2063" s="6" t="str">
        <f>VLOOKUP($A2063, 'Completion rates'!$A:$E, 2, FALSE)</f>
        <v>Sorting through plundered salvage</v>
      </c>
      <c r="C2063" s="207">
        <v>31916.0</v>
      </c>
      <c r="D2063" s="6" t="str">
        <f>VLOOKUP($C2063, 'List of log slots'!$A:$E, 2, FALSE)</f>
        <v>Dragon cannonball</v>
      </c>
      <c r="E2063" s="207">
        <f>VLOOKUP($C2063, 'List of log slots'!$A:$E, 5, FALSE)</f>
        <v>4</v>
      </c>
      <c r="F2063" s="213" t="b">
        <f>VLOOKUP(C2063, 'List of log slots'!$A:$C, 3, FALSE)</f>
        <v>0</v>
      </c>
      <c r="G2063" s="209" t="b">
        <f t="shared" si="1524"/>
        <v>0</v>
      </c>
      <c r="H2063" s="209" t="b">
        <f t="shared" si="7"/>
        <v>1</v>
      </c>
      <c r="I2063" s="208" t="b">
        <f t="shared" ref="I2063:J2063" si="1591">FALSE</f>
        <v>0</v>
      </c>
      <c r="J2063" s="208" t="b">
        <f t="shared" si="1591"/>
        <v>0</v>
      </c>
      <c r="K2063" s="214">
        <v>3000.0</v>
      </c>
      <c r="L2063" s="207" t="str">
        <f t="shared" si="3"/>
        <v>n/a</v>
      </c>
      <c r="M2063" s="212" t="str">
        <f t="shared" si="4"/>
        <v>n/a</v>
      </c>
      <c r="N2063" s="207" t="str">
        <f t="shared" si="1421"/>
        <v>n/a</v>
      </c>
      <c r="O2063" s="207">
        <f t="shared" si="1422"/>
        <v>0.0003333333333</v>
      </c>
    </row>
    <row r="2064" ht="15.75" customHeight="1">
      <c r="A2064" s="207">
        <v>150.0</v>
      </c>
      <c r="B2064" s="6" t="str">
        <f>VLOOKUP($A2064, 'Completion rates'!$A:$E, 2, FALSE)</f>
        <v>Sorting through plundered salvage</v>
      </c>
      <c r="C2064" s="207">
        <v>32398.0</v>
      </c>
      <c r="D2064" s="6" t="str">
        <f>VLOOKUP($C2064, 'List of log slots'!$A:$E, 2, FALSE)</f>
        <v>Sailors' amulet (inert)</v>
      </c>
      <c r="E2064" s="207">
        <f>VLOOKUP($C2064, 'List of log slots'!$A:$E, 5, FALSE)</f>
        <v>3</v>
      </c>
      <c r="F2064" s="213" t="b">
        <f>VLOOKUP(C2064, 'List of log slots'!$A:$C, 3, FALSE)</f>
        <v>0</v>
      </c>
      <c r="G2064" s="209" t="b">
        <f t="shared" si="1524"/>
        <v>0</v>
      </c>
      <c r="H2064" s="209" t="b">
        <f t="shared" si="7"/>
        <v>1</v>
      </c>
      <c r="I2064" s="208" t="b">
        <f t="shared" ref="I2064:J2064" si="1592">FALSE</f>
        <v>0</v>
      </c>
      <c r="J2064" s="208" t="b">
        <f t="shared" si="1592"/>
        <v>0</v>
      </c>
      <c r="K2064" s="214">
        <v>450.0</v>
      </c>
      <c r="L2064" s="207" t="str">
        <f t="shared" si="3"/>
        <v>n/a</v>
      </c>
      <c r="M2064" s="212" t="str">
        <f t="shared" si="4"/>
        <v>n/a</v>
      </c>
      <c r="N2064" s="207" t="str">
        <f t="shared" si="1421"/>
        <v>n/a</v>
      </c>
      <c r="O2064" s="207">
        <f t="shared" si="1422"/>
        <v>0.002222222222</v>
      </c>
    </row>
    <row r="2065" ht="15.75" customHeight="1">
      <c r="A2065" s="207">
        <v>150.0</v>
      </c>
      <c r="B2065" s="6" t="str">
        <f>VLOOKUP($A2065, 'Completion rates'!$A:$E, 2, FALSE)</f>
        <v>Sorting through plundered salvage</v>
      </c>
      <c r="C2065" s="207">
        <v>32867.0</v>
      </c>
      <c r="D2065" s="6" t="str">
        <f>VLOOKUP($C2065, 'List of log slots'!$A:$E, 2, FALSE)</f>
        <v>Rusty coin</v>
      </c>
      <c r="E2065" s="207">
        <f>VLOOKUP($C2065, 'List of log slots'!$A:$E, 5, FALSE)</f>
        <v>5</v>
      </c>
      <c r="F2065" s="208" t="b">
        <f>VLOOKUP(C2065, 'List of log slots'!$A:$C, 3, FALSE)</f>
        <v>0</v>
      </c>
      <c r="G2065" s="209" t="b">
        <f t="shared" si="1524"/>
        <v>0</v>
      </c>
      <c r="H2065" s="210" t="b">
        <f t="shared" si="7"/>
        <v>1</v>
      </c>
      <c r="I2065" s="208" t="b">
        <f t="shared" ref="I2065:J2065" si="1593">FALSE</f>
        <v>0</v>
      </c>
      <c r="J2065" s="208" t="b">
        <f t="shared" si="1593"/>
        <v>0</v>
      </c>
      <c r="K2065" s="214">
        <v>3000.0</v>
      </c>
      <c r="L2065" s="207" t="str">
        <f t="shared" si="3"/>
        <v>n/a</v>
      </c>
      <c r="M2065" s="212" t="str">
        <f t="shared" si="4"/>
        <v>n/a</v>
      </c>
      <c r="N2065" s="207" t="str">
        <f t="shared" si="1421"/>
        <v>n/a</v>
      </c>
      <c r="O2065" s="207">
        <f t="shared" si="1422"/>
        <v>0.0003333333333</v>
      </c>
    </row>
    <row r="2066" ht="15.75" customHeight="1">
      <c r="A2066" s="207">
        <v>151.0</v>
      </c>
      <c r="B2066" s="6" t="str">
        <f>VLOOKUP($A2066, 'Completion rates'!$A:$E, 2, FALSE)</f>
        <v>Sorting through martial salvage</v>
      </c>
      <c r="C2066" s="207">
        <v>32099.0</v>
      </c>
      <c r="D2066" s="6" t="str">
        <f>VLOOKUP($C2066, 'List of log slots'!$A:$E, 2, FALSE)</f>
        <v>Salvor's paint</v>
      </c>
      <c r="E2066" s="207">
        <f>VLOOKUP($C2066, 'List of log slots'!$A:$E, 5, FALSE)</f>
        <v>6</v>
      </c>
      <c r="F2066" s="208" t="b">
        <f>VLOOKUP(C2066, 'List of log slots'!$A:$C, 3, FALSE)</f>
        <v>0</v>
      </c>
      <c r="G2066" s="209" t="b">
        <f t="shared" si="1524"/>
        <v>0</v>
      </c>
      <c r="H2066" s="210" t="b">
        <f t="shared" si="7"/>
        <v>1</v>
      </c>
      <c r="I2066" s="208" t="b">
        <f t="shared" ref="I2066:J2066" si="1594">FALSE</f>
        <v>0</v>
      </c>
      <c r="J2066" s="208" t="b">
        <f t="shared" si="1594"/>
        <v>0</v>
      </c>
      <c r="K2066" s="214">
        <v>24000.0</v>
      </c>
      <c r="L2066" s="207" t="str">
        <f t="shared" si="3"/>
        <v>n/a</v>
      </c>
      <c r="M2066" s="212" t="str">
        <f t="shared" si="4"/>
        <v>n/a</v>
      </c>
      <c r="N2066" s="207" t="str">
        <f t="shared" si="1421"/>
        <v>n/a</v>
      </c>
      <c r="O2066" s="207">
        <f t="shared" si="1422"/>
        <v>0.00004166666667</v>
      </c>
    </row>
    <row r="2067" ht="15.75" customHeight="1">
      <c r="A2067" s="207">
        <v>151.0</v>
      </c>
      <c r="B2067" s="6" t="str">
        <f>VLOOKUP($A2067, 'Completion rates'!$A:$E, 2, FALSE)</f>
        <v>Sorting through martial salvage</v>
      </c>
      <c r="C2067" s="207">
        <v>31916.0</v>
      </c>
      <c r="D2067" s="6" t="str">
        <f>VLOOKUP($C2067, 'List of log slots'!$A:$E, 2, FALSE)</f>
        <v>Dragon cannonball</v>
      </c>
      <c r="E2067" s="207">
        <f>VLOOKUP($C2067, 'List of log slots'!$A:$E, 5, FALSE)</f>
        <v>4</v>
      </c>
      <c r="F2067" s="213" t="b">
        <f>VLOOKUP(C2067, 'List of log slots'!$A:$C, 3, FALSE)</f>
        <v>0</v>
      </c>
      <c r="G2067" s="209" t="b">
        <f t="shared" si="1524"/>
        <v>0</v>
      </c>
      <c r="H2067" s="209" t="b">
        <f t="shared" si="7"/>
        <v>1</v>
      </c>
      <c r="I2067" s="208" t="b">
        <f t="shared" ref="I2067:J2067" si="1595">FALSE</f>
        <v>0</v>
      </c>
      <c r="J2067" s="208" t="b">
        <f t="shared" si="1595"/>
        <v>0</v>
      </c>
      <c r="K2067" s="214">
        <v>3000.0</v>
      </c>
      <c r="L2067" s="207" t="str">
        <f t="shared" si="3"/>
        <v>n/a</v>
      </c>
      <c r="M2067" s="212" t="str">
        <f t="shared" si="4"/>
        <v>n/a</v>
      </c>
      <c r="N2067" s="207" t="str">
        <f t="shared" si="1421"/>
        <v>n/a</v>
      </c>
      <c r="O2067" s="207">
        <f t="shared" si="1422"/>
        <v>0.0003333333333</v>
      </c>
    </row>
    <row r="2068" ht="15.75" customHeight="1">
      <c r="A2068" s="207">
        <v>151.0</v>
      </c>
      <c r="B2068" s="6" t="str">
        <f>VLOOKUP($A2068, 'Completion rates'!$A:$E, 2, FALSE)</f>
        <v>Sorting through martial salvage</v>
      </c>
      <c r="C2068" s="207">
        <v>32398.0</v>
      </c>
      <c r="D2068" s="6" t="str">
        <f>VLOOKUP($C2068, 'List of log slots'!$A:$E, 2, FALSE)</f>
        <v>Sailors' amulet (inert)</v>
      </c>
      <c r="E2068" s="207">
        <f>VLOOKUP($C2068, 'List of log slots'!$A:$E, 5, FALSE)</f>
        <v>3</v>
      </c>
      <c r="F2068" s="213" t="b">
        <f>VLOOKUP(C2068, 'List of log slots'!$A:$C, 3, FALSE)</f>
        <v>0</v>
      </c>
      <c r="G2068" s="209" t="b">
        <f t="shared" si="1524"/>
        <v>0</v>
      </c>
      <c r="H2068" s="209" t="b">
        <f t="shared" si="7"/>
        <v>1</v>
      </c>
      <c r="I2068" s="208" t="b">
        <f t="shared" ref="I2068:J2068" si="1596">FALSE</f>
        <v>0</v>
      </c>
      <c r="J2068" s="208" t="b">
        <f t="shared" si="1596"/>
        <v>0</v>
      </c>
      <c r="K2068" s="214">
        <v>400.0</v>
      </c>
      <c r="L2068" s="207" t="str">
        <f t="shared" si="3"/>
        <v>n/a</v>
      </c>
      <c r="M2068" s="212" t="str">
        <f t="shared" si="4"/>
        <v>n/a</v>
      </c>
      <c r="N2068" s="207" t="str">
        <f t="shared" si="1421"/>
        <v>n/a</v>
      </c>
      <c r="O2068" s="207">
        <f t="shared" si="1422"/>
        <v>0.0025</v>
      </c>
    </row>
    <row r="2069" ht="15.75" customHeight="1">
      <c r="A2069" s="207">
        <v>151.0</v>
      </c>
      <c r="B2069" s="6" t="str">
        <f>VLOOKUP($A2069, 'Completion rates'!$A:$E, 2, FALSE)</f>
        <v>Sorting through martial salvage</v>
      </c>
      <c r="C2069" s="207">
        <v>32868.0</v>
      </c>
      <c r="D2069" s="6" t="str">
        <f>VLOOKUP($C2069, 'List of log slots'!$A:$E, 2, FALSE)</f>
        <v>Broken sextant</v>
      </c>
      <c r="E2069" s="207">
        <f>VLOOKUP($C2069, 'List of log slots'!$A:$E, 5, FALSE)</f>
        <v>5</v>
      </c>
      <c r="F2069" s="213" t="b">
        <f>VLOOKUP(C2069, 'List of log slots'!$A:$C, 3, FALSE)</f>
        <v>0</v>
      </c>
      <c r="G2069" s="209" t="b">
        <f t="shared" si="1524"/>
        <v>0</v>
      </c>
      <c r="H2069" s="209" t="b">
        <f t="shared" si="7"/>
        <v>1</v>
      </c>
      <c r="I2069" s="208" t="b">
        <f t="shared" ref="I2069:J2069" si="1597">FALSE</f>
        <v>0</v>
      </c>
      <c r="J2069" s="208" t="b">
        <f t="shared" si="1597"/>
        <v>0</v>
      </c>
      <c r="K2069" s="214">
        <v>3000.0</v>
      </c>
      <c r="L2069" s="207" t="str">
        <f t="shared" si="3"/>
        <v>n/a</v>
      </c>
      <c r="M2069" s="212" t="str">
        <f t="shared" si="4"/>
        <v>n/a</v>
      </c>
      <c r="N2069" s="207" t="str">
        <f t="shared" si="1421"/>
        <v>n/a</v>
      </c>
      <c r="O2069" s="207">
        <f t="shared" si="1422"/>
        <v>0.0003333333333</v>
      </c>
    </row>
    <row r="2070" ht="15.75" customHeight="1">
      <c r="A2070" s="207">
        <v>152.0</v>
      </c>
      <c r="B2070" s="6" t="str">
        <f>VLOOKUP($A2070, 'Completion rates'!$A:$E, 2, FALSE)</f>
        <v>Sorting through fremennik salvage</v>
      </c>
      <c r="C2070" s="207">
        <v>32398.0</v>
      </c>
      <c r="D2070" s="6" t="str">
        <f>VLOOKUP($C2070, 'List of log slots'!$A:$E, 2, FALSE)</f>
        <v>Sailors' amulet (inert)</v>
      </c>
      <c r="E2070" s="207">
        <f>VLOOKUP($C2070, 'List of log slots'!$A:$E, 5, FALSE)</f>
        <v>3</v>
      </c>
      <c r="F2070" s="213" t="b">
        <f>VLOOKUP(C2070, 'List of log slots'!$A:$C, 3, FALSE)</f>
        <v>0</v>
      </c>
      <c r="G2070" s="209" t="b">
        <f t="shared" si="1524"/>
        <v>0</v>
      </c>
      <c r="H2070" s="209" t="b">
        <f t="shared" si="7"/>
        <v>1</v>
      </c>
      <c r="I2070" s="208" t="b">
        <f t="shared" ref="I2070:J2070" si="1598">FALSE</f>
        <v>0</v>
      </c>
      <c r="J2070" s="208" t="b">
        <f t="shared" si="1598"/>
        <v>0</v>
      </c>
      <c r="K2070" s="214">
        <v>350.0</v>
      </c>
      <c r="L2070" s="207" t="str">
        <f t="shared" si="3"/>
        <v>n/a</v>
      </c>
      <c r="M2070" s="212" t="str">
        <f t="shared" si="4"/>
        <v>n/a</v>
      </c>
      <c r="N2070" s="207" t="str">
        <f t="shared" si="1421"/>
        <v>n/a</v>
      </c>
      <c r="O2070" s="207">
        <f t="shared" si="1422"/>
        <v>0.002857142857</v>
      </c>
    </row>
    <row r="2071">
      <c r="A2071" s="207">
        <v>152.0</v>
      </c>
      <c r="B2071" s="6" t="str">
        <f>VLOOKUP($A2071, 'Completion rates'!$A:$E, 2, FALSE)</f>
        <v>Sorting through fremennik salvage</v>
      </c>
      <c r="C2071" s="207">
        <v>32870.0</v>
      </c>
      <c r="D2071" s="6" t="str">
        <f>VLOOKUP($C2071, 'List of log slots'!$A:$E, 2, FALSE)</f>
        <v>Smashed mirror</v>
      </c>
      <c r="E2071" s="207">
        <f>VLOOKUP($C2071, 'List of log slots'!$A:$E, 5, FALSE)</f>
        <v>5</v>
      </c>
      <c r="F2071" s="213" t="b">
        <f>VLOOKUP(C2071, 'List of log slots'!$A:$C, 3, FALSE)</f>
        <v>0</v>
      </c>
      <c r="G2071" s="209" t="b">
        <f t="shared" si="1524"/>
        <v>0</v>
      </c>
      <c r="H2071" s="209" t="b">
        <f t="shared" si="7"/>
        <v>1</v>
      </c>
      <c r="I2071" s="208" t="b">
        <f t="shared" ref="I2071:J2071" si="1599">FALSE</f>
        <v>0</v>
      </c>
      <c r="J2071" s="208" t="b">
        <f t="shared" si="1599"/>
        <v>0</v>
      </c>
      <c r="K2071" s="214">
        <v>3000.0</v>
      </c>
      <c r="L2071" s="207" t="str">
        <f t="shared" si="3"/>
        <v>n/a</v>
      </c>
      <c r="M2071" s="212" t="str">
        <f t="shared" si="4"/>
        <v>n/a</v>
      </c>
      <c r="N2071" s="207" t="str">
        <f t="shared" si="1421"/>
        <v>n/a</v>
      </c>
      <c r="O2071" s="207">
        <f t="shared" si="1422"/>
        <v>0.0003333333333</v>
      </c>
    </row>
    <row r="2072">
      <c r="A2072" s="207">
        <v>153.0</v>
      </c>
      <c r="B2072" s="6" t="str">
        <f>VLOOKUP($A2072, 'Completion rates'!$A:$E, 2, FALSE)</f>
        <v>Sorting through opulent salvage</v>
      </c>
      <c r="C2072" s="207">
        <v>31406.0</v>
      </c>
      <c r="D2072" s="6" t="str">
        <f>VLOOKUP($C2072, 'List of log slots'!$A:$E, 2, FALSE)</f>
        <v>Dragon nails</v>
      </c>
      <c r="E2072" s="207">
        <f>VLOOKUP($C2072, 'List of log slots'!$A:$E, 5, FALSE)</f>
        <v>3</v>
      </c>
      <c r="F2072" s="213" t="b">
        <f>VLOOKUP(C2072, 'List of log slots'!$A:$C, 3, FALSE)</f>
        <v>0</v>
      </c>
      <c r="G2072" s="209" t="b">
        <f t="shared" si="1524"/>
        <v>0</v>
      </c>
      <c r="H2072" s="209" t="b">
        <f t="shared" si="7"/>
        <v>1</v>
      </c>
      <c r="I2072" s="208" t="b">
        <f t="shared" ref="I2072:J2072" si="1600">FALSE</f>
        <v>0</v>
      </c>
      <c r="J2072" s="208" t="b">
        <f t="shared" si="1600"/>
        <v>0</v>
      </c>
      <c r="K2072" s="214">
        <v>2000.0</v>
      </c>
      <c r="L2072" s="207" t="str">
        <f t="shared" si="3"/>
        <v>n/a</v>
      </c>
      <c r="M2072" s="212" t="str">
        <f t="shared" si="4"/>
        <v>n/a</v>
      </c>
      <c r="N2072" s="207" t="str">
        <f t="shared" si="1421"/>
        <v>n/a</v>
      </c>
      <c r="O2072" s="207">
        <f t="shared" si="1422"/>
        <v>0.0005</v>
      </c>
    </row>
    <row r="2073">
      <c r="A2073" s="207">
        <v>153.0</v>
      </c>
      <c r="B2073" s="6" t="str">
        <f>VLOOKUP($A2073, 'Completion rates'!$A:$E, 2, FALSE)</f>
        <v>Sorting through opulent salvage</v>
      </c>
      <c r="C2073" s="207">
        <v>31916.0</v>
      </c>
      <c r="D2073" s="6" t="str">
        <f>VLOOKUP($C2073, 'List of log slots'!$A:$E, 2, FALSE)</f>
        <v>Dragon cannonball</v>
      </c>
      <c r="E2073" s="207">
        <f>VLOOKUP($C2073, 'List of log slots'!$A:$E, 5, FALSE)</f>
        <v>4</v>
      </c>
      <c r="F2073" s="213" t="b">
        <f>VLOOKUP(C2073, 'List of log slots'!$A:$C, 3, FALSE)</f>
        <v>0</v>
      </c>
      <c r="G2073" s="209" t="b">
        <f t="shared" si="1524"/>
        <v>0</v>
      </c>
      <c r="H2073" s="209" t="b">
        <f t="shared" si="7"/>
        <v>1</v>
      </c>
      <c r="I2073" s="208" t="b">
        <f t="shared" ref="I2073:J2073" si="1601">FALSE</f>
        <v>0</v>
      </c>
      <c r="J2073" s="208" t="b">
        <f t="shared" si="1601"/>
        <v>0</v>
      </c>
      <c r="K2073" s="214">
        <v>424.0</v>
      </c>
      <c r="L2073" s="207" t="str">
        <f t="shared" si="3"/>
        <v>n/a</v>
      </c>
      <c r="M2073" s="212" t="str">
        <f t="shared" si="4"/>
        <v>n/a</v>
      </c>
      <c r="N2073" s="207" t="str">
        <f t="shared" si="1421"/>
        <v>n/a</v>
      </c>
      <c r="O2073" s="207">
        <f t="shared" si="1422"/>
        <v>0.002358490566</v>
      </c>
    </row>
    <row r="2074">
      <c r="A2074" s="207">
        <v>153.0</v>
      </c>
      <c r="B2074" s="6" t="str">
        <f>VLOOKUP($A2074, 'Completion rates'!$A:$E, 2, FALSE)</f>
        <v>Sorting through opulent salvage</v>
      </c>
      <c r="C2074" s="207">
        <v>32115.0</v>
      </c>
      <c r="D2074" s="6" t="str">
        <f>VLOOKUP($C2074, 'List of log slots'!$A:$E, 2, FALSE)</f>
        <v>Dragon cannon barrel</v>
      </c>
      <c r="E2074" s="207">
        <f>VLOOKUP($C2074, 'List of log slots'!$A:$E, 5, FALSE)</f>
        <v>6</v>
      </c>
      <c r="F2074" s="208" t="b">
        <f>VLOOKUP(C2074, 'List of log slots'!$A:$C, 3, FALSE)</f>
        <v>0</v>
      </c>
      <c r="G2074" s="209" t="b">
        <f t="shared" si="1524"/>
        <v>0</v>
      </c>
      <c r="H2074" s="210" t="b">
        <f t="shared" si="7"/>
        <v>1</v>
      </c>
      <c r="I2074" s="208" t="b">
        <f t="shared" ref="I2074:J2074" si="1602">FALSE</f>
        <v>0</v>
      </c>
      <c r="J2074" s="208" t="b">
        <f t="shared" si="1602"/>
        <v>0</v>
      </c>
      <c r="K2074" s="214">
        <v>20000.0</v>
      </c>
      <c r="L2074" s="207" t="str">
        <f t="shared" si="3"/>
        <v>n/a</v>
      </c>
      <c r="M2074" s="212" t="str">
        <f t="shared" si="4"/>
        <v>n/a</v>
      </c>
      <c r="N2074" s="207" t="str">
        <f t="shared" si="1421"/>
        <v>n/a</v>
      </c>
      <c r="O2074" s="207">
        <f t="shared" si="1422"/>
        <v>0.00005</v>
      </c>
    </row>
    <row r="2075">
      <c r="A2075" s="207">
        <v>153.0</v>
      </c>
      <c r="B2075" s="6" t="str">
        <f>VLOOKUP($A2075, 'Completion rates'!$A:$E, 2, FALSE)</f>
        <v>Sorting through opulent salvage</v>
      </c>
      <c r="C2075" s="207">
        <v>32398.0</v>
      </c>
      <c r="D2075" s="6" t="str">
        <f>VLOOKUP($C2075, 'List of log slots'!$A:$E, 2, FALSE)</f>
        <v>Sailors' amulet (inert)</v>
      </c>
      <c r="E2075" s="207">
        <f>VLOOKUP($C2075, 'List of log slots'!$A:$E, 5, FALSE)</f>
        <v>3</v>
      </c>
      <c r="F2075" s="213" t="b">
        <f>VLOOKUP(C2075, 'List of log slots'!$A:$C, 3, FALSE)</f>
        <v>0</v>
      </c>
      <c r="G2075" s="209" t="b">
        <f t="shared" si="1524"/>
        <v>0</v>
      </c>
      <c r="H2075" s="209" t="b">
        <f t="shared" si="7"/>
        <v>1</v>
      </c>
      <c r="I2075" s="208" t="b">
        <f t="shared" ref="I2075:J2075" si="1603">FALSE</f>
        <v>0</v>
      </c>
      <c r="J2075" s="208" t="b">
        <f t="shared" si="1603"/>
        <v>0</v>
      </c>
      <c r="K2075" s="214">
        <v>300.0</v>
      </c>
      <c r="L2075" s="207" t="str">
        <f t="shared" si="3"/>
        <v>n/a</v>
      </c>
      <c r="M2075" s="212" t="str">
        <f t="shared" si="4"/>
        <v>n/a</v>
      </c>
      <c r="N2075" s="207" t="str">
        <f t="shared" si="1421"/>
        <v>n/a</v>
      </c>
      <c r="O2075" s="207">
        <f t="shared" si="1422"/>
        <v>0.003333333333</v>
      </c>
    </row>
    <row r="2076">
      <c r="A2076" s="207">
        <v>153.0</v>
      </c>
      <c r="B2076" s="6" t="str">
        <f>VLOOKUP($A2076, 'Completion rates'!$A:$E, 2, FALSE)</f>
        <v>Sorting through opulent salvage</v>
      </c>
      <c r="C2076" s="207">
        <v>32869.0</v>
      </c>
      <c r="D2076" s="6" t="str">
        <f>VLOOKUP($C2076, 'List of log slots'!$A:$E, 2, FALSE)</f>
        <v>Mouldy doll</v>
      </c>
      <c r="E2076" s="207">
        <f>VLOOKUP($C2076, 'List of log slots'!$A:$E, 5, FALSE)</f>
        <v>5</v>
      </c>
      <c r="F2076" s="208" t="b">
        <f>VLOOKUP(C2076, 'List of log slots'!$A:$C, 3, FALSE)</f>
        <v>0</v>
      </c>
      <c r="G2076" s="209" t="b">
        <f t="shared" si="1524"/>
        <v>0</v>
      </c>
      <c r="H2076" s="210" t="b">
        <f t="shared" si="7"/>
        <v>1</v>
      </c>
      <c r="I2076" s="208" t="b">
        <f t="shared" ref="I2076:J2076" si="1604">FALSE</f>
        <v>0</v>
      </c>
      <c r="J2076" s="208" t="b">
        <f t="shared" si="1604"/>
        <v>0</v>
      </c>
      <c r="K2076" s="214">
        <v>3000.0</v>
      </c>
      <c r="L2076" s="207" t="str">
        <f t="shared" si="3"/>
        <v>n/a</v>
      </c>
      <c r="M2076" s="212" t="str">
        <f t="shared" si="4"/>
        <v>n/a</v>
      </c>
      <c r="N2076" s="207" t="str">
        <f t="shared" si="1421"/>
        <v>n/a</v>
      </c>
      <c r="O2076" s="207">
        <f t="shared" si="1422"/>
        <v>0.0003333333333</v>
      </c>
    </row>
    <row r="2077">
      <c r="A2077" s="207">
        <v>153.0</v>
      </c>
      <c r="B2077" s="6" t="str">
        <f>VLOOKUP($A2077, 'Completion rates'!$A:$E, 2, FALSE)</f>
        <v>Sorting through opulent salvage</v>
      </c>
      <c r="C2077" s="207">
        <v>2366.0</v>
      </c>
      <c r="D2077" s="6" t="str">
        <f>VLOOKUP($C2077, 'List of log slots'!$A:$E, 2, FALSE)</f>
        <v>Shield left half</v>
      </c>
      <c r="E2077" s="207">
        <f>VLOOKUP($C2077, 'List of log slots'!$A:$E, 5, FALSE)</f>
        <v>5</v>
      </c>
      <c r="F2077" s="213" t="b">
        <f>VLOOKUP(C2077, 'List of log slots'!$A:$C, 3, FALSE)</f>
        <v>0</v>
      </c>
      <c r="G2077" s="209" t="b">
        <f t="shared" si="1524"/>
        <v>0</v>
      </c>
      <c r="H2077" s="209" t="b">
        <f t="shared" si="7"/>
        <v>1</v>
      </c>
      <c r="I2077" s="208" t="b">
        <f t="shared" ref="I2077:J2077" si="1605">FALSE</f>
        <v>0</v>
      </c>
      <c r="J2077" s="208" t="b">
        <f t="shared" si="1605"/>
        <v>0</v>
      </c>
      <c r="K2077" s="214">
        <v>10335.0</v>
      </c>
      <c r="L2077" s="207" t="str">
        <f t="shared" si="3"/>
        <v>n/a</v>
      </c>
      <c r="M2077" s="212" t="str">
        <f t="shared" si="4"/>
        <v>n/a</v>
      </c>
      <c r="N2077" s="207" t="str">
        <f t="shared" si="1421"/>
        <v>n/a</v>
      </c>
      <c r="O2077" s="207">
        <f t="shared" si="1422"/>
        <v>0.00009675858732</v>
      </c>
    </row>
    <row r="2078">
      <c r="A2078" s="207">
        <v>153.0</v>
      </c>
      <c r="B2078" s="6" t="str">
        <f>VLOOKUP($A2078, 'Completion rates'!$A:$E, 2, FALSE)</f>
        <v>Sorting through opulent salvage</v>
      </c>
      <c r="C2078" s="207">
        <v>1249.0</v>
      </c>
      <c r="D2078" s="6" t="str">
        <f>VLOOKUP($C2078, 'List of log slots'!$A:$E, 2, FALSE)</f>
        <v>Dragon spear</v>
      </c>
      <c r="E2078" s="207">
        <f>VLOOKUP($C2078, 'List of log slots'!$A:$E, 5, FALSE)</f>
        <v>5</v>
      </c>
      <c r="F2078" s="213" t="b">
        <f>VLOOKUP(C2078, 'List of log slots'!$A:$C, 3, FALSE)</f>
        <v>0</v>
      </c>
      <c r="G2078" s="209" t="b">
        <f t="shared" si="1524"/>
        <v>0</v>
      </c>
      <c r="H2078" s="209" t="b">
        <f t="shared" si="7"/>
        <v>1</v>
      </c>
      <c r="I2078" s="208" t="b">
        <f t="shared" ref="I2078:J2078" si="1606">FALSE</f>
        <v>0</v>
      </c>
      <c r="J2078" s="208" t="b">
        <f t="shared" si="1606"/>
        <v>0</v>
      </c>
      <c r="K2078" s="214">
        <v>13780.0</v>
      </c>
      <c r="L2078" s="207" t="str">
        <f t="shared" si="3"/>
        <v>n/a</v>
      </c>
      <c r="M2078" s="212" t="str">
        <f t="shared" si="4"/>
        <v>n/a</v>
      </c>
      <c r="N2078" s="207" t="str">
        <f t="shared" si="1421"/>
        <v>n/a</v>
      </c>
      <c r="O2078" s="207">
        <f t="shared" si="1422"/>
        <v>0.00007256894049</v>
      </c>
    </row>
    <row r="2079">
      <c r="A2079" s="207">
        <v>154.0</v>
      </c>
      <c r="B2079" s="6" t="str">
        <f>VLOOKUP($A2079, 'Completion rates'!$A:$E, 2, FALSE)</f>
        <v>Killing soldiers in the shayzien combat ring</v>
      </c>
      <c r="C2079" s="207">
        <v>13357.0</v>
      </c>
      <c r="D2079" s="6" t="str">
        <f>VLOOKUP($C2079, 'List of log slots'!$A:$E, 2, FALSE)</f>
        <v>Shayzien gloves (1)</v>
      </c>
      <c r="E2079" s="207">
        <f>VLOOKUP($C2079, 'List of log slots'!$A:$E, 5, FALSE)</f>
        <v>1</v>
      </c>
      <c r="F2079" s="213" t="b">
        <f>VLOOKUP(C2079, 'List of log slots'!$A:$C, 3, FALSE)</f>
        <v>0</v>
      </c>
      <c r="G2079" s="209" t="b">
        <f t="shared" si="1524"/>
        <v>0</v>
      </c>
      <c r="H2079" s="209" t="b">
        <f t="shared" si="7"/>
        <v>1</v>
      </c>
      <c r="I2079" s="213" t="b">
        <f t="shared" ref="I2079:J2079" si="1607">TRUE</f>
        <v>1</v>
      </c>
      <c r="J2079" s="213" t="b">
        <f t="shared" si="1607"/>
        <v>1</v>
      </c>
      <c r="K2079" s="214">
        <v>1.0</v>
      </c>
      <c r="L2079" s="207">
        <f t="shared" si="3"/>
        <v>1</v>
      </c>
      <c r="M2079" s="212" t="str">
        <f t="shared" si="4"/>
        <v>n/a</v>
      </c>
      <c r="N2079" s="207" t="str">
        <f t="shared" si="1421"/>
        <v>n/a</v>
      </c>
      <c r="O2079" s="207" t="str">
        <f t="shared" si="1422"/>
        <v>n/a</v>
      </c>
    </row>
    <row r="2080">
      <c r="A2080" s="207">
        <v>154.0</v>
      </c>
      <c r="B2080" s="6" t="str">
        <f>VLOOKUP($A2080, 'Completion rates'!$A:$E, 2, FALSE)</f>
        <v>Killing soldiers in the shayzien combat ring</v>
      </c>
      <c r="C2080" s="207">
        <v>13358.0</v>
      </c>
      <c r="D2080" s="6" t="str">
        <f>VLOOKUP($C2080, 'List of log slots'!$A:$E, 2, FALSE)</f>
        <v>Shayzien boots (1)</v>
      </c>
      <c r="E2080" s="207">
        <f>VLOOKUP($C2080, 'List of log slots'!$A:$E, 5, FALSE)</f>
        <v>1</v>
      </c>
      <c r="F2080" s="213" t="b">
        <f>VLOOKUP(C2080, 'List of log slots'!$A:$C, 3, FALSE)</f>
        <v>0</v>
      </c>
      <c r="G2080" s="209" t="b">
        <f t="shared" si="1524"/>
        <v>0</v>
      </c>
      <c r="H2080" s="209" t="b">
        <f t="shared" si="7"/>
        <v>1</v>
      </c>
      <c r="I2080" s="213" t="b">
        <f t="shared" ref="I2080:J2080" si="1608">TRUE</f>
        <v>1</v>
      </c>
      <c r="J2080" s="213" t="b">
        <f t="shared" si="1608"/>
        <v>1</v>
      </c>
      <c r="K2080" s="214">
        <v>1.0</v>
      </c>
      <c r="L2080" s="207">
        <f t="shared" si="3"/>
        <v>1</v>
      </c>
      <c r="M2080" s="212" t="str">
        <f t="shared" si="4"/>
        <v>n/a</v>
      </c>
      <c r="N2080" s="207" t="str">
        <f t="shared" si="1421"/>
        <v>n/a</v>
      </c>
      <c r="O2080" s="207" t="str">
        <f t="shared" si="1422"/>
        <v>n/a</v>
      </c>
    </row>
    <row r="2081">
      <c r="A2081" s="207">
        <v>154.0</v>
      </c>
      <c r="B2081" s="6" t="str">
        <f>VLOOKUP($A2081, 'Completion rates'!$A:$E, 2, FALSE)</f>
        <v>Killing soldiers in the shayzien combat ring</v>
      </c>
      <c r="C2081" s="207">
        <v>13359.0</v>
      </c>
      <c r="D2081" s="6" t="str">
        <f>VLOOKUP($C2081, 'List of log slots'!$A:$E, 2, FALSE)</f>
        <v>Shayzien helm (1)</v>
      </c>
      <c r="E2081" s="207">
        <f>VLOOKUP($C2081, 'List of log slots'!$A:$E, 5, FALSE)</f>
        <v>1</v>
      </c>
      <c r="F2081" s="213" t="b">
        <f>VLOOKUP(C2081, 'List of log slots'!$A:$C, 3, FALSE)</f>
        <v>0</v>
      </c>
      <c r="G2081" s="209" t="b">
        <f t="shared" si="1524"/>
        <v>0</v>
      </c>
      <c r="H2081" s="209" t="b">
        <f t="shared" si="7"/>
        <v>1</v>
      </c>
      <c r="I2081" s="213" t="b">
        <f t="shared" ref="I2081:J2081" si="1609">TRUE</f>
        <v>1</v>
      </c>
      <c r="J2081" s="213" t="b">
        <f t="shared" si="1609"/>
        <v>1</v>
      </c>
      <c r="K2081" s="214">
        <v>1.0</v>
      </c>
      <c r="L2081" s="207">
        <f t="shared" si="3"/>
        <v>1</v>
      </c>
      <c r="M2081" s="212" t="str">
        <f t="shared" si="4"/>
        <v>n/a</v>
      </c>
      <c r="N2081" s="207" t="str">
        <f t="shared" si="1421"/>
        <v>n/a</v>
      </c>
      <c r="O2081" s="207" t="str">
        <f t="shared" si="1422"/>
        <v>n/a</v>
      </c>
    </row>
    <row r="2082">
      <c r="A2082" s="207">
        <v>154.0</v>
      </c>
      <c r="B2082" s="6" t="str">
        <f>VLOOKUP($A2082, 'Completion rates'!$A:$E, 2, FALSE)</f>
        <v>Killing soldiers in the shayzien combat ring</v>
      </c>
      <c r="C2082" s="207">
        <v>13360.0</v>
      </c>
      <c r="D2082" s="6" t="str">
        <f>VLOOKUP($C2082, 'List of log slots'!$A:$E, 2, FALSE)</f>
        <v>Shayzien greaves (1)</v>
      </c>
      <c r="E2082" s="207">
        <f>VLOOKUP($C2082, 'List of log slots'!$A:$E, 5, FALSE)</f>
        <v>1</v>
      </c>
      <c r="F2082" s="213" t="b">
        <f>VLOOKUP(C2082, 'List of log slots'!$A:$C, 3, FALSE)</f>
        <v>0</v>
      </c>
      <c r="G2082" s="209" t="b">
        <f t="shared" si="1524"/>
        <v>0</v>
      </c>
      <c r="H2082" s="209" t="b">
        <f t="shared" si="7"/>
        <v>1</v>
      </c>
      <c r="I2082" s="213" t="b">
        <f t="shared" ref="I2082:J2082" si="1610">TRUE</f>
        <v>1</v>
      </c>
      <c r="J2082" s="213" t="b">
        <f t="shared" si="1610"/>
        <v>1</v>
      </c>
      <c r="K2082" s="214">
        <v>1.0</v>
      </c>
      <c r="L2082" s="207">
        <f t="shared" si="3"/>
        <v>1</v>
      </c>
      <c r="M2082" s="212" t="str">
        <f t="shared" si="4"/>
        <v>n/a</v>
      </c>
      <c r="N2082" s="207" t="str">
        <f t="shared" si="1421"/>
        <v>n/a</v>
      </c>
      <c r="O2082" s="207" t="str">
        <f t="shared" si="1422"/>
        <v>n/a</v>
      </c>
    </row>
    <row r="2083">
      <c r="A2083" s="207">
        <v>154.0</v>
      </c>
      <c r="B2083" s="6" t="str">
        <f>VLOOKUP($A2083, 'Completion rates'!$A:$E, 2, FALSE)</f>
        <v>Killing soldiers in the shayzien combat ring</v>
      </c>
      <c r="C2083" s="207">
        <v>13361.0</v>
      </c>
      <c r="D2083" s="6" t="str">
        <f>VLOOKUP($C2083, 'List of log slots'!$A:$E, 2, FALSE)</f>
        <v>Shayzien platebody (1)</v>
      </c>
      <c r="E2083" s="207">
        <f>VLOOKUP($C2083, 'List of log slots'!$A:$E, 5, FALSE)</f>
        <v>1</v>
      </c>
      <c r="F2083" s="213" t="b">
        <f>VLOOKUP(C2083, 'List of log slots'!$A:$C, 3, FALSE)</f>
        <v>0</v>
      </c>
      <c r="G2083" s="209" t="b">
        <f t="shared" si="1524"/>
        <v>0</v>
      </c>
      <c r="H2083" s="209" t="b">
        <f t="shared" si="7"/>
        <v>1</v>
      </c>
      <c r="I2083" s="213" t="b">
        <f t="shared" ref="I2083:J2083" si="1611">TRUE</f>
        <v>1</v>
      </c>
      <c r="J2083" s="213" t="b">
        <f t="shared" si="1611"/>
        <v>1</v>
      </c>
      <c r="K2083" s="214">
        <v>1.0</v>
      </c>
      <c r="L2083" s="207">
        <f t="shared" si="3"/>
        <v>1</v>
      </c>
      <c r="M2083" s="212" t="str">
        <f t="shared" si="4"/>
        <v>n/a</v>
      </c>
      <c r="N2083" s="207" t="str">
        <f t="shared" si="1421"/>
        <v>n/a</v>
      </c>
      <c r="O2083" s="207" t="str">
        <f t="shared" si="1422"/>
        <v>n/a</v>
      </c>
    </row>
    <row r="2084">
      <c r="A2084" s="207">
        <v>154.0</v>
      </c>
      <c r="B2084" s="6" t="str">
        <f>VLOOKUP($A2084, 'Completion rates'!$A:$E, 2, FALSE)</f>
        <v>Killing soldiers in the shayzien combat ring</v>
      </c>
      <c r="C2084" s="207">
        <v>13362.0</v>
      </c>
      <c r="D2084" s="6" t="str">
        <f>VLOOKUP($C2084, 'List of log slots'!$A:$E, 2, FALSE)</f>
        <v>Shayzien gloves (2)</v>
      </c>
      <c r="E2084" s="207">
        <f>VLOOKUP($C2084, 'List of log slots'!$A:$E, 5, FALSE)</f>
        <v>1</v>
      </c>
      <c r="F2084" s="213" t="b">
        <f>VLOOKUP(C2084, 'List of log slots'!$A:$C, 3, FALSE)</f>
        <v>0</v>
      </c>
      <c r="G2084" s="209" t="b">
        <f t="shared" si="1524"/>
        <v>0</v>
      </c>
      <c r="H2084" s="209" t="b">
        <f t="shared" si="7"/>
        <v>1</v>
      </c>
      <c r="I2084" s="213" t="b">
        <f t="shared" ref="I2084:J2084" si="1612">TRUE</f>
        <v>1</v>
      </c>
      <c r="J2084" s="213" t="b">
        <f t="shared" si="1612"/>
        <v>1</v>
      </c>
      <c r="K2084" s="214">
        <v>1.0</v>
      </c>
      <c r="L2084" s="207">
        <f t="shared" si="3"/>
        <v>1</v>
      </c>
      <c r="M2084" s="212" t="str">
        <f t="shared" si="4"/>
        <v>n/a</v>
      </c>
      <c r="N2084" s="207" t="str">
        <f t="shared" si="1421"/>
        <v>n/a</v>
      </c>
      <c r="O2084" s="207" t="str">
        <f t="shared" si="1422"/>
        <v>n/a</v>
      </c>
    </row>
    <row r="2085">
      <c r="A2085" s="207">
        <v>154.0</v>
      </c>
      <c r="B2085" s="6" t="str">
        <f>VLOOKUP($A2085, 'Completion rates'!$A:$E, 2, FALSE)</f>
        <v>Killing soldiers in the shayzien combat ring</v>
      </c>
      <c r="C2085" s="207">
        <v>13363.0</v>
      </c>
      <c r="D2085" s="6" t="str">
        <f>VLOOKUP($C2085, 'List of log slots'!$A:$E, 2, FALSE)</f>
        <v>Shayzien boots (2)</v>
      </c>
      <c r="E2085" s="207">
        <f>VLOOKUP($C2085, 'List of log slots'!$A:$E, 5, FALSE)</f>
        <v>1</v>
      </c>
      <c r="F2085" s="213" t="b">
        <f>VLOOKUP(C2085, 'List of log slots'!$A:$C, 3, FALSE)</f>
        <v>0</v>
      </c>
      <c r="G2085" s="209" t="b">
        <f t="shared" si="1524"/>
        <v>0</v>
      </c>
      <c r="H2085" s="209" t="b">
        <f t="shared" si="7"/>
        <v>1</v>
      </c>
      <c r="I2085" s="213" t="b">
        <f t="shared" ref="I2085:J2085" si="1613">TRUE</f>
        <v>1</v>
      </c>
      <c r="J2085" s="213" t="b">
        <f t="shared" si="1613"/>
        <v>1</v>
      </c>
      <c r="K2085" s="214">
        <v>1.0</v>
      </c>
      <c r="L2085" s="207">
        <f t="shared" si="3"/>
        <v>1</v>
      </c>
      <c r="M2085" s="212" t="str">
        <f t="shared" si="4"/>
        <v>n/a</v>
      </c>
      <c r="N2085" s="207" t="str">
        <f t="shared" si="1421"/>
        <v>n/a</v>
      </c>
      <c r="O2085" s="207" t="str">
        <f t="shared" si="1422"/>
        <v>n/a</v>
      </c>
    </row>
    <row r="2086">
      <c r="A2086" s="207">
        <v>154.0</v>
      </c>
      <c r="B2086" s="6" t="str">
        <f>VLOOKUP($A2086, 'Completion rates'!$A:$E, 2, FALSE)</f>
        <v>Killing soldiers in the shayzien combat ring</v>
      </c>
      <c r="C2086" s="207">
        <v>13364.0</v>
      </c>
      <c r="D2086" s="6" t="str">
        <f>VLOOKUP($C2086, 'List of log slots'!$A:$E, 2, FALSE)</f>
        <v>Shayzien helm (2)</v>
      </c>
      <c r="E2086" s="207">
        <f>VLOOKUP($C2086, 'List of log slots'!$A:$E, 5, FALSE)</f>
        <v>1</v>
      </c>
      <c r="F2086" s="213" t="b">
        <f>VLOOKUP(C2086, 'List of log slots'!$A:$C, 3, FALSE)</f>
        <v>0</v>
      </c>
      <c r="G2086" s="209" t="b">
        <f t="shared" si="1524"/>
        <v>0</v>
      </c>
      <c r="H2086" s="209" t="b">
        <f t="shared" si="7"/>
        <v>1</v>
      </c>
      <c r="I2086" s="213" t="b">
        <f t="shared" ref="I2086:J2086" si="1614">TRUE</f>
        <v>1</v>
      </c>
      <c r="J2086" s="213" t="b">
        <f t="shared" si="1614"/>
        <v>1</v>
      </c>
      <c r="K2086" s="214">
        <v>1.0</v>
      </c>
      <c r="L2086" s="207">
        <f t="shared" si="3"/>
        <v>1</v>
      </c>
      <c r="M2086" s="212" t="str">
        <f t="shared" si="4"/>
        <v>n/a</v>
      </c>
      <c r="N2086" s="207" t="str">
        <f t="shared" si="1421"/>
        <v>n/a</v>
      </c>
      <c r="O2086" s="207" t="str">
        <f t="shared" si="1422"/>
        <v>n/a</v>
      </c>
    </row>
    <row r="2087">
      <c r="A2087" s="207">
        <v>154.0</v>
      </c>
      <c r="B2087" s="6" t="str">
        <f>VLOOKUP($A2087, 'Completion rates'!$A:$E, 2, FALSE)</f>
        <v>Killing soldiers in the shayzien combat ring</v>
      </c>
      <c r="C2087" s="207">
        <v>13365.0</v>
      </c>
      <c r="D2087" s="6" t="str">
        <f>VLOOKUP($C2087, 'List of log slots'!$A:$E, 2, FALSE)</f>
        <v>Shayzien greaves (2)</v>
      </c>
      <c r="E2087" s="207">
        <f>VLOOKUP($C2087, 'List of log slots'!$A:$E, 5, FALSE)</f>
        <v>1</v>
      </c>
      <c r="F2087" s="213" t="b">
        <f>VLOOKUP(C2087, 'List of log slots'!$A:$C, 3, FALSE)</f>
        <v>0</v>
      </c>
      <c r="G2087" s="209" t="b">
        <f t="shared" si="1524"/>
        <v>0</v>
      </c>
      <c r="H2087" s="209" t="b">
        <f t="shared" si="7"/>
        <v>1</v>
      </c>
      <c r="I2087" s="213" t="b">
        <f t="shared" ref="I2087:J2087" si="1615">TRUE</f>
        <v>1</v>
      </c>
      <c r="J2087" s="213" t="b">
        <f t="shared" si="1615"/>
        <v>1</v>
      </c>
      <c r="K2087" s="214">
        <v>1.0</v>
      </c>
      <c r="L2087" s="207">
        <f t="shared" si="3"/>
        <v>1</v>
      </c>
      <c r="M2087" s="212" t="str">
        <f t="shared" si="4"/>
        <v>n/a</v>
      </c>
      <c r="N2087" s="207" t="str">
        <f t="shared" si="1421"/>
        <v>n/a</v>
      </c>
      <c r="O2087" s="207" t="str">
        <f t="shared" si="1422"/>
        <v>n/a</v>
      </c>
    </row>
    <row r="2088">
      <c r="A2088" s="207">
        <v>154.0</v>
      </c>
      <c r="B2088" s="6" t="str">
        <f>VLOOKUP($A2088, 'Completion rates'!$A:$E, 2, FALSE)</f>
        <v>Killing soldiers in the shayzien combat ring</v>
      </c>
      <c r="C2088" s="207">
        <v>13366.0</v>
      </c>
      <c r="D2088" s="6" t="str">
        <f>VLOOKUP($C2088, 'List of log slots'!$A:$E, 2, FALSE)</f>
        <v>Shayzien platebody (2)</v>
      </c>
      <c r="E2088" s="207">
        <f>VLOOKUP($C2088, 'List of log slots'!$A:$E, 5, FALSE)</f>
        <v>1</v>
      </c>
      <c r="F2088" s="213" t="b">
        <f>VLOOKUP(C2088, 'List of log slots'!$A:$C, 3, FALSE)</f>
        <v>0</v>
      </c>
      <c r="G2088" s="209" t="b">
        <f t="shared" si="1524"/>
        <v>0</v>
      </c>
      <c r="H2088" s="209" t="b">
        <f t="shared" si="7"/>
        <v>1</v>
      </c>
      <c r="I2088" s="213" t="b">
        <f t="shared" ref="I2088:J2088" si="1616">TRUE</f>
        <v>1</v>
      </c>
      <c r="J2088" s="213" t="b">
        <f t="shared" si="1616"/>
        <v>1</v>
      </c>
      <c r="K2088" s="214">
        <v>1.0</v>
      </c>
      <c r="L2088" s="207">
        <f t="shared" si="3"/>
        <v>1</v>
      </c>
      <c r="M2088" s="212" t="str">
        <f t="shared" si="4"/>
        <v>n/a</v>
      </c>
      <c r="N2088" s="207" t="str">
        <f t="shared" si="1421"/>
        <v>n/a</v>
      </c>
      <c r="O2088" s="207" t="str">
        <f t="shared" si="1422"/>
        <v>n/a</v>
      </c>
    </row>
    <row r="2089">
      <c r="A2089" s="207">
        <v>154.0</v>
      </c>
      <c r="B2089" s="6" t="str">
        <f>VLOOKUP($A2089, 'Completion rates'!$A:$E, 2, FALSE)</f>
        <v>Killing soldiers in the shayzien combat ring</v>
      </c>
      <c r="C2089" s="207">
        <v>13367.0</v>
      </c>
      <c r="D2089" s="6" t="str">
        <f>VLOOKUP($C2089, 'List of log slots'!$A:$E, 2, FALSE)</f>
        <v>Shayzien gloves (3)</v>
      </c>
      <c r="E2089" s="207">
        <f>VLOOKUP($C2089, 'List of log slots'!$A:$E, 5, FALSE)</f>
        <v>2</v>
      </c>
      <c r="F2089" s="213" t="b">
        <f>VLOOKUP(C2089, 'List of log slots'!$A:$C, 3, FALSE)</f>
        <v>0</v>
      </c>
      <c r="G2089" s="209" t="b">
        <f t="shared" si="1524"/>
        <v>0</v>
      </c>
      <c r="H2089" s="209" t="b">
        <f t="shared" si="7"/>
        <v>1</v>
      </c>
      <c r="I2089" s="213" t="b">
        <f t="shared" ref="I2089:J2089" si="1617">TRUE</f>
        <v>1</v>
      </c>
      <c r="J2089" s="213" t="b">
        <f t="shared" si="1617"/>
        <v>1</v>
      </c>
      <c r="K2089" s="214">
        <v>1.0</v>
      </c>
      <c r="L2089" s="207">
        <f t="shared" si="3"/>
        <v>1</v>
      </c>
      <c r="M2089" s="212" t="str">
        <f t="shared" si="4"/>
        <v>n/a</v>
      </c>
      <c r="N2089" s="207" t="str">
        <f t="shared" si="1421"/>
        <v>n/a</v>
      </c>
      <c r="O2089" s="207" t="str">
        <f t="shared" si="1422"/>
        <v>n/a</v>
      </c>
    </row>
    <row r="2090">
      <c r="A2090" s="207">
        <v>154.0</v>
      </c>
      <c r="B2090" s="6" t="str">
        <f>VLOOKUP($A2090, 'Completion rates'!$A:$E, 2, FALSE)</f>
        <v>Killing soldiers in the shayzien combat ring</v>
      </c>
      <c r="C2090" s="207">
        <v>13368.0</v>
      </c>
      <c r="D2090" s="6" t="str">
        <f>VLOOKUP($C2090, 'List of log slots'!$A:$E, 2, FALSE)</f>
        <v>Shayzien boots (3)</v>
      </c>
      <c r="E2090" s="207">
        <f>VLOOKUP($C2090, 'List of log slots'!$A:$E, 5, FALSE)</f>
        <v>2</v>
      </c>
      <c r="F2090" s="213" t="b">
        <f>VLOOKUP(C2090, 'List of log slots'!$A:$C, 3, FALSE)</f>
        <v>0</v>
      </c>
      <c r="G2090" s="209" t="b">
        <f t="shared" si="1524"/>
        <v>0</v>
      </c>
      <c r="H2090" s="209" t="b">
        <f t="shared" si="7"/>
        <v>1</v>
      </c>
      <c r="I2090" s="213" t="b">
        <f t="shared" ref="I2090:J2090" si="1618">TRUE</f>
        <v>1</v>
      </c>
      <c r="J2090" s="213" t="b">
        <f t="shared" si="1618"/>
        <v>1</v>
      </c>
      <c r="K2090" s="214">
        <v>1.0</v>
      </c>
      <c r="L2090" s="207">
        <f t="shared" si="3"/>
        <v>1</v>
      </c>
      <c r="M2090" s="212" t="str">
        <f t="shared" si="4"/>
        <v>n/a</v>
      </c>
      <c r="N2090" s="207" t="str">
        <f t="shared" si="1421"/>
        <v>n/a</v>
      </c>
      <c r="O2090" s="207" t="str">
        <f t="shared" si="1422"/>
        <v>n/a</v>
      </c>
    </row>
    <row r="2091">
      <c r="A2091" s="207">
        <v>154.0</v>
      </c>
      <c r="B2091" s="6" t="str">
        <f>VLOOKUP($A2091, 'Completion rates'!$A:$E, 2, FALSE)</f>
        <v>Killing soldiers in the shayzien combat ring</v>
      </c>
      <c r="C2091" s="207">
        <v>13369.0</v>
      </c>
      <c r="D2091" s="6" t="str">
        <f>VLOOKUP($C2091, 'List of log slots'!$A:$E, 2, FALSE)</f>
        <v>Shayzien helm (3)</v>
      </c>
      <c r="E2091" s="207">
        <f>VLOOKUP($C2091, 'List of log slots'!$A:$E, 5, FALSE)</f>
        <v>2</v>
      </c>
      <c r="F2091" s="213" t="b">
        <f>VLOOKUP(C2091, 'List of log slots'!$A:$C, 3, FALSE)</f>
        <v>0</v>
      </c>
      <c r="G2091" s="209" t="b">
        <f t="shared" si="1524"/>
        <v>0</v>
      </c>
      <c r="H2091" s="209" t="b">
        <f t="shared" si="7"/>
        <v>1</v>
      </c>
      <c r="I2091" s="213" t="b">
        <f t="shared" ref="I2091:J2091" si="1619">TRUE</f>
        <v>1</v>
      </c>
      <c r="J2091" s="213" t="b">
        <f t="shared" si="1619"/>
        <v>1</v>
      </c>
      <c r="K2091" s="214">
        <v>1.0</v>
      </c>
      <c r="L2091" s="207">
        <f t="shared" si="3"/>
        <v>1</v>
      </c>
      <c r="M2091" s="212" t="str">
        <f t="shared" si="4"/>
        <v>n/a</v>
      </c>
      <c r="N2091" s="207" t="str">
        <f t="shared" si="1421"/>
        <v>n/a</v>
      </c>
      <c r="O2091" s="207" t="str">
        <f t="shared" si="1422"/>
        <v>n/a</v>
      </c>
    </row>
    <row r="2092">
      <c r="A2092" s="207">
        <v>154.0</v>
      </c>
      <c r="B2092" s="6" t="str">
        <f>VLOOKUP($A2092, 'Completion rates'!$A:$E, 2, FALSE)</f>
        <v>Killing soldiers in the shayzien combat ring</v>
      </c>
      <c r="C2092" s="207">
        <v>13370.0</v>
      </c>
      <c r="D2092" s="6" t="str">
        <f>VLOOKUP($C2092, 'List of log slots'!$A:$E, 2, FALSE)</f>
        <v>Shayzien greaves (3)</v>
      </c>
      <c r="E2092" s="207">
        <f>VLOOKUP($C2092, 'List of log slots'!$A:$E, 5, FALSE)</f>
        <v>2</v>
      </c>
      <c r="F2092" s="213" t="b">
        <f>VLOOKUP(C2092, 'List of log slots'!$A:$C, 3, FALSE)</f>
        <v>0</v>
      </c>
      <c r="G2092" s="209" t="b">
        <f t="shared" si="1524"/>
        <v>0</v>
      </c>
      <c r="H2092" s="209" t="b">
        <f t="shared" si="7"/>
        <v>1</v>
      </c>
      <c r="I2092" s="213" t="b">
        <f t="shared" ref="I2092:J2092" si="1620">TRUE</f>
        <v>1</v>
      </c>
      <c r="J2092" s="213" t="b">
        <f t="shared" si="1620"/>
        <v>1</v>
      </c>
      <c r="K2092" s="214">
        <v>1.0</v>
      </c>
      <c r="L2092" s="207">
        <f t="shared" si="3"/>
        <v>1</v>
      </c>
      <c r="M2092" s="212" t="str">
        <f t="shared" si="4"/>
        <v>n/a</v>
      </c>
      <c r="N2092" s="207" t="str">
        <f t="shared" si="1421"/>
        <v>n/a</v>
      </c>
      <c r="O2092" s="207" t="str">
        <f t="shared" si="1422"/>
        <v>n/a</v>
      </c>
    </row>
    <row r="2093">
      <c r="A2093" s="207">
        <v>154.0</v>
      </c>
      <c r="B2093" s="6" t="str">
        <f>VLOOKUP($A2093, 'Completion rates'!$A:$E, 2, FALSE)</f>
        <v>Killing soldiers in the shayzien combat ring</v>
      </c>
      <c r="C2093" s="207">
        <v>13371.0</v>
      </c>
      <c r="D2093" s="6" t="str">
        <f>VLOOKUP($C2093, 'List of log slots'!$A:$E, 2, FALSE)</f>
        <v>Shayzien platebody (3)</v>
      </c>
      <c r="E2093" s="207">
        <f>VLOOKUP($C2093, 'List of log slots'!$A:$E, 5, FALSE)</f>
        <v>2</v>
      </c>
      <c r="F2093" s="213" t="b">
        <f>VLOOKUP(C2093, 'List of log slots'!$A:$C, 3, FALSE)</f>
        <v>0</v>
      </c>
      <c r="G2093" s="209" t="b">
        <f t="shared" si="1524"/>
        <v>0</v>
      </c>
      <c r="H2093" s="209" t="b">
        <f t="shared" si="7"/>
        <v>1</v>
      </c>
      <c r="I2093" s="213" t="b">
        <f t="shared" ref="I2093:J2093" si="1621">TRUE</f>
        <v>1</v>
      </c>
      <c r="J2093" s="213" t="b">
        <f t="shared" si="1621"/>
        <v>1</v>
      </c>
      <c r="K2093" s="214">
        <v>1.0</v>
      </c>
      <c r="L2093" s="207">
        <f t="shared" si="3"/>
        <v>1</v>
      </c>
      <c r="M2093" s="212" t="str">
        <f t="shared" si="4"/>
        <v>n/a</v>
      </c>
      <c r="N2093" s="207" t="str">
        <f t="shared" si="1421"/>
        <v>n/a</v>
      </c>
      <c r="O2093" s="207" t="str">
        <f t="shared" si="1422"/>
        <v>n/a</v>
      </c>
    </row>
    <row r="2094">
      <c r="A2094" s="207">
        <v>154.0</v>
      </c>
      <c r="B2094" s="6" t="str">
        <f>VLOOKUP($A2094, 'Completion rates'!$A:$E, 2, FALSE)</f>
        <v>Killing soldiers in the shayzien combat ring</v>
      </c>
      <c r="C2094" s="207">
        <v>13372.0</v>
      </c>
      <c r="D2094" s="6" t="str">
        <f>VLOOKUP($C2094, 'List of log slots'!$A:$E, 2, FALSE)</f>
        <v>Shayzien gloves (4)</v>
      </c>
      <c r="E2094" s="207">
        <f>VLOOKUP($C2094, 'List of log slots'!$A:$E, 5, FALSE)</f>
        <v>2</v>
      </c>
      <c r="F2094" s="213" t="b">
        <f>VLOOKUP(C2094, 'List of log slots'!$A:$C, 3, FALSE)</f>
        <v>0</v>
      </c>
      <c r="G2094" s="209" t="b">
        <f t="shared" si="1524"/>
        <v>0</v>
      </c>
      <c r="H2094" s="209" t="b">
        <f t="shared" si="7"/>
        <v>1</v>
      </c>
      <c r="I2094" s="213" t="b">
        <f t="shared" ref="I2094:J2094" si="1622">TRUE</f>
        <v>1</v>
      </c>
      <c r="J2094" s="213" t="b">
        <f t="shared" si="1622"/>
        <v>1</v>
      </c>
      <c r="K2094" s="214">
        <v>1.0</v>
      </c>
      <c r="L2094" s="207">
        <f t="shared" si="3"/>
        <v>1</v>
      </c>
      <c r="M2094" s="212" t="str">
        <f t="shared" si="4"/>
        <v>n/a</v>
      </c>
      <c r="N2094" s="207" t="str">
        <f t="shared" si="1421"/>
        <v>n/a</v>
      </c>
      <c r="O2094" s="207" t="str">
        <f t="shared" si="1422"/>
        <v>n/a</v>
      </c>
    </row>
    <row r="2095">
      <c r="A2095" s="207">
        <v>154.0</v>
      </c>
      <c r="B2095" s="6" t="str">
        <f>VLOOKUP($A2095, 'Completion rates'!$A:$E, 2, FALSE)</f>
        <v>Killing soldiers in the shayzien combat ring</v>
      </c>
      <c r="C2095" s="207">
        <v>13373.0</v>
      </c>
      <c r="D2095" s="6" t="str">
        <f>VLOOKUP($C2095, 'List of log slots'!$A:$E, 2, FALSE)</f>
        <v>Shayzien boots (4)</v>
      </c>
      <c r="E2095" s="207">
        <f>VLOOKUP($C2095, 'List of log slots'!$A:$E, 5, FALSE)</f>
        <v>2</v>
      </c>
      <c r="F2095" s="213" t="b">
        <f>VLOOKUP(C2095, 'List of log slots'!$A:$C, 3, FALSE)</f>
        <v>0</v>
      </c>
      <c r="G2095" s="209" t="b">
        <f t="shared" si="1524"/>
        <v>0</v>
      </c>
      <c r="H2095" s="209" t="b">
        <f t="shared" si="7"/>
        <v>1</v>
      </c>
      <c r="I2095" s="213" t="b">
        <f t="shared" ref="I2095:J2095" si="1623">TRUE</f>
        <v>1</v>
      </c>
      <c r="J2095" s="213" t="b">
        <f t="shared" si="1623"/>
        <v>1</v>
      </c>
      <c r="K2095" s="214">
        <v>1.0</v>
      </c>
      <c r="L2095" s="207">
        <f t="shared" si="3"/>
        <v>1</v>
      </c>
      <c r="M2095" s="212" t="str">
        <f t="shared" si="4"/>
        <v>n/a</v>
      </c>
      <c r="N2095" s="207" t="str">
        <f t="shared" si="1421"/>
        <v>n/a</v>
      </c>
      <c r="O2095" s="207" t="str">
        <f t="shared" si="1422"/>
        <v>n/a</v>
      </c>
    </row>
    <row r="2096">
      <c r="A2096" s="207">
        <v>154.0</v>
      </c>
      <c r="B2096" s="6" t="str">
        <f>VLOOKUP($A2096, 'Completion rates'!$A:$E, 2, FALSE)</f>
        <v>Killing soldiers in the shayzien combat ring</v>
      </c>
      <c r="C2096" s="207">
        <v>13374.0</v>
      </c>
      <c r="D2096" s="6" t="str">
        <f>VLOOKUP($C2096, 'List of log slots'!$A:$E, 2, FALSE)</f>
        <v>Shayzien helm (4)</v>
      </c>
      <c r="E2096" s="207">
        <f>VLOOKUP($C2096, 'List of log slots'!$A:$E, 5, FALSE)</f>
        <v>2</v>
      </c>
      <c r="F2096" s="213" t="b">
        <f>VLOOKUP(C2096, 'List of log slots'!$A:$C, 3, FALSE)</f>
        <v>0</v>
      </c>
      <c r="G2096" s="209" t="b">
        <f t="shared" si="1524"/>
        <v>0</v>
      </c>
      <c r="H2096" s="209" t="b">
        <f t="shared" si="7"/>
        <v>1</v>
      </c>
      <c r="I2096" s="213" t="b">
        <f t="shared" ref="I2096:J2096" si="1624">TRUE</f>
        <v>1</v>
      </c>
      <c r="J2096" s="213" t="b">
        <f t="shared" si="1624"/>
        <v>1</v>
      </c>
      <c r="K2096" s="214">
        <v>1.0</v>
      </c>
      <c r="L2096" s="207">
        <f t="shared" si="3"/>
        <v>1</v>
      </c>
      <c r="M2096" s="212" t="str">
        <f t="shared" si="4"/>
        <v>n/a</v>
      </c>
      <c r="N2096" s="207" t="str">
        <f t="shared" si="1421"/>
        <v>n/a</v>
      </c>
      <c r="O2096" s="207" t="str">
        <f t="shared" si="1422"/>
        <v>n/a</v>
      </c>
    </row>
    <row r="2097">
      <c r="A2097" s="207">
        <v>154.0</v>
      </c>
      <c r="B2097" s="6" t="str">
        <f>VLOOKUP($A2097, 'Completion rates'!$A:$E, 2, FALSE)</f>
        <v>Killing soldiers in the shayzien combat ring</v>
      </c>
      <c r="C2097" s="207">
        <v>13375.0</v>
      </c>
      <c r="D2097" s="6" t="str">
        <f>VLOOKUP($C2097, 'List of log slots'!$A:$E, 2, FALSE)</f>
        <v>Shayzien greaves (4)</v>
      </c>
      <c r="E2097" s="207">
        <f>VLOOKUP($C2097, 'List of log slots'!$A:$E, 5, FALSE)</f>
        <v>2</v>
      </c>
      <c r="F2097" s="213" t="b">
        <f>VLOOKUP(C2097, 'List of log slots'!$A:$C, 3, FALSE)</f>
        <v>0</v>
      </c>
      <c r="G2097" s="209" t="b">
        <f t="shared" si="1524"/>
        <v>0</v>
      </c>
      <c r="H2097" s="209" t="b">
        <f t="shared" si="7"/>
        <v>1</v>
      </c>
      <c r="I2097" s="213" t="b">
        <f t="shared" ref="I2097:J2097" si="1625">TRUE</f>
        <v>1</v>
      </c>
      <c r="J2097" s="213" t="b">
        <f t="shared" si="1625"/>
        <v>1</v>
      </c>
      <c r="K2097" s="214">
        <v>1.0</v>
      </c>
      <c r="L2097" s="207">
        <f t="shared" si="3"/>
        <v>1</v>
      </c>
      <c r="M2097" s="212" t="str">
        <f t="shared" si="4"/>
        <v>n/a</v>
      </c>
      <c r="N2097" s="207" t="str">
        <f t="shared" si="1421"/>
        <v>n/a</v>
      </c>
      <c r="O2097" s="207" t="str">
        <f t="shared" si="1422"/>
        <v>n/a</v>
      </c>
    </row>
    <row r="2098">
      <c r="A2098" s="207">
        <v>154.0</v>
      </c>
      <c r="B2098" s="6" t="str">
        <f>VLOOKUP($A2098, 'Completion rates'!$A:$E, 2, FALSE)</f>
        <v>Killing soldiers in the shayzien combat ring</v>
      </c>
      <c r="C2098" s="207">
        <v>13376.0</v>
      </c>
      <c r="D2098" s="6" t="str">
        <f>VLOOKUP($C2098, 'List of log slots'!$A:$E, 2, FALSE)</f>
        <v>Shayzien platebody (4)</v>
      </c>
      <c r="E2098" s="207">
        <f>VLOOKUP($C2098, 'List of log slots'!$A:$E, 5, FALSE)</f>
        <v>2</v>
      </c>
      <c r="F2098" s="210" t="b">
        <f>VLOOKUP(C2098, 'List of log slots'!$A:$C, 3, FALSE)</f>
        <v>0</v>
      </c>
      <c r="G2098" s="209" t="b">
        <f t="shared" si="1524"/>
        <v>0</v>
      </c>
      <c r="H2098" s="209" t="b">
        <f t="shared" si="7"/>
        <v>1</v>
      </c>
      <c r="I2098" s="213" t="b">
        <f t="shared" ref="I2098:J2098" si="1626">TRUE</f>
        <v>1</v>
      </c>
      <c r="J2098" s="213" t="b">
        <f t="shared" si="1626"/>
        <v>1</v>
      </c>
      <c r="K2098" s="214">
        <v>1.0</v>
      </c>
      <c r="L2098" s="207">
        <f t="shared" si="3"/>
        <v>1</v>
      </c>
      <c r="M2098" s="212" t="str">
        <f t="shared" si="4"/>
        <v>n/a</v>
      </c>
      <c r="N2098" s="207" t="str">
        <f t="shared" si="1421"/>
        <v>n/a</v>
      </c>
      <c r="O2098" s="207" t="str">
        <f t="shared" si="1422"/>
        <v>n/a</v>
      </c>
    </row>
    <row r="2099">
      <c r="A2099" s="207">
        <v>154.0</v>
      </c>
      <c r="B2099" s="6" t="str">
        <f>VLOOKUP($A2099, 'Completion rates'!$A:$E, 2, FALSE)</f>
        <v>Killing soldiers in the shayzien combat ring</v>
      </c>
      <c r="C2099" s="207">
        <v>13377.0</v>
      </c>
      <c r="D2099" s="6" t="str">
        <f>VLOOKUP($C2099, 'List of log slots'!$A:$E, 2, FALSE)</f>
        <v>Shayzien gloves (5)</v>
      </c>
      <c r="E2099" s="207">
        <f>VLOOKUP($C2099, 'List of log slots'!$A:$E, 5, FALSE)</f>
        <v>2</v>
      </c>
      <c r="F2099" s="210" t="b">
        <f>VLOOKUP(C2099, 'List of log slots'!$A:$C, 3, FALSE)</f>
        <v>0</v>
      </c>
      <c r="G2099" s="209" t="b">
        <f t="shared" si="1524"/>
        <v>0</v>
      </c>
      <c r="H2099" s="209" t="b">
        <f t="shared" si="7"/>
        <v>1</v>
      </c>
      <c r="I2099" s="213" t="b">
        <f t="shared" ref="I2099:J2099" si="1627">TRUE</f>
        <v>1</v>
      </c>
      <c r="J2099" s="213" t="b">
        <f t="shared" si="1627"/>
        <v>1</v>
      </c>
      <c r="K2099" s="214">
        <v>1.0</v>
      </c>
      <c r="L2099" s="207">
        <f t="shared" si="3"/>
        <v>1</v>
      </c>
      <c r="M2099" s="212" t="str">
        <f t="shared" si="4"/>
        <v>n/a</v>
      </c>
      <c r="N2099" s="207" t="str">
        <f t="shared" si="1421"/>
        <v>n/a</v>
      </c>
      <c r="O2099" s="207" t="str">
        <f t="shared" si="1422"/>
        <v>n/a</v>
      </c>
    </row>
    <row r="2100">
      <c r="A2100" s="207">
        <v>154.0</v>
      </c>
      <c r="B2100" s="6" t="str">
        <f>VLOOKUP($A2100, 'Completion rates'!$A:$E, 2, FALSE)</f>
        <v>Killing soldiers in the shayzien combat ring</v>
      </c>
      <c r="C2100" s="207">
        <v>13378.0</v>
      </c>
      <c r="D2100" s="6" t="str">
        <f>VLOOKUP($C2100, 'List of log slots'!$A:$E, 2, FALSE)</f>
        <v>Shayzien boots (5)</v>
      </c>
      <c r="E2100" s="207">
        <f>VLOOKUP($C2100, 'List of log slots'!$A:$E, 5, FALSE)</f>
        <v>2</v>
      </c>
      <c r="F2100" s="210" t="b">
        <f>VLOOKUP(C2100, 'List of log slots'!$A:$C, 3, FALSE)</f>
        <v>0</v>
      </c>
      <c r="G2100" s="209" t="b">
        <f t="shared" si="1524"/>
        <v>0</v>
      </c>
      <c r="H2100" s="209" t="b">
        <f t="shared" si="7"/>
        <v>1</v>
      </c>
      <c r="I2100" s="213" t="b">
        <f t="shared" ref="I2100:J2100" si="1628">TRUE</f>
        <v>1</v>
      </c>
      <c r="J2100" s="213" t="b">
        <f t="shared" si="1628"/>
        <v>1</v>
      </c>
      <c r="K2100" s="214">
        <v>1.0</v>
      </c>
      <c r="L2100" s="207">
        <f t="shared" si="3"/>
        <v>1</v>
      </c>
      <c r="M2100" s="212" t="str">
        <f t="shared" si="4"/>
        <v>n/a</v>
      </c>
      <c r="N2100" s="207" t="str">
        <f t="shared" si="1421"/>
        <v>n/a</v>
      </c>
      <c r="O2100" s="207" t="str">
        <f t="shared" si="1422"/>
        <v>n/a</v>
      </c>
    </row>
    <row r="2101">
      <c r="A2101" s="207">
        <v>154.0</v>
      </c>
      <c r="B2101" s="6" t="str">
        <f>VLOOKUP($A2101, 'Completion rates'!$A:$E, 2, FALSE)</f>
        <v>Killing soldiers in the shayzien combat ring</v>
      </c>
      <c r="C2101" s="207">
        <v>13379.0</v>
      </c>
      <c r="D2101" s="6" t="str">
        <f>VLOOKUP($C2101, 'List of log slots'!$A:$E, 2, FALSE)</f>
        <v>Shayzien helm (5)</v>
      </c>
      <c r="E2101" s="207">
        <f>VLOOKUP($C2101, 'List of log slots'!$A:$E, 5, FALSE)</f>
        <v>2</v>
      </c>
      <c r="F2101" s="210" t="b">
        <f>VLOOKUP(C2101, 'List of log slots'!$A:$C, 3, FALSE)</f>
        <v>0</v>
      </c>
      <c r="G2101" s="209" t="b">
        <f t="shared" si="1524"/>
        <v>0</v>
      </c>
      <c r="H2101" s="209" t="b">
        <f t="shared" si="7"/>
        <v>1</v>
      </c>
      <c r="I2101" s="213" t="b">
        <f t="shared" ref="I2101:J2101" si="1629">TRUE</f>
        <v>1</v>
      </c>
      <c r="J2101" s="213" t="b">
        <f t="shared" si="1629"/>
        <v>1</v>
      </c>
      <c r="K2101" s="214">
        <v>1.0</v>
      </c>
      <c r="L2101" s="207">
        <f t="shared" si="3"/>
        <v>1</v>
      </c>
      <c r="M2101" s="212" t="str">
        <f t="shared" si="4"/>
        <v>n/a</v>
      </c>
      <c r="N2101" s="207" t="str">
        <f t="shared" si="1421"/>
        <v>n/a</v>
      </c>
      <c r="O2101" s="207" t="str">
        <f t="shared" si="1422"/>
        <v>n/a</v>
      </c>
    </row>
    <row r="2102">
      <c r="A2102" s="207">
        <v>154.0</v>
      </c>
      <c r="B2102" s="6" t="str">
        <f>VLOOKUP($A2102, 'Completion rates'!$A:$E, 2, FALSE)</f>
        <v>Killing soldiers in the shayzien combat ring</v>
      </c>
      <c r="C2102" s="207">
        <v>13380.0</v>
      </c>
      <c r="D2102" s="6" t="str">
        <f>VLOOKUP($C2102, 'List of log slots'!$A:$E, 2, FALSE)</f>
        <v>Shayzien greaves (5)</v>
      </c>
      <c r="E2102" s="207">
        <f>VLOOKUP($C2102, 'List of log slots'!$A:$E, 5, FALSE)</f>
        <v>2</v>
      </c>
      <c r="F2102" s="213" t="b">
        <f>VLOOKUP(C2102, 'List of log slots'!$A:$C, 3, FALSE)</f>
        <v>0</v>
      </c>
      <c r="G2102" s="209" t="b">
        <f t="shared" si="1524"/>
        <v>0</v>
      </c>
      <c r="H2102" s="209" t="b">
        <f t="shared" si="7"/>
        <v>1</v>
      </c>
      <c r="I2102" s="213" t="b">
        <f t="shared" ref="I2102:J2102" si="1630">TRUE</f>
        <v>1</v>
      </c>
      <c r="J2102" s="213" t="b">
        <f t="shared" si="1630"/>
        <v>1</v>
      </c>
      <c r="K2102" s="214">
        <v>1.0</v>
      </c>
      <c r="L2102" s="207">
        <f t="shared" si="3"/>
        <v>1</v>
      </c>
      <c r="M2102" s="212" t="str">
        <f t="shared" si="4"/>
        <v>n/a</v>
      </c>
      <c r="N2102" s="207" t="str">
        <f t="shared" si="1421"/>
        <v>n/a</v>
      </c>
      <c r="O2102" s="207" t="str">
        <f t="shared" si="1422"/>
        <v>n/a</v>
      </c>
    </row>
    <row r="2103">
      <c r="A2103" s="207">
        <v>154.0</v>
      </c>
      <c r="B2103" s="6" t="str">
        <f>VLOOKUP($A2103, 'Completion rates'!$A:$E, 2, FALSE)</f>
        <v>Killing soldiers in the shayzien combat ring</v>
      </c>
      <c r="C2103" s="207">
        <v>13381.0</v>
      </c>
      <c r="D2103" s="6" t="str">
        <f>VLOOKUP($C2103, 'List of log slots'!$A:$E, 2, FALSE)</f>
        <v>Shayzien body (5)</v>
      </c>
      <c r="E2103" s="207">
        <f>VLOOKUP($C2103, 'List of log slots'!$A:$E, 5, FALSE)</f>
        <v>2</v>
      </c>
      <c r="F2103" s="213" t="b">
        <f>VLOOKUP(C2103, 'List of log slots'!$A:$C, 3, FALSE)</f>
        <v>0</v>
      </c>
      <c r="G2103" s="209" t="b">
        <f t="shared" si="1524"/>
        <v>0</v>
      </c>
      <c r="H2103" s="209" t="b">
        <f t="shared" si="7"/>
        <v>1</v>
      </c>
      <c r="I2103" s="213" t="b">
        <f t="shared" ref="I2103:J2103" si="1631">TRUE</f>
        <v>1</v>
      </c>
      <c r="J2103" s="213" t="b">
        <f t="shared" si="1631"/>
        <v>1</v>
      </c>
      <c r="K2103" s="214">
        <v>1.0</v>
      </c>
      <c r="L2103" s="207">
        <f t="shared" si="3"/>
        <v>1</v>
      </c>
      <c r="M2103" s="212" t="str">
        <f t="shared" si="4"/>
        <v>n/a</v>
      </c>
      <c r="N2103" s="207" t="str">
        <f t="shared" si="1421"/>
        <v>n/a</v>
      </c>
      <c r="O2103" s="207" t="str">
        <f t="shared" si="1422"/>
        <v>n/a</v>
      </c>
    </row>
    <row r="2104">
      <c r="A2104" s="207">
        <v>155.0</v>
      </c>
      <c r="B2104" s="6" t="str">
        <f>VLOOKUP($A2104, 'Completion rates'!$A:$E, 2, FALSE)</f>
        <v>Mining stardust from shooting stars</v>
      </c>
      <c r="C2104" s="207">
        <v>25539.0</v>
      </c>
      <c r="D2104" s="6" t="str">
        <f>VLOOKUP($C2104, 'List of log slots'!$A:$E, 2, FALSE)</f>
        <v>Celestial ring (uncharged)</v>
      </c>
      <c r="E2104" s="207">
        <f>VLOOKUP($C2104, 'List of log slots'!$A:$E, 5, FALSE)</f>
        <v>1</v>
      </c>
      <c r="F2104" s="213" t="b">
        <f>VLOOKUP(C2104, 'List of log slots'!$A:$C, 3, FALSE)</f>
        <v>0</v>
      </c>
      <c r="G2104" s="209" t="b">
        <f t="shared" si="1524"/>
        <v>0</v>
      </c>
      <c r="H2104" s="209" t="b">
        <f t="shared" si="7"/>
        <v>1</v>
      </c>
      <c r="I2104" s="213" t="b">
        <f t="shared" ref="I2104:J2104" si="1632">TRUE</f>
        <v>1</v>
      </c>
      <c r="J2104" s="213" t="b">
        <f t="shared" si="1632"/>
        <v>1</v>
      </c>
      <c r="K2104" s="214">
        <v>2000.0</v>
      </c>
      <c r="L2104" s="207">
        <f t="shared" si="3"/>
        <v>2000</v>
      </c>
      <c r="M2104" s="212" t="str">
        <f t="shared" si="4"/>
        <v>n/a</v>
      </c>
      <c r="N2104" s="207" t="str">
        <f t="shared" si="1421"/>
        <v>n/a</v>
      </c>
      <c r="O2104" s="207" t="str">
        <f t="shared" si="1422"/>
        <v>n/a</v>
      </c>
    </row>
    <row r="2105">
      <c r="A2105" s="207">
        <v>155.0</v>
      </c>
      <c r="B2105" s="6" t="str">
        <f>VLOOKUP($A2105, 'Completion rates'!$A:$E, 2, FALSE)</f>
        <v>Mining stardust from shooting stars</v>
      </c>
      <c r="C2105" s="207">
        <v>25547.0</v>
      </c>
      <c r="D2105" s="6" t="str">
        <f>VLOOKUP($C2105, 'List of log slots'!$A:$E, 2, FALSE)</f>
        <v>Star fragment</v>
      </c>
      <c r="E2105" s="207">
        <f>VLOOKUP($C2105, 'List of log slots'!$A:$E, 5, FALSE)</f>
        <v>1</v>
      </c>
      <c r="F2105" s="213" t="b">
        <f>VLOOKUP(C2105, 'List of log slots'!$A:$C, 3, FALSE)</f>
        <v>0</v>
      </c>
      <c r="G2105" s="209" t="b">
        <f t="shared" si="1524"/>
        <v>0</v>
      </c>
      <c r="H2105" s="209" t="b">
        <f t="shared" si="7"/>
        <v>1</v>
      </c>
      <c r="I2105" s="213" t="b">
        <f t="shared" ref="I2105:J2105" si="1633">TRUE</f>
        <v>1</v>
      </c>
      <c r="J2105" s="213" t="b">
        <f t="shared" si="1633"/>
        <v>1</v>
      </c>
      <c r="K2105" s="214">
        <v>3000.0</v>
      </c>
      <c r="L2105" s="207">
        <f t="shared" si="3"/>
        <v>3000</v>
      </c>
      <c r="M2105" s="212" t="str">
        <f t="shared" si="4"/>
        <v>n/a</v>
      </c>
      <c r="N2105" s="207" t="str">
        <f t="shared" si="1421"/>
        <v>n/a</v>
      </c>
      <c r="O2105" s="207" t="str">
        <f t="shared" si="1422"/>
        <v>n/a</v>
      </c>
    </row>
    <row r="2106">
      <c r="A2106" s="207">
        <v>156.0</v>
      </c>
      <c r="B2106" s="6" t="str">
        <f>VLOOKUP($A2106, 'Completion rates'!$A:$E, 2, FALSE)</f>
        <v>Fishing (2-tick tuna and swordfish) </v>
      </c>
      <c r="C2106" s="207">
        <v>13320.0</v>
      </c>
      <c r="D2106" s="6" t="str">
        <f>VLOOKUP($C2106, 'List of log slots'!$A:$E, 2, FALSE)</f>
        <v>Heron</v>
      </c>
      <c r="E2106" s="207">
        <f>VLOOKUP($C2106, 'List of log slots'!$A:$E, 5, FALSE)</f>
        <v>7</v>
      </c>
      <c r="F2106" s="208" t="b">
        <f>VLOOKUP(C2106, 'List of log slots'!$A:$C, 3, FALSE)</f>
        <v>0</v>
      </c>
      <c r="G2106" s="209" t="b">
        <f t="shared" si="1524"/>
        <v>0</v>
      </c>
      <c r="H2106" s="210" t="b">
        <f t="shared" si="7"/>
        <v>1</v>
      </c>
      <c r="I2106" s="208" t="b">
        <f t="shared" ref="I2106:J2106" si="1634">FALSE</f>
        <v>0</v>
      </c>
      <c r="J2106" s="208" t="b">
        <f t="shared" si="1634"/>
        <v>0</v>
      </c>
      <c r="K2106" s="214">
        <v>126410.0</v>
      </c>
      <c r="L2106" s="207" t="str">
        <f t="shared" si="3"/>
        <v>n/a</v>
      </c>
      <c r="M2106" s="212" t="str">
        <f t="shared" si="4"/>
        <v>n/a</v>
      </c>
      <c r="N2106" s="207" t="str">
        <f t="shared" si="1421"/>
        <v>n/a</v>
      </c>
      <c r="O2106" s="207">
        <f t="shared" si="1422"/>
        <v>0.000007910766553</v>
      </c>
    </row>
    <row r="2107">
      <c r="A2107" s="207">
        <v>156.0</v>
      </c>
      <c r="B2107" s="6" t="str">
        <f>VLOOKUP($A2107, 'Completion rates'!$A:$E, 2, FALSE)</f>
        <v>Fishing (2-tick tuna and swordfish) </v>
      </c>
      <c r="C2107" s="207">
        <v>7991.0</v>
      </c>
      <c r="D2107" s="6" t="str">
        <f>VLOOKUP($C2107, 'List of log slots'!$A:$E, 2, FALSE)</f>
        <v>Big swordfish</v>
      </c>
      <c r="E2107" s="207">
        <f>VLOOKUP($C2107, 'List of log slots'!$A:$E, 5, FALSE)</f>
        <v>5</v>
      </c>
      <c r="F2107" s="208" t="b">
        <f>VLOOKUP(C2107, 'List of log slots'!$A:$C, 3, FALSE)</f>
        <v>0</v>
      </c>
      <c r="G2107" s="209" t="b">
        <f t="shared" si="1524"/>
        <v>0</v>
      </c>
      <c r="H2107" s="210" t="b">
        <f t="shared" si="7"/>
        <v>1</v>
      </c>
      <c r="I2107" s="208" t="b">
        <f t="shared" ref="I2107:J2107" si="1635">FALSE</f>
        <v>0</v>
      </c>
      <c r="J2107" s="208" t="b">
        <f t="shared" si="1635"/>
        <v>0</v>
      </c>
      <c r="K2107" s="214">
        <v>7500.0</v>
      </c>
      <c r="L2107" s="207" t="str">
        <f t="shared" si="3"/>
        <v>n/a</v>
      </c>
      <c r="M2107" s="212" t="str">
        <f t="shared" si="4"/>
        <v>n/a</v>
      </c>
      <c r="N2107" s="207" t="str">
        <f t="shared" si="1421"/>
        <v>n/a</v>
      </c>
      <c r="O2107" s="207">
        <f t="shared" si="1422"/>
        <v>0.0001333333333</v>
      </c>
    </row>
    <row r="2108">
      <c r="A2108" s="207">
        <v>157.0</v>
      </c>
      <c r="B2108" s="6" t="str">
        <f>VLOOKUP($A2108, 'Completion rates'!$A:$E, 2, FALSE)</f>
        <v>Mining (gemstone rocks)</v>
      </c>
      <c r="C2108" s="207">
        <v>13321.0</v>
      </c>
      <c r="D2108" s="6" t="str">
        <f>VLOOKUP($C2108, 'List of log slots'!$A:$E, 2, FALSE)</f>
        <v>Rock golem</v>
      </c>
      <c r="E2108" s="207">
        <f>VLOOKUP($C2108, 'List of log slots'!$A:$E, 5, FALSE)</f>
        <v>8</v>
      </c>
      <c r="F2108" s="213" t="b">
        <f>VLOOKUP(C2108, 'List of log slots'!$A:$C, 3, FALSE)</f>
        <v>0</v>
      </c>
      <c r="G2108" s="209" t="b">
        <f t="shared" si="1524"/>
        <v>0</v>
      </c>
      <c r="H2108" s="209" t="b">
        <f t="shared" si="7"/>
        <v>1</v>
      </c>
      <c r="I2108" s="208" t="b">
        <f t="shared" ref="I2108:J2108" si="1636">FALSE</f>
        <v>0</v>
      </c>
      <c r="J2108" s="208" t="b">
        <f t="shared" si="1636"/>
        <v>0</v>
      </c>
      <c r="K2108" s="214">
        <v>209411.0</v>
      </c>
      <c r="L2108" s="207" t="str">
        <f t="shared" si="3"/>
        <v>n/a</v>
      </c>
      <c r="M2108" s="212" t="str">
        <f t="shared" si="4"/>
        <v>n/a</v>
      </c>
      <c r="N2108" s="207" t="str">
        <f t="shared" si="1421"/>
        <v>n/a</v>
      </c>
      <c r="O2108" s="207">
        <f t="shared" si="1422"/>
        <v>0.000004775298337</v>
      </c>
    </row>
    <row r="2109">
      <c r="A2109" s="207">
        <v>158.0</v>
      </c>
      <c r="B2109" s="6" t="str">
        <f>VLOOKUP($A2109, 'Completion rates'!$A:$E, 2, FALSE)</f>
        <v>Woodcutting (1.5-tick teaks)</v>
      </c>
      <c r="C2109" s="207">
        <v>13322.0</v>
      </c>
      <c r="D2109" s="6" t="str">
        <f>VLOOKUP($C2109, 'List of log slots'!$A:$E, 2, FALSE)</f>
        <v>Beaver</v>
      </c>
      <c r="E2109" s="207">
        <f>VLOOKUP($C2109, 'List of log slots'!$A:$E, 5, FALSE)</f>
        <v>7</v>
      </c>
      <c r="F2109" s="208" t="b">
        <f>VLOOKUP(C2109, 'List of log slots'!$A:$C, 3, FALSE)</f>
        <v>0</v>
      </c>
      <c r="G2109" s="209" t="b">
        <f t="shared" si="1524"/>
        <v>0</v>
      </c>
      <c r="H2109" s="210" t="b">
        <f t="shared" si="7"/>
        <v>1</v>
      </c>
      <c r="I2109" s="208" t="b">
        <f t="shared" ref="I2109:J2109" si="1637">FALSE</f>
        <v>0</v>
      </c>
      <c r="J2109" s="208" t="b">
        <f t="shared" si="1637"/>
        <v>0</v>
      </c>
      <c r="K2109" s="214">
        <v>261861.0</v>
      </c>
      <c r="L2109" s="207" t="str">
        <f t="shared" si="3"/>
        <v>n/a</v>
      </c>
      <c r="M2109" s="212" t="str">
        <f t="shared" si="4"/>
        <v>n/a</v>
      </c>
      <c r="N2109" s="207" t="str">
        <f t="shared" si="1421"/>
        <v>n/a</v>
      </c>
      <c r="O2109" s="207">
        <f t="shared" si="1422"/>
        <v>0.000003818819908</v>
      </c>
    </row>
    <row r="2110">
      <c r="A2110" s="207">
        <v>159.0</v>
      </c>
      <c r="B2110" s="6" t="str">
        <f>VLOOKUP($A2110, 'Completion rates'!$A:$E, 2, FALSE)</f>
        <v>Hunting chinchompas (black chinchompas)</v>
      </c>
      <c r="C2110" s="207">
        <v>13324.0</v>
      </c>
      <c r="D2110" s="6" t="str">
        <f>VLOOKUP($C2110, 'List of log slots'!$A:$E, 2, FALSE)</f>
        <v>Baby chinchompa</v>
      </c>
      <c r="E2110" s="207">
        <f>VLOOKUP($C2110, 'List of log slots'!$A:$E, 5, FALSE)</f>
        <v>7</v>
      </c>
      <c r="F2110" s="213" t="b">
        <f>VLOOKUP(C2110, 'List of log slots'!$A:$C, 3, FALSE)</f>
        <v>0</v>
      </c>
      <c r="G2110" s="209" t="b">
        <f t="shared" si="1524"/>
        <v>0</v>
      </c>
      <c r="H2110" s="209" t="b">
        <f t="shared" si="7"/>
        <v>1</v>
      </c>
      <c r="I2110" s="208" t="b">
        <f t="shared" ref="I2110:J2110" si="1638">FALSE</f>
        <v>0</v>
      </c>
      <c r="J2110" s="208" t="b">
        <f t="shared" si="1638"/>
        <v>0</v>
      </c>
      <c r="K2110" s="214">
        <v>80283.0</v>
      </c>
      <c r="L2110" s="207" t="str">
        <f t="shared" si="3"/>
        <v>n/a</v>
      </c>
      <c r="M2110" s="212" t="str">
        <f t="shared" si="4"/>
        <v>n/a</v>
      </c>
      <c r="N2110" s="207" t="str">
        <f t="shared" si="1421"/>
        <v>n/a</v>
      </c>
      <c r="O2110" s="207">
        <f t="shared" si="1422"/>
        <v>0.00001245593712</v>
      </c>
    </row>
    <row r="2111">
      <c r="A2111" s="207">
        <v>160.0</v>
      </c>
      <c r="B2111" s="6" t="str">
        <f>VLOOKUP($A2111, 'Completion rates'!$A:$E, 2, FALSE)</f>
        <v>Agility (penguin course)</v>
      </c>
      <c r="C2111" s="207">
        <v>20659.0</v>
      </c>
      <c r="D2111" s="6" t="str">
        <f>VLOOKUP($C2111, 'List of log slots'!$A:$E, 2, FALSE)</f>
        <v>Giant squirrel</v>
      </c>
      <c r="E2111" s="207">
        <f>VLOOKUP($C2111, 'List of log slots'!$A:$E, 5, FALSE)</f>
        <v>8</v>
      </c>
      <c r="F2111" s="208" t="b">
        <f>VLOOKUP(C2111, 'List of log slots'!$A:$C, 3, FALSE)</f>
        <v>0</v>
      </c>
      <c r="G2111" s="209" t="b">
        <f t="shared" si="1524"/>
        <v>0</v>
      </c>
      <c r="H2111" s="210" t="b">
        <f t="shared" si="7"/>
        <v>1</v>
      </c>
      <c r="I2111" s="208" t="b">
        <f t="shared" ref="I2111:J2111" si="1639">FALSE</f>
        <v>0</v>
      </c>
      <c r="J2111" s="208" t="b">
        <f t="shared" si="1639"/>
        <v>0</v>
      </c>
      <c r="K2111" s="214">
        <v>7304.0</v>
      </c>
      <c r="L2111" s="207" t="str">
        <f t="shared" si="3"/>
        <v>n/a</v>
      </c>
      <c r="M2111" s="212" t="str">
        <f t="shared" si="4"/>
        <v>n/a</v>
      </c>
      <c r="N2111" s="207" t="str">
        <f t="shared" si="1421"/>
        <v>n/a</v>
      </c>
      <c r="O2111" s="207">
        <f t="shared" si="1422"/>
        <v>0.0001369112815</v>
      </c>
    </row>
    <row r="2112">
      <c r="A2112" s="207">
        <v>161.0</v>
      </c>
      <c r="B2112" s="6" t="str">
        <f>VLOOKUP($A2112, 'Completion rates'!$A:$E, 2, FALSE)</f>
        <v>Farming (fruit trees)</v>
      </c>
      <c r="C2112" s="207">
        <v>20661.0</v>
      </c>
      <c r="D2112" s="6" t="str">
        <f>VLOOKUP($C2112, 'List of log slots'!$A:$E, 2, FALSE)</f>
        <v>Tangleroot</v>
      </c>
      <c r="E2112" s="207">
        <f>VLOOKUP($C2112, 'List of log slots'!$A:$E, 5, FALSE)</f>
        <v>8</v>
      </c>
      <c r="F2112" s="213" t="b">
        <f>VLOOKUP(C2112, 'List of log slots'!$A:$C, 3, FALSE)</f>
        <v>0</v>
      </c>
      <c r="G2112" s="209" t="b">
        <f t="shared" si="1524"/>
        <v>0</v>
      </c>
      <c r="H2112" s="209" t="b">
        <f t="shared" si="7"/>
        <v>1</v>
      </c>
      <c r="I2112" s="208" t="b">
        <f t="shared" ref="I2112:J2112" si="1640">FALSE</f>
        <v>0</v>
      </c>
      <c r="J2112" s="208" t="b">
        <f t="shared" si="1640"/>
        <v>0</v>
      </c>
      <c r="K2112" s="214">
        <v>6500.0</v>
      </c>
      <c r="L2112" s="207" t="str">
        <f t="shared" si="3"/>
        <v>n/a</v>
      </c>
      <c r="M2112" s="212" t="str">
        <f t="shared" si="4"/>
        <v>n/a</v>
      </c>
      <c r="N2112" s="207" t="str">
        <f t="shared" si="1421"/>
        <v>n/a</v>
      </c>
      <c r="O2112" s="207">
        <f t="shared" si="1422"/>
        <v>0.0001538461538</v>
      </c>
    </row>
    <row r="2113">
      <c r="A2113" s="207">
        <v>161.0</v>
      </c>
      <c r="B2113" s="6" t="str">
        <f>VLOOKUP($A2113, 'Completion rates'!$A:$E, 2, FALSE)</f>
        <v>Farming (fruit trees)</v>
      </c>
      <c r="C2113" s="207">
        <v>22875.0</v>
      </c>
      <c r="D2113" s="6" t="str">
        <f>VLOOKUP($C2113, 'List of log slots'!$A:$E, 2, FALSE)</f>
        <v>Hespori seed</v>
      </c>
      <c r="E2113" s="207">
        <f>VLOOKUP($C2113, 'List of log slots'!$A:$E, 5, FALSE)</f>
        <v>2</v>
      </c>
      <c r="F2113" s="213" t="b">
        <f>VLOOKUP(C2113, 'List of log slots'!$A:$C, 3, FALSE)</f>
        <v>0</v>
      </c>
      <c r="G2113" s="209" t="b">
        <f t="shared" si="1524"/>
        <v>0</v>
      </c>
      <c r="H2113" s="209" t="b">
        <f t="shared" si="7"/>
        <v>1</v>
      </c>
      <c r="I2113" s="208" t="b">
        <f t="shared" ref="I2113:J2113" si="1641">FALSE</f>
        <v>0</v>
      </c>
      <c r="J2113" s="208" t="b">
        <f t="shared" si="1641"/>
        <v>0</v>
      </c>
      <c r="K2113" s="214">
        <v>18.0</v>
      </c>
      <c r="L2113" s="207" t="str">
        <f t="shared" si="3"/>
        <v>n/a</v>
      </c>
      <c r="M2113" s="212" t="str">
        <f t="shared" si="4"/>
        <v>n/a</v>
      </c>
      <c r="N2113" s="207" t="str">
        <f t="shared" si="1421"/>
        <v>n/a</v>
      </c>
      <c r="O2113" s="207">
        <f t="shared" si="1422"/>
        <v>0.05555555556</v>
      </c>
    </row>
    <row r="2114">
      <c r="A2114" s="207">
        <v>162.0</v>
      </c>
      <c r="B2114" s="6" t="str">
        <f>VLOOKUP($A2114, 'Completion rates'!$A:$E, 2, FALSE)</f>
        <v>Thieving (seed stalls)</v>
      </c>
      <c r="C2114" s="207">
        <v>20663.0</v>
      </c>
      <c r="D2114" s="6" t="str">
        <f>VLOOKUP($C2114, 'List of log slots'!$A:$E, 2, FALSE)</f>
        <v>Rocky</v>
      </c>
      <c r="E2114" s="207">
        <f>VLOOKUP($C2114, 'List of log slots'!$A:$E, 5, FALSE)</f>
        <v>6</v>
      </c>
      <c r="F2114" s="213" t="b">
        <f>VLOOKUP(C2114, 'List of log slots'!$A:$C, 3, FALSE)</f>
        <v>0</v>
      </c>
      <c r="G2114" s="209" t="b">
        <f t="shared" si="1524"/>
        <v>0</v>
      </c>
      <c r="H2114" s="209" t="b">
        <f t="shared" si="7"/>
        <v>1</v>
      </c>
      <c r="I2114" s="208" t="b">
        <f t="shared" ref="I2114:J2114" si="1642">FALSE</f>
        <v>0</v>
      </c>
      <c r="J2114" s="208" t="b">
        <f t="shared" si="1642"/>
        <v>0</v>
      </c>
      <c r="K2114" s="214">
        <v>34015.0</v>
      </c>
      <c r="L2114" s="207" t="str">
        <f t="shared" si="3"/>
        <v>n/a</v>
      </c>
      <c r="M2114" s="212" t="str">
        <f t="shared" si="4"/>
        <v>n/a</v>
      </c>
      <c r="N2114" s="207" t="str">
        <f t="shared" si="1421"/>
        <v>n/a</v>
      </c>
      <c r="O2114" s="207">
        <f t="shared" si="1422"/>
        <v>0.00002939879465</v>
      </c>
    </row>
    <row r="2115">
      <c r="A2115" s="212">
        <v>163.0</v>
      </c>
      <c r="B2115" s="6" t="str">
        <f>VLOOKUP($A2115, 'Completion rates'!$A:$E, 2, FALSE)</f>
        <v>Runecrafting (fire runes)</v>
      </c>
      <c r="C2115" s="212">
        <v>20665.0</v>
      </c>
      <c r="D2115" s="6" t="str">
        <f>VLOOKUP($C2115, 'List of log slots'!$A:$E, 2, FALSE)</f>
        <v>Rift guardian</v>
      </c>
      <c r="E2115" s="207">
        <f>VLOOKUP($C2115, 'List of log slots'!$A:$E, 5, FALSE)</f>
        <v>8</v>
      </c>
      <c r="F2115" s="208" t="b">
        <f>VLOOKUP(C2115, 'List of log slots'!$A:$C, 3, FALSE)</f>
        <v>0</v>
      </c>
      <c r="G2115" s="209" t="b">
        <f t="shared" si="1524"/>
        <v>0</v>
      </c>
      <c r="H2115" s="210" t="b">
        <f t="shared" si="7"/>
        <v>1</v>
      </c>
      <c r="I2115" s="208" t="b">
        <f t="shared" ref="I2115:J2115" si="1643">FALSE</f>
        <v>0</v>
      </c>
      <c r="J2115" s="208" t="b">
        <f t="shared" si="1643"/>
        <v>0</v>
      </c>
      <c r="K2115" s="214">
        <v>1793283.0</v>
      </c>
      <c r="L2115" s="207" t="str">
        <f t="shared" si="3"/>
        <v>n/a</v>
      </c>
      <c r="M2115" s="212" t="str">
        <f t="shared" si="4"/>
        <v>n/a</v>
      </c>
      <c r="N2115" s="207" t="str">
        <f t="shared" si="1421"/>
        <v>n/a</v>
      </c>
      <c r="O2115" s="207">
        <f t="shared" si="1422"/>
        <v>0.000000557636469</v>
      </c>
    </row>
    <row r="2116">
      <c r="A2116" s="212">
        <v>164.0</v>
      </c>
      <c r="B2116" s="6" t="str">
        <f>VLOOKUP($A2116, 'Completion rates'!$A:$E, 2, FALSE)</f>
        <v>Sailing (port tasks)</v>
      </c>
      <c r="C2116" s="207">
        <v>31283.0</v>
      </c>
      <c r="D2116" s="6" t="str">
        <f>VLOOKUP($C2116, 'List of log slots'!$A:$E, 2, FALSE)</f>
        <v>Soup</v>
      </c>
      <c r="E2116" s="207">
        <f>VLOOKUP($C2116, 'List of log slots'!$A:$E, 5, FALSE)</f>
        <v>7</v>
      </c>
      <c r="F2116" s="208" t="b">
        <f>VLOOKUP(C2116, 'List of log slots'!$A:$C, 3, FALSE)</f>
        <v>0</v>
      </c>
      <c r="G2116" s="209" t="b">
        <f t="shared" si="1524"/>
        <v>0</v>
      </c>
      <c r="H2116" s="210" t="b">
        <f t="shared" si="7"/>
        <v>1</v>
      </c>
      <c r="I2116" s="208" t="b">
        <f t="shared" ref="I2116:J2116" si="1644">FALSE</f>
        <v>0</v>
      </c>
      <c r="J2116" s="208" t="b">
        <f t="shared" si="1644"/>
        <v>0</v>
      </c>
      <c r="K2116" s="214">
        <v>4500.0</v>
      </c>
      <c r="L2116" s="207" t="str">
        <f t="shared" si="3"/>
        <v>n/a</v>
      </c>
      <c r="M2116" s="212" t="str">
        <f t="shared" si="4"/>
        <v>n/a</v>
      </c>
      <c r="N2116" s="207" t="str">
        <f t="shared" si="1421"/>
        <v>n/a</v>
      </c>
      <c r="O2116" s="207">
        <f t="shared" si="1422"/>
        <v>0.0002222222222</v>
      </c>
    </row>
    <row r="2117">
      <c r="A2117" s="212">
        <v>164.0</v>
      </c>
      <c r="B2117" s="6" t="str">
        <f>VLOOKUP($A2117, 'Completion rates'!$A:$E, 2, FALSE)</f>
        <v>Sailing (port tasks)</v>
      </c>
      <c r="C2117" s="207">
        <v>32090.0</v>
      </c>
      <c r="D2117" s="6" t="str">
        <f>VLOOKUP($C2117, 'List of log slots'!$A:$E, 2, FALSE)</f>
        <v>Shark paint</v>
      </c>
      <c r="E2117" s="207">
        <f>VLOOKUP($C2117, 'List of log slots'!$A:$E, 5, FALSE)</f>
        <v>1</v>
      </c>
      <c r="F2117" s="213" t="b">
        <f>VLOOKUP(C2117, 'List of log slots'!$A:$C, 3, FALSE)</f>
        <v>0</v>
      </c>
      <c r="G2117" s="209" t="b">
        <f t="shared" si="1524"/>
        <v>0</v>
      </c>
      <c r="H2117" s="209" t="b">
        <f t="shared" si="7"/>
        <v>1</v>
      </c>
      <c r="I2117" s="208" t="b">
        <f t="shared" ref="I2117:J2117" si="1645">FALSE</f>
        <v>0</v>
      </c>
      <c r="J2117" s="208" t="b">
        <f t="shared" si="1645"/>
        <v>0</v>
      </c>
      <c r="K2117" s="214">
        <v>36.0</v>
      </c>
      <c r="L2117" s="207" t="str">
        <f t="shared" si="3"/>
        <v>n/a</v>
      </c>
      <c r="M2117" s="212" t="str">
        <f t="shared" si="4"/>
        <v>n/a</v>
      </c>
      <c r="N2117" s="207" t="str">
        <f t="shared" si="1421"/>
        <v>n/a</v>
      </c>
      <c r="O2117" s="207">
        <f t="shared" si="1422"/>
        <v>0.02777777778</v>
      </c>
    </row>
    <row r="2118">
      <c r="A2118" s="212">
        <v>165.0</v>
      </c>
      <c r="B2118" s="6" t="str">
        <f>VLOOKUP($A2118, 'Completion rates'!$A:$E, 2, FALSE)</f>
        <v>Killing crawling hands</v>
      </c>
      <c r="C2118" s="207">
        <v>7975.0</v>
      </c>
      <c r="D2118" s="6" t="str">
        <f>VLOOKUP($C2118, 'List of log slots'!$A:$E, 2, FALSE)</f>
        <v>Crawling hand</v>
      </c>
      <c r="E2118" s="207">
        <f>VLOOKUP($C2118, 'List of log slots'!$A:$E, 5, FALSE)</f>
        <v>3</v>
      </c>
      <c r="F2118" s="208" t="b">
        <f>VLOOKUP(C2118, 'List of log slots'!$A:$C, 3, FALSE)</f>
        <v>0</v>
      </c>
      <c r="G2118" s="209" t="b">
        <f t="shared" si="1524"/>
        <v>0</v>
      </c>
      <c r="H2118" s="210" t="b">
        <f t="shared" si="7"/>
        <v>1</v>
      </c>
      <c r="I2118" s="208" t="b">
        <f t="shared" ref="I2118:J2118" si="1646">FALSE</f>
        <v>0</v>
      </c>
      <c r="J2118" s="208" t="b">
        <f t="shared" si="1646"/>
        <v>0</v>
      </c>
      <c r="K2118" s="214">
        <v>500.0</v>
      </c>
      <c r="L2118" s="207" t="str">
        <f t="shared" si="3"/>
        <v>n/a</v>
      </c>
      <c r="M2118" s="212" t="str">
        <f t="shared" si="4"/>
        <v>n/a</v>
      </c>
      <c r="N2118" s="207" t="str">
        <f t="shared" si="1421"/>
        <v>n/a</v>
      </c>
      <c r="O2118" s="207">
        <f t="shared" si="1422"/>
        <v>0.002</v>
      </c>
    </row>
    <row r="2119">
      <c r="A2119" s="212">
        <v>165.0</v>
      </c>
      <c r="B2119" s="6" t="str">
        <f>VLOOKUP($A2119, 'Completion rates'!$A:$E, 2, FALSE)</f>
        <v>Killing crawling hands</v>
      </c>
      <c r="C2119" s="212">
        <v>2366.0</v>
      </c>
      <c r="D2119" s="6" t="str">
        <f>VLOOKUP($C2119, 'List of log slots'!$A:$E, 2, FALSE)</f>
        <v>Shield left half</v>
      </c>
      <c r="E2119" s="207">
        <f>VLOOKUP($C2119, 'List of log slots'!$A:$E, 5, FALSE)</f>
        <v>5</v>
      </c>
      <c r="F2119" s="213" t="b">
        <f>VLOOKUP(C2119, 'List of log slots'!$A:$C, 3, FALSE)</f>
        <v>0</v>
      </c>
      <c r="G2119" s="209" t="b">
        <f t="shared" si="1524"/>
        <v>0</v>
      </c>
      <c r="H2119" s="209" t="b">
        <f t="shared" si="7"/>
        <v>1</v>
      </c>
      <c r="I2119" s="208" t="b">
        <f t="shared" ref="I2119:J2119" si="1647">FALSE</f>
        <v>0</v>
      </c>
      <c r="J2119" s="208" t="b">
        <f t="shared" si="1647"/>
        <v>0</v>
      </c>
      <c r="K2119" s="214">
        <v>262144.0</v>
      </c>
      <c r="L2119" s="207" t="str">
        <f t="shared" si="3"/>
        <v>n/a</v>
      </c>
      <c r="M2119" s="212" t="str">
        <f t="shared" si="4"/>
        <v>n/a</v>
      </c>
      <c r="N2119" s="207" t="str">
        <f t="shared" si="1421"/>
        <v>n/a</v>
      </c>
      <c r="O2119" s="207">
        <f t="shared" si="1422"/>
        <v>0.000003814697266</v>
      </c>
    </row>
    <row r="2120">
      <c r="A2120" s="212">
        <v>165.0</v>
      </c>
      <c r="B2120" s="6" t="str">
        <f>VLOOKUP($A2120, 'Completion rates'!$A:$E, 2, FALSE)</f>
        <v>Killing crawling hands</v>
      </c>
      <c r="C2120" s="212">
        <v>1249.0</v>
      </c>
      <c r="D2120" s="6" t="str">
        <f>VLOOKUP($C2120, 'List of log slots'!$A:$E, 2, FALSE)</f>
        <v>Dragon spear</v>
      </c>
      <c r="E2120" s="207">
        <f>VLOOKUP($C2120, 'List of log slots'!$A:$E, 5, FALSE)</f>
        <v>5</v>
      </c>
      <c r="F2120" s="213" t="b">
        <f>VLOOKUP(C2120, 'List of log slots'!$A:$C, 3, FALSE)</f>
        <v>0</v>
      </c>
      <c r="G2120" s="209" t="b">
        <f t="shared" si="1524"/>
        <v>0</v>
      </c>
      <c r="H2120" s="209" t="b">
        <f t="shared" si="7"/>
        <v>1</v>
      </c>
      <c r="I2120" s="208" t="b">
        <f t="shared" ref="I2120:J2120" si="1648">FALSE</f>
        <v>0</v>
      </c>
      <c r="J2120" s="208" t="b">
        <f t="shared" si="1648"/>
        <v>0</v>
      </c>
      <c r="K2120" s="214">
        <v>349525.0</v>
      </c>
      <c r="L2120" s="207" t="str">
        <f t="shared" si="3"/>
        <v>n/a</v>
      </c>
      <c r="M2120" s="212" t="str">
        <f t="shared" si="4"/>
        <v>n/a</v>
      </c>
      <c r="N2120" s="207" t="str">
        <f t="shared" si="1421"/>
        <v>n/a</v>
      </c>
      <c r="O2120" s="207">
        <f t="shared" si="1422"/>
        <v>0.000002861025678</v>
      </c>
    </row>
    <row r="2121">
      <c r="A2121" s="212">
        <v>166.0</v>
      </c>
      <c r="B2121" s="6" t="str">
        <f>VLOOKUP($A2121, 'Completion rates'!$A:$E, 2, FALSE)</f>
        <v>Killing cockatrice</v>
      </c>
      <c r="C2121" s="212">
        <v>7976.0</v>
      </c>
      <c r="D2121" s="6" t="str">
        <f>VLOOKUP($C2121, 'List of log slots'!$A:$E, 2, FALSE)</f>
        <v>Cockatrice head</v>
      </c>
      <c r="E2121" s="207">
        <f>VLOOKUP($C2121, 'List of log slots'!$A:$E, 5, FALSE)</f>
        <v>4</v>
      </c>
      <c r="F2121" s="213" t="b">
        <f>VLOOKUP(C2121, 'List of log slots'!$A:$C, 3, FALSE)</f>
        <v>0</v>
      </c>
      <c r="G2121" s="209" t="b">
        <f t="shared" si="1524"/>
        <v>0</v>
      </c>
      <c r="H2121" s="209" t="b">
        <f t="shared" si="7"/>
        <v>1</v>
      </c>
      <c r="I2121" s="208" t="b">
        <f t="shared" ref="I2121:J2121" si="1649">FALSE</f>
        <v>0</v>
      </c>
      <c r="J2121" s="208" t="b">
        <f t="shared" si="1649"/>
        <v>0</v>
      </c>
      <c r="K2121" s="214">
        <v>1000.0</v>
      </c>
      <c r="L2121" s="207" t="str">
        <f t="shared" si="3"/>
        <v>n/a</v>
      </c>
      <c r="M2121" s="212" t="str">
        <f t="shared" si="4"/>
        <v>n/a</v>
      </c>
      <c r="N2121" s="207" t="str">
        <f t="shared" si="1421"/>
        <v>n/a</v>
      </c>
      <c r="O2121" s="207">
        <f t="shared" si="1422"/>
        <v>0.001</v>
      </c>
    </row>
    <row r="2122">
      <c r="A2122" s="212">
        <v>166.0</v>
      </c>
      <c r="B2122" s="6" t="str">
        <f>VLOOKUP($A2122, 'Completion rates'!$A:$E, 2, FALSE)</f>
        <v>Killing cockatrice</v>
      </c>
      <c r="C2122" s="207">
        <v>4121.0</v>
      </c>
      <c r="D2122" s="6" t="str">
        <f>VLOOKUP($C2122, 'List of log slots'!$A:$E, 2, FALSE)</f>
        <v>Iron boots</v>
      </c>
      <c r="E2122" s="207">
        <f>VLOOKUP($C2122, 'List of log slots'!$A:$E, 5, FALSE)</f>
        <v>1</v>
      </c>
      <c r="F2122" s="213" t="b">
        <f>VLOOKUP(C2122, 'List of log slots'!$A:$C, 3, FALSE)</f>
        <v>0</v>
      </c>
      <c r="G2122" s="209" t="b">
        <f t="shared" si="1524"/>
        <v>0</v>
      </c>
      <c r="H2122" s="209" t="b">
        <f t="shared" si="7"/>
        <v>1</v>
      </c>
      <c r="I2122" s="208" t="b">
        <f t="shared" ref="I2122:J2122" si="1650">FALSE</f>
        <v>0</v>
      </c>
      <c r="J2122" s="208" t="b">
        <f t="shared" si="1650"/>
        <v>0</v>
      </c>
      <c r="K2122" s="214">
        <v>128.0</v>
      </c>
      <c r="L2122" s="207" t="str">
        <f t="shared" si="3"/>
        <v>n/a</v>
      </c>
      <c r="M2122" s="212" t="str">
        <f t="shared" si="4"/>
        <v>n/a</v>
      </c>
      <c r="N2122" s="207" t="str">
        <f t="shared" si="1421"/>
        <v>n/a</v>
      </c>
      <c r="O2122" s="207">
        <f t="shared" si="1422"/>
        <v>0.0078125</v>
      </c>
    </row>
    <row r="2123">
      <c r="A2123" s="212">
        <v>166.0</v>
      </c>
      <c r="B2123" s="6" t="str">
        <f>VLOOKUP($A2123, 'Completion rates'!$A:$E, 2, FALSE)</f>
        <v>Killing cockatrice</v>
      </c>
      <c r="C2123" s="207">
        <v>4117.0</v>
      </c>
      <c r="D2123" s="6" t="str">
        <f>VLOOKUP($C2123, 'List of log slots'!$A:$E, 2, FALSE)</f>
        <v>Mystic boots (light)</v>
      </c>
      <c r="E2123" s="207">
        <f>VLOOKUP($C2123, 'List of log slots'!$A:$E, 5, FALSE)</f>
        <v>3</v>
      </c>
      <c r="F2123" s="213" t="b">
        <f>VLOOKUP(C2123, 'List of log slots'!$A:$C, 3, FALSE)</f>
        <v>0</v>
      </c>
      <c r="G2123" s="209" t="b">
        <f t="shared" si="1524"/>
        <v>0</v>
      </c>
      <c r="H2123" s="209" t="b">
        <f t="shared" si="7"/>
        <v>1</v>
      </c>
      <c r="I2123" s="208" t="b">
        <f t="shared" ref="I2123:J2123" si="1651">FALSE</f>
        <v>0</v>
      </c>
      <c r="J2123" s="208" t="b">
        <f t="shared" si="1651"/>
        <v>0</v>
      </c>
      <c r="K2123" s="214">
        <v>512.0</v>
      </c>
      <c r="L2123" s="207" t="str">
        <f t="shared" si="3"/>
        <v>n/a</v>
      </c>
      <c r="M2123" s="212" t="str">
        <f t="shared" si="4"/>
        <v>n/a</v>
      </c>
      <c r="N2123" s="207" t="str">
        <f t="shared" si="1421"/>
        <v>n/a</v>
      </c>
      <c r="O2123" s="207">
        <f t="shared" si="1422"/>
        <v>0.001953125</v>
      </c>
    </row>
    <row r="2124">
      <c r="A2124" s="212">
        <v>166.0</v>
      </c>
      <c r="B2124" s="6" t="str">
        <f>VLOOKUP($A2124, 'Completion rates'!$A:$E, 2, FALSE)</f>
        <v>Killing cockatrice</v>
      </c>
      <c r="C2124" s="207">
        <v>2366.0</v>
      </c>
      <c r="D2124" s="6" t="str">
        <f>VLOOKUP($C2124, 'List of log slots'!$A:$E, 2, FALSE)</f>
        <v>Shield left half</v>
      </c>
      <c r="E2124" s="207">
        <f>VLOOKUP($C2124, 'List of log slots'!$A:$E, 5, FALSE)</f>
        <v>5</v>
      </c>
      <c r="F2124" s="213" t="b">
        <f>VLOOKUP(C2124, 'List of log slots'!$A:$C, 3, FALSE)</f>
        <v>0</v>
      </c>
      <c r="G2124" s="209" t="b">
        <f t="shared" si="1524"/>
        <v>0</v>
      </c>
      <c r="H2124" s="209" t="b">
        <f t="shared" si="7"/>
        <v>1</v>
      </c>
      <c r="I2124" s="208" t="b">
        <f t="shared" ref="I2124:J2124" si="1652">FALSE</f>
        <v>0</v>
      </c>
      <c r="J2124" s="208" t="b">
        <f t="shared" si="1652"/>
        <v>0</v>
      </c>
      <c r="K2124" s="214">
        <v>262144.0</v>
      </c>
      <c r="L2124" s="207" t="str">
        <f t="shared" si="3"/>
        <v>n/a</v>
      </c>
      <c r="M2124" s="212" t="str">
        <f t="shared" si="4"/>
        <v>n/a</v>
      </c>
      <c r="N2124" s="207" t="str">
        <f t="shared" si="1421"/>
        <v>n/a</v>
      </c>
      <c r="O2124" s="207">
        <f t="shared" si="1422"/>
        <v>0.000003814697266</v>
      </c>
    </row>
    <row r="2125">
      <c r="A2125" s="212">
        <v>166.0</v>
      </c>
      <c r="B2125" s="6" t="str">
        <f>VLOOKUP($A2125, 'Completion rates'!$A:$E, 2, FALSE)</f>
        <v>Killing cockatrice</v>
      </c>
      <c r="C2125" s="207">
        <v>1249.0</v>
      </c>
      <c r="D2125" s="6" t="str">
        <f>VLOOKUP($C2125, 'List of log slots'!$A:$E, 2, FALSE)</f>
        <v>Dragon spear</v>
      </c>
      <c r="E2125" s="207">
        <f>VLOOKUP($C2125, 'List of log slots'!$A:$E, 5, FALSE)</f>
        <v>5</v>
      </c>
      <c r="F2125" s="213" t="b">
        <f>VLOOKUP(C2125, 'List of log slots'!$A:$C, 3, FALSE)</f>
        <v>0</v>
      </c>
      <c r="G2125" s="209" t="b">
        <f t="shared" si="1524"/>
        <v>0</v>
      </c>
      <c r="H2125" s="209" t="b">
        <f t="shared" si="7"/>
        <v>1</v>
      </c>
      <c r="I2125" s="208" t="b">
        <f t="shared" ref="I2125:J2125" si="1653">FALSE</f>
        <v>0</v>
      </c>
      <c r="J2125" s="208" t="b">
        <f t="shared" si="1653"/>
        <v>0</v>
      </c>
      <c r="K2125" s="214">
        <v>349525.0</v>
      </c>
      <c r="L2125" s="207" t="str">
        <f t="shared" si="3"/>
        <v>n/a</v>
      </c>
      <c r="M2125" s="212" t="str">
        <f t="shared" si="4"/>
        <v>n/a</v>
      </c>
      <c r="N2125" s="207" t="str">
        <f t="shared" si="1421"/>
        <v>n/a</v>
      </c>
      <c r="O2125" s="207">
        <f t="shared" si="1422"/>
        <v>0.000002861025678</v>
      </c>
    </row>
    <row r="2126">
      <c r="A2126" s="207">
        <v>167.0</v>
      </c>
      <c r="B2126" s="6" t="str">
        <f>VLOOKUP($A2126, 'Completion rates'!$A:$E, 2, FALSE)</f>
        <v>Killing basilisks</v>
      </c>
      <c r="C2126" s="207">
        <v>7977.0</v>
      </c>
      <c r="D2126" s="6" t="str">
        <f>VLOOKUP($C2126, 'List of log slots'!$A:$E, 2, FALSE)</f>
        <v>Basilisk head</v>
      </c>
      <c r="E2126" s="207">
        <f>VLOOKUP($C2126, 'List of log slots'!$A:$E, 5, FALSE)</f>
        <v>5</v>
      </c>
      <c r="F2126" s="208" t="b">
        <f>VLOOKUP(C2126, 'List of log slots'!$A:$C, 3, FALSE)</f>
        <v>0</v>
      </c>
      <c r="G2126" s="209" t="b">
        <f t="shared" si="1524"/>
        <v>0</v>
      </c>
      <c r="H2126" s="210" t="b">
        <f t="shared" si="7"/>
        <v>1</v>
      </c>
      <c r="I2126" s="208" t="b">
        <f t="shared" ref="I2126:J2126" si="1654">FALSE</f>
        <v>0</v>
      </c>
      <c r="J2126" s="208" t="b">
        <f t="shared" si="1654"/>
        <v>0</v>
      </c>
      <c r="K2126" s="214">
        <v>2000.0</v>
      </c>
      <c r="L2126" s="207" t="str">
        <f t="shared" si="3"/>
        <v>n/a</v>
      </c>
      <c r="M2126" s="212" t="str">
        <f t="shared" si="4"/>
        <v>n/a</v>
      </c>
      <c r="N2126" s="207" t="str">
        <f t="shared" si="1421"/>
        <v>n/a</v>
      </c>
      <c r="O2126" s="207">
        <f t="shared" si="1422"/>
        <v>0.0005</v>
      </c>
    </row>
    <row r="2127">
      <c r="A2127" s="207">
        <v>167.0</v>
      </c>
      <c r="B2127" s="6" t="str">
        <f>VLOOKUP($A2127, 'Completion rates'!$A:$E, 2, FALSE)</f>
        <v>Killing basilisks</v>
      </c>
      <c r="C2127" s="207">
        <v>4109.0</v>
      </c>
      <c r="D2127" s="6" t="str">
        <f>VLOOKUP($C2127, 'List of log slots'!$A:$E, 2, FALSE)</f>
        <v>Mystic hat (light)</v>
      </c>
      <c r="E2127" s="207">
        <f>VLOOKUP($C2127, 'List of log slots'!$A:$E, 5, FALSE)</f>
        <v>3</v>
      </c>
      <c r="F2127" s="213" t="b">
        <f>VLOOKUP(C2127, 'List of log slots'!$A:$C, 3, FALSE)</f>
        <v>0</v>
      </c>
      <c r="G2127" s="209" t="b">
        <f t="shared" si="1524"/>
        <v>0</v>
      </c>
      <c r="H2127" s="209" t="b">
        <f t="shared" si="7"/>
        <v>1</v>
      </c>
      <c r="I2127" s="208" t="b">
        <f t="shared" ref="I2127:J2127" si="1655">FALSE</f>
        <v>0</v>
      </c>
      <c r="J2127" s="208" t="b">
        <f t="shared" si="1655"/>
        <v>0</v>
      </c>
      <c r="K2127" s="214">
        <v>512.0</v>
      </c>
      <c r="L2127" s="207" t="str">
        <f t="shared" si="3"/>
        <v>n/a</v>
      </c>
      <c r="M2127" s="212" t="str">
        <f t="shared" si="4"/>
        <v>n/a</v>
      </c>
      <c r="N2127" s="207" t="str">
        <f t="shared" si="1421"/>
        <v>n/a</v>
      </c>
      <c r="O2127" s="207">
        <f t="shared" si="1422"/>
        <v>0.001953125</v>
      </c>
    </row>
    <row r="2128">
      <c r="A2128" s="207">
        <v>167.0</v>
      </c>
      <c r="B2128" s="6" t="str">
        <f>VLOOKUP($A2128, 'Completion rates'!$A:$E, 2, FALSE)</f>
        <v>Killing basilisks</v>
      </c>
      <c r="C2128" s="207">
        <v>2366.0</v>
      </c>
      <c r="D2128" s="6" t="str">
        <f>VLOOKUP($C2128, 'List of log slots'!$A:$E, 2, FALSE)</f>
        <v>Shield left half</v>
      </c>
      <c r="E2128" s="207">
        <f>VLOOKUP($C2128, 'List of log slots'!$A:$E, 5, FALSE)</f>
        <v>5</v>
      </c>
      <c r="F2128" s="213" t="b">
        <f>VLOOKUP(C2128, 'List of log slots'!$A:$C, 3, FALSE)</f>
        <v>0</v>
      </c>
      <c r="G2128" s="209" t="b">
        <f t="shared" si="1524"/>
        <v>0</v>
      </c>
      <c r="H2128" s="209" t="b">
        <f t="shared" si="7"/>
        <v>1</v>
      </c>
      <c r="I2128" s="208" t="b">
        <f t="shared" ref="I2128:J2128" si="1656">FALSE</f>
        <v>0</v>
      </c>
      <c r="J2128" s="208" t="b">
        <f t="shared" si="1656"/>
        <v>0</v>
      </c>
      <c r="K2128" s="214">
        <v>104858.0</v>
      </c>
      <c r="L2128" s="207" t="str">
        <f t="shared" si="3"/>
        <v>n/a</v>
      </c>
      <c r="M2128" s="212" t="str">
        <f t="shared" si="4"/>
        <v>n/a</v>
      </c>
      <c r="N2128" s="207" t="str">
        <f t="shared" si="1421"/>
        <v>n/a</v>
      </c>
      <c r="O2128" s="207">
        <f t="shared" si="1422"/>
        <v>0.000009536706784</v>
      </c>
    </row>
    <row r="2129">
      <c r="A2129" s="207">
        <v>167.0</v>
      </c>
      <c r="B2129" s="6" t="str">
        <f>VLOOKUP($A2129, 'Completion rates'!$A:$E, 2, FALSE)</f>
        <v>Killing basilisks</v>
      </c>
      <c r="C2129" s="207">
        <v>1249.0</v>
      </c>
      <c r="D2129" s="6" t="str">
        <f>VLOOKUP($C2129, 'List of log slots'!$A:$E, 2, FALSE)</f>
        <v>Dragon spear</v>
      </c>
      <c r="E2129" s="207">
        <f>VLOOKUP($C2129, 'List of log slots'!$A:$E, 5, FALSE)</f>
        <v>5</v>
      </c>
      <c r="F2129" s="213" t="b">
        <f>VLOOKUP(C2129, 'List of log slots'!$A:$C, 3, FALSE)</f>
        <v>0</v>
      </c>
      <c r="G2129" s="209" t="b">
        <f t="shared" si="1524"/>
        <v>0</v>
      </c>
      <c r="H2129" s="209" t="b">
        <f t="shared" si="7"/>
        <v>1</v>
      </c>
      <c r="I2129" s="208" t="b">
        <f t="shared" ref="I2129:J2129" si="1657">FALSE</f>
        <v>0</v>
      </c>
      <c r="J2129" s="208" t="b">
        <f t="shared" si="1657"/>
        <v>0</v>
      </c>
      <c r="K2129" s="214">
        <v>139810.0</v>
      </c>
      <c r="L2129" s="207" t="str">
        <f t="shared" si="3"/>
        <v>n/a</v>
      </c>
      <c r="M2129" s="212" t="str">
        <f t="shared" si="4"/>
        <v>n/a</v>
      </c>
      <c r="N2129" s="207" t="str">
        <f t="shared" si="1421"/>
        <v>n/a</v>
      </c>
      <c r="O2129" s="207">
        <f t="shared" si="1422"/>
        <v>0.000007152564194</v>
      </c>
    </row>
    <row r="2130">
      <c r="A2130" s="207">
        <v>168.0</v>
      </c>
      <c r="B2130" s="6" t="str">
        <f>VLOOKUP($A2130, 'Completion rates'!$A:$E, 2, FALSE)</f>
        <v>Killing basilisk knights (on task)</v>
      </c>
      <c r="C2130" s="207">
        <v>7977.0</v>
      </c>
      <c r="D2130" s="6" t="str">
        <f>VLOOKUP($C2130, 'List of log slots'!$A:$E, 2, FALSE)</f>
        <v>Basilisk head</v>
      </c>
      <c r="E2130" s="207">
        <f>VLOOKUP($C2130, 'List of log slots'!$A:$E, 5, FALSE)</f>
        <v>5</v>
      </c>
      <c r="F2130" s="208" t="b">
        <f>VLOOKUP(C2130, 'List of log slots'!$A:$C, 3, FALSE)</f>
        <v>0</v>
      </c>
      <c r="G2130" s="209" t="b">
        <f t="shared" si="1524"/>
        <v>0</v>
      </c>
      <c r="H2130" s="210" t="b">
        <f t="shared" si="7"/>
        <v>1</v>
      </c>
      <c r="I2130" s="208" t="b">
        <f t="shared" ref="I2130:J2130" si="1658">FALSE</f>
        <v>0</v>
      </c>
      <c r="J2130" s="208" t="b">
        <f t="shared" si="1658"/>
        <v>0</v>
      </c>
      <c r="K2130" s="214">
        <v>1000.0</v>
      </c>
      <c r="L2130" s="207" t="str">
        <f t="shared" si="3"/>
        <v>n/a</v>
      </c>
      <c r="M2130" s="212" t="str">
        <f t="shared" si="4"/>
        <v>n/a</v>
      </c>
      <c r="N2130" s="207" t="str">
        <f t="shared" si="1421"/>
        <v>n/a</v>
      </c>
      <c r="O2130" s="207">
        <f t="shared" si="1422"/>
        <v>0.001</v>
      </c>
    </row>
    <row r="2131">
      <c r="A2131" s="207">
        <v>168.0</v>
      </c>
      <c r="B2131" s="6" t="str">
        <f>VLOOKUP($A2131, 'Completion rates'!$A:$E, 2, FALSE)</f>
        <v>Killing basilisk knights (on task)</v>
      </c>
      <c r="C2131" s="207">
        <v>20724.0</v>
      </c>
      <c r="D2131" s="6" t="str">
        <f>VLOOKUP($C2131, 'List of log slots'!$A:$E, 2, FALSE)</f>
        <v>Imbued heart</v>
      </c>
      <c r="E2131" s="207">
        <f>VLOOKUP($C2131, 'List of log slots'!$A:$E, 5, FALSE)</f>
        <v>8</v>
      </c>
      <c r="F2131" s="208" t="b">
        <f>VLOOKUP(C2131, 'List of log slots'!$A:$C, 3, FALSE)</f>
        <v>0</v>
      </c>
      <c r="G2131" s="209" t="b">
        <f t="shared" si="1524"/>
        <v>0</v>
      </c>
      <c r="H2131" s="210" t="b">
        <f t="shared" si="7"/>
        <v>1</v>
      </c>
      <c r="I2131" s="208" t="b">
        <f t="shared" ref="I2131:J2131" si="1659">FALSE</f>
        <v>0</v>
      </c>
      <c r="J2131" s="208" t="b">
        <f t="shared" si="1659"/>
        <v>0</v>
      </c>
      <c r="K2131" s="214">
        <v>114000.0</v>
      </c>
      <c r="L2131" s="207" t="str">
        <f t="shared" si="3"/>
        <v>n/a</v>
      </c>
      <c r="M2131" s="212" t="str">
        <f t="shared" si="4"/>
        <v>n/a</v>
      </c>
      <c r="N2131" s="207" t="str">
        <f t="shared" si="1421"/>
        <v>n/a</v>
      </c>
      <c r="O2131" s="207">
        <f t="shared" si="1422"/>
        <v>0.000008771929825</v>
      </c>
    </row>
    <row r="2132">
      <c r="A2132" s="207">
        <v>168.0</v>
      </c>
      <c r="B2132" s="6" t="str">
        <f>VLOOKUP($A2132, 'Completion rates'!$A:$E, 2, FALSE)</f>
        <v>Killing basilisk knights (on task)</v>
      </c>
      <c r="C2132" s="207">
        <v>21270.0</v>
      </c>
      <c r="D2132" s="6" t="str">
        <f>VLOOKUP($C2132, 'List of log slots'!$A:$E, 2, FALSE)</f>
        <v>Eternal gem</v>
      </c>
      <c r="E2132" s="207">
        <f>VLOOKUP($C2132, 'List of log slots'!$A:$E, 5, FALSE)</f>
        <v>8</v>
      </c>
      <c r="F2132" s="213" t="b">
        <f>VLOOKUP(C2132, 'List of log slots'!$A:$C, 3, FALSE)</f>
        <v>0</v>
      </c>
      <c r="G2132" s="209" t="b">
        <f t="shared" si="1524"/>
        <v>0</v>
      </c>
      <c r="H2132" s="209" t="b">
        <f t="shared" si="7"/>
        <v>1</v>
      </c>
      <c r="I2132" s="208" t="b">
        <f t="shared" ref="I2132:J2132" si="1660">FALSE</f>
        <v>0</v>
      </c>
      <c r="J2132" s="208" t="b">
        <f t="shared" si="1660"/>
        <v>0</v>
      </c>
      <c r="K2132" s="214">
        <v>114000.0</v>
      </c>
      <c r="L2132" s="207" t="str">
        <f t="shared" si="3"/>
        <v>n/a</v>
      </c>
      <c r="M2132" s="212" t="str">
        <f t="shared" si="4"/>
        <v>n/a</v>
      </c>
      <c r="N2132" s="207" t="str">
        <f t="shared" si="1421"/>
        <v>n/a</v>
      </c>
      <c r="O2132" s="207">
        <f t="shared" si="1422"/>
        <v>0.000008771929825</v>
      </c>
    </row>
    <row r="2133">
      <c r="A2133" s="207">
        <v>168.0</v>
      </c>
      <c r="B2133" s="6" t="str">
        <f>VLOOKUP($A2133, 'Completion rates'!$A:$E, 2, FALSE)</f>
        <v>Killing basilisk knights (on task)</v>
      </c>
      <c r="C2133" s="207">
        <v>20736.0</v>
      </c>
      <c r="D2133" s="6" t="str">
        <f>VLOOKUP($C2133, 'List of log slots'!$A:$E, 2, FALSE)</f>
        <v>Dust battlestaff</v>
      </c>
      <c r="E2133" s="207">
        <f>VLOOKUP($C2133, 'List of log slots'!$A:$E, 5, FALSE)</f>
        <v>6</v>
      </c>
      <c r="F2133" s="213" t="b">
        <f>VLOOKUP(C2133, 'List of log slots'!$A:$C, 3, FALSE)</f>
        <v>0</v>
      </c>
      <c r="G2133" s="209" t="b">
        <f t="shared" si="1524"/>
        <v>0</v>
      </c>
      <c r="H2133" s="209" t="b">
        <f t="shared" si="7"/>
        <v>1</v>
      </c>
      <c r="I2133" s="208" t="b">
        <f t="shared" ref="I2133:J2133" si="1661">FALSE</f>
        <v>0</v>
      </c>
      <c r="J2133" s="208" t="b">
        <f t="shared" si="1661"/>
        <v>0</v>
      </c>
      <c r="K2133" s="214">
        <v>38000.0</v>
      </c>
      <c r="L2133" s="207" t="str">
        <f t="shared" si="3"/>
        <v>n/a</v>
      </c>
      <c r="M2133" s="212" t="str">
        <f t="shared" si="4"/>
        <v>n/a</v>
      </c>
      <c r="N2133" s="207" t="str">
        <f t="shared" si="1421"/>
        <v>n/a</v>
      </c>
      <c r="O2133" s="207">
        <f t="shared" si="1422"/>
        <v>0.00002631578947</v>
      </c>
    </row>
    <row r="2134">
      <c r="A2134" s="207">
        <v>168.0</v>
      </c>
      <c r="B2134" s="6" t="str">
        <f>VLOOKUP($A2134, 'Completion rates'!$A:$E, 2, FALSE)</f>
        <v>Killing basilisk knights (on task)</v>
      </c>
      <c r="C2134" s="207">
        <v>20730.0</v>
      </c>
      <c r="D2134" s="6" t="str">
        <f>VLOOKUP($C2134, 'List of log slots'!$A:$E, 2, FALSE)</f>
        <v>Mist battlestaff</v>
      </c>
      <c r="E2134" s="207">
        <f>VLOOKUP($C2134, 'List of log slots'!$A:$E, 5, FALSE)</f>
        <v>7</v>
      </c>
      <c r="F2134" s="213" t="b">
        <f>VLOOKUP(C2134, 'List of log slots'!$A:$C, 3, FALSE)</f>
        <v>0</v>
      </c>
      <c r="G2134" s="209" t="b">
        <f t="shared" si="1524"/>
        <v>0</v>
      </c>
      <c r="H2134" s="209" t="b">
        <f t="shared" si="7"/>
        <v>1</v>
      </c>
      <c r="I2134" s="208" t="b">
        <f t="shared" ref="I2134:J2134" si="1662">FALSE</f>
        <v>0</v>
      </c>
      <c r="J2134" s="208" t="b">
        <f t="shared" si="1662"/>
        <v>0</v>
      </c>
      <c r="K2134" s="214">
        <v>38000.0</v>
      </c>
      <c r="L2134" s="207" t="str">
        <f t="shared" si="3"/>
        <v>n/a</v>
      </c>
      <c r="M2134" s="212" t="str">
        <f t="shared" si="4"/>
        <v>n/a</v>
      </c>
      <c r="N2134" s="207" t="str">
        <f t="shared" si="1421"/>
        <v>n/a</v>
      </c>
      <c r="O2134" s="207">
        <f t="shared" si="1422"/>
        <v>0.00002631578947</v>
      </c>
    </row>
    <row r="2135">
      <c r="A2135" s="207">
        <v>168.0</v>
      </c>
      <c r="B2135" s="6" t="str">
        <f>VLOOKUP($A2135, 'Completion rates'!$A:$E, 2, FALSE)</f>
        <v>Killing basilisk knights (on task)</v>
      </c>
      <c r="C2135" s="207">
        <v>4109.0</v>
      </c>
      <c r="D2135" s="6" t="str">
        <f>VLOOKUP($C2135, 'List of log slots'!$A:$E, 2, FALSE)</f>
        <v>Mystic hat (light)</v>
      </c>
      <c r="E2135" s="207">
        <f>VLOOKUP($C2135, 'List of log slots'!$A:$E, 5, FALSE)</f>
        <v>3</v>
      </c>
      <c r="F2135" s="213" t="b">
        <f>VLOOKUP(C2135, 'List of log slots'!$A:$C, 3, FALSE)</f>
        <v>0</v>
      </c>
      <c r="G2135" s="209" t="b">
        <f t="shared" si="1524"/>
        <v>0</v>
      </c>
      <c r="H2135" s="209" t="b">
        <f t="shared" si="7"/>
        <v>1</v>
      </c>
      <c r="I2135" s="208" t="b">
        <f t="shared" ref="I2135:J2135" si="1663">FALSE</f>
        <v>0</v>
      </c>
      <c r="J2135" s="208" t="b">
        <f t="shared" si="1663"/>
        <v>0</v>
      </c>
      <c r="K2135" s="214">
        <v>256.0</v>
      </c>
      <c r="L2135" s="207" t="str">
        <f t="shared" si="3"/>
        <v>n/a</v>
      </c>
      <c r="M2135" s="212" t="str">
        <f t="shared" si="4"/>
        <v>n/a</v>
      </c>
      <c r="N2135" s="207" t="str">
        <f t="shared" si="1421"/>
        <v>n/a</v>
      </c>
      <c r="O2135" s="207">
        <f t="shared" si="1422"/>
        <v>0.00390625</v>
      </c>
    </row>
    <row r="2136">
      <c r="A2136" s="207">
        <v>168.0</v>
      </c>
      <c r="B2136" s="6" t="str">
        <f>VLOOKUP($A2136, 'Completion rates'!$A:$E, 2, FALSE)</f>
        <v>Killing basilisk knights (on task)</v>
      </c>
      <c r="C2136" s="207">
        <v>24268.0</v>
      </c>
      <c r="D2136" s="6" t="str">
        <f>VLOOKUP($C2136, 'List of log slots'!$A:$E, 2, FALSE)</f>
        <v>Basilisk jaw</v>
      </c>
      <c r="E2136" s="207">
        <f>VLOOKUP($C2136, 'List of log slots'!$A:$E, 5, FALSE)</f>
        <v>6</v>
      </c>
      <c r="F2136" s="213" t="b">
        <f>VLOOKUP(C2136, 'List of log slots'!$A:$C, 3, FALSE)</f>
        <v>0</v>
      </c>
      <c r="G2136" s="209" t="b">
        <f t="shared" si="1524"/>
        <v>0</v>
      </c>
      <c r="H2136" s="209" t="b">
        <f t="shared" si="7"/>
        <v>1</v>
      </c>
      <c r="I2136" s="208" t="b">
        <f t="shared" ref="I2136:J2136" si="1664">FALSE</f>
        <v>0</v>
      </c>
      <c r="J2136" s="208" t="b">
        <f t="shared" si="1664"/>
        <v>0</v>
      </c>
      <c r="K2136" s="214">
        <v>1000.0</v>
      </c>
      <c r="L2136" s="207" t="str">
        <f t="shared" si="3"/>
        <v>n/a</v>
      </c>
      <c r="M2136" s="212" t="str">
        <f t="shared" si="4"/>
        <v>n/a</v>
      </c>
      <c r="N2136" s="207" t="str">
        <f t="shared" si="1421"/>
        <v>n/a</v>
      </c>
      <c r="O2136" s="207">
        <f t="shared" si="1422"/>
        <v>0.001</v>
      </c>
    </row>
    <row r="2137">
      <c r="A2137" s="207">
        <v>168.0</v>
      </c>
      <c r="B2137" s="6" t="str">
        <f>VLOOKUP($A2137, 'Completion rates'!$A:$E, 2, FALSE)</f>
        <v>Killing basilisk knights (on task)</v>
      </c>
      <c r="C2137" s="207">
        <v>10976.0</v>
      </c>
      <c r="D2137" s="6" t="str">
        <f>VLOOKUP($C2137, 'List of log slots'!$A:$E, 2, FALSE)</f>
        <v>Long bone</v>
      </c>
      <c r="E2137" s="207">
        <f>VLOOKUP($C2137, 'List of log slots'!$A:$E, 5, FALSE)</f>
        <v>3</v>
      </c>
      <c r="F2137" s="213" t="b">
        <f>VLOOKUP(C2137, 'List of log slots'!$A:$C, 3, FALSE)</f>
        <v>0</v>
      </c>
      <c r="G2137" s="209" t="b">
        <f t="shared" si="1524"/>
        <v>0</v>
      </c>
      <c r="H2137" s="209" t="b">
        <f t="shared" si="7"/>
        <v>1</v>
      </c>
      <c r="I2137" s="208" t="b">
        <f t="shared" ref="I2137:J2137" si="1665">FALSE</f>
        <v>0</v>
      </c>
      <c r="J2137" s="208" t="b">
        <f t="shared" si="1665"/>
        <v>0</v>
      </c>
      <c r="K2137" s="214">
        <v>400.0</v>
      </c>
      <c r="L2137" s="207" t="str">
        <f t="shared" si="3"/>
        <v>n/a</v>
      </c>
      <c r="M2137" s="212" t="str">
        <f t="shared" si="4"/>
        <v>n/a</v>
      </c>
      <c r="N2137" s="207" t="str">
        <f t="shared" si="1421"/>
        <v>n/a</v>
      </c>
      <c r="O2137" s="207">
        <f t="shared" si="1422"/>
        <v>0.0025</v>
      </c>
    </row>
    <row r="2138">
      <c r="A2138" s="207">
        <v>168.0</v>
      </c>
      <c r="B2138" s="6" t="str">
        <f>VLOOKUP($A2138, 'Completion rates'!$A:$E, 2, FALSE)</f>
        <v>Killing basilisk knights (on task)</v>
      </c>
      <c r="C2138" s="207">
        <v>10977.0</v>
      </c>
      <c r="D2138" s="6" t="str">
        <f>VLOOKUP($C2138, 'List of log slots'!$A:$E, 2, FALSE)</f>
        <v>Curved bone</v>
      </c>
      <c r="E2138" s="207">
        <f>VLOOKUP($C2138, 'List of log slots'!$A:$E, 5, FALSE)</f>
        <v>5</v>
      </c>
      <c r="F2138" s="208" t="b">
        <f>VLOOKUP(C2138, 'List of log slots'!$A:$C, 3, FALSE)</f>
        <v>0</v>
      </c>
      <c r="G2138" s="209" t="b">
        <f t="shared" si="1524"/>
        <v>0</v>
      </c>
      <c r="H2138" s="210" t="b">
        <f t="shared" si="7"/>
        <v>1</v>
      </c>
      <c r="I2138" s="208" t="b">
        <f t="shared" ref="I2138:J2138" si="1666">FALSE</f>
        <v>0</v>
      </c>
      <c r="J2138" s="208" t="b">
        <f t="shared" si="1666"/>
        <v>0</v>
      </c>
      <c r="K2138" s="214">
        <v>5013.0</v>
      </c>
      <c r="L2138" s="207" t="str">
        <f t="shared" si="3"/>
        <v>n/a</v>
      </c>
      <c r="M2138" s="212" t="str">
        <f t="shared" si="4"/>
        <v>n/a</v>
      </c>
      <c r="N2138" s="207" t="str">
        <f t="shared" si="1421"/>
        <v>n/a</v>
      </c>
      <c r="O2138" s="207">
        <f t="shared" si="1422"/>
        <v>0.0001994813485</v>
      </c>
    </row>
    <row r="2139">
      <c r="A2139" s="207">
        <v>168.0</v>
      </c>
      <c r="B2139" s="6" t="str">
        <f>VLOOKUP($A2139, 'Completion rates'!$A:$E, 2, FALSE)</f>
        <v>Killing basilisk knights (on task)</v>
      </c>
      <c r="C2139" s="207">
        <v>2366.0</v>
      </c>
      <c r="D2139" s="6" t="str">
        <f>VLOOKUP($C2139, 'List of log slots'!$A:$E, 2, FALSE)</f>
        <v>Shield left half</v>
      </c>
      <c r="E2139" s="207">
        <f>VLOOKUP($C2139, 'List of log slots'!$A:$E, 5, FALSE)</f>
        <v>5</v>
      </c>
      <c r="F2139" s="213" t="b">
        <f>VLOOKUP(C2139, 'List of log slots'!$A:$C, 3, FALSE)</f>
        <v>0</v>
      </c>
      <c r="G2139" s="209" t="b">
        <f t="shared" si="1524"/>
        <v>0</v>
      </c>
      <c r="H2139" s="209" t="b">
        <f t="shared" si="7"/>
        <v>1</v>
      </c>
      <c r="I2139" s="208" t="b">
        <f t="shared" ref="I2139:J2139" si="1667">FALSE</f>
        <v>0</v>
      </c>
      <c r="J2139" s="208" t="b">
        <f t="shared" si="1667"/>
        <v>0</v>
      </c>
      <c r="K2139" s="214">
        <v>26624.0</v>
      </c>
      <c r="L2139" s="207" t="str">
        <f t="shared" si="3"/>
        <v>n/a</v>
      </c>
      <c r="M2139" s="212" t="str">
        <f t="shared" si="4"/>
        <v>n/a</v>
      </c>
      <c r="N2139" s="207" t="str">
        <f t="shared" si="1421"/>
        <v>n/a</v>
      </c>
      <c r="O2139" s="207">
        <f t="shared" si="1422"/>
        <v>0.00003756009615</v>
      </c>
    </row>
    <row r="2140">
      <c r="A2140" s="207">
        <v>168.0</v>
      </c>
      <c r="B2140" s="6" t="str">
        <f>VLOOKUP($A2140, 'Completion rates'!$A:$E, 2, FALSE)</f>
        <v>Killing basilisk knights (on task)</v>
      </c>
      <c r="C2140" s="207">
        <v>1249.0</v>
      </c>
      <c r="D2140" s="6" t="str">
        <f>VLOOKUP($C2140, 'List of log slots'!$A:$E, 2, FALSE)</f>
        <v>Dragon spear</v>
      </c>
      <c r="E2140" s="207">
        <f>VLOOKUP($C2140, 'List of log slots'!$A:$E, 5, FALSE)</f>
        <v>5</v>
      </c>
      <c r="F2140" s="213" t="b">
        <f>VLOOKUP(C2140, 'List of log slots'!$A:$C, 3, FALSE)</f>
        <v>0</v>
      </c>
      <c r="G2140" s="209" t="b">
        <f t="shared" si="1524"/>
        <v>0</v>
      </c>
      <c r="H2140" s="209" t="b">
        <f t="shared" si="7"/>
        <v>1</v>
      </c>
      <c r="I2140" s="208" t="b">
        <f t="shared" ref="I2140:J2140" si="1668">FALSE</f>
        <v>0</v>
      </c>
      <c r="J2140" s="208" t="b">
        <f t="shared" si="1668"/>
        <v>0</v>
      </c>
      <c r="K2140" s="214">
        <v>35499.0</v>
      </c>
      <c r="L2140" s="207" t="str">
        <f t="shared" si="3"/>
        <v>n/a</v>
      </c>
      <c r="M2140" s="212" t="str">
        <f t="shared" si="4"/>
        <v>n/a</v>
      </c>
      <c r="N2140" s="207" t="str">
        <f t="shared" si="1421"/>
        <v>n/a</v>
      </c>
      <c r="O2140" s="207">
        <f t="shared" si="1422"/>
        <v>0.0000281698076</v>
      </c>
    </row>
    <row r="2141">
      <c r="A2141" s="207">
        <v>169.0</v>
      </c>
      <c r="B2141" s="6" t="str">
        <f>VLOOKUP($A2141, 'Completion rates'!$A:$E, 2, FALSE)</f>
        <v>Killing kurask</v>
      </c>
      <c r="C2141" s="207">
        <v>7978.0</v>
      </c>
      <c r="D2141" s="6" t="str">
        <f>VLOOKUP($C2141, 'List of log slots'!$A:$E, 2, FALSE)</f>
        <v>Kurask head</v>
      </c>
      <c r="E2141" s="207">
        <f>VLOOKUP($C2141, 'List of log slots'!$A:$E, 5, FALSE)</f>
        <v>5</v>
      </c>
      <c r="F2141" s="213" t="b">
        <f>VLOOKUP(C2141, 'List of log slots'!$A:$C, 3, FALSE)</f>
        <v>0</v>
      </c>
      <c r="G2141" s="209" t="b">
        <f t="shared" si="1524"/>
        <v>0</v>
      </c>
      <c r="H2141" s="209" t="b">
        <f t="shared" si="7"/>
        <v>1</v>
      </c>
      <c r="I2141" s="208" t="b">
        <f t="shared" ref="I2141:J2141" si="1669">FALSE</f>
        <v>0</v>
      </c>
      <c r="J2141" s="208" t="b">
        <f t="shared" si="1669"/>
        <v>0</v>
      </c>
      <c r="K2141" s="214">
        <v>3000.0</v>
      </c>
      <c r="L2141" s="207" t="str">
        <f t="shared" si="3"/>
        <v>n/a</v>
      </c>
      <c r="M2141" s="212" t="str">
        <f t="shared" si="4"/>
        <v>n/a</v>
      </c>
      <c r="N2141" s="207" t="str">
        <f t="shared" si="1421"/>
        <v>n/a</v>
      </c>
      <c r="O2141" s="207">
        <f t="shared" si="1422"/>
        <v>0.0003333333333</v>
      </c>
    </row>
    <row r="2142">
      <c r="A2142" s="207">
        <v>169.0</v>
      </c>
      <c r="B2142" s="6" t="str">
        <f>VLOOKUP($A2142, 'Completion rates'!$A:$E, 2, FALSE)</f>
        <v>Killing kurask</v>
      </c>
      <c r="C2142" s="207">
        <v>11902.0</v>
      </c>
      <c r="D2142" s="6" t="str">
        <f>VLOOKUP($C2142, 'List of log slots'!$A:$E, 2, FALSE)</f>
        <v>Leaf-bladed sword</v>
      </c>
      <c r="E2142" s="207">
        <f>VLOOKUP($C2142, 'List of log slots'!$A:$E, 5, FALSE)</f>
        <v>4</v>
      </c>
      <c r="F2142" s="213" t="b">
        <f>VLOOKUP(C2142, 'List of log slots'!$A:$C, 3, FALSE)</f>
        <v>0</v>
      </c>
      <c r="G2142" s="209" t="b">
        <f t="shared" si="1524"/>
        <v>0</v>
      </c>
      <c r="H2142" s="209" t="b">
        <f t="shared" si="7"/>
        <v>1</v>
      </c>
      <c r="I2142" s="208" t="b">
        <f t="shared" ref="I2142:J2142" si="1670">FALSE</f>
        <v>0</v>
      </c>
      <c r="J2142" s="208" t="b">
        <f t="shared" si="1670"/>
        <v>0</v>
      </c>
      <c r="K2142" s="214">
        <v>384.0</v>
      </c>
      <c r="L2142" s="207" t="str">
        <f t="shared" si="3"/>
        <v>n/a</v>
      </c>
      <c r="M2142" s="212" t="str">
        <f t="shared" si="4"/>
        <v>n/a</v>
      </c>
      <c r="N2142" s="207" t="str">
        <f t="shared" si="1421"/>
        <v>n/a</v>
      </c>
      <c r="O2142" s="207">
        <f t="shared" si="1422"/>
        <v>0.002604166667</v>
      </c>
    </row>
    <row r="2143">
      <c r="A2143" s="207">
        <v>169.0</v>
      </c>
      <c r="B2143" s="6" t="str">
        <f>VLOOKUP($A2143, 'Completion rates'!$A:$E, 2, FALSE)</f>
        <v>Killing kurask</v>
      </c>
      <c r="C2143" s="207">
        <v>20727.0</v>
      </c>
      <c r="D2143" s="6" t="str">
        <f>VLOOKUP($C2143, 'List of log slots'!$A:$E, 2, FALSE)</f>
        <v>Leaf-bladed battleaxe</v>
      </c>
      <c r="E2143" s="207">
        <f>VLOOKUP($C2143, 'List of log slots'!$A:$E, 5, FALSE)</f>
        <v>4</v>
      </c>
      <c r="F2143" s="213" t="b">
        <f>VLOOKUP(C2143, 'List of log slots'!$A:$C, 3, FALSE)</f>
        <v>0</v>
      </c>
      <c r="G2143" s="209" t="b">
        <f t="shared" si="1524"/>
        <v>0</v>
      </c>
      <c r="H2143" s="209" t="b">
        <f t="shared" si="7"/>
        <v>1</v>
      </c>
      <c r="I2143" s="208" t="b">
        <f t="shared" ref="I2143:J2143" si="1671">FALSE</f>
        <v>0</v>
      </c>
      <c r="J2143" s="208" t="b">
        <f t="shared" si="1671"/>
        <v>0</v>
      </c>
      <c r="K2143" s="214">
        <v>1026.0</v>
      </c>
      <c r="L2143" s="207" t="str">
        <f t="shared" si="3"/>
        <v>n/a</v>
      </c>
      <c r="M2143" s="212" t="str">
        <f t="shared" si="4"/>
        <v>n/a</v>
      </c>
      <c r="N2143" s="207" t="str">
        <f t="shared" si="1421"/>
        <v>n/a</v>
      </c>
      <c r="O2143" s="207">
        <f t="shared" si="1422"/>
        <v>0.0009746588694</v>
      </c>
    </row>
    <row r="2144">
      <c r="A2144" s="207">
        <v>169.0</v>
      </c>
      <c r="B2144" s="6" t="str">
        <f>VLOOKUP($A2144, 'Completion rates'!$A:$E, 2, FALSE)</f>
        <v>Killing kurask</v>
      </c>
      <c r="C2144" s="207">
        <v>4111.0</v>
      </c>
      <c r="D2144" s="6" t="str">
        <f>VLOOKUP($C2144, 'List of log slots'!$A:$E, 2, FALSE)</f>
        <v>Mystic robe top (light)</v>
      </c>
      <c r="E2144" s="207">
        <f>VLOOKUP($C2144, 'List of log slots'!$A:$E, 5, FALSE)</f>
        <v>4</v>
      </c>
      <c r="F2144" s="213" t="b">
        <f>VLOOKUP(C2144, 'List of log slots'!$A:$C, 3, FALSE)</f>
        <v>0</v>
      </c>
      <c r="G2144" s="209" t="b">
        <f t="shared" si="1524"/>
        <v>0</v>
      </c>
      <c r="H2144" s="209" t="b">
        <f t="shared" si="7"/>
        <v>1</v>
      </c>
      <c r="I2144" s="208" t="b">
        <f t="shared" ref="I2144:J2144" si="1672">FALSE</f>
        <v>0</v>
      </c>
      <c r="J2144" s="208" t="b">
        <f t="shared" si="1672"/>
        <v>0</v>
      </c>
      <c r="K2144" s="214">
        <v>512.0</v>
      </c>
      <c r="L2144" s="207" t="str">
        <f t="shared" si="3"/>
        <v>n/a</v>
      </c>
      <c r="M2144" s="212" t="str">
        <f t="shared" si="4"/>
        <v>n/a</v>
      </c>
      <c r="N2144" s="207" t="str">
        <f t="shared" si="1421"/>
        <v>n/a</v>
      </c>
      <c r="O2144" s="207">
        <f t="shared" si="1422"/>
        <v>0.001953125</v>
      </c>
    </row>
    <row r="2145">
      <c r="A2145" s="207">
        <v>169.0</v>
      </c>
      <c r="B2145" s="6" t="str">
        <f>VLOOKUP($A2145, 'Completion rates'!$A:$E, 2, FALSE)</f>
        <v>Killing kurask</v>
      </c>
      <c r="C2145" s="207">
        <v>2366.0</v>
      </c>
      <c r="D2145" s="6" t="str">
        <f>VLOOKUP($C2145, 'List of log slots'!$A:$E, 2, FALSE)</f>
        <v>Shield left half</v>
      </c>
      <c r="E2145" s="207">
        <f>VLOOKUP($C2145, 'List of log slots'!$A:$E, 5, FALSE)</f>
        <v>5</v>
      </c>
      <c r="F2145" s="213" t="b">
        <f>VLOOKUP(C2145, 'List of log slots'!$A:$C, 3, FALSE)</f>
        <v>0</v>
      </c>
      <c r="G2145" s="209" t="b">
        <f t="shared" si="1524"/>
        <v>0</v>
      </c>
      <c r="H2145" s="209" t="b">
        <f t="shared" si="7"/>
        <v>1</v>
      </c>
      <c r="I2145" s="208" t="b">
        <f t="shared" ref="I2145:J2145" si="1673">FALSE</f>
        <v>0</v>
      </c>
      <c r="J2145" s="208" t="b">
        <f t="shared" si="1673"/>
        <v>0</v>
      </c>
      <c r="K2145" s="214">
        <v>84561.0</v>
      </c>
      <c r="L2145" s="207" t="str">
        <f t="shared" si="3"/>
        <v>n/a</v>
      </c>
      <c r="M2145" s="212" t="str">
        <f t="shared" si="4"/>
        <v>n/a</v>
      </c>
      <c r="N2145" s="207" t="str">
        <f t="shared" si="1421"/>
        <v>n/a</v>
      </c>
      <c r="O2145" s="207">
        <f t="shared" si="1422"/>
        <v>0.00001182578257</v>
      </c>
    </row>
    <row r="2146">
      <c r="A2146" s="207">
        <v>169.0</v>
      </c>
      <c r="B2146" s="6" t="str">
        <f>VLOOKUP($A2146, 'Completion rates'!$A:$E, 2, FALSE)</f>
        <v>Killing kurask</v>
      </c>
      <c r="C2146" s="207">
        <v>1249.0</v>
      </c>
      <c r="D2146" s="6" t="str">
        <f>VLOOKUP($C2146, 'List of log slots'!$A:$E, 2, FALSE)</f>
        <v>Dragon spear</v>
      </c>
      <c r="E2146" s="207">
        <f>VLOOKUP($C2146, 'List of log slots'!$A:$E, 5, FALSE)</f>
        <v>5</v>
      </c>
      <c r="F2146" s="213" t="b">
        <f>VLOOKUP(C2146, 'List of log slots'!$A:$C, 3, FALSE)</f>
        <v>0</v>
      </c>
      <c r="G2146" s="209" t="b">
        <f t="shared" si="1524"/>
        <v>0</v>
      </c>
      <c r="H2146" s="209" t="b">
        <f t="shared" si="7"/>
        <v>1</v>
      </c>
      <c r="I2146" s="208" t="b">
        <f t="shared" ref="I2146:J2146" si="1674">FALSE</f>
        <v>0</v>
      </c>
      <c r="J2146" s="208" t="b">
        <f t="shared" si="1674"/>
        <v>0</v>
      </c>
      <c r="K2146" s="214">
        <v>112868.0</v>
      </c>
      <c r="L2146" s="207" t="str">
        <f t="shared" si="3"/>
        <v>n/a</v>
      </c>
      <c r="M2146" s="212" t="str">
        <f t="shared" si="4"/>
        <v>n/a</v>
      </c>
      <c r="N2146" s="207" t="str">
        <f t="shared" si="1421"/>
        <v>n/a</v>
      </c>
      <c r="O2146" s="207">
        <f t="shared" si="1422"/>
        <v>0.000008859907148</v>
      </c>
    </row>
    <row r="2147">
      <c r="A2147" s="207">
        <v>170.0</v>
      </c>
      <c r="B2147" s="6" t="str">
        <f>VLOOKUP($A2147, 'Completion rates'!$A:$E, 2, FALSE)</f>
        <v>Killing abyssal demons (on task)</v>
      </c>
      <c r="C2147" s="207">
        <v>7979.0</v>
      </c>
      <c r="D2147" s="6" t="str">
        <f>VLOOKUP($C2147, 'List of log slots'!$A:$E, 2, FALSE)</f>
        <v>Abyssal head</v>
      </c>
      <c r="E2147" s="207">
        <f>VLOOKUP($C2147, 'List of log slots'!$A:$E, 5, FALSE)</f>
        <v>5</v>
      </c>
      <c r="F2147" s="213" t="b">
        <f>VLOOKUP(C2147, 'List of log slots'!$A:$C, 3, FALSE)</f>
        <v>0</v>
      </c>
      <c r="G2147" s="209" t="b">
        <f t="shared" si="1524"/>
        <v>0</v>
      </c>
      <c r="H2147" s="209" t="b">
        <f t="shared" si="7"/>
        <v>1</v>
      </c>
      <c r="I2147" s="208" t="b">
        <f t="shared" ref="I2147:J2147" si="1675">FALSE</f>
        <v>0</v>
      </c>
      <c r="J2147" s="208" t="b">
        <f t="shared" si="1675"/>
        <v>0</v>
      </c>
      <c r="K2147" s="214">
        <v>6000.0</v>
      </c>
      <c r="L2147" s="207" t="str">
        <f t="shared" si="3"/>
        <v>n/a</v>
      </c>
      <c r="M2147" s="212" t="str">
        <f t="shared" si="4"/>
        <v>n/a</v>
      </c>
      <c r="N2147" s="207" t="str">
        <f t="shared" si="1421"/>
        <v>n/a</v>
      </c>
      <c r="O2147" s="207">
        <f t="shared" si="1422"/>
        <v>0.0001666666667</v>
      </c>
    </row>
    <row r="2148">
      <c r="A2148" s="207">
        <v>170.0</v>
      </c>
      <c r="B2148" s="6" t="str">
        <f>VLOOKUP($A2148, 'Completion rates'!$A:$E, 2, FALSE)</f>
        <v>Killing abyssal demons (on task)</v>
      </c>
      <c r="C2148" s="207">
        <v>13265.0</v>
      </c>
      <c r="D2148" s="6" t="str">
        <f>VLOOKUP($C2148, 'List of log slots'!$A:$E, 2, FALSE)</f>
        <v>Abyssal dagger</v>
      </c>
      <c r="E2148" s="207">
        <f>VLOOKUP($C2148, 'List of log slots'!$A:$E, 5, FALSE)</f>
        <v>6</v>
      </c>
      <c r="F2148" s="208" t="b">
        <f>VLOOKUP(C2148, 'List of log slots'!$A:$C, 3, FALSE)</f>
        <v>0</v>
      </c>
      <c r="G2148" s="209" t="b">
        <f t="shared" si="1524"/>
        <v>0</v>
      </c>
      <c r="H2148" s="210" t="b">
        <f t="shared" si="7"/>
        <v>1</v>
      </c>
      <c r="I2148" s="208" t="b">
        <f t="shared" ref="I2148:J2148" si="1676">FALSE</f>
        <v>0</v>
      </c>
      <c r="J2148" s="208" t="b">
        <f t="shared" si="1676"/>
        <v>0</v>
      </c>
      <c r="K2148" s="214">
        <v>32000.0</v>
      </c>
      <c r="L2148" s="207" t="str">
        <f t="shared" si="3"/>
        <v>n/a</v>
      </c>
      <c r="M2148" s="212" t="str">
        <f t="shared" si="4"/>
        <v>n/a</v>
      </c>
      <c r="N2148" s="207" t="str">
        <f t="shared" si="1421"/>
        <v>n/a</v>
      </c>
      <c r="O2148" s="207">
        <f t="shared" si="1422"/>
        <v>0.00003125</v>
      </c>
    </row>
    <row r="2149">
      <c r="A2149" s="207">
        <v>170.0</v>
      </c>
      <c r="B2149" s="6" t="str">
        <f>VLOOKUP($A2149, 'Completion rates'!$A:$E, 2, FALSE)</f>
        <v>Killing abyssal demons (on task)</v>
      </c>
      <c r="C2149" s="207">
        <v>4151.0</v>
      </c>
      <c r="D2149" s="6" t="str">
        <f>VLOOKUP($C2149, 'List of log slots'!$A:$E, 2, FALSE)</f>
        <v>Abyssal whip</v>
      </c>
      <c r="E2149" s="207">
        <f>VLOOKUP($C2149, 'List of log slots'!$A:$E, 5, FALSE)</f>
        <v>5</v>
      </c>
      <c r="F2149" s="208" t="b">
        <f>VLOOKUP(C2149, 'List of log slots'!$A:$C, 3, FALSE)</f>
        <v>0</v>
      </c>
      <c r="G2149" s="209" t="b">
        <f t="shared" si="1524"/>
        <v>0</v>
      </c>
      <c r="H2149" s="210" t="b">
        <f t="shared" si="7"/>
        <v>1</v>
      </c>
      <c r="I2149" s="208" t="b">
        <f t="shared" ref="I2149:J2149" si="1677">FALSE</f>
        <v>0</v>
      </c>
      <c r="J2149" s="208" t="b">
        <f t="shared" si="1677"/>
        <v>0</v>
      </c>
      <c r="K2149" s="214">
        <v>512.0</v>
      </c>
      <c r="L2149" s="207" t="str">
        <f t="shared" si="3"/>
        <v>n/a</v>
      </c>
      <c r="M2149" s="212" t="str">
        <f t="shared" si="4"/>
        <v>n/a</v>
      </c>
      <c r="N2149" s="207" t="str">
        <f t="shared" si="1421"/>
        <v>n/a</v>
      </c>
      <c r="O2149" s="207">
        <f t="shared" si="1422"/>
        <v>0.001953125</v>
      </c>
    </row>
    <row r="2150">
      <c r="A2150" s="207">
        <v>170.0</v>
      </c>
      <c r="B2150" s="6" t="str">
        <f>VLOOKUP($A2150, 'Completion rates'!$A:$E, 2, FALSE)</f>
        <v>Killing abyssal demons (on task)</v>
      </c>
      <c r="C2150" s="207">
        <v>19677.0</v>
      </c>
      <c r="D2150" s="6" t="str">
        <f>VLOOKUP($C2150, 'List of log slots'!$A:$E, 2, FALSE)</f>
        <v>Ancient shard</v>
      </c>
      <c r="E2150" s="207">
        <f>VLOOKUP($C2150, 'List of log slots'!$A:$E, 5, FALSE)</f>
        <v>5</v>
      </c>
      <c r="F2150" s="213" t="b">
        <f>VLOOKUP(C2150, 'List of log slots'!$A:$C, 3, FALSE)</f>
        <v>0</v>
      </c>
      <c r="G2150" s="209" t="b">
        <f t="shared" si="1524"/>
        <v>0</v>
      </c>
      <c r="H2150" s="209" t="b">
        <f t="shared" si="7"/>
        <v>1</v>
      </c>
      <c r="I2150" s="208" t="b">
        <f t="shared" ref="I2150:J2150" si="1678">FALSE</f>
        <v>0</v>
      </c>
      <c r="J2150" s="208" t="b">
        <f t="shared" si="1678"/>
        <v>0</v>
      </c>
      <c r="K2150" s="214">
        <v>233.0</v>
      </c>
      <c r="L2150" s="207" t="str">
        <f t="shared" si="3"/>
        <v>n/a</v>
      </c>
      <c r="M2150" s="212" t="str">
        <f t="shared" si="4"/>
        <v>n/a</v>
      </c>
      <c r="N2150" s="207" t="str">
        <f t="shared" si="1421"/>
        <v>n/a</v>
      </c>
      <c r="O2150" s="207">
        <f t="shared" si="1422"/>
        <v>0.004291845494</v>
      </c>
    </row>
    <row r="2151">
      <c r="A2151" s="207">
        <v>170.0</v>
      </c>
      <c r="B2151" s="6" t="str">
        <f>VLOOKUP($A2151, 'Completion rates'!$A:$E, 2, FALSE)</f>
        <v>Killing abyssal demons (on task)</v>
      </c>
      <c r="C2151" s="207">
        <v>20724.0</v>
      </c>
      <c r="D2151" s="6" t="str">
        <f>VLOOKUP($C2151, 'List of log slots'!$A:$E, 2, FALSE)</f>
        <v>Imbued heart</v>
      </c>
      <c r="E2151" s="207">
        <f>VLOOKUP($C2151, 'List of log slots'!$A:$E, 5, FALSE)</f>
        <v>8</v>
      </c>
      <c r="F2151" s="208" t="b">
        <f>VLOOKUP(C2151, 'List of log slots'!$A:$C, 3, FALSE)</f>
        <v>0</v>
      </c>
      <c r="G2151" s="209" t="b">
        <f t="shared" si="1524"/>
        <v>0</v>
      </c>
      <c r="H2151" s="210" t="b">
        <f t="shared" si="7"/>
        <v>1</v>
      </c>
      <c r="I2151" s="208" t="b">
        <f t="shared" ref="I2151:J2151" si="1679">FALSE</f>
        <v>0</v>
      </c>
      <c r="J2151" s="208" t="b">
        <f t="shared" si="1679"/>
        <v>0</v>
      </c>
      <c r="K2151" s="214">
        <v>52800.0</v>
      </c>
      <c r="L2151" s="207" t="str">
        <f t="shared" si="3"/>
        <v>n/a</v>
      </c>
      <c r="M2151" s="212" t="str">
        <f t="shared" si="4"/>
        <v>n/a</v>
      </c>
      <c r="N2151" s="207" t="str">
        <f t="shared" si="1421"/>
        <v>n/a</v>
      </c>
      <c r="O2151" s="207">
        <f t="shared" si="1422"/>
        <v>0.00001893939394</v>
      </c>
    </row>
    <row r="2152">
      <c r="A2152" s="207">
        <v>170.0</v>
      </c>
      <c r="B2152" s="6" t="str">
        <f>VLOOKUP($A2152, 'Completion rates'!$A:$E, 2, FALSE)</f>
        <v>Killing abyssal demons (on task)</v>
      </c>
      <c r="C2152" s="207">
        <v>21270.0</v>
      </c>
      <c r="D2152" s="6" t="str">
        <f>VLOOKUP($C2152, 'List of log slots'!$A:$E, 2, FALSE)</f>
        <v>Eternal gem</v>
      </c>
      <c r="E2152" s="207">
        <f>VLOOKUP($C2152, 'List of log slots'!$A:$E, 5, FALSE)</f>
        <v>8</v>
      </c>
      <c r="F2152" s="213" t="b">
        <f>VLOOKUP(C2152, 'List of log slots'!$A:$C, 3, FALSE)</f>
        <v>0</v>
      </c>
      <c r="G2152" s="209" t="b">
        <f t="shared" si="1524"/>
        <v>0</v>
      </c>
      <c r="H2152" s="209" t="b">
        <f t="shared" si="7"/>
        <v>1</v>
      </c>
      <c r="I2152" s="208" t="b">
        <f t="shared" ref="I2152:J2152" si="1680">FALSE</f>
        <v>0</v>
      </c>
      <c r="J2152" s="208" t="b">
        <f t="shared" si="1680"/>
        <v>0</v>
      </c>
      <c r="K2152" s="214">
        <v>52800.0</v>
      </c>
      <c r="L2152" s="207" t="str">
        <f t="shared" si="3"/>
        <v>n/a</v>
      </c>
      <c r="M2152" s="212" t="str">
        <f t="shared" si="4"/>
        <v>n/a</v>
      </c>
      <c r="N2152" s="207" t="str">
        <f t="shared" si="1421"/>
        <v>n/a</v>
      </c>
      <c r="O2152" s="207">
        <f t="shared" si="1422"/>
        <v>0.00001893939394</v>
      </c>
    </row>
    <row r="2153">
      <c r="A2153" s="207">
        <v>170.0</v>
      </c>
      <c r="B2153" s="6" t="str">
        <f>VLOOKUP($A2153, 'Completion rates'!$A:$E, 2, FALSE)</f>
        <v>Killing abyssal demons (on task)</v>
      </c>
      <c r="C2153" s="207">
        <v>20736.0</v>
      </c>
      <c r="D2153" s="6" t="str">
        <f>VLOOKUP($C2153, 'List of log slots'!$A:$E, 2, FALSE)</f>
        <v>Dust battlestaff</v>
      </c>
      <c r="E2153" s="207">
        <f>VLOOKUP($C2153, 'List of log slots'!$A:$E, 5, FALSE)</f>
        <v>6</v>
      </c>
      <c r="F2153" s="213" t="b">
        <f>VLOOKUP(C2153, 'List of log slots'!$A:$C, 3, FALSE)</f>
        <v>0</v>
      </c>
      <c r="G2153" s="209" t="b">
        <f t="shared" si="1524"/>
        <v>0</v>
      </c>
      <c r="H2153" s="209" t="b">
        <f t="shared" si="7"/>
        <v>1</v>
      </c>
      <c r="I2153" s="208" t="b">
        <f t="shared" ref="I2153:J2153" si="1681">FALSE</f>
        <v>0</v>
      </c>
      <c r="J2153" s="208" t="b">
        <f t="shared" si="1681"/>
        <v>0</v>
      </c>
      <c r="K2153" s="214">
        <v>17600.0</v>
      </c>
      <c r="L2153" s="207" t="str">
        <f t="shared" si="3"/>
        <v>n/a</v>
      </c>
      <c r="M2153" s="212" t="str">
        <f t="shared" si="4"/>
        <v>n/a</v>
      </c>
      <c r="N2153" s="207" t="str">
        <f t="shared" si="1421"/>
        <v>n/a</v>
      </c>
      <c r="O2153" s="207">
        <f t="shared" si="1422"/>
        <v>0.00005681818182</v>
      </c>
    </row>
    <row r="2154">
      <c r="A2154" s="207">
        <v>170.0</v>
      </c>
      <c r="B2154" s="6" t="str">
        <f>VLOOKUP($A2154, 'Completion rates'!$A:$E, 2, FALSE)</f>
        <v>Killing abyssal demons (on task)</v>
      </c>
      <c r="C2154" s="207">
        <v>20730.0</v>
      </c>
      <c r="D2154" s="6" t="str">
        <f>VLOOKUP($C2154, 'List of log slots'!$A:$E, 2, FALSE)</f>
        <v>Mist battlestaff</v>
      </c>
      <c r="E2154" s="207">
        <f>VLOOKUP($C2154, 'List of log slots'!$A:$E, 5, FALSE)</f>
        <v>7</v>
      </c>
      <c r="F2154" s="213" t="b">
        <f>VLOOKUP(C2154, 'List of log slots'!$A:$C, 3, FALSE)</f>
        <v>0</v>
      </c>
      <c r="G2154" s="209" t="b">
        <f t="shared" si="1524"/>
        <v>0</v>
      </c>
      <c r="H2154" s="209" t="b">
        <f t="shared" si="7"/>
        <v>1</v>
      </c>
      <c r="I2154" s="208" t="b">
        <f t="shared" ref="I2154:J2154" si="1682">FALSE</f>
        <v>0</v>
      </c>
      <c r="J2154" s="208" t="b">
        <f t="shared" si="1682"/>
        <v>0</v>
      </c>
      <c r="K2154" s="214">
        <v>17600.0</v>
      </c>
      <c r="L2154" s="207" t="str">
        <f t="shared" si="3"/>
        <v>n/a</v>
      </c>
      <c r="M2154" s="212" t="str">
        <f t="shared" si="4"/>
        <v>n/a</v>
      </c>
      <c r="N2154" s="207" t="str">
        <f t="shared" si="1421"/>
        <v>n/a</v>
      </c>
      <c r="O2154" s="207">
        <f t="shared" si="1422"/>
        <v>0.00005681818182</v>
      </c>
    </row>
    <row r="2155">
      <c r="A2155" s="207">
        <v>170.0</v>
      </c>
      <c r="B2155" s="6" t="str">
        <f>VLOOKUP($A2155, 'Completion rates'!$A:$E, 2, FALSE)</f>
        <v>Killing abyssal demons (on task)</v>
      </c>
      <c r="C2155" s="207">
        <v>19679.0</v>
      </c>
      <c r="D2155" s="6" t="str">
        <f>VLOOKUP($C2155, 'List of log slots'!$A:$E, 2, FALSE)</f>
        <v>Dark totem base</v>
      </c>
      <c r="E2155" s="207">
        <f>VLOOKUP($C2155, 'List of log slots'!$A:$E, 5, FALSE)</f>
        <v>3</v>
      </c>
      <c r="F2155" s="213" t="b">
        <f>VLOOKUP(C2155, 'List of log slots'!$A:$C, 3, FALSE)</f>
        <v>0</v>
      </c>
      <c r="G2155" s="209" t="b">
        <f t="shared" si="1524"/>
        <v>0</v>
      </c>
      <c r="H2155" s="209" t="b">
        <f t="shared" si="7"/>
        <v>1</v>
      </c>
      <c r="I2155" s="208" t="b">
        <f t="shared" ref="I2155:J2155" si="1683">FALSE</f>
        <v>0</v>
      </c>
      <c r="J2155" s="208" t="b">
        <f t="shared" si="1683"/>
        <v>0</v>
      </c>
      <c r="K2155" s="214">
        <v>350.0</v>
      </c>
      <c r="L2155" s="207" t="str">
        <f t="shared" si="3"/>
        <v>n/a</v>
      </c>
      <c r="M2155" s="212" t="str">
        <f t="shared" si="4"/>
        <v>n/a</v>
      </c>
      <c r="N2155" s="207" t="str">
        <f t="shared" si="1421"/>
        <v>n/a</v>
      </c>
      <c r="O2155" s="207">
        <f t="shared" si="1422"/>
        <v>0.002857142857</v>
      </c>
    </row>
    <row r="2156">
      <c r="A2156" s="207">
        <v>170.0</v>
      </c>
      <c r="B2156" s="6" t="str">
        <f>VLOOKUP($A2156, 'Completion rates'!$A:$E, 2, FALSE)</f>
        <v>Killing abyssal demons (on task)</v>
      </c>
      <c r="C2156" s="207">
        <v>19681.0</v>
      </c>
      <c r="D2156" s="6" t="str">
        <f>VLOOKUP($C2156, 'List of log slots'!$A:$E, 2, FALSE)</f>
        <v>Dark totem middle</v>
      </c>
      <c r="E2156" s="207">
        <f>VLOOKUP($C2156, 'List of log slots'!$A:$E, 5, FALSE)</f>
        <v>3</v>
      </c>
      <c r="F2156" s="213" t="b">
        <f>VLOOKUP(C2156, 'List of log slots'!$A:$C, 3, FALSE)</f>
        <v>0</v>
      </c>
      <c r="G2156" s="210" t="b">
        <f t="shared" ref="G2156:G2157" si="1685">TRUE</f>
        <v>1</v>
      </c>
      <c r="H2156" s="209" t="b">
        <f t="shared" si="7"/>
        <v>0</v>
      </c>
      <c r="I2156" s="208" t="b">
        <f t="shared" ref="I2156:J2156" si="1684">FALSE</f>
        <v>0</v>
      </c>
      <c r="J2156" s="208" t="b">
        <f t="shared" si="1684"/>
        <v>0</v>
      </c>
      <c r="K2156" s="214">
        <v>350.0</v>
      </c>
      <c r="L2156" s="207" t="str">
        <f t="shared" si="3"/>
        <v>n/a</v>
      </c>
      <c r="M2156" s="212" t="str">
        <f t="shared" si="4"/>
        <v>n/a</v>
      </c>
      <c r="N2156" s="207" t="str">
        <f t="shared" si="1421"/>
        <v>n/a</v>
      </c>
      <c r="O2156" s="207">
        <f t="shared" si="1422"/>
        <v>0.002857142857</v>
      </c>
    </row>
    <row r="2157">
      <c r="A2157" s="207">
        <v>170.0</v>
      </c>
      <c r="B2157" s="6" t="str">
        <f>VLOOKUP($A2157, 'Completion rates'!$A:$E, 2, FALSE)</f>
        <v>Killing abyssal demons (on task)</v>
      </c>
      <c r="C2157" s="207">
        <v>19683.0</v>
      </c>
      <c r="D2157" s="6" t="str">
        <f>VLOOKUP($C2157, 'List of log slots'!$A:$E, 2, FALSE)</f>
        <v>Dark totem top</v>
      </c>
      <c r="E2157" s="207">
        <f>VLOOKUP($C2157, 'List of log slots'!$A:$E, 5, FALSE)</f>
        <v>3</v>
      </c>
      <c r="F2157" s="213" t="b">
        <f>VLOOKUP(C2157, 'List of log slots'!$A:$C, 3, FALSE)</f>
        <v>0</v>
      </c>
      <c r="G2157" s="210" t="b">
        <f t="shared" si="1685"/>
        <v>1</v>
      </c>
      <c r="H2157" s="209" t="b">
        <f t="shared" si="7"/>
        <v>0</v>
      </c>
      <c r="I2157" s="208" t="b">
        <f t="shared" ref="I2157:J2157" si="1686">FALSE</f>
        <v>0</v>
      </c>
      <c r="J2157" s="208" t="b">
        <f t="shared" si="1686"/>
        <v>0</v>
      </c>
      <c r="K2157" s="214">
        <v>350.0</v>
      </c>
      <c r="L2157" s="207" t="str">
        <f t="shared" si="3"/>
        <v>n/a</v>
      </c>
      <c r="M2157" s="212" t="str">
        <f t="shared" si="4"/>
        <v>n/a</v>
      </c>
      <c r="N2157" s="207" t="str">
        <f t="shared" si="1421"/>
        <v>n/a</v>
      </c>
      <c r="O2157" s="207">
        <f t="shared" si="1422"/>
        <v>0.002857142857</v>
      </c>
    </row>
    <row r="2158">
      <c r="A2158" s="207">
        <v>170.0</v>
      </c>
      <c r="B2158" s="6" t="str">
        <f>VLOOKUP($A2158, 'Completion rates'!$A:$E, 2, FALSE)</f>
        <v>Killing abyssal demons (on task)</v>
      </c>
      <c r="C2158" s="207">
        <v>2366.0</v>
      </c>
      <c r="D2158" s="6" t="str">
        <f>VLOOKUP($C2158, 'List of log slots'!$A:$E, 2, FALSE)</f>
        <v>Shield left half</v>
      </c>
      <c r="E2158" s="207">
        <f>VLOOKUP($C2158, 'List of log slots'!$A:$E, 5, FALSE)</f>
        <v>5</v>
      </c>
      <c r="F2158" s="213" t="b">
        <f>VLOOKUP(C2158, 'List of log slots'!$A:$C, 3, FALSE)</f>
        <v>0</v>
      </c>
      <c r="G2158" s="209" t="b">
        <f t="shared" ref="G2158:G2166" si="1688">FALSE</f>
        <v>0</v>
      </c>
      <c r="H2158" s="209" t="b">
        <f t="shared" si="7"/>
        <v>1</v>
      </c>
      <c r="I2158" s="208" t="b">
        <f t="shared" ref="I2158:J2158" si="1687">FALSE</f>
        <v>0</v>
      </c>
      <c r="J2158" s="208" t="b">
        <f t="shared" si="1687"/>
        <v>0</v>
      </c>
      <c r="K2158" s="214">
        <v>14847.0</v>
      </c>
      <c r="L2158" s="207" t="str">
        <f t="shared" si="3"/>
        <v>n/a</v>
      </c>
      <c r="M2158" s="212" t="str">
        <f t="shared" si="4"/>
        <v>n/a</v>
      </c>
      <c r="N2158" s="207" t="str">
        <f t="shared" si="1421"/>
        <v>n/a</v>
      </c>
      <c r="O2158" s="207">
        <f t="shared" si="1422"/>
        <v>0.00006735367414</v>
      </c>
    </row>
    <row r="2159">
      <c r="A2159" s="207">
        <v>170.0</v>
      </c>
      <c r="B2159" s="6" t="str">
        <f>VLOOKUP($A2159, 'Completion rates'!$A:$E, 2, FALSE)</f>
        <v>Killing abyssal demons (on task)</v>
      </c>
      <c r="C2159" s="207">
        <v>1249.0</v>
      </c>
      <c r="D2159" s="6" t="str">
        <f>VLOOKUP($C2159, 'List of log slots'!$A:$E, 2, FALSE)</f>
        <v>Dragon spear</v>
      </c>
      <c r="E2159" s="207">
        <f>VLOOKUP($C2159, 'List of log slots'!$A:$E, 5, FALSE)</f>
        <v>5</v>
      </c>
      <c r="F2159" s="213" t="b">
        <f>VLOOKUP(C2159, 'List of log slots'!$A:$C, 3, FALSE)</f>
        <v>0</v>
      </c>
      <c r="G2159" s="209" t="b">
        <f t="shared" si="1688"/>
        <v>0</v>
      </c>
      <c r="H2159" s="209" t="b">
        <f t="shared" si="7"/>
        <v>1</v>
      </c>
      <c r="I2159" s="208" t="b">
        <f t="shared" ref="I2159:J2159" si="1689">FALSE</f>
        <v>0</v>
      </c>
      <c r="J2159" s="208" t="b">
        <f t="shared" si="1689"/>
        <v>0</v>
      </c>
      <c r="K2159" s="214">
        <v>19796.0</v>
      </c>
      <c r="L2159" s="207" t="str">
        <f t="shared" si="3"/>
        <v>n/a</v>
      </c>
      <c r="M2159" s="212" t="str">
        <f t="shared" si="4"/>
        <v>n/a</v>
      </c>
      <c r="N2159" s="207" t="str">
        <f t="shared" si="1421"/>
        <v>n/a</v>
      </c>
      <c r="O2159" s="207">
        <f t="shared" si="1422"/>
        <v>0.00005051525561</v>
      </c>
    </row>
    <row r="2160">
      <c r="A2160" s="207">
        <v>171.0</v>
      </c>
      <c r="B2160" s="6" t="str">
        <f>VLOOKUP($A2160, 'Completion rates'!$A:$E, 2, FALSE)</f>
        <v>Killing dust devils (on task)</v>
      </c>
      <c r="C2160" s="207">
        <v>3140.0</v>
      </c>
      <c r="D2160" s="6" t="str">
        <f>VLOOKUP($C2160, 'List of log slots'!$A:$E, 2, FALSE)</f>
        <v>Dragon chainbody</v>
      </c>
      <c r="E2160" s="207">
        <f>VLOOKUP($C2160, 'List of log slots'!$A:$E, 5, FALSE)</f>
        <v>5</v>
      </c>
      <c r="F2160" s="213" t="b">
        <f>VLOOKUP(C2160, 'List of log slots'!$A:$C, 3, FALSE)</f>
        <v>0</v>
      </c>
      <c r="G2160" s="209" t="b">
        <f t="shared" si="1688"/>
        <v>0</v>
      </c>
      <c r="H2160" s="209" t="b">
        <f t="shared" si="7"/>
        <v>1</v>
      </c>
      <c r="I2160" s="208" t="b">
        <f t="shared" ref="I2160:J2160" si="1690">FALSE</f>
        <v>0</v>
      </c>
      <c r="J2160" s="208" t="b">
        <f t="shared" si="1690"/>
        <v>0</v>
      </c>
      <c r="K2160" s="214">
        <v>32768.0</v>
      </c>
      <c r="L2160" s="207" t="str">
        <f t="shared" si="3"/>
        <v>n/a</v>
      </c>
      <c r="M2160" s="212" t="str">
        <f t="shared" si="4"/>
        <v>n/a</v>
      </c>
      <c r="N2160" s="207" t="str">
        <f t="shared" si="1421"/>
        <v>n/a</v>
      </c>
      <c r="O2160" s="207">
        <f t="shared" si="1422"/>
        <v>0.00003051757813</v>
      </c>
    </row>
    <row r="2161">
      <c r="A2161" s="207">
        <v>171.0</v>
      </c>
      <c r="B2161" s="6" t="str">
        <f>VLOOKUP($A2161, 'Completion rates'!$A:$E, 2, FALSE)</f>
        <v>Killing dust devils (on task)</v>
      </c>
      <c r="C2161" s="207">
        <v>19677.0</v>
      </c>
      <c r="D2161" s="6" t="str">
        <f>VLOOKUP($C2161, 'List of log slots'!$A:$E, 2, FALSE)</f>
        <v>Ancient shard</v>
      </c>
      <c r="E2161" s="207">
        <f>VLOOKUP($C2161, 'List of log slots'!$A:$E, 5, FALSE)</f>
        <v>5</v>
      </c>
      <c r="F2161" s="213" t="b">
        <f>VLOOKUP(C2161, 'List of log slots'!$A:$C, 3, FALSE)</f>
        <v>0</v>
      </c>
      <c r="G2161" s="209" t="b">
        <f t="shared" si="1688"/>
        <v>0</v>
      </c>
      <c r="H2161" s="209" t="b">
        <f t="shared" si="7"/>
        <v>1</v>
      </c>
      <c r="I2161" s="208" t="b">
        <f t="shared" ref="I2161:J2161" si="1691">FALSE</f>
        <v>0</v>
      </c>
      <c r="J2161" s="208" t="b">
        <f t="shared" si="1691"/>
        <v>0</v>
      </c>
      <c r="K2161" s="214">
        <v>246.0</v>
      </c>
      <c r="L2161" s="207" t="str">
        <f t="shared" si="3"/>
        <v>n/a</v>
      </c>
      <c r="M2161" s="212" t="str">
        <f t="shared" si="4"/>
        <v>n/a</v>
      </c>
      <c r="N2161" s="207" t="str">
        <f t="shared" si="1421"/>
        <v>n/a</v>
      </c>
      <c r="O2161" s="207">
        <f t="shared" si="1422"/>
        <v>0.00406504065</v>
      </c>
    </row>
    <row r="2162">
      <c r="A2162" s="207">
        <v>171.0</v>
      </c>
      <c r="B2162" s="6" t="str">
        <f>VLOOKUP($A2162, 'Completion rates'!$A:$E, 2, FALSE)</f>
        <v>Killing dust devils (on task)</v>
      </c>
      <c r="C2162" s="207">
        <v>20724.0</v>
      </c>
      <c r="D2162" s="6" t="str">
        <f>VLOOKUP($C2162, 'List of log slots'!$A:$E, 2, FALSE)</f>
        <v>Imbued heart</v>
      </c>
      <c r="E2162" s="207">
        <f>VLOOKUP($C2162, 'List of log slots'!$A:$E, 5, FALSE)</f>
        <v>8</v>
      </c>
      <c r="F2162" s="208" t="b">
        <f>VLOOKUP(C2162, 'List of log slots'!$A:$C, 3, FALSE)</f>
        <v>0</v>
      </c>
      <c r="G2162" s="209" t="b">
        <f t="shared" si="1688"/>
        <v>0</v>
      </c>
      <c r="H2162" s="210" t="b">
        <f t="shared" si="7"/>
        <v>1</v>
      </c>
      <c r="I2162" s="208" t="b">
        <f t="shared" ref="I2162:J2162" si="1692">FALSE</f>
        <v>0</v>
      </c>
      <c r="J2162" s="208" t="b">
        <f t="shared" si="1692"/>
        <v>0</v>
      </c>
      <c r="K2162" s="214">
        <v>102000.0</v>
      </c>
      <c r="L2162" s="207" t="str">
        <f t="shared" si="3"/>
        <v>n/a</v>
      </c>
      <c r="M2162" s="212" t="str">
        <f t="shared" si="4"/>
        <v>n/a</v>
      </c>
      <c r="N2162" s="207" t="str">
        <f t="shared" si="1421"/>
        <v>n/a</v>
      </c>
      <c r="O2162" s="207">
        <f t="shared" si="1422"/>
        <v>0.000009803921569</v>
      </c>
    </row>
    <row r="2163">
      <c r="A2163" s="207">
        <v>171.0</v>
      </c>
      <c r="B2163" s="6" t="str">
        <f>VLOOKUP($A2163, 'Completion rates'!$A:$E, 2, FALSE)</f>
        <v>Killing dust devils (on task)</v>
      </c>
      <c r="C2163" s="207">
        <v>21270.0</v>
      </c>
      <c r="D2163" s="6" t="str">
        <f>VLOOKUP($C2163, 'List of log slots'!$A:$E, 2, FALSE)</f>
        <v>Eternal gem</v>
      </c>
      <c r="E2163" s="207">
        <f>VLOOKUP($C2163, 'List of log slots'!$A:$E, 5, FALSE)</f>
        <v>8</v>
      </c>
      <c r="F2163" s="213" t="b">
        <f>VLOOKUP(C2163, 'List of log slots'!$A:$C, 3, FALSE)</f>
        <v>0</v>
      </c>
      <c r="G2163" s="209" t="b">
        <f t="shared" si="1688"/>
        <v>0</v>
      </c>
      <c r="H2163" s="209" t="b">
        <f t="shared" si="7"/>
        <v>1</v>
      </c>
      <c r="I2163" s="208" t="b">
        <f t="shared" ref="I2163:J2163" si="1693">FALSE</f>
        <v>0</v>
      </c>
      <c r="J2163" s="208" t="b">
        <f t="shared" si="1693"/>
        <v>0</v>
      </c>
      <c r="K2163" s="214">
        <v>102000.0</v>
      </c>
      <c r="L2163" s="207" t="str">
        <f t="shared" si="3"/>
        <v>n/a</v>
      </c>
      <c r="M2163" s="212" t="str">
        <f t="shared" si="4"/>
        <v>n/a</v>
      </c>
      <c r="N2163" s="207" t="str">
        <f t="shared" si="1421"/>
        <v>n/a</v>
      </c>
      <c r="O2163" s="207">
        <f t="shared" si="1422"/>
        <v>0.000009803921569</v>
      </c>
    </row>
    <row r="2164">
      <c r="A2164" s="207">
        <v>171.0</v>
      </c>
      <c r="B2164" s="6" t="str">
        <f>VLOOKUP($A2164, 'Completion rates'!$A:$E, 2, FALSE)</f>
        <v>Killing dust devils (on task)</v>
      </c>
      <c r="C2164" s="207">
        <v>20736.0</v>
      </c>
      <c r="D2164" s="6" t="str">
        <f>VLOOKUP($C2164, 'List of log slots'!$A:$E, 2, FALSE)</f>
        <v>Dust battlestaff</v>
      </c>
      <c r="E2164" s="207">
        <f>VLOOKUP($C2164, 'List of log slots'!$A:$E, 5, FALSE)</f>
        <v>6</v>
      </c>
      <c r="F2164" s="213" t="b">
        <f>VLOOKUP(C2164, 'List of log slots'!$A:$C, 3, FALSE)</f>
        <v>0</v>
      </c>
      <c r="G2164" s="209" t="b">
        <f t="shared" si="1688"/>
        <v>0</v>
      </c>
      <c r="H2164" s="209" t="b">
        <f t="shared" si="7"/>
        <v>1</v>
      </c>
      <c r="I2164" s="208" t="b">
        <f t="shared" ref="I2164:J2164" si="1694">FALSE</f>
        <v>0</v>
      </c>
      <c r="J2164" s="208" t="b">
        <f t="shared" si="1694"/>
        <v>0</v>
      </c>
      <c r="K2164" s="214">
        <v>3579.0</v>
      </c>
      <c r="L2164" s="207" t="str">
        <f t="shared" si="3"/>
        <v>n/a</v>
      </c>
      <c r="M2164" s="212" t="str">
        <f t="shared" si="4"/>
        <v>n/a</v>
      </c>
      <c r="N2164" s="207" t="str">
        <f t="shared" si="1421"/>
        <v>n/a</v>
      </c>
      <c r="O2164" s="207">
        <f t="shared" si="1422"/>
        <v>0.0002794076558</v>
      </c>
    </row>
    <row r="2165">
      <c r="A2165" s="207">
        <v>171.0</v>
      </c>
      <c r="B2165" s="6" t="str">
        <f>VLOOKUP($A2165, 'Completion rates'!$A:$E, 2, FALSE)</f>
        <v>Killing dust devils (on task)</v>
      </c>
      <c r="C2165" s="207">
        <v>20730.0</v>
      </c>
      <c r="D2165" s="6" t="str">
        <f>VLOOKUP($C2165, 'List of log slots'!$A:$E, 2, FALSE)</f>
        <v>Mist battlestaff</v>
      </c>
      <c r="E2165" s="207">
        <f>VLOOKUP($C2165, 'List of log slots'!$A:$E, 5, FALSE)</f>
        <v>7</v>
      </c>
      <c r="F2165" s="213" t="b">
        <f>VLOOKUP(C2165, 'List of log slots'!$A:$C, 3, FALSE)</f>
        <v>0</v>
      </c>
      <c r="G2165" s="209" t="b">
        <f t="shared" si="1688"/>
        <v>0</v>
      </c>
      <c r="H2165" s="209" t="b">
        <f t="shared" si="7"/>
        <v>1</v>
      </c>
      <c r="I2165" s="208" t="b">
        <f t="shared" ref="I2165:J2165" si="1695">FALSE</f>
        <v>0</v>
      </c>
      <c r="J2165" s="208" t="b">
        <f t="shared" si="1695"/>
        <v>0</v>
      </c>
      <c r="K2165" s="214">
        <v>34000.0</v>
      </c>
      <c r="L2165" s="207" t="str">
        <f t="shared" si="3"/>
        <v>n/a</v>
      </c>
      <c r="M2165" s="212" t="str">
        <f t="shared" si="4"/>
        <v>n/a</v>
      </c>
      <c r="N2165" s="207" t="str">
        <f t="shared" si="1421"/>
        <v>n/a</v>
      </c>
      <c r="O2165" s="207">
        <f t="shared" si="1422"/>
        <v>0.00002941176471</v>
      </c>
    </row>
    <row r="2166">
      <c r="A2166" s="207">
        <v>171.0</v>
      </c>
      <c r="B2166" s="6" t="str">
        <f>VLOOKUP($A2166, 'Completion rates'!$A:$E, 2, FALSE)</f>
        <v>Killing dust devils (on task)</v>
      </c>
      <c r="C2166" s="207">
        <v>19679.0</v>
      </c>
      <c r="D2166" s="6" t="str">
        <f>VLOOKUP($C2166, 'List of log slots'!$A:$E, 2, FALSE)</f>
        <v>Dark totem base</v>
      </c>
      <c r="E2166" s="207">
        <f>VLOOKUP($C2166, 'List of log slots'!$A:$E, 5, FALSE)</f>
        <v>3</v>
      </c>
      <c r="F2166" s="213" t="b">
        <f>VLOOKUP(C2166, 'List of log slots'!$A:$C, 3, FALSE)</f>
        <v>0</v>
      </c>
      <c r="G2166" s="209" t="b">
        <f t="shared" si="1688"/>
        <v>0</v>
      </c>
      <c r="H2166" s="209" t="b">
        <f t="shared" si="7"/>
        <v>1</v>
      </c>
      <c r="I2166" s="208" t="b">
        <f t="shared" ref="I2166:J2166" si="1696">FALSE</f>
        <v>0</v>
      </c>
      <c r="J2166" s="208" t="b">
        <f t="shared" si="1696"/>
        <v>0</v>
      </c>
      <c r="K2166" s="214">
        <v>370.0</v>
      </c>
      <c r="L2166" s="207" t="str">
        <f t="shared" si="3"/>
        <v>n/a</v>
      </c>
      <c r="M2166" s="212" t="str">
        <f t="shared" si="4"/>
        <v>n/a</v>
      </c>
      <c r="N2166" s="207" t="str">
        <f t="shared" si="1421"/>
        <v>n/a</v>
      </c>
      <c r="O2166" s="207">
        <f t="shared" si="1422"/>
        <v>0.002702702703</v>
      </c>
    </row>
    <row r="2167">
      <c r="A2167" s="207">
        <v>171.0</v>
      </c>
      <c r="B2167" s="6" t="str">
        <f>VLOOKUP($A2167, 'Completion rates'!$A:$E, 2, FALSE)</f>
        <v>Killing dust devils (on task)</v>
      </c>
      <c r="C2167" s="207">
        <v>19681.0</v>
      </c>
      <c r="D2167" s="6" t="str">
        <f>VLOOKUP($C2167, 'List of log slots'!$A:$E, 2, FALSE)</f>
        <v>Dark totem middle</v>
      </c>
      <c r="E2167" s="207">
        <f>VLOOKUP($C2167, 'List of log slots'!$A:$E, 5, FALSE)</f>
        <v>3</v>
      </c>
      <c r="F2167" s="213" t="b">
        <f>VLOOKUP(C2167, 'List of log slots'!$A:$C, 3, FALSE)</f>
        <v>0</v>
      </c>
      <c r="G2167" s="210" t="b">
        <f t="shared" ref="G2167:G2168" si="1698">TRUE</f>
        <v>1</v>
      </c>
      <c r="H2167" s="209" t="b">
        <f t="shared" si="7"/>
        <v>0</v>
      </c>
      <c r="I2167" s="208" t="b">
        <f t="shared" ref="I2167:J2167" si="1697">FALSE</f>
        <v>0</v>
      </c>
      <c r="J2167" s="208" t="b">
        <f t="shared" si="1697"/>
        <v>0</v>
      </c>
      <c r="K2167" s="214">
        <v>370.0</v>
      </c>
      <c r="L2167" s="207" t="str">
        <f t="shared" si="3"/>
        <v>n/a</v>
      </c>
      <c r="M2167" s="212" t="str">
        <f t="shared" si="4"/>
        <v>n/a</v>
      </c>
      <c r="N2167" s="207" t="str">
        <f t="shared" si="1421"/>
        <v>n/a</v>
      </c>
      <c r="O2167" s="207">
        <f t="shared" si="1422"/>
        <v>0.002702702703</v>
      </c>
    </row>
    <row r="2168">
      <c r="A2168" s="207">
        <v>171.0</v>
      </c>
      <c r="B2168" s="6" t="str">
        <f>VLOOKUP($A2168, 'Completion rates'!$A:$E, 2, FALSE)</f>
        <v>Killing dust devils (on task)</v>
      </c>
      <c r="C2168" s="207">
        <v>19683.0</v>
      </c>
      <c r="D2168" s="6" t="str">
        <f>VLOOKUP($C2168, 'List of log slots'!$A:$E, 2, FALSE)</f>
        <v>Dark totem top</v>
      </c>
      <c r="E2168" s="207">
        <f>VLOOKUP($C2168, 'List of log slots'!$A:$E, 5, FALSE)</f>
        <v>3</v>
      </c>
      <c r="F2168" s="213" t="b">
        <f>VLOOKUP(C2168, 'List of log slots'!$A:$C, 3, FALSE)</f>
        <v>0</v>
      </c>
      <c r="G2168" s="210" t="b">
        <f t="shared" si="1698"/>
        <v>1</v>
      </c>
      <c r="H2168" s="209" t="b">
        <f t="shared" si="7"/>
        <v>0</v>
      </c>
      <c r="I2168" s="208" t="b">
        <f t="shared" ref="I2168:J2168" si="1699">FALSE</f>
        <v>0</v>
      </c>
      <c r="J2168" s="208" t="b">
        <f t="shared" si="1699"/>
        <v>0</v>
      </c>
      <c r="K2168" s="214">
        <v>370.0</v>
      </c>
      <c r="L2168" s="207" t="str">
        <f t="shared" si="3"/>
        <v>n/a</v>
      </c>
      <c r="M2168" s="212" t="str">
        <f t="shared" si="4"/>
        <v>n/a</v>
      </c>
      <c r="N2168" s="207" t="str">
        <f t="shared" si="1421"/>
        <v>n/a</v>
      </c>
      <c r="O2168" s="207">
        <f t="shared" si="1422"/>
        <v>0.002702702703</v>
      </c>
    </row>
    <row r="2169">
      <c r="A2169" s="207">
        <v>171.0</v>
      </c>
      <c r="B2169" s="6" t="str">
        <f>VLOOKUP($A2169, 'Completion rates'!$A:$E, 2, FALSE)</f>
        <v>Killing dust devils (on task)</v>
      </c>
      <c r="C2169" s="207">
        <v>2366.0</v>
      </c>
      <c r="D2169" s="6" t="str">
        <f>VLOOKUP($C2169, 'List of log slots'!$A:$E, 2, FALSE)</f>
        <v>Shield left half</v>
      </c>
      <c r="E2169" s="207">
        <f>VLOOKUP($C2169, 'List of log slots'!$A:$E, 5, FALSE)</f>
        <v>5</v>
      </c>
      <c r="F2169" s="213" t="b">
        <f>VLOOKUP(C2169, 'List of log slots'!$A:$C, 3, FALSE)</f>
        <v>0</v>
      </c>
      <c r="G2169" s="209" t="b">
        <f t="shared" ref="G2169:G2225" si="1701">FALSE</f>
        <v>0</v>
      </c>
      <c r="H2169" s="209" t="b">
        <f t="shared" si="7"/>
        <v>1</v>
      </c>
      <c r="I2169" s="208" t="b">
        <f t="shared" ref="I2169:J2169" si="1700">FALSE</f>
        <v>0</v>
      </c>
      <c r="J2169" s="208" t="b">
        <f t="shared" si="1700"/>
        <v>0</v>
      </c>
      <c r="K2169" s="214">
        <v>47663.0</v>
      </c>
      <c r="L2169" s="207" t="str">
        <f t="shared" si="3"/>
        <v>n/a</v>
      </c>
      <c r="M2169" s="212" t="str">
        <f t="shared" si="4"/>
        <v>n/a</v>
      </c>
      <c r="N2169" s="207" t="str">
        <f t="shared" si="1421"/>
        <v>n/a</v>
      </c>
      <c r="O2169" s="207">
        <f t="shared" si="1422"/>
        <v>0.00002098063487</v>
      </c>
    </row>
    <row r="2170">
      <c r="A2170" s="207">
        <v>171.0</v>
      </c>
      <c r="B2170" s="6" t="str">
        <f>VLOOKUP($A2170, 'Completion rates'!$A:$E, 2, FALSE)</f>
        <v>Killing dust devils (on task)</v>
      </c>
      <c r="C2170" s="207">
        <v>1249.0</v>
      </c>
      <c r="D2170" s="6" t="str">
        <f>VLOOKUP($C2170, 'List of log slots'!$A:$E, 2, FALSE)</f>
        <v>Dragon spear</v>
      </c>
      <c r="E2170" s="207">
        <f>VLOOKUP($C2170, 'List of log slots'!$A:$E, 5, FALSE)</f>
        <v>5</v>
      </c>
      <c r="F2170" s="213" t="b">
        <f>VLOOKUP(C2170, 'List of log slots'!$A:$C, 3, FALSE)</f>
        <v>0</v>
      </c>
      <c r="G2170" s="209" t="b">
        <f t="shared" si="1701"/>
        <v>0</v>
      </c>
      <c r="H2170" s="209" t="b">
        <f t="shared" si="7"/>
        <v>1</v>
      </c>
      <c r="I2170" s="208" t="b">
        <f t="shared" ref="I2170:J2170" si="1702">FALSE</f>
        <v>0</v>
      </c>
      <c r="J2170" s="208" t="b">
        <f t="shared" si="1702"/>
        <v>0</v>
      </c>
      <c r="K2170" s="214">
        <v>63550.0</v>
      </c>
      <c r="L2170" s="207" t="str">
        <f t="shared" si="3"/>
        <v>n/a</v>
      </c>
      <c r="M2170" s="212" t="str">
        <f t="shared" si="4"/>
        <v>n/a</v>
      </c>
      <c r="N2170" s="207" t="str">
        <f t="shared" si="1421"/>
        <v>n/a</v>
      </c>
      <c r="O2170" s="207">
        <f t="shared" si="1422"/>
        <v>0.00001573564123</v>
      </c>
    </row>
    <row r="2171">
      <c r="A2171" s="207">
        <v>172.0</v>
      </c>
      <c r="B2171" s="6" t="str">
        <f>VLOOKUP($A2171, 'Completion rates'!$A:$E, 2, FALSE)</f>
        <v>Killing waterfiends</v>
      </c>
      <c r="C2171" s="207">
        <v>20730.0</v>
      </c>
      <c r="D2171" s="6" t="str">
        <f>VLOOKUP($C2171, 'List of log slots'!$A:$E, 2, FALSE)</f>
        <v>Mist battlestaff</v>
      </c>
      <c r="E2171" s="207">
        <f>VLOOKUP($C2171, 'List of log slots'!$A:$E, 5, FALSE)</f>
        <v>7</v>
      </c>
      <c r="F2171" s="213" t="b">
        <f>VLOOKUP(C2171, 'List of log slots'!$A:$C, 3, FALSE)</f>
        <v>0</v>
      </c>
      <c r="G2171" s="209" t="b">
        <f t="shared" si="1701"/>
        <v>0</v>
      </c>
      <c r="H2171" s="209" t="b">
        <f t="shared" si="7"/>
        <v>1</v>
      </c>
      <c r="I2171" s="208" t="b">
        <f t="shared" ref="I2171:J2171" si="1703">FALSE</f>
        <v>0</v>
      </c>
      <c r="J2171" s="208" t="b">
        <f t="shared" si="1703"/>
        <v>0</v>
      </c>
      <c r="K2171" s="214">
        <v>3000.0</v>
      </c>
      <c r="L2171" s="207" t="str">
        <f t="shared" si="3"/>
        <v>n/a</v>
      </c>
      <c r="M2171" s="212" t="str">
        <f t="shared" si="4"/>
        <v>n/a</v>
      </c>
      <c r="N2171" s="207" t="str">
        <f t="shared" si="1421"/>
        <v>n/a</v>
      </c>
      <c r="O2171" s="207">
        <f t="shared" si="1422"/>
        <v>0.0003333333333</v>
      </c>
    </row>
    <row r="2172">
      <c r="A2172" s="207">
        <v>172.0</v>
      </c>
      <c r="B2172" s="6" t="str">
        <f>VLOOKUP($A2172, 'Completion rates'!$A:$E, 2, FALSE)</f>
        <v>Killing waterfiends</v>
      </c>
      <c r="C2172" s="207">
        <v>2366.0</v>
      </c>
      <c r="D2172" s="6" t="str">
        <f>VLOOKUP($C2172, 'List of log slots'!$A:$E, 2, FALSE)</f>
        <v>Shield left half</v>
      </c>
      <c r="E2172" s="207">
        <f>VLOOKUP($C2172, 'List of log slots'!$A:$E, 5, FALSE)</f>
        <v>5</v>
      </c>
      <c r="F2172" s="213" t="b">
        <f>VLOOKUP(C2172, 'List of log slots'!$A:$C, 3, FALSE)</f>
        <v>0</v>
      </c>
      <c r="G2172" s="209" t="b">
        <f t="shared" si="1701"/>
        <v>0</v>
      </c>
      <c r="H2172" s="209" t="b">
        <f t="shared" si="7"/>
        <v>1</v>
      </c>
      <c r="I2172" s="208" t="b">
        <f t="shared" ref="I2172:J2172" si="1704">FALSE</f>
        <v>0</v>
      </c>
      <c r="J2172" s="208" t="b">
        <f t="shared" si="1704"/>
        <v>0</v>
      </c>
      <c r="K2172" s="214">
        <v>174763.0</v>
      </c>
      <c r="L2172" s="207" t="str">
        <f t="shared" si="3"/>
        <v>n/a</v>
      </c>
      <c r="M2172" s="212" t="str">
        <f t="shared" si="4"/>
        <v>n/a</v>
      </c>
      <c r="N2172" s="207" t="str">
        <f t="shared" si="1421"/>
        <v>n/a</v>
      </c>
      <c r="O2172" s="207">
        <f t="shared" si="1422"/>
        <v>0.000005722034985</v>
      </c>
    </row>
    <row r="2173">
      <c r="A2173" s="207">
        <v>172.0</v>
      </c>
      <c r="B2173" s="6" t="str">
        <f>VLOOKUP($A2173, 'Completion rates'!$A:$E, 2, FALSE)</f>
        <v>Killing waterfiends</v>
      </c>
      <c r="C2173" s="207">
        <v>1249.0</v>
      </c>
      <c r="D2173" s="6" t="str">
        <f>VLOOKUP($C2173, 'List of log slots'!$A:$E, 2, FALSE)</f>
        <v>Dragon spear</v>
      </c>
      <c r="E2173" s="207">
        <f>VLOOKUP($C2173, 'List of log slots'!$A:$E, 5, FALSE)</f>
        <v>5</v>
      </c>
      <c r="F2173" s="213" t="b">
        <f>VLOOKUP(C2173, 'List of log slots'!$A:$C, 3, FALSE)</f>
        <v>0</v>
      </c>
      <c r="G2173" s="209" t="b">
        <f t="shared" si="1701"/>
        <v>0</v>
      </c>
      <c r="H2173" s="209" t="b">
        <f t="shared" si="7"/>
        <v>1</v>
      </c>
      <c r="I2173" s="208" t="b">
        <f t="shared" ref="I2173:J2173" si="1705">FALSE</f>
        <v>0</v>
      </c>
      <c r="J2173" s="208" t="b">
        <f t="shared" si="1705"/>
        <v>0</v>
      </c>
      <c r="K2173" s="214">
        <v>233017.0</v>
      </c>
      <c r="L2173" s="207" t="str">
        <f t="shared" si="3"/>
        <v>n/a</v>
      </c>
      <c r="M2173" s="212" t="str">
        <f t="shared" si="4"/>
        <v>n/a</v>
      </c>
      <c r="N2173" s="207" t="str">
        <f t="shared" si="1421"/>
        <v>n/a</v>
      </c>
      <c r="O2173" s="207">
        <f t="shared" si="1422"/>
        <v>0.000004291532377</v>
      </c>
    </row>
    <row r="2174">
      <c r="A2174" s="207">
        <v>173.0</v>
      </c>
      <c r="B2174" s="6" t="str">
        <f>VLOOKUP($A2174, 'Completion rates'!$A:$E, 2, FALSE)</f>
        <v>Killing gargoyles</v>
      </c>
      <c r="C2174" s="207">
        <v>4153.0</v>
      </c>
      <c r="D2174" s="6" t="str">
        <f>VLOOKUP($C2174, 'List of log slots'!$A:$E, 2, FALSE)</f>
        <v>Granite maul</v>
      </c>
      <c r="E2174" s="207">
        <f>VLOOKUP($C2174, 'List of log slots'!$A:$E, 5, FALSE)</f>
        <v>4</v>
      </c>
      <c r="F2174" s="213" t="b">
        <f>VLOOKUP(C2174, 'List of log slots'!$A:$C, 3, FALSE)</f>
        <v>0</v>
      </c>
      <c r="G2174" s="209" t="b">
        <f t="shared" si="1701"/>
        <v>0</v>
      </c>
      <c r="H2174" s="209" t="b">
        <f t="shared" si="7"/>
        <v>1</v>
      </c>
      <c r="I2174" s="208" t="b">
        <f t="shared" ref="I2174:J2174" si="1706">FALSE</f>
        <v>0</v>
      </c>
      <c r="J2174" s="208" t="b">
        <f t="shared" si="1706"/>
        <v>0</v>
      </c>
      <c r="K2174" s="214">
        <v>256.0</v>
      </c>
      <c r="L2174" s="207" t="str">
        <f t="shared" si="3"/>
        <v>n/a</v>
      </c>
      <c r="M2174" s="212" t="str">
        <f t="shared" si="4"/>
        <v>n/a</v>
      </c>
      <c r="N2174" s="207" t="str">
        <f t="shared" si="1421"/>
        <v>n/a</v>
      </c>
      <c r="O2174" s="207">
        <f t="shared" si="1422"/>
        <v>0.00390625</v>
      </c>
    </row>
    <row r="2175">
      <c r="A2175" s="207">
        <v>173.0</v>
      </c>
      <c r="B2175" s="6" t="str">
        <f>VLOOKUP($A2175, 'Completion rates'!$A:$E, 2, FALSE)</f>
        <v>Killing gargoyles</v>
      </c>
      <c r="C2175" s="207">
        <v>4129.0</v>
      </c>
      <c r="D2175" s="6" t="str">
        <f>VLOOKUP($C2175, 'List of log slots'!$A:$E, 2, FALSE)</f>
        <v>Adamant boots</v>
      </c>
      <c r="E2175" s="207">
        <f>VLOOKUP($C2175, 'List of log slots'!$A:$E, 5, FALSE)</f>
        <v>4</v>
      </c>
      <c r="F2175" s="213" t="b">
        <f>VLOOKUP(C2175, 'List of log slots'!$A:$C, 3, FALSE)</f>
        <v>0</v>
      </c>
      <c r="G2175" s="209" t="b">
        <f t="shared" si="1701"/>
        <v>0</v>
      </c>
      <c r="H2175" s="209" t="b">
        <f t="shared" si="7"/>
        <v>1</v>
      </c>
      <c r="I2175" s="208" t="b">
        <f t="shared" ref="I2175:J2175" si="1707">FALSE</f>
        <v>0</v>
      </c>
      <c r="J2175" s="208" t="b">
        <f t="shared" si="1707"/>
        <v>0</v>
      </c>
      <c r="K2175" s="214">
        <v>128.0</v>
      </c>
      <c r="L2175" s="207" t="str">
        <f t="shared" si="3"/>
        <v>n/a</v>
      </c>
      <c r="M2175" s="212" t="str">
        <f t="shared" si="4"/>
        <v>n/a</v>
      </c>
      <c r="N2175" s="207" t="str">
        <f t="shared" si="1421"/>
        <v>n/a</v>
      </c>
      <c r="O2175" s="207">
        <f t="shared" si="1422"/>
        <v>0.0078125</v>
      </c>
    </row>
    <row r="2176">
      <c r="A2176" s="207">
        <v>173.0</v>
      </c>
      <c r="B2176" s="6" t="str">
        <f>VLOOKUP($A2176, 'Completion rates'!$A:$E, 2, FALSE)</f>
        <v>Killing gargoyles</v>
      </c>
      <c r="C2176" s="207">
        <v>4101.0</v>
      </c>
      <c r="D2176" s="6" t="str">
        <f>VLOOKUP($C2176, 'List of log slots'!$A:$E, 2, FALSE)</f>
        <v>Mystic robe top (dark)</v>
      </c>
      <c r="E2176" s="207">
        <f>VLOOKUP($C2176, 'List of log slots'!$A:$E, 5, FALSE)</f>
        <v>4</v>
      </c>
      <c r="F2176" s="213" t="b">
        <f>VLOOKUP(C2176, 'List of log slots'!$A:$C, 3, FALSE)</f>
        <v>0</v>
      </c>
      <c r="G2176" s="209" t="b">
        <f t="shared" si="1701"/>
        <v>0</v>
      </c>
      <c r="H2176" s="209" t="b">
        <f t="shared" si="7"/>
        <v>1</v>
      </c>
      <c r="I2176" s="208" t="b">
        <f t="shared" ref="I2176:J2176" si="1708">FALSE</f>
        <v>0</v>
      </c>
      <c r="J2176" s="208" t="b">
        <f t="shared" si="1708"/>
        <v>0</v>
      </c>
      <c r="K2176" s="214">
        <v>512.0</v>
      </c>
      <c r="L2176" s="207" t="str">
        <f t="shared" si="3"/>
        <v>n/a</v>
      </c>
      <c r="M2176" s="212" t="str">
        <f t="shared" si="4"/>
        <v>n/a</v>
      </c>
      <c r="N2176" s="207" t="str">
        <f t="shared" si="1421"/>
        <v>n/a</v>
      </c>
      <c r="O2176" s="207">
        <f t="shared" si="1422"/>
        <v>0.001953125</v>
      </c>
    </row>
    <row r="2177">
      <c r="A2177" s="207">
        <v>173.0</v>
      </c>
      <c r="B2177" s="6" t="str">
        <f>VLOOKUP($A2177, 'Completion rates'!$A:$E, 2, FALSE)</f>
        <v>Killing gargoyles</v>
      </c>
      <c r="C2177" s="207">
        <v>2366.0</v>
      </c>
      <c r="D2177" s="6" t="str">
        <f>VLOOKUP($C2177, 'List of log slots'!$A:$E, 2, FALSE)</f>
        <v>Shield left half</v>
      </c>
      <c r="E2177" s="207">
        <f>VLOOKUP($C2177, 'List of log slots'!$A:$E, 5, FALSE)</f>
        <v>5</v>
      </c>
      <c r="F2177" s="213" t="b">
        <f>VLOOKUP(C2177, 'List of log slots'!$A:$C, 3, FALSE)</f>
        <v>0</v>
      </c>
      <c r="G2177" s="209" t="b">
        <f t="shared" si="1701"/>
        <v>0</v>
      </c>
      <c r="H2177" s="209" t="b">
        <f t="shared" si="7"/>
        <v>1</v>
      </c>
      <c r="I2177" s="208" t="b">
        <f t="shared" ref="I2177:J2177" si="1709">FALSE</f>
        <v>0</v>
      </c>
      <c r="J2177" s="208" t="b">
        <f t="shared" si="1709"/>
        <v>0</v>
      </c>
      <c r="K2177" s="214">
        <v>104858.0</v>
      </c>
      <c r="L2177" s="207" t="str">
        <f t="shared" si="3"/>
        <v>n/a</v>
      </c>
      <c r="M2177" s="212" t="str">
        <f t="shared" si="4"/>
        <v>n/a</v>
      </c>
      <c r="N2177" s="207" t="str">
        <f t="shared" si="1421"/>
        <v>n/a</v>
      </c>
      <c r="O2177" s="207">
        <f t="shared" si="1422"/>
        <v>0.000009536706784</v>
      </c>
    </row>
    <row r="2178">
      <c r="A2178" s="207">
        <v>173.0</v>
      </c>
      <c r="B2178" s="6" t="str">
        <f>VLOOKUP($A2178, 'Completion rates'!$A:$E, 2, FALSE)</f>
        <v>Killing gargoyles</v>
      </c>
      <c r="C2178" s="207">
        <v>1249.0</v>
      </c>
      <c r="D2178" s="6" t="str">
        <f>VLOOKUP($C2178, 'List of log slots'!$A:$E, 2, FALSE)</f>
        <v>Dragon spear</v>
      </c>
      <c r="E2178" s="207">
        <f>VLOOKUP($C2178, 'List of log slots'!$A:$E, 5, FALSE)</f>
        <v>5</v>
      </c>
      <c r="F2178" s="213" t="b">
        <f>VLOOKUP(C2178, 'List of log slots'!$A:$C, 3, FALSE)</f>
        <v>0</v>
      </c>
      <c r="G2178" s="209" t="b">
        <f t="shared" si="1701"/>
        <v>0</v>
      </c>
      <c r="H2178" s="209" t="b">
        <f t="shared" si="7"/>
        <v>1</v>
      </c>
      <c r="I2178" s="208" t="b">
        <f t="shared" ref="I2178:J2178" si="1710">FALSE</f>
        <v>0</v>
      </c>
      <c r="J2178" s="208" t="b">
        <f t="shared" si="1710"/>
        <v>0</v>
      </c>
      <c r="K2178" s="214">
        <v>139810.0</v>
      </c>
      <c r="L2178" s="207" t="str">
        <f t="shared" si="3"/>
        <v>n/a</v>
      </c>
      <c r="M2178" s="212" t="str">
        <f t="shared" si="4"/>
        <v>n/a</v>
      </c>
      <c r="N2178" s="207" t="str">
        <f t="shared" si="1421"/>
        <v>n/a</v>
      </c>
      <c r="O2178" s="207">
        <f t="shared" si="1422"/>
        <v>0.000007152564194</v>
      </c>
    </row>
    <row r="2179">
      <c r="A2179" s="207">
        <v>174.0</v>
      </c>
      <c r="B2179" s="6" t="str">
        <f>VLOOKUP($A2179, 'Completion rates'!$A:$E, 2, FALSE)</f>
        <v>Killing mogres</v>
      </c>
      <c r="C2179" s="207">
        <v>6665.0</v>
      </c>
      <c r="D2179" s="6" t="str">
        <f>VLOOKUP($C2179, 'List of log slots'!$A:$E, 2, FALSE)</f>
        <v>Mudskipper hat</v>
      </c>
      <c r="E2179" s="207">
        <f>VLOOKUP($C2179, 'List of log slots'!$A:$E, 5, FALSE)</f>
        <v>3</v>
      </c>
      <c r="F2179" s="213" t="b">
        <f>VLOOKUP(C2179, 'List of log slots'!$A:$C, 3, FALSE)</f>
        <v>0</v>
      </c>
      <c r="G2179" s="209" t="b">
        <f t="shared" si="1701"/>
        <v>0</v>
      </c>
      <c r="H2179" s="209" t="b">
        <f t="shared" si="7"/>
        <v>1</v>
      </c>
      <c r="I2179" s="208" t="b">
        <f t="shared" ref="I2179:J2179" si="1711">FALSE</f>
        <v>0</v>
      </c>
      <c r="J2179" s="208" t="b">
        <f t="shared" si="1711"/>
        <v>0</v>
      </c>
      <c r="K2179" s="214">
        <v>26.0</v>
      </c>
      <c r="L2179" s="207" t="str">
        <f t="shared" si="3"/>
        <v>n/a</v>
      </c>
      <c r="M2179" s="212" t="str">
        <f t="shared" si="4"/>
        <v>n/a</v>
      </c>
      <c r="N2179" s="207" t="str">
        <f t="shared" si="1421"/>
        <v>n/a</v>
      </c>
      <c r="O2179" s="207">
        <f t="shared" si="1422"/>
        <v>0.03846153846</v>
      </c>
    </row>
    <row r="2180">
      <c r="A2180" s="207">
        <v>174.0</v>
      </c>
      <c r="B2180" s="6" t="str">
        <f>VLOOKUP($A2180, 'Completion rates'!$A:$E, 2, FALSE)</f>
        <v>Killing mogres</v>
      </c>
      <c r="C2180" s="207">
        <v>6666.0</v>
      </c>
      <c r="D2180" s="6" t="str">
        <f>VLOOKUP($C2180, 'List of log slots'!$A:$E, 2, FALSE)</f>
        <v>Flippers</v>
      </c>
      <c r="E2180" s="207">
        <f>VLOOKUP($C2180, 'List of log slots'!$A:$E, 5, FALSE)</f>
        <v>3</v>
      </c>
      <c r="F2180" s="213" t="b">
        <f>VLOOKUP(C2180, 'List of log slots'!$A:$C, 3, FALSE)</f>
        <v>0</v>
      </c>
      <c r="G2180" s="209" t="b">
        <f t="shared" si="1701"/>
        <v>0</v>
      </c>
      <c r="H2180" s="209" t="b">
        <f t="shared" si="7"/>
        <v>1</v>
      </c>
      <c r="I2180" s="208" t="b">
        <f t="shared" ref="I2180:J2180" si="1712">FALSE</f>
        <v>0</v>
      </c>
      <c r="J2180" s="208" t="b">
        <f t="shared" si="1712"/>
        <v>0</v>
      </c>
      <c r="K2180" s="214">
        <v>64.0</v>
      </c>
      <c r="L2180" s="207" t="str">
        <f t="shared" si="3"/>
        <v>n/a</v>
      </c>
      <c r="M2180" s="212" t="str">
        <f t="shared" si="4"/>
        <v>n/a</v>
      </c>
      <c r="N2180" s="207" t="str">
        <f t="shared" si="1421"/>
        <v>n/a</v>
      </c>
      <c r="O2180" s="207">
        <f t="shared" si="1422"/>
        <v>0.015625</v>
      </c>
    </row>
    <row r="2181">
      <c r="A2181" s="207">
        <v>174.0</v>
      </c>
      <c r="B2181" s="6" t="str">
        <f>VLOOKUP($A2181, 'Completion rates'!$A:$E, 2, FALSE)</f>
        <v>Killing mogres</v>
      </c>
      <c r="C2181" s="207">
        <v>10976.0</v>
      </c>
      <c r="D2181" s="6" t="str">
        <f>VLOOKUP($C2181, 'List of log slots'!$A:$E, 2, FALSE)</f>
        <v>Long bone</v>
      </c>
      <c r="E2181" s="207">
        <f>VLOOKUP($C2181, 'List of log slots'!$A:$E, 5, FALSE)</f>
        <v>3</v>
      </c>
      <c r="F2181" s="213" t="b">
        <f>VLOOKUP(C2181, 'List of log slots'!$A:$C, 3, FALSE)</f>
        <v>0</v>
      </c>
      <c r="G2181" s="209" t="b">
        <f t="shared" si="1701"/>
        <v>0</v>
      </c>
      <c r="H2181" s="209" t="b">
        <f t="shared" si="7"/>
        <v>1</v>
      </c>
      <c r="I2181" s="208" t="b">
        <f t="shared" ref="I2181:J2181" si="1713">FALSE</f>
        <v>0</v>
      </c>
      <c r="J2181" s="208" t="b">
        <f t="shared" si="1713"/>
        <v>0</v>
      </c>
      <c r="K2181" s="214">
        <v>400.0</v>
      </c>
      <c r="L2181" s="207" t="str">
        <f t="shared" si="3"/>
        <v>n/a</v>
      </c>
      <c r="M2181" s="212" t="str">
        <f t="shared" si="4"/>
        <v>n/a</v>
      </c>
      <c r="N2181" s="207" t="str">
        <f t="shared" si="1421"/>
        <v>n/a</v>
      </c>
      <c r="O2181" s="207">
        <f t="shared" si="1422"/>
        <v>0.0025</v>
      </c>
    </row>
    <row r="2182">
      <c r="A2182" s="207">
        <v>174.0</v>
      </c>
      <c r="B2182" s="6" t="str">
        <f>VLOOKUP($A2182, 'Completion rates'!$A:$E, 2, FALSE)</f>
        <v>Killing mogres</v>
      </c>
      <c r="C2182" s="207">
        <v>10977.0</v>
      </c>
      <c r="D2182" s="6" t="str">
        <f>VLOOKUP($C2182, 'List of log slots'!$A:$E, 2, FALSE)</f>
        <v>Curved bone</v>
      </c>
      <c r="E2182" s="207">
        <f>VLOOKUP($C2182, 'List of log slots'!$A:$E, 5, FALSE)</f>
        <v>5</v>
      </c>
      <c r="F2182" s="208" t="b">
        <f>VLOOKUP(C2182, 'List of log slots'!$A:$C, 3, FALSE)</f>
        <v>0</v>
      </c>
      <c r="G2182" s="209" t="b">
        <f t="shared" si="1701"/>
        <v>0</v>
      </c>
      <c r="H2182" s="210" t="b">
        <f t="shared" si="7"/>
        <v>1</v>
      </c>
      <c r="I2182" s="208" t="b">
        <f t="shared" ref="I2182:J2182" si="1714">FALSE</f>
        <v>0</v>
      </c>
      <c r="J2182" s="208" t="b">
        <f t="shared" si="1714"/>
        <v>0</v>
      </c>
      <c r="K2182" s="214">
        <v>5013.0</v>
      </c>
      <c r="L2182" s="207" t="str">
        <f t="shared" si="3"/>
        <v>n/a</v>
      </c>
      <c r="M2182" s="212" t="str">
        <f t="shared" si="4"/>
        <v>n/a</v>
      </c>
      <c r="N2182" s="207" t="str">
        <f t="shared" si="1421"/>
        <v>n/a</v>
      </c>
      <c r="O2182" s="207">
        <f t="shared" si="1422"/>
        <v>0.0001994813485</v>
      </c>
    </row>
    <row r="2183">
      <c r="A2183" s="207">
        <v>175.0</v>
      </c>
      <c r="B2183" s="6" t="str">
        <f>VLOOKUP($A2183, 'Completion rates'!$A:$E, 2, FALSE)</f>
        <v>Killing brine rats</v>
      </c>
      <c r="C2183" s="207">
        <v>11037.0</v>
      </c>
      <c r="D2183" s="6" t="str">
        <f>VLOOKUP($C2183, 'List of log slots'!$A:$E, 2, FALSE)</f>
        <v>Brine sabre</v>
      </c>
      <c r="E2183" s="207">
        <f>VLOOKUP($C2183, 'List of log slots'!$A:$E, 5, FALSE)</f>
        <v>3</v>
      </c>
      <c r="F2183" s="213" t="b">
        <f>VLOOKUP(C2183, 'List of log slots'!$A:$C, 3, FALSE)</f>
        <v>0</v>
      </c>
      <c r="G2183" s="209" t="b">
        <f t="shared" si="1701"/>
        <v>0</v>
      </c>
      <c r="H2183" s="209" t="b">
        <f t="shared" si="7"/>
        <v>1</v>
      </c>
      <c r="I2183" s="208" t="b">
        <f t="shared" ref="I2183:J2183" si="1715">FALSE</f>
        <v>0</v>
      </c>
      <c r="J2183" s="208" t="b">
        <f t="shared" si="1715"/>
        <v>0</v>
      </c>
      <c r="K2183" s="214">
        <v>512.0</v>
      </c>
      <c r="L2183" s="207" t="str">
        <f t="shared" si="3"/>
        <v>n/a</v>
      </c>
      <c r="M2183" s="212" t="str">
        <f t="shared" si="4"/>
        <v>n/a</v>
      </c>
      <c r="N2183" s="207" t="str">
        <f t="shared" si="1421"/>
        <v>n/a</v>
      </c>
      <c r="O2183" s="207">
        <f t="shared" si="1422"/>
        <v>0.001953125</v>
      </c>
    </row>
    <row r="2184">
      <c r="A2184" s="207">
        <v>176.0</v>
      </c>
      <c r="B2184" s="6" t="str">
        <f>VLOOKUP($A2184, 'Completion rates'!$A:$E, 2, FALSE)</f>
        <v>Killing turoth</v>
      </c>
      <c r="C2184" s="207">
        <v>11902.0</v>
      </c>
      <c r="D2184" s="6" t="str">
        <f>VLOOKUP($C2184, 'List of log slots'!$A:$E, 2, FALSE)</f>
        <v>Leaf-bladed sword</v>
      </c>
      <c r="E2184" s="207">
        <f>VLOOKUP($C2184, 'List of log slots'!$A:$E, 5, FALSE)</f>
        <v>4</v>
      </c>
      <c r="F2184" s="213" t="b">
        <f>VLOOKUP(C2184, 'List of log slots'!$A:$C, 3, FALSE)</f>
        <v>0</v>
      </c>
      <c r="G2184" s="209" t="b">
        <f t="shared" si="1701"/>
        <v>0</v>
      </c>
      <c r="H2184" s="209" t="b">
        <f t="shared" si="7"/>
        <v>1</v>
      </c>
      <c r="I2184" s="208" t="b">
        <f t="shared" ref="I2184:J2184" si="1716">FALSE</f>
        <v>0</v>
      </c>
      <c r="J2184" s="208" t="b">
        <f t="shared" si="1716"/>
        <v>0</v>
      </c>
      <c r="K2184" s="214">
        <v>500.0</v>
      </c>
      <c r="L2184" s="207" t="str">
        <f t="shared" si="3"/>
        <v>n/a</v>
      </c>
      <c r="M2184" s="212" t="str">
        <f t="shared" si="4"/>
        <v>n/a</v>
      </c>
      <c r="N2184" s="207" t="str">
        <f t="shared" si="1421"/>
        <v>n/a</v>
      </c>
      <c r="O2184" s="207">
        <f t="shared" si="1422"/>
        <v>0.002</v>
      </c>
    </row>
    <row r="2185">
      <c r="A2185" s="207">
        <v>176.0</v>
      </c>
      <c r="B2185" s="6" t="str">
        <f>VLOOKUP($A2185, 'Completion rates'!$A:$E, 2, FALSE)</f>
        <v>Killing turoth</v>
      </c>
      <c r="C2185" s="207">
        <v>4113.0</v>
      </c>
      <c r="D2185" s="6" t="str">
        <f>VLOOKUP($C2185, 'List of log slots'!$A:$E, 2, FALSE)</f>
        <v>Mystic robe bottom (light)</v>
      </c>
      <c r="E2185" s="207">
        <f>VLOOKUP($C2185, 'List of log slots'!$A:$E, 5, FALSE)</f>
        <v>4</v>
      </c>
      <c r="F2185" s="213" t="b">
        <f>VLOOKUP(C2185, 'List of log slots'!$A:$C, 3, FALSE)</f>
        <v>0</v>
      </c>
      <c r="G2185" s="209" t="b">
        <f t="shared" si="1701"/>
        <v>0</v>
      </c>
      <c r="H2185" s="209" t="b">
        <f t="shared" si="7"/>
        <v>1</v>
      </c>
      <c r="I2185" s="208" t="b">
        <f t="shared" ref="I2185:J2185" si="1717">FALSE</f>
        <v>0</v>
      </c>
      <c r="J2185" s="208" t="b">
        <f t="shared" si="1717"/>
        <v>0</v>
      </c>
      <c r="K2185" s="214">
        <v>512.0</v>
      </c>
      <c r="L2185" s="207" t="str">
        <f t="shared" si="3"/>
        <v>n/a</v>
      </c>
      <c r="M2185" s="212" t="str">
        <f t="shared" si="4"/>
        <v>n/a</v>
      </c>
      <c r="N2185" s="207" t="str">
        <f t="shared" si="1421"/>
        <v>n/a</v>
      </c>
      <c r="O2185" s="207">
        <f t="shared" si="1422"/>
        <v>0.001953125</v>
      </c>
    </row>
    <row r="2186">
      <c r="A2186" s="207">
        <v>176.0</v>
      </c>
      <c r="B2186" s="6" t="str">
        <f>VLOOKUP($A2186, 'Completion rates'!$A:$E, 2, FALSE)</f>
        <v>Killing turoth</v>
      </c>
      <c r="C2186" s="207">
        <v>2366.0</v>
      </c>
      <c r="D2186" s="6" t="str">
        <f>VLOOKUP($C2186, 'List of log slots'!$A:$E, 2, FALSE)</f>
        <v>Shield left half</v>
      </c>
      <c r="E2186" s="207">
        <f>VLOOKUP($C2186, 'List of log slots'!$A:$E, 5, FALSE)</f>
        <v>5</v>
      </c>
      <c r="F2186" s="213" t="b">
        <f>VLOOKUP(C2186, 'List of log slots'!$A:$C, 3, FALSE)</f>
        <v>0</v>
      </c>
      <c r="G2186" s="209" t="b">
        <f t="shared" si="1701"/>
        <v>0</v>
      </c>
      <c r="H2186" s="209" t="b">
        <f t="shared" si="7"/>
        <v>1</v>
      </c>
      <c r="I2186" s="208" t="b">
        <f t="shared" ref="I2186:J2186" si="1718">FALSE</f>
        <v>0</v>
      </c>
      <c r="J2186" s="208" t="b">
        <f t="shared" si="1718"/>
        <v>0</v>
      </c>
      <c r="K2186" s="214">
        <v>104858.0</v>
      </c>
      <c r="L2186" s="207" t="str">
        <f t="shared" si="3"/>
        <v>n/a</v>
      </c>
      <c r="M2186" s="212" t="str">
        <f t="shared" si="4"/>
        <v>n/a</v>
      </c>
      <c r="N2186" s="207" t="str">
        <f t="shared" si="1421"/>
        <v>n/a</v>
      </c>
      <c r="O2186" s="207">
        <f t="shared" si="1422"/>
        <v>0.000009536706784</v>
      </c>
    </row>
    <row r="2187">
      <c r="A2187" s="207">
        <v>176.0</v>
      </c>
      <c r="B2187" s="6" t="str">
        <f>VLOOKUP($A2187, 'Completion rates'!$A:$E, 2, FALSE)</f>
        <v>Killing turoth</v>
      </c>
      <c r="C2187" s="207">
        <v>1249.0</v>
      </c>
      <c r="D2187" s="6" t="str">
        <f>VLOOKUP($C2187, 'List of log slots'!$A:$E, 2, FALSE)</f>
        <v>Dragon spear</v>
      </c>
      <c r="E2187" s="207">
        <f>VLOOKUP($C2187, 'List of log slots'!$A:$E, 5, FALSE)</f>
        <v>5</v>
      </c>
      <c r="F2187" s="213" t="b">
        <f>VLOOKUP(C2187, 'List of log slots'!$A:$C, 3, FALSE)</f>
        <v>0</v>
      </c>
      <c r="G2187" s="209" t="b">
        <f t="shared" si="1701"/>
        <v>0</v>
      </c>
      <c r="H2187" s="209" t="b">
        <f t="shared" si="7"/>
        <v>1</v>
      </c>
      <c r="I2187" s="208" t="b">
        <f t="shared" ref="I2187:J2187" si="1719">FALSE</f>
        <v>0</v>
      </c>
      <c r="J2187" s="208" t="b">
        <f t="shared" si="1719"/>
        <v>0</v>
      </c>
      <c r="K2187" s="214">
        <v>139810.0</v>
      </c>
      <c r="L2187" s="207" t="str">
        <f t="shared" si="3"/>
        <v>n/a</v>
      </c>
      <c r="M2187" s="212" t="str">
        <f t="shared" si="4"/>
        <v>n/a</v>
      </c>
      <c r="N2187" s="207" t="str">
        <f t="shared" si="1421"/>
        <v>n/a</v>
      </c>
      <c r="O2187" s="207">
        <f t="shared" si="1422"/>
        <v>0.000007152564194</v>
      </c>
    </row>
    <row r="2188">
      <c r="A2188" s="207">
        <v>177.0</v>
      </c>
      <c r="B2188" s="6" t="str">
        <f>VLOOKUP($A2188, 'Completion rates'!$A:$E, 2, FALSE)</f>
        <v>Killing cave horrors</v>
      </c>
      <c r="C2188" s="207">
        <v>8901.0</v>
      </c>
      <c r="D2188" s="6" t="str">
        <f>VLOOKUP($C2188, 'List of log slots'!$A:$E, 2, FALSE)</f>
        <v>Black mask (10)</v>
      </c>
      <c r="E2188" s="207">
        <f>VLOOKUP($C2188, 'List of log slots'!$A:$E, 5, FALSE)</f>
        <v>4</v>
      </c>
      <c r="F2188" s="208" t="b">
        <f>VLOOKUP(C2188, 'List of log slots'!$A:$C, 3, FALSE)</f>
        <v>0</v>
      </c>
      <c r="G2188" s="209" t="b">
        <f t="shared" si="1701"/>
        <v>0</v>
      </c>
      <c r="H2188" s="210" t="b">
        <f t="shared" si="7"/>
        <v>1</v>
      </c>
      <c r="I2188" s="208" t="b">
        <f t="shared" ref="I2188:J2188" si="1720">FALSE</f>
        <v>0</v>
      </c>
      <c r="J2188" s="208" t="b">
        <f t="shared" si="1720"/>
        <v>0</v>
      </c>
      <c r="K2188" s="214">
        <v>512.0</v>
      </c>
      <c r="L2188" s="207" t="str">
        <f t="shared" si="3"/>
        <v>n/a</v>
      </c>
      <c r="M2188" s="212" t="str">
        <f t="shared" si="4"/>
        <v>n/a</v>
      </c>
      <c r="N2188" s="207" t="str">
        <f t="shared" si="1421"/>
        <v>n/a</v>
      </c>
      <c r="O2188" s="207">
        <f t="shared" si="1422"/>
        <v>0.001953125</v>
      </c>
    </row>
    <row r="2189">
      <c r="A2189" s="207">
        <v>177.0</v>
      </c>
      <c r="B2189" s="6" t="str">
        <f>VLOOKUP($A2189, 'Completion rates'!$A:$E, 2, FALSE)</f>
        <v>Killing cave horrors</v>
      </c>
      <c r="C2189" s="207">
        <v>10976.0</v>
      </c>
      <c r="D2189" s="6" t="str">
        <f>VLOOKUP($C2189, 'List of log slots'!$A:$E, 2, FALSE)</f>
        <v>Long bone</v>
      </c>
      <c r="E2189" s="207">
        <f>VLOOKUP($C2189, 'List of log slots'!$A:$E, 5, FALSE)</f>
        <v>3</v>
      </c>
      <c r="F2189" s="213" t="b">
        <f>VLOOKUP(C2189, 'List of log slots'!$A:$C, 3, FALSE)</f>
        <v>0</v>
      </c>
      <c r="G2189" s="209" t="b">
        <f t="shared" si="1701"/>
        <v>0</v>
      </c>
      <c r="H2189" s="209" t="b">
        <f t="shared" si="7"/>
        <v>1</v>
      </c>
      <c r="I2189" s="208" t="b">
        <f t="shared" ref="I2189:J2189" si="1721">FALSE</f>
        <v>0</v>
      </c>
      <c r="J2189" s="208" t="b">
        <f t="shared" si="1721"/>
        <v>0</v>
      </c>
      <c r="K2189" s="214">
        <v>400.0</v>
      </c>
      <c r="L2189" s="207" t="str">
        <f t="shared" si="3"/>
        <v>n/a</v>
      </c>
      <c r="M2189" s="212" t="str">
        <f t="shared" si="4"/>
        <v>n/a</v>
      </c>
      <c r="N2189" s="207" t="str">
        <f t="shared" si="1421"/>
        <v>n/a</v>
      </c>
      <c r="O2189" s="207">
        <f t="shared" si="1422"/>
        <v>0.0025</v>
      </c>
    </row>
    <row r="2190">
      <c r="A2190" s="207">
        <v>177.0</v>
      </c>
      <c r="B2190" s="6" t="str">
        <f>VLOOKUP($A2190, 'Completion rates'!$A:$E, 2, FALSE)</f>
        <v>Killing cave horrors</v>
      </c>
      <c r="C2190" s="207">
        <v>10977.0</v>
      </c>
      <c r="D2190" s="6" t="str">
        <f>VLOOKUP($C2190, 'List of log slots'!$A:$E, 2, FALSE)</f>
        <v>Curved bone</v>
      </c>
      <c r="E2190" s="207">
        <f>VLOOKUP($C2190, 'List of log slots'!$A:$E, 5, FALSE)</f>
        <v>5</v>
      </c>
      <c r="F2190" s="208" t="b">
        <f>VLOOKUP(C2190, 'List of log slots'!$A:$C, 3, FALSE)</f>
        <v>0</v>
      </c>
      <c r="G2190" s="209" t="b">
        <f t="shared" si="1701"/>
        <v>0</v>
      </c>
      <c r="H2190" s="210" t="b">
        <f t="shared" si="7"/>
        <v>1</v>
      </c>
      <c r="I2190" s="208" t="b">
        <f t="shared" ref="I2190:J2190" si="1722">FALSE</f>
        <v>0</v>
      </c>
      <c r="J2190" s="208" t="b">
        <f t="shared" si="1722"/>
        <v>0</v>
      </c>
      <c r="K2190" s="214">
        <v>5013.0</v>
      </c>
      <c r="L2190" s="207" t="str">
        <f t="shared" si="3"/>
        <v>n/a</v>
      </c>
      <c r="M2190" s="212" t="str">
        <f t="shared" si="4"/>
        <v>n/a</v>
      </c>
      <c r="N2190" s="207" t="str">
        <f t="shared" si="1421"/>
        <v>n/a</v>
      </c>
      <c r="O2190" s="207">
        <f t="shared" si="1422"/>
        <v>0.0001994813485</v>
      </c>
    </row>
    <row r="2191">
      <c r="A2191" s="207">
        <v>177.0</v>
      </c>
      <c r="B2191" s="6" t="str">
        <f>VLOOKUP($A2191, 'Completion rates'!$A:$E, 2, FALSE)</f>
        <v>Killing cave horrors</v>
      </c>
      <c r="C2191" s="207">
        <v>2366.0</v>
      </c>
      <c r="D2191" s="6" t="str">
        <f>VLOOKUP($C2191, 'List of log slots'!$A:$E, 2, FALSE)</f>
        <v>Shield left half</v>
      </c>
      <c r="E2191" s="207">
        <f>VLOOKUP($C2191, 'List of log slots'!$A:$E, 5, FALSE)</f>
        <v>5</v>
      </c>
      <c r="F2191" s="213" t="b">
        <f>VLOOKUP(C2191, 'List of log slots'!$A:$C, 3, FALSE)</f>
        <v>0</v>
      </c>
      <c r="G2191" s="209" t="b">
        <f t="shared" si="1701"/>
        <v>0</v>
      </c>
      <c r="H2191" s="209" t="b">
        <f t="shared" si="7"/>
        <v>1</v>
      </c>
      <c r="I2191" s="208" t="b">
        <f t="shared" ref="I2191:J2191" si="1723">FALSE</f>
        <v>0</v>
      </c>
      <c r="J2191" s="208" t="b">
        <f t="shared" si="1723"/>
        <v>0</v>
      </c>
      <c r="K2191" s="214">
        <v>104858.0</v>
      </c>
      <c r="L2191" s="207" t="str">
        <f t="shared" si="3"/>
        <v>n/a</v>
      </c>
      <c r="M2191" s="212" t="str">
        <f t="shared" si="4"/>
        <v>n/a</v>
      </c>
      <c r="N2191" s="207" t="str">
        <f t="shared" si="1421"/>
        <v>n/a</v>
      </c>
      <c r="O2191" s="207">
        <f t="shared" si="1422"/>
        <v>0.000009536706784</v>
      </c>
    </row>
    <row r="2192">
      <c r="A2192" s="207">
        <v>177.0</v>
      </c>
      <c r="B2192" s="6" t="str">
        <f>VLOOKUP($A2192, 'Completion rates'!$A:$E, 2, FALSE)</f>
        <v>Killing cave horrors</v>
      </c>
      <c r="C2192" s="207">
        <v>1249.0</v>
      </c>
      <c r="D2192" s="6" t="str">
        <f>VLOOKUP($C2192, 'List of log slots'!$A:$E, 2, FALSE)</f>
        <v>Dragon spear</v>
      </c>
      <c r="E2192" s="207">
        <f>VLOOKUP($C2192, 'List of log slots'!$A:$E, 5, FALSE)</f>
        <v>5</v>
      </c>
      <c r="F2192" s="213" t="b">
        <f>VLOOKUP(C2192, 'List of log slots'!$A:$C, 3, FALSE)</f>
        <v>0</v>
      </c>
      <c r="G2192" s="209" t="b">
        <f t="shared" si="1701"/>
        <v>0</v>
      </c>
      <c r="H2192" s="209" t="b">
        <f t="shared" si="7"/>
        <v>1</v>
      </c>
      <c r="I2192" s="208" t="b">
        <f t="shared" ref="I2192:J2192" si="1724">FALSE</f>
        <v>0</v>
      </c>
      <c r="J2192" s="208" t="b">
        <f t="shared" si="1724"/>
        <v>0</v>
      </c>
      <c r="K2192" s="214">
        <v>139810.0</v>
      </c>
      <c r="L2192" s="207" t="str">
        <f t="shared" si="3"/>
        <v>n/a</v>
      </c>
      <c r="M2192" s="212" t="str">
        <f t="shared" si="4"/>
        <v>n/a</v>
      </c>
      <c r="N2192" s="207" t="str">
        <f t="shared" si="1421"/>
        <v>n/a</v>
      </c>
      <c r="O2192" s="207">
        <f t="shared" si="1422"/>
        <v>0.000007152564194</v>
      </c>
    </row>
    <row r="2193">
      <c r="A2193" s="207">
        <v>178.0</v>
      </c>
      <c r="B2193" s="6" t="str">
        <f>VLOOKUP($A2193, 'Completion rates'!$A:$E, 2, FALSE)</f>
        <v>Killing fossil island wyverns</v>
      </c>
      <c r="C2193" s="207">
        <v>21646.0</v>
      </c>
      <c r="D2193" s="6" t="str">
        <f>VLOOKUP($C2193, 'List of log slots'!$A:$E, 2, FALSE)</f>
        <v>Granite longsword</v>
      </c>
      <c r="E2193" s="207">
        <f>VLOOKUP($C2193, 'List of log slots'!$A:$E, 5, FALSE)</f>
        <v>5</v>
      </c>
      <c r="F2193" s="208" t="b">
        <f>VLOOKUP(C2193, 'List of log slots'!$A:$C, 3, FALSE)</f>
        <v>0</v>
      </c>
      <c r="G2193" s="209" t="b">
        <f t="shared" si="1701"/>
        <v>0</v>
      </c>
      <c r="H2193" s="210" t="b">
        <f t="shared" si="7"/>
        <v>1</v>
      </c>
      <c r="I2193" s="208" t="b">
        <f t="shared" ref="I2193:J2193" si="1725">FALSE</f>
        <v>0</v>
      </c>
      <c r="J2193" s="208" t="b">
        <f t="shared" si="1725"/>
        <v>0</v>
      </c>
      <c r="K2193" s="214">
        <v>512.0</v>
      </c>
      <c r="L2193" s="207" t="str">
        <f t="shared" si="3"/>
        <v>n/a</v>
      </c>
      <c r="M2193" s="212" t="str">
        <f t="shared" si="4"/>
        <v>n/a</v>
      </c>
      <c r="N2193" s="207" t="str">
        <f t="shared" si="1421"/>
        <v>n/a</v>
      </c>
      <c r="O2193" s="207">
        <f t="shared" si="1422"/>
        <v>0.001953125</v>
      </c>
    </row>
    <row r="2194">
      <c r="A2194" s="207">
        <v>178.0</v>
      </c>
      <c r="B2194" s="6" t="str">
        <f>VLOOKUP($A2194, 'Completion rates'!$A:$E, 2, FALSE)</f>
        <v>Killing fossil island wyverns</v>
      </c>
      <c r="C2194" s="207">
        <v>21643.0</v>
      </c>
      <c r="D2194" s="6" t="str">
        <f>VLOOKUP($C2194, 'List of log slots'!$A:$E, 2, FALSE)</f>
        <v>Granite boots</v>
      </c>
      <c r="E2194" s="207">
        <f>VLOOKUP($C2194, 'List of log slots'!$A:$E, 5, FALSE)</f>
        <v>6</v>
      </c>
      <c r="F2194" s="208" t="b">
        <f>VLOOKUP(C2194, 'List of log slots'!$A:$C, 3, FALSE)</f>
        <v>0</v>
      </c>
      <c r="G2194" s="209" t="b">
        <f t="shared" si="1701"/>
        <v>0</v>
      </c>
      <c r="H2194" s="210" t="b">
        <f t="shared" si="7"/>
        <v>1</v>
      </c>
      <c r="I2194" s="208" t="b">
        <f t="shared" ref="I2194:J2194" si="1726">FALSE</f>
        <v>0</v>
      </c>
      <c r="J2194" s="208" t="b">
        <f t="shared" si="1726"/>
        <v>0</v>
      </c>
      <c r="K2194" s="214">
        <v>2560.0</v>
      </c>
      <c r="L2194" s="207" t="str">
        <f t="shared" si="3"/>
        <v>n/a</v>
      </c>
      <c r="M2194" s="212" t="str">
        <f t="shared" si="4"/>
        <v>n/a</v>
      </c>
      <c r="N2194" s="207" t="str">
        <f t="shared" si="1421"/>
        <v>n/a</v>
      </c>
      <c r="O2194" s="207">
        <f t="shared" si="1422"/>
        <v>0.000390625</v>
      </c>
    </row>
    <row r="2195">
      <c r="A2195" s="207">
        <v>178.0</v>
      </c>
      <c r="B2195" s="6" t="str">
        <f>VLOOKUP($A2195, 'Completion rates'!$A:$E, 2, FALSE)</f>
        <v>Killing fossil island wyverns</v>
      </c>
      <c r="C2195" s="207">
        <v>21637.0</v>
      </c>
      <c r="D2195" s="6" t="str">
        <f>VLOOKUP($C2195, 'List of log slots'!$A:$E, 2, FALSE)</f>
        <v>Wyvern visage</v>
      </c>
      <c r="E2195" s="207">
        <f>VLOOKUP($C2195, 'List of log slots'!$A:$E, 5, FALSE)</f>
        <v>7</v>
      </c>
      <c r="F2195" s="208" t="b">
        <f>VLOOKUP(C2195, 'List of log slots'!$A:$C, 3, FALSE)</f>
        <v>0</v>
      </c>
      <c r="G2195" s="209" t="b">
        <f t="shared" si="1701"/>
        <v>0</v>
      </c>
      <c r="H2195" s="210" t="b">
        <f t="shared" si="7"/>
        <v>1</v>
      </c>
      <c r="I2195" s="208" t="b">
        <f t="shared" ref="I2195:J2195" si="1727">FALSE</f>
        <v>0</v>
      </c>
      <c r="J2195" s="208" t="b">
        <f t="shared" si="1727"/>
        <v>0</v>
      </c>
      <c r="K2195" s="214">
        <v>12000.0</v>
      </c>
      <c r="L2195" s="207" t="str">
        <f t="shared" si="3"/>
        <v>n/a</v>
      </c>
      <c r="M2195" s="212" t="str">
        <f t="shared" si="4"/>
        <v>n/a</v>
      </c>
      <c r="N2195" s="207" t="str">
        <f t="shared" si="1421"/>
        <v>n/a</v>
      </c>
      <c r="O2195" s="207">
        <f t="shared" si="1422"/>
        <v>0.00008333333333</v>
      </c>
    </row>
    <row r="2196">
      <c r="A2196" s="207">
        <v>179.0</v>
      </c>
      <c r="B2196" s="6" t="str">
        <f>VLOOKUP($A2196, 'Completion rates'!$A:$E, 2, FALSE)</f>
        <v>Killing ancient wyverns</v>
      </c>
      <c r="C2196" s="207">
        <v>21646.0</v>
      </c>
      <c r="D2196" s="6" t="str">
        <f>VLOOKUP($C2196, 'List of log slots'!$A:$E, 2, FALSE)</f>
        <v>Granite longsword</v>
      </c>
      <c r="E2196" s="207">
        <f>VLOOKUP($C2196, 'List of log slots'!$A:$E, 5, FALSE)</f>
        <v>5</v>
      </c>
      <c r="F2196" s="208" t="b">
        <f>VLOOKUP(C2196, 'List of log slots'!$A:$C, 3, FALSE)</f>
        <v>0</v>
      </c>
      <c r="G2196" s="209" t="b">
        <f t="shared" si="1701"/>
        <v>0</v>
      </c>
      <c r="H2196" s="210" t="b">
        <f t="shared" si="7"/>
        <v>1</v>
      </c>
      <c r="I2196" s="208" t="b">
        <f t="shared" ref="I2196:J2196" si="1728">FALSE</f>
        <v>0</v>
      </c>
      <c r="J2196" s="208" t="b">
        <f t="shared" si="1728"/>
        <v>0</v>
      </c>
      <c r="K2196" s="214">
        <v>600.0</v>
      </c>
      <c r="L2196" s="207" t="str">
        <f t="shared" si="3"/>
        <v>n/a</v>
      </c>
      <c r="M2196" s="212" t="str">
        <f t="shared" si="4"/>
        <v>n/a</v>
      </c>
      <c r="N2196" s="207" t="str">
        <f t="shared" si="1421"/>
        <v>n/a</v>
      </c>
      <c r="O2196" s="207">
        <f t="shared" si="1422"/>
        <v>0.001666666667</v>
      </c>
    </row>
    <row r="2197">
      <c r="A2197" s="207">
        <v>179.0</v>
      </c>
      <c r="B2197" s="6" t="str">
        <f>VLOOKUP($A2197, 'Completion rates'!$A:$E, 2, FALSE)</f>
        <v>Killing ancient wyverns</v>
      </c>
      <c r="C2197" s="207">
        <v>21643.0</v>
      </c>
      <c r="D2197" s="6" t="str">
        <f>VLOOKUP($C2197, 'List of log slots'!$A:$E, 2, FALSE)</f>
        <v>Granite boots</v>
      </c>
      <c r="E2197" s="207">
        <f>VLOOKUP($C2197, 'List of log slots'!$A:$E, 5, FALSE)</f>
        <v>6</v>
      </c>
      <c r="F2197" s="208" t="b">
        <f>VLOOKUP(C2197, 'List of log slots'!$A:$C, 3, FALSE)</f>
        <v>0</v>
      </c>
      <c r="G2197" s="209" t="b">
        <f t="shared" si="1701"/>
        <v>0</v>
      </c>
      <c r="H2197" s="210" t="b">
        <f t="shared" si="7"/>
        <v>1</v>
      </c>
      <c r="I2197" s="208" t="b">
        <f t="shared" ref="I2197:J2197" si="1729">FALSE</f>
        <v>0</v>
      </c>
      <c r="J2197" s="208" t="b">
        <f t="shared" si="1729"/>
        <v>0</v>
      </c>
      <c r="K2197" s="214">
        <v>600.0</v>
      </c>
      <c r="L2197" s="207" t="str">
        <f t="shared" si="3"/>
        <v>n/a</v>
      </c>
      <c r="M2197" s="212" t="str">
        <f t="shared" si="4"/>
        <v>n/a</v>
      </c>
      <c r="N2197" s="207" t="str">
        <f t="shared" si="1421"/>
        <v>n/a</v>
      </c>
      <c r="O2197" s="207">
        <f t="shared" si="1422"/>
        <v>0.001666666667</v>
      </c>
    </row>
    <row r="2198">
      <c r="A2198" s="207">
        <v>179.0</v>
      </c>
      <c r="B2198" s="6" t="str">
        <f>VLOOKUP($A2198, 'Completion rates'!$A:$E, 2, FALSE)</f>
        <v>Killing ancient wyverns</v>
      </c>
      <c r="C2198" s="207">
        <v>21637.0</v>
      </c>
      <c r="D2198" s="6" t="str">
        <f>VLOOKUP($C2198, 'List of log slots'!$A:$E, 2, FALSE)</f>
        <v>Wyvern visage</v>
      </c>
      <c r="E2198" s="207">
        <f>VLOOKUP($C2198, 'List of log slots'!$A:$E, 5, FALSE)</f>
        <v>7</v>
      </c>
      <c r="F2198" s="208" t="b">
        <f>VLOOKUP(C2198, 'List of log slots'!$A:$C, 3, FALSE)</f>
        <v>0</v>
      </c>
      <c r="G2198" s="209" t="b">
        <f t="shared" si="1701"/>
        <v>0</v>
      </c>
      <c r="H2198" s="210" t="b">
        <f t="shared" si="7"/>
        <v>1</v>
      </c>
      <c r="I2198" s="208" t="b">
        <f t="shared" ref="I2198:J2198" si="1730">FALSE</f>
        <v>0</v>
      </c>
      <c r="J2198" s="208" t="b">
        <f t="shared" si="1730"/>
        <v>0</v>
      </c>
      <c r="K2198" s="214">
        <v>10000.0</v>
      </c>
      <c r="L2198" s="207" t="str">
        <f t="shared" si="3"/>
        <v>n/a</v>
      </c>
      <c r="M2198" s="212" t="str">
        <f t="shared" si="4"/>
        <v>n/a</v>
      </c>
      <c r="N2198" s="207" t="str">
        <f t="shared" si="1421"/>
        <v>n/a</v>
      </c>
      <c r="O2198" s="207">
        <f t="shared" si="1422"/>
        <v>0.0001</v>
      </c>
    </row>
    <row r="2199">
      <c r="A2199" s="207">
        <v>179.0</v>
      </c>
      <c r="B2199" s="6" t="str">
        <f>VLOOKUP($A2199, 'Completion rates'!$A:$E, 2, FALSE)</f>
        <v>Killing ancient wyverns</v>
      </c>
      <c r="C2199" s="207">
        <v>2366.0</v>
      </c>
      <c r="D2199" s="6" t="str">
        <f>VLOOKUP($C2199, 'List of log slots'!$A:$E, 2, FALSE)</f>
        <v>Shield left half</v>
      </c>
      <c r="E2199" s="207">
        <f>VLOOKUP($C2199, 'List of log slots'!$A:$E, 5, FALSE)</f>
        <v>5</v>
      </c>
      <c r="F2199" s="213" t="b">
        <f>VLOOKUP(C2199, 'List of log slots'!$A:$C, 3, FALSE)</f>
        <v>0</v>
      </c>
      <c r="G2199" s="209" t="b">
        <f t="shared" si="1701"/>
        <v>0</v>
      </c>
      <c r="H2199" s="209" t="b">
        <f t="shared" si="7"/>
        <v>1</v>
      </c>
      <c r="I2199" s="208" t="b">
        <f t="shared" ref="I2199:J2199" si="1731">FALSE</f>
        <v>0</v>
      </c>
      <c r="J2199" s="208" t="b">
        <f t="shared" si="1731"/>
        <v>0</v>
      </c>
      <c r="K2199" s="214">
        <v>17837.0</v>
      </c>
      <c r="L2199" s="207" t="str">
        <f t="shared" si="3"/>
        <v>n/a</v>
      </c>
      <c r="M2199" s="212" t="str">
        <f t="shared" si="4"/>
        <v>n/a</v>
      </c>
      <c r="N2199" s="207" t="str">
        <f t="shared" si="1421"/>
        <v>n/a</v>
      </c>
      <c r="O2199" s="207">
        <f t="shared" si="1422"/>
        <v>0.00005606323933</v>
      </c>
    </row>
    <row r="2200">
      <c r="A2200" s="207">
        <v>179.0</v>
      </c>
      <c r="B2200" s="6" t="str">
        <f>VLOOKUP($A2200, 'Completion rates'!$A:$E, 2, FALSE)</f>
        <v>Killing ancient wyverns</v>
      </c>
      <c r="C2200" s="207">
        <v>1249.0</v>
      </c>
      <c r="D2200" s="6" t="str">
        <f>VLOOKUP($C2200, 'List of log slots'!$A:$E, 2, FALSE)</f>
        <v>Dragon spear</v>
      </c>
      <c r="E2200" s="207">
        <f>VLOOKUP($C2200, 'List of log slots'!$A:$E, 5, FALSE)</f>
        <v>5</v>
      </c>
      <c r="F2200" s="213" t="b">
        <f>VLOOKUP(C2200, 'List of log slots'!$A:$C, 3, FALSE)</f>
        <v>0</v>
      </c>
      <c r="G2200" s="209" t="b">
        <f t="shared" si="1701"/>
        <v>0</v>
      </c>
      <c r="H2200" s="209" t="b">
        <f t="shared" si="7"/>
        <v>1</v>
      </c>
      <c r="I2200" s="208" t="b">
        <f t="shared" ref="I2200:J2200" si="1732">FALSE</f>
        <v>0</v>
      </c>
      <c r="J2200" s="208" t="b">
        <f t="shared" si="1732"/>
        <v>0</v>
      </c>
      <c r="K2200" s="214">
        <v>23782.0</v>
      </c>
      <c r="L2200" s="207" t="str">
        <f t="shared" si="3"/>
        <v>n/a</v>
      </c>
      <c r="M2200" s="212" t="str">
        <f t="shared" si="4"/>
        <v>n/a</v>
      </c>
      <c r="N2200" s="207" t="str">
        <f t="shared" si="1421"/>
        <v>n/a</v>
      </c>
      <c r="O2200" s="207">
        <f t="shared" si="1422"/>
        <v>0.00004204860819</v>
      </c>
    </row>
    <row r="2201">
      <c r="A2201" s="207">
        <v>180.0</v>
      </c>
      <c r="B2201" s="6" t="str">
        <f>VLOOKUP($A2201, 'Completion rates'!$A:$E, 2, FALSE)</f>
        <v>Killing skeletal wyverns</v>
      </c>
      <c r="C2201" s="207">
        <v>11286.0</v>
      </c>
      <c r="D2201" s="6" t="str">
        <f>VLOOKUP($C2201, 'List of log slots'!$A:$E, 2, FALSE)</f>
        <v>Draconic visage</v>
      </c>
      <c r="E2201" s="207">
        <f>VLOOKUP($C2201, 'List of log slots'!$A:$E, 5, FALSE)</f>
        <v>6</v>
      </c>
      <c r="F2201" s="208" t="b">
        <f>VLOOKUP(C2201, 'List of log slots'!$A:$C, 3, FALSE)</f>
        <v>0</v>
      </c>
      <c r="G2201" s="209" t="b">
        <f t="shared" si="1701"/>
        <v>0</v>
      </c>
      <c r="H2201" s="210" t="b">
        <f t="shared" si="7"/>
        <v>1</v>
      </c>
      <c r="I2201" s="208" t="b">
        <f t="shared" ref="I2201:J2201" si="1733">FALSE</f>
        <v>0</v>
      </c>
      <c r="J2201" s="208" t="b">
        <f t="shared" si="1733"/>
        <v>0</v>
      </c>
      <c r="K2201" s="214">
        <v>10000.0</v>
      </c>
      <c r="L2201" s="207" t="str">
        <f t="shared" si="3"/>
        <v>n/a</v>
      </c>
      <c r="M2201" s="212" t="str">
        <f t="shared" si="4"/>
        <v>n/a</v>
      </c>
      <c r="N2201" s="207" t="str">
        <f t="shared" si="1421"/>
        <v>n/a</v>
      </c>
      <c r="O2201" s="207">
        <f t="shared" si="1422"/>
        <v>0.0001</v>
      </c>
    </row>
    <row r="2202">
      <c r="A2202" s="207">
        <v>180.0</v>
      </c>
      <c r="B2202" s="6" t="str">
        <f>VLOOKUP($A2202, 'Completion rates'!$A:$E, 2, FALSE)</f>
        <v>Killing skeletal wyverns</v>
      </c>
      <c r="C2202" s="207">
        <v>6809.0</v>
      </c>
      <c r="D2202" s="6" t="str">
        <f>VLOOKUP($C2202, 'List of log slots'!$A:$E, 2, FALSE)</f>
        <v>Granite legs</v>
      </c>
      <c r="E2202" s="207">
        <f>VLOOKUP($C2202, 'List of log slots'!$A:$E, 5, FALSE)</f>
        <v>5</v>
      </c>
      <c r="F2202" s="208" t="b">
        <f>VLOOKUP(C2202, 'List of log slots'!$A:$C, 3, FALSE)</f>
        <v>0</v>
      </c>
      <c r="G2202" s="209" t="b">
        <f t="shared" si="1701"/>
        <v>0</v>
      </c>
      <c r="H2202" s="210" t="b">
        <f t="shared" si="7"/>
        <v>1</v>
      </c>
      <c r="I2202" s="208" t="b">
        <f t="shared" ref="I2202:J2202" si="1734">FALSE</f>
        <v>0</v>
      </c>
      <c r="J2202" s="208" t="b">
        <f t="shared" si="1734"/>
        <v>0</v>
      </c>
      <c r="K2202" s="214">
        <v>512.0</v>
      </c>
      <c r="L2202" s="207" t="str">
        <f t="shared" si="3"/>
        <v>n/a</v>
      </c>
      <c r="M2202" s="212" t="str">
        <f t="shared" si="4"/>
        <v>n/a</v>
      </c>
      <c r="N2202" s="207" t="str">
        <f t="shared" si="1421"/>
        <v>n/a</v>
      </c>
      <c r="O2202" s="207">
        <f t="shared" si="1422"/>
        <v>0.001953125</v>
      </c>
    </row>
    <row r="2203">
      <c r="A2203" s="207">
        <v>180.0</v>
      </c>
      <c r="B2203" s="6" t="str">
        <f>VLOOKUP($A2203, 'Completion rates'!$A:$E, 2, FALSE)</f>
        <v>Killing skeletal wyverns</v>
      </c>
      <c r="C2203" s="207">
        <v>2366.0</v>
      </c>
      <c r="D2203" s="6" t="str">
        <f>VLOOKUP($C2203, 'List of log slots'!$A:$E, 2, FALSE)</f>
        <v>Shield left half</v>
      </c>
      <c r="E2203" s="207">
        <f>VLOOKUP($C2203, 'List of log slots'!$A:$E, 5, FALSE)</f>
        <v>5</v>
      </c>
      <c r="F2203" s="213" t="b">
        <f>VLOOKUP(C2203, 'List of log slots'!$A:$C, 3, FALSE)</f>
        <v>0</v>
      </c>
      <c r="G2203" s="209" t="b">
        <f t="shared" si="1701"/>
        <v>0</v>
      </c>
      <c r="H2203" s="209" t="b">
        <f t="shared" si="7"/>
        <v>1</v>
      </c>
      <c r="I2203" s="208" t="b">
        <f t="shared" ref="I2203:J2203" si="1735">FALSE</f>
        <v>0</v>
      </c>
      <c r="J2203" s="208" t="b">
        <f t="shared" si="1735"/>
        <v>0</v>
      </c>
      <c r="K2203" s="214">
        <v>11531.0</v>
      </c>
      <c r="L2203" s="207" t="str">
        <f t="shared" si="3"/>
        <v>n/a</v>
      </c>
      <c r="M2203" s="212" t="str">
        <f t="shared" si="4"/>
        <v>n/a</v>
      </c>
      <c r="N2203" s="207" t="str">
        <f t="shared" si="1421"/>
        <v>n/a</v>
      </c>
      <c r="O2203" s="207">
        <f t="shared" si="1422"/>
        <v>0.00008672274738</v>
      </c>
    </row>
    <row r="2204">
      <c r="A2204" s="207">
        <v>180.0</v>
      </c>
      <c r="B2204" s="6" t="str">
        <f>VLOOKUP($A2204, 'Completion rates'!$A:$E, 2, FALSE)</f>
        <v>Killing skeletal wyverns</v>
      </c>
      <c r="C2204" s="207">
        <v>1249.0</v>
      </c>
      <c r="D2204" s="6" t="str">
        <f>VLOOKUP($C2204, 'List of log slots'!$A:$E, 2, FALSE)</f>
        <v>Dragon spear</v>
      </c>
      <c r="E2204" s="207">
        <f>VLOOKUP($C2204, 'List of log slots'!$A:$E, 5, FALSE)</f>
        <v>5</v>
      </c>
      <c r="F2204" s="213" t="b">
        <f>VLOOKUP(C2204, 'List of log slots'!$A:$C, 3, FALSE)</f>
        <v>0</v>
      </c>
      <c r="G2204" s="209" t="b">
        <f t="shared" si="1701"/>
        <v>0</v>
      </c>
      <c r="H2204" s="209" t="b">
        <f t="shared" si="7"/>
        <v>1</v>
      </c>
      <c r="I2204" s="208" t="b">
        <f t="shared" ref="I2204:J2204" si="1736">FALSE</f>
        <v>0</v>
      </c>
      <c r="J2204" s="208" t="b">
        <f t="shared" si="1736"/>
        <v>0</v>
      </c>
      <c r="K2204" s="214">
        <v>15374.0</v>
      </c>
      <c r="L2204" s="207" t="str">
        <f t="shared" si="3"/>
        <v>n/a</v>
      </c>
      <c r="M2204" s="212" t="str">
        <f t="shared" si="4"/>
        <v>n/a</v>
      </c>
      <c r="N2204" s="207" t="str">
        <f t="shared" si="1421"/>
        <v>n/a</v>
      </c>
      <c r="O2204" s="207">
        <f t="shared" si="1422"/>
        <v>0.00006504488097</v>
      </c>
    </row>
    <row r="2205">
      <c r="A2205" s="207">
        <v>181.0</v>
      </c>
      <c r="B2205" s="6" t="str">
        <f>VLOOKUP($A2205, 'Completion rates'!$A:$E, 2, FALSE)</f>
        <v>Killing terror dogs</v>
      </c>
      <c r="C2205" s="207">
        <v>10589.0</v>
      </c>
      <c r="D2205" s="6" t="str">
        <f>VLOOKUP($C2205, 'List of log slots'!$A:$E, 2, FALSE)</f>
        <v>Granite helm</v>
      </c>
      <c r="E2205" s="207">
        <f>VLOOKUP($C2205, 'List of log slots'!$A:$E, 5, FALSE)</f>
        <v>3</v>
      </c>
      <c r="F2205" s="213" t="b">
        <f>VLOOKUP(C2205, 'List of log slots'!$A:$C, 3, FALSE)</f>
        <v>0</v>
      </c>
      <c r="G2205" s="209" t="b">
        <f t="shared" si="1701"/>
        <v>0</v>
      </c>
      <c r="H2205" s="209" t="b">
        <f t="shared" si="7"/>
        <v>1</v>
      </c>
      <c r="I2205" s="208" t="b">
        <f t="shared" ref="I2205:J2205" si="1737">FALSE</f>
        <v>0</v>
      </c>
      <c r="J2205" s="208" t="b">
        <f t="shared" si="1737"/>
        <v>0</v>
      </c>
      <c r="K2205" s="214">
        <v>128.0</v>
      </c>
      <c r="L2205" s="207" t="str">
        <f t="shared" si="3"/>
        <v>n/a</v>
      </c>
      <c r="M2205" s="212" t="str">
        <f t="shared" si="4"/>
        <v>n/a</v>
      </c>
      <c r="N2205" s="207" t="str">
        <f t="shared" si="1421"/>
        <v>n/a</v>
      </c>
      <c r="O2205" s="207">
        <f t="shared" si="1422"/>
        <v>0.0078125</v>
      </c>
    </row>
    <row r="2206">
      <c r="A2206" s="207">
        <v>181.0</v>
      </c>
      <c r="B2206" s="6" t="str">
        <f>VLOOKUP($A2206, 'Completion rates'!$A:$E, 2, FALSE)</f>
        <v>Killing terror dogs</v>
      </c>
      <c r="C2206" s="207">
        <v>2366.0</v>
      </c>
      <c r="D2206" s="6" t="str">
        <f>VLOOKUP($C2206, 'List of log slots'!$A:$E, 2, FALSE)</f>
        <v>Shield left half</v>
      </c>
      <c r="E2206" s="207">
        <f>VLOOKUP($C2206, 'List of log slots'!$A:$E, 5, FALSE)</f>
        <v>5</v>
      </c>
      <c r="F2206" s="213" t="b">
        <f>VLOOKUP(C2206, 'List of log slots'!$A:$C, 3, FALSE)</f>
        <v>0</v>
      </c>
      <c r="G2206" s="209" t="b">
        <f t="shared" si="1701"/>
        <v>0</v>
      </c>
      <c r="H2206" s="209" t="b">
        <f t="shared" si="7"/>
        <v>1</v>
      </c>
      <c r="I2206" s="208" t="b">
        <f t="shared" ref="I2206:J2206" si="1738">FALSE</f>
        <v>0</v>
      </c>
      <c r="J2206" s="208" t="b">
        <f t="shared" si="1738"/>
        <v>0</v>
      </c>
      <c r="K2206" s="214">
        <v>104858.0</v>
      </c>
      <c r="L2206" s="207" t="str">
        <f t="shared" si="3"/>
        <v>n/a</v>
      </c>
      <c r="M2206" s="212" t="str">
        <f t="shared" si="4"/>
        <v>n/a</v>
      </c>
      <c r="N2206" s="207" t="str">
        <f t="shared" si="1421"/>
        <v>n/a</v>
      </c>
      <c r="O2206" s="207">
        <f t="shared" si="1422"/>
        <v>0.000009536706784</v>
      </c>
    </row>
    <row r="2207">
      <c r="A2207" s="207">
        <v>181.0</v>
      </c>
      <c r="B2207" s="6" t="str">
        <f>VLOOKUP($A2207, 'Completion rates'!$A:$E, 2, FALSE)</f>
        <v>Killing terror dogs</v>
      </c>
      <c r="C2207" s="207">
        <v>1249.0</v>
      </c>
      <c r="D2207" s="6" t="str">
        <f>VLOOKUP($C2207, 'List of log slots'!$A:$E, 2, FALSE)</f>
        <v>Dragon spear</v>
      </c>
      <c r="E2207" s="207">
        <f>VLOOKUP($C2207, 'List of log slots'!$A:$E, 5, FALSE)</f>
        <v>5</v>
      </c>
      <c r="F2207" s="213" t="b">
        <f>VLOOKUP(C2207, 'List of log slots'!$A:$C, 3, FALSE)</f>
        <v>0</v>
      </c>
      <c r="G2207" s="209" t="b">
        <f t="shared" si="1701"/>
        <v>0</v>
      </c>
      <c r="H2207" s="209" t="b">
        <f t="shared" si="7"/>
        <v>1</v>
      </c>
      <c r="I2207" s="208" t="b">
        <f t="shared" ref="I2207:J2207" si="1739">FALSE</f>
        <v>0</v>
      </c>
      <c r="J2207" s="208" t="b">
        <f t="shared" si="1739"/>
        <v>0</v>
      </c>
      <c r="K2207" s="214">
        <v>139810.0</v>
      </c>
      <c r="L2207" s="207" t="str">
        <f t="shared" si="3"/>
        <v>n/a</v>
      </c>
      <c r="M2207" s="212" t="str">
        <f t="shared" si="4"/>
        <v>n/a</v>
      </c>
      <c r="N2207" s="207" t="str">
        <f t="shared" si="1421"/>
        <v>n/a</v>
      </c>
      <c r="O2207" s="207">
        <f t="shared" si="1422"/>
        <v>0.000007152564194</v>
      </c>
    </row>
    <row r="2208">
      <c r="A2208" s="207">
        <v>182.0</v>
      </c>
      <c r="B2208" s="6" t="str">
        <f>VLOOKUP($A2208, 'Completion rates'!$A:$E, 2, FALSE)</f>
        <v>Killing cave crawlers</v>
      </c>
      <c r="C2208" s="207">
        <v>4119.0</v>
      </c>
      <c r="D2208" s="6" t="str">
        <f>VLOOKUP($C2208, 'List of log slots'!$A:$E, 2, FALSE)</f>
        <v>Bronze boots</v>
      </c>
      <c r="E2208" s="207">
        <f>VLOOKUP($C2208, 'List of log slots'!$A:$E, 5, FALSE)</f>
        <v>1</v>
      </c>
      <c r="F2208" s="213" t="b">
        <f>VLOOKUP(C2208, 'List of log slots'!$A:$C, 3, FALSE)</f>
        <v>0</v>
      </c>
      <c r="G2208" s="209" t="b">
        <f t="shared" si="1701"/>
        <v>0</v>
      </c>
      <c r="H2208" s="209" t="b">
        <f t="shared" si="7"/>
        <v>1</v>
      </c>
      <c r="I2208" s="208" t="b">
        <f t="shared" ref="I2208:J2208" si="1740">FALSE</f>
        <v>0</v>
      </c>
      <c r="J2208" s="208" t="b">
        <f t="shared" si="1740"/>
        <v>0</v>
      </c>
      <c r="K2208" s="214">
        <v>128.0</v>
      </c>
      <c r="L2208" s="207" t="str">
        <f t="shared" si="3"/>
        <v>n/a</v>
      </c>
      <c r="M2208" s="212" t="str">
        <f t="shared" si="4"/>
        <v>n/a</v>
      </c>
      <c r="N2208" s="207" t="str">
        <f t="shared" si="1421"/>
        <v>n/a</v>
      </c>
      <c r="O2208" s="207">
        <f t="shared" si="1422"/>
        <v>0.0078125</v>
      </c>
    </row>
    <row r="2209">
      <c r="A2209" s="207">
        <v>182.0</v>
      </c>
      <c r="B2209" s="6" t="str">
        <f>VLOOKUP($A2209, 'Completion rates'!$A:$E, 2, FALSE)</f>
        <v>Killing cave crawlers</v>
      </c>
      <c r="C2209" s="207">
        <v>2366.0</v>
      </c>
      <c r="D2209" s="6" t="str">
        <f>VLOOKUP($C2209, 'List of log slots'!$A:$E, 2, FALSE)</f>
        <v>Shield left half</v>
      </c>
      <c r="E2209" s="207">
        <f>VLOOKUP($C2209, 'List of log slots'!$A:$E, 5, FALSE)</f>
        <v>5</v>
      </c>
      <c r="F2209" s="213" t="b">
        <f>VLOOKUP(C2209, 'List of log slots'!$A:$C, 3, FALSE)</f>
        <v>0</v>
      </c>
      <c r="G2209" s="209" t="b">
        <f t="shared" si="1701"/>
        <v>0</v>
      </c>
      <c r="H2209" s="209" t="b">
        <f t="shared" si="7"/>
        <v>1</v>
      </c>
      <c r="I2209" s="208" t="b">
        <f t="shared" ref="I2209:J2209" si="1741">FALSE</f>
        <v>0</v>
      </c>
      <c r="J2209" s="208" t="b">
        <f t="shared" si="1741"/>
        <v>0</v>
      </c>
      <c r="K2209" s="214">
        <v>524288.0</v>
      </c>
      <c r="L2209" s="207" t="str">
        <f t="shared" si="3"/>
        <v>n/a</v>
      </c>
      <c r="M2209" s="212" t="str">
        <f t="shared" si="4"/>
        <v>n/a</v>
      </c>
      <c r="N2209" s="207" t="str">
        <f t="shared" si="1421"/>
        <v>n/a</v>
      </c>
      <c r="O2209" s="207">
        <f t="shared" si="1422"/>
        <v>0.000001907348633</v>
      </c>
    </row>
    <row r="2210">
      <c r="A2210" s="207">
        <v>182.0</v>
      </c>
      <c r="B2210" s="6" t="str">
        <f>VLOOKUP($A2210, 'Completion rates'!$A:$E, 2, FALSE)</f>
        <v>Killing cave crawlers</v>
      </c>
      <c r="C2210" s="207">
        <v>1249.0</v>
      </c>
      <c r="D2210" s="6" t="str">
        <f>VLOOKUP($C2210, 'List of log slots'!$A:$E, 2, FALSE)</f>
        <v>Dragon spear</v>
      </c>
      <c r="E2210" s="207">
        <f>VLOOKUP($C2210, 'List of log slots'!$A:$E, 5, FALSE)</f>
        <v>5</v>
      </c>
      <c r="F2210" s="213" t="b">
        <f>VLOOKUP(C2210, 'List of log slots'!$A:$C, 3, FALSE)</f>
        <v>0</v>
      </c>
      <c r="G2210" s="209" t="b">
        <f t="shared" si="1701"/>
        <v>0</v>
      </c>
      <c r="H2210" s="209" t="b">
        <f t="shared" si="7"/>
        <v>1</v>
      </c>
      <c r="I2210" s="208" t="b">
        <f t="shared" ref="I2210:J2210" si="1742">FALSE</f>
        <v>0</v>
      </c>
      <c r="J2210" s="208" t="b">
        <f t="shared" si="1742"/>
        <v>0</v>
      </c>
      <c r="K2210" s="214">
        <v>699051.0</v>
      </c>
      <c r="L2210" s="207" t="str">
        <f t="shared" si="3"/>
        <v>n/a</v>
      </c>
      <c r="M2210" s="212" t="str">
        <f t="shared" si="4"/>
        <v>n/a</v>
      </c>
      <c r="N2210" s="207" t="str">
        <f t="shared" si="1421"/>
        <v>n/a</v>
      </c>
      <c r="O2210" s="207">
        <f t="shared" si="1422"/>
        <v>0.000001430510792</v>
      </c>
    </row>
    <row r="2211">
      <c r="A2211" s="207">
        <v>183.0</v>
      </c>
      <c r="B2211" s="6" t="str">
        <f>VLOOKUP($A2211, 'Completion rates'!$A:$E, 2, FALSE)</f>
        <v>Killing cave slimes</v>
      </c>
      <c r="C2211" s="207">
        <v>4121.0</v>
      </c>
      <c r="D2211" s="6" t="str">
        <f>VLOOKUP($C2211, 'List of log slots'!$A:$E, 2, FALSE)</f>
        <v>Iron boots</v>
      </c>
      <c r="E2211" s="207">
        <f>VLOOKUP($C2211, 'List of log slots'!$A:$E, 5, FALSE)</f>
        <v>1</v>
      </c>
      <c r="F2211" s="213" t="b">
        <f>VLOOKUP(C2211, 'List of log slots'!$A:$C, 3, FALSE)</f>
        <v>0</v>
      </c>
      <c r="G2211" s="209" t="b">
        <f t="shared" si="1701"/>
        <v>0</v>
      </c>
      <c r="H2211" s="209" t="b">
        <f t="shared" si="7"/>
        <v>1</v>
      </c>
      <c r="I2211" s="208" t="b">
        <f t="shared" ref="I2211:J2211" si="1743">FALSE</f>
        <v>0</v>
      </c>
      <c r="J2211" s="208" t="b">
        <f t="shared" si="1743"/>
        <v>0</v>
      </c>
      <c r="K2211" s="214">
        <v>128.0</v>
      </c>
      <c r="L2211" s="207" t="str">
        <f t="shared" si="3"/>
        <v>n/a</v>
      </c>
      <c r="M2211" s="212" t="str">
        <f t="shared" si="4"/>
        <v>n/a</v>
      </c>
      <c r="N2211" s="207" t="str">
        <f t="shared" si="1421"/>
        <v>n/a</v>
      </c>
      <c r="O2211" s="207">
        <f t="shared" si="1422"/>
        <v>0.0078125</v>
      </c>
    </row>
    <row r="2212">
      <c r="A2212" s="207">
        <v>183.0</v>
      </c>
      <c r="B2212" s="6" t="str">
        <f>VLOOKUP($A2212, 'Completion rates'!$A:$E, 2, FALSE)</f>
        <v>Killing cave slimes</v>
      </c>
      <c r="C2212" s="207">
        <v>2366.0</v>
      </c>
      <c r="D2212" s="6" t="str">
        <f>VLOOKUP($C2212, 'List of log slots'!$A:$E, 2, FALSE)</f>
        <v>Shield left half</v>
      </c>
      <c r="E2212" s="207">
        <f>VLOOKUP($C2212, 'List of log slots'!$A:$E, 5, FALSE)</f>
        <v>5</v>
      </c>
      <c r="F2212" s="213" t="b">
        <f>VLOOKUP(C2212, 'List of log slots'!$A:$C, 3, FALSE)</f>
        <v>0</v>
      </c>
      <c r="G2212" s="209" t="b">
        <f t="shared" si="1701"/>
        <v>0</v>
      </c>
      <c r="H2212" s="209" t="b">
        <f t="shared" si="7"/>
        <v>1</v>
      </c>
      <c r="I2212" s="208" t="b">
        <f t="shared" ref="I2212:J2212" si="1744">FALSE</f>
        <v>0</v>
      </c>
      <c r="J2212" s="208" t="b">
        <f t="shared" si="1744"/>
        <v>0</v>
      </c>
      <c r="K2212" s="214">
        <v>131072.0</v>
      </c>
      <c r="L2212" s="207" t="str">
        <f t="shared" si="3"/>
        <v>n/a</v>
      </c>
      <c r="M2212" s="212" t="str">
        <f t="shared" si="4"/>
        <v>n/a</v>
      </c>
      <c r="N2212" s="207" t="str">
        <f t="shared" si="1421"/>
        <v>n/a</v>
      </c>
      <c r="O2212" s="207">
        <f t="shared" si="1422"/>
        <v>0.000007629394531</v>
      </c>
    </row>
    <row r="2213">
      <c r="A2213" s="207">
        <v>183.0</v>
      </c>
      <c r="B2213" s="6" t="str">
        <f>VLOOKUP($A2213, 'Completion rates'!$A:$E, 2, FALSE)</f>
        <v>Killing cave slimes</v>
      </c>
      <c r="C2213" s="212">
        <v>1249.0</v>
      </c>
      <c r="D2213" s="6" t="str">
        <f>VLOOKUP($C2213, 'List of log slots'!$A:$E, 2, FALSE)</f>
        <v>Dragon spear</v>
      </c>
      <c r="E2213" s="207">
        <f>VLOOKUP($C2213, 'List of log slots'!$A:$E, 5, FALSE)</f>
        <v>5</v>
      </c>
      <c r="F2213" s="213" t="b">
        <f>VLOOKUP(C2213, 'List of log slots'!$A:$C, 3, FALSE)</f>
        <v>0</v>
      </c>
      <c r="G2213" s="209" t="b">
        <f t="shared" si="1701"/>
        <v>0</v>
      </c>
      <c r="H2213" s="209" t="b">
        <f t="shared" si="7"/>
        <v>1</v>
      </c>
      <c r="I2213" s="208" t="b">
        <f t="shared" ref="I2213:J2213" si="1745">FALSE</f>
        <v>0</v>
      </c>
      <c r="J2213" s="208" t="b">
        <f t="shared" si="1745"/>
        <v>0</v>
      </c>
      <c r="K2213" s="214">
        <v>174763.0</v>
      </c>
      <c r="L2213" s="207" t="str">
        <f t="shared" si="3"/>
        <v>n/a</v>
      </c>
      <c r="M2213" s="212" t="str">
        <f t="shared" si="4"/>
        <v>n/a</v>
      </c>
      <c r="N2213" s="207" t="str">
        <f t="shared" si="1421"/>
        <v>n/a</v>
      </c>
      <c r="O2213" s="207">
        <f t="shared" si="1422"/>
        <v>0.000005722034985</v>
      </c>
    </row>
    <row r="2214">
      <c r="A2214" s="207">
        <v>184.0</v>
      </c>
      <c r="B2214" s="6" t="str">
        <f>VLOOKUP($A2214, 'Completion rates'!$A:$E, 2, FALSE)</f>
        <v>Killing pyrefiends</v>
      </c>
      <c r="C2214" s="207">
        <v>4123.0</v>
      </c>
      <c r="D2214" s="6" t="str">
        <f>VLOOKUP($C2214, 'List of log slots'!$A:$E, 2, FALSE)</f>
        <v>Steel boots</v>
      </c>
      <c r="E2214" s="207">
        <f>VLOOKUP($C2214, 'List of log slots'!$A:$E, 5, FALSE)</f>
        <v>2</v>
      </c>
      <c r="F2214" s="213" t="b">
        <f>VLOOKUP(C2214, 'List of log slots'!$A:$C, 3, FALSE)</f>
        <v>0</v>
      </c>
      <c r="G2214" s="209" t="b">
        <f t="shared" si="1701"/>
        <v>0</v>
      </c>
      <c r="H2214" s="209" t="b">
        <f t="shared" si="7"/>
        <v>1</v>
      </c>
      <c r="I2214" s="208" t="b">
        <f t="shared" ref="I2214:J2214" si="1746">FALSE</f>
        <v>0</v>
      </c>
      <c r="J2214" s="208" t="b">
        <f t="shared" si="1746"/>
        <v>0</v>
      </c>
      <c r="K2214" s="214">
        <v>128.0</v>
      </c>
      <c r="L2214" s="207" t="str">
        <f t="shared" si="3"/>
        <v>n/a</v>
      </c>
      <c r="M2214" s="212" t="str">
        <f t="shared" si="4"/>
        <v>n/a</v>
      </c>
      <c r="N2214" s="207" t="str">
        <f t="shared" si="1421"/>
        <v>n/a</v>
      </c>
      <c r="O2214" s="207">
        <f t="shared" si="1422"/>
        <v>0.0078125</v>
      </c>
    </row>
    <row r="2215">
      <c r="A2215" s="207">
        <v>184.0</v>
      </c>
      <c r="B2215" s="6" t="str">
        <f>VLOOKUP($A2215, 'Completion rates'!$A:$E, 2, FALSE)</f>
        <v>Killing pyrefiends</v>
      </c>
      <c r="C2215" s="207">
        <v>2366.0</v>
      </c>
      <c r="D2215" s="6" t="str">
        <f>VLOOKUP($C2215, 'List of log slots'!$A:$E, 2, FALSE)</f>
        <v>Shield left half</v>
      </c>
      <c r="E2215" s="207">
        <f>VLOOKUP($C2215, 'List of log slots'!$A:$E, 5, FALSE)</f>
        <v>5</v>
      </c>
      <c r="F2215" s="213" t="b">
        <f>VLOOKUP(C2215, 'List of log slots'!$A:$C, 3, FALSE)</f>
        <v>0</v>
      </c>
      <c r="G2215" s="209" t="b">
        <f t="shared" si="1701"/>
        <v>0</v>
      </c>
      <c r="H2215" s="209" t="b">
        <f t="shared" si="7"/>
        <v>1</v>
      </c>
      <c r="I2215" s="208" t="b">
        <f t="shared" ref="I2215:J2215" si="1747">FALSE</f>
        <v>0</v>
      </c>
      <c r="J2215" s="208" t="b">
        <f t="shared" si="1747"/>
        <v>0</v>
      </c>
      <c r="K2215" s="214">
        <v>174763.0</v>
      </c>
      <c r="L2215" s="207" t="str">
        <f t="shared" si="3"/>
        <v>n/a</v>
      </c>
      <c r="M2215" s="212" t="str">
        <f t="shared" si="4"/>
        <v>n/a</v>
      </c>
      <c r="N2215" s="207" t="str">
        <f t="shared" si="1421"/>
        <v>n/a</v>
      </c>
      <c r="O2215" s="207">
        <f t="shared" si="1422"/>
        <v>0.000005722034985</v>
      </c>
    </row>
    <row r="2216">
      <c r="A2216" s="207">
        <v>184.0</v>
      </c>
      <c r="B2216" s="6" t="str">
        <f>VLOOKUP($A2216, 'Completion rates'!$A:$E, 2, FALSE)</f>
        <v>Killing pyrefiends</v>
      </c>
      <c r="C2216" s="207">
        <v>1249.0</v>
      </c>
      <c r="D2216" s="6" t="str">
        <f>VLOOKUP($C2216, 'List of log slots'!$A:$E, 2, FALSE)</f>
        <v>Dragon spear</v>
      </c>
      <c r="E2216" s="207">
        <f>VLOOKUP($C2216, 'List of log slots'!$A:$E, 5, FALSE)</f>
        <v>5</v>
      </c>
      <c r="F2216" s="213" t="b">
        <f>VLOOKUP(C2216, 'List of log slots'!$A:$C, 3, FALSE)</f>
        <v>0</v>
      </c>
      <c r="G2216" s="209" t="b">
        <f t="shared" si="1701"/>
        <v>0</v>
      </c>
      <c r="H2216" s="209" t="b">
        <f t="shared" si="7"/>
        <v>1</v>
      </c>
      <c r="I2216" s="208" t="b">
        <f t="shared" ref="I2216:J2216" si="1748">FALSE</f>
        <v>0</v>
      </c>
      <c r="J2216" s="208" t="b">
        <f t="shared" si="1748"/>
        <v>0</v>
      </c>
      <c r="K2216" s="214">
        <v>233017.0</v>
      </c>
      <c r="L2216" s="207" t="str">
        <f t="shared" si="3"/>
        <v>n/a</v>
      </c>
      <c r="M2216" s="212" t="str">
        <f t="shared" si="4"/>
        <v>n/a</v>
      </c>
      <c r="N2216" s="207" t="str">
        <f t="shared" si="1421"/>
        <v>n/a</v>
      </c>
      <c r="O2216" s="207">
        <f t="shared" si="1422"/>
        <v>0.000004291532377</v>
      </c>
    </row>
    <row r="2217">
      <c r="A2217" s="207">
        <v>185.0</v>
      </c>
      <c r="B2217" s="6" t="str">
        <f>VLOOKUP($A2217, 'Completion rates'!$A:$E, 2, FALSE)</f>
        <v>Killing harpie bug swarms</v>
      </c>
      <c r="C2217" s="207">
        <v>4123.0</v>
      </c>
      <c r="D2217" s="6" t="str">
        <f>VLOOKUP($C2217, 'List of log slots'!$A:$E, 2, FALSE)</f>
        <v>Steel boots</v>
      </c>
      <c r="E2217" s="207">
        <f>VLOOKUP($C2217, 'List of log slots'!$A:$E, 5, FALSE)</f>
        <v>2</v>
      </c>
      <c r="F2217" s="213" t="b">
        <f>VLOOKUP(C2217, 'List of log slots'!$A:$C, 3, FALSE)</f>
        <v>0</v>
      </c>
      <c r="G2217" s="209" t="b">
        <f t="shared" si="1701"/>
        <v>0</v>
      </c>
      <c r="H2217" s="209" t="b">
        <f t="shared" si="7"/>
        <v>1</v>
      </c>
      <c r="I2217" s="208" t="b">
        <f t="shared" ref="I2217:J2217" si="1749">FALSE</f>
        <v>0</v>
      </c>
      <c r="J2217" s="208" t="b">
        <f t="shared" si="1749"/>
        <v>0</v>
      </c>
      <c r="K2217" s="214">
        <v>128.0</v>
      </c>
      <c r="L2217" s="207" t="str">
        <f t="shared" si="3"/>
        <v>n/a</v>
      </c>
      <c r="M2217" s="212" t="str">
        <f t="shared" si="4"/>
        <v>n/a</v>
      </c>
      <c r="N2217" s="207" t="str">
        <f t="shared" si="1421"/>
        <v>n/a</v>
      </c>
      <c r="O2217" s="207">
        <f t="shared" si="1422"/>
        <v>0.0078125</v>
      </c>
    </row>
    <row r="2218">
      <c r="A2218" s="207">
        <v>185.0</v>
      </c>
      <c r="B2218" s="6" t="str">
        <f>VLOOKUP($A2218, 'Completion rates'!$A:$E, 2, FALSE)</f>
        <v>Killing harpie bug swarms</v>
      </c>
      <c r="C2218" s="207">
        <v>2366.0</v>
      </c>
      <c r="D2218" s="6" t="str">
        <f>VLOOKUP($C2218, 'List of log slots'!$A:$E, 2, FALSE)</f>
        <v>Shield left half</v>
      </c>
      <c r="E2218" s="207">
        <f>VLOOKUP($C2218, 'List of log slots'!$A:$E, 5, FALSE)</f>
        <v>5</v>
      </c>
      <c r="F2218" s="213" t="b">
        <f>VLOOKUP(C2218, 'List of log slots'!$A:$C, 3, FALSE)</f>
        <v>0</v>
      </c>
      <c r="G2218" s="209" t="b">
        <f t="shared" si="1701"/>
        <v>0</v>
      </c>
      <c r="H2218" s="209" t="b">
        <f t="shared" si="7"/>
        <v>1</v>
      </c>
      <c r="I2218" s="208" t="b">
        <f t="shared" ref="I2218:J2218" si="1750">FALSE</f>
        <v>0</v>
      </c>
      <c r="J2218" s="208" t="b">
        <f t="shared" si="1750"/>
        <v>0</v>
      </c>
      <c r="K2218" s="214">
        <v>174763.0</v>
      </c>
      <c r="L2218" s="207" t="str">
        <f t="shared" si="3"/>
        <v>n/a</v>
      </c>
      <c r="M2218" s="212" t="str">
        <f t="shared" si="4"/>
        <v>n/a</v>
      </c>
      <c r="N2218" s="207" t="str">
        <f t="shared" si="1421"/>
        <v>n/a</v>
      </c>
      <c r="O2218" s="207">
        <f t="shared" si="1422"/>
        <v>0.000005722034985</v>
      </c>
    </row>
    <row r="2219">
      <c r="A2219" s="207">
        <v>185.0</v>
      </c>
      <c r="B2219" s="6" t="str">
        <f>VLOOKUP($A2219, 'Completion rates'!$A:$E, 2, FALSE)</f>
        <v>Killing harpie bug swarms</v>
      </c>
      <c r="C2219" s="207">
        <v>1249.0</v>
      </c>
      <c r="D2219" s="6" t="str">
        <f>VLOOKUP($C2219, 'List of log slots'!$A:$E, 2, FALSE)</f>
        <v>Dragon spear</v>
      </c>
      <c r="E2219" s="207">
        <f>VLOOKUP($C2219, 'List of log slots'!$A:$E, 5, FALSE)</f>
        <v>5</v>
      </c>
      <c r="F2219" s="213" t="b">
        <f>VLOOKUP(C2219, 'List of log slots'!$A:$C, 3, FALSE)</f>
        <v>0</v>
      </c>
      <c r="G2219" s="209" t="b">
        <f t="shared" si="1701"/>
        <v>0</v>
      </c>
      <c r="H2219" s="209" t="b">
        <f t="shared" si="7"/>
        <v>1</v>
      </c>
      <c r="I2219" s="208" t="b">
        <f t="shared" ref="I2219:J2219" si="1751">FALSE</f>
        <v>0</v>
      </c>
      <c r="J2219" s="208" t="b">
        <f t="shared" si="1751"/>
        <v>0</v>
      </c>
      <c r="K2219" s="214">
        <v>233017.0</v>
      </c>
      <c r="L2219" s="207" t="str">
        <f t="shared" si="3"/>
        <v>n/a</v>
      </c>
      <c r="M2219" s="212" t="str">
        <f t="shared" si="4"/>
        <v>n/a</v>
      </c>
      <c r="N2219" s="207" t="str">
        <f t="shared" si="1421"/>
        <v>n/a</v>
      </c>
      <c r="O2219" s="207">
        <f t="shared" si="1422"/>
        <v>0.000004291532377</v>
      </c>
    </row>
    <row r="2220">
      <c r="A2220" s="207">
        <v>186.0</v>
      </c>
      <c r="B2220" s="6" t="str">
        <f>VLOOKUP($A2220, 'Completion rates'!$A:$E, 2, FALSE)</f>
        <v>Killing bloodvelds</v>
      </c>
      <c r="C2220" s="212">
        <v>4125.0</v>
      </c>
      <c r="D2220" s="6" t="str">
        <f>VLOOKUP($C2220, 'List of log slots'!$A:$E, 2, FALSE)</f>
        <v>Black boots</v>
      </c>
      <c r="E2220" s="207">
        <f>VLOOKUP($C2220, 'List of log slots'!$A:$E, 5, FALSE)</f>
        <v>2</v>
      </c>
      <c r="F2220" s="213" t="b">
        <f>VLOOKUP(C2220, 'List of log slots'!$A:$C, 3, FALSE)</f>
        <v>0</v>
      </c>
      <c r="G2220" s="209" t="b">
        <f t="shared" si="1701"/>
        <v>0</v>
      </c>
      <c r="H2220" s="209" t="b">
        <f t="shared" si="7"/>
        <v>1</v>
      </c>
      <c r="I2220" s="208" t="b">
        <f t="shared" ref="I2220:J2220" si="1752">FALSE</f>
        <v>0</v>
      </c>
      <c r="J2220" s="208" t="b">
        <f t="shared" si="1752"/>
        <v>0</v>
      </c>
      <c r="K2220" s="214">
        <v>128.0</v>
      </c>
      <c r="L2220" s="207" t="str">
        <f t="shared" si="3"/>
        <v>n/a</v>
      </c>
      <c r="M2220" s="212" t="str">
        <f t="shared" si="4"/>
        <v>n/a</v>
      </c>
      <c r="N2220" s="207" t="str">
        <f t="shared" si="1421"/>
        <v>n/a</v>
      </c>
      <c r="O2220" s="207">
        <f t="shared" si="1422"/>
        <v>0.0078125</v>
      </c>
    </row>
    <row r="2221">
      <c r="A2221" s="207">
        <v>186.0</v>
      </c>
      <c r="B2221" s="6" t="str">
        <f>VLOOKUP($A2221, 'Completion rates'!$A:$E, 2, FALSE)</f>
        <v>Killing bloodvelds</v>
      </c>
      <c r="C2221" s="207">
        <v>2366.0</v>
      </c>
      <c r="D2221" s="6" t="str">
        <f>VLOOKUP($C2221, 'List of log slots'!$A:$E, 2, FALSE)</f>
        <v>Shield left half</v>
      </c>
      <c r="E2221" s="207">
        <f>VLOOKUP($C2221, 'List of log slots'!$A:$E, 5, FALSE)</f>
        <v>5</v>
      </c>
      <c r="F2221" s="213" t="b">
        <f>VLOOKUP(C2221, 'List of log slots'!$A:$C, 3, FALSE)</f>
        <v>0</v>
      </c>
      <c r="G2221" s="209" t="b">
        <f t="shared" si="1701"/>
        <v>0</v>
      </c>
      <c r="H2221" s="209" t="b">
        <f t="shared" si="7"/>
        <v>1</v>
      </c>
      <c r="I2221" s="208" t="b">
        <f t="shared" ref="I2221:J2221" si="1753">FALSE</f>
        <v>0</v>
      </c>
      <c r="J2221" s="208" t="b">
        <f t="shared" si="1753"/>
        <v>0</v>
      </c>
      <c r="K2221" s="214">
        <v>131072.0</v>
      </c>
      <c r="L2221" s="207" t="str">
        <f t="shared" si="3"/>
        <v>n/a</v>
      </c>
      <c r="M2221" s="212" t="str">
        <f t="shared" si="4"/>
        <v>n/a</v>
      </c>
      <c r="N2221" s="207" t="str">
        <f t="shared" si="1421"/>
        <v>n/a</v>
      </c>
      <c r="O2221" s="207">
        <f t="shared" si="1422"/>
        <v>0.000007629394531</v>
      </c>
    </row>
    <row r="2222">
      <c r="A2222" s="207">
        <v>186.0</v>
      </c>
      <c r="B2222" s="6" t="str">
        <f>VLOOKUP($A2222, 'Completion rates'!$A:$E, 2, FALSE)</f>
        <v>Killing bloodvelds</v>
      </c>
      <c r="C2222" s="207">
        <v>1249.0</v>
      </c>
      <c r="D2222" s="6" t="str">
        <f>VLOOKUP($C2222, 'List of log slots'!$A:$E, 2, FALSE)</f>
        <v>Dragon spear</v>
      </c>
      <c r="E2222" s="207">
        <f>VLOOKUP($C2222, 'List of log slots'!$A:$E, 5, FALSE)</f>
        <v>5</v>
      </c>
      <c r="F2222" s="213" t="b">
        <f>VLOOKUP(C2222, 'List of log slots'!$A:$C, 3, FALSE)</f>
        <v>0</v>
      </c>
      <c r="G2222" s="209" t="b">
        <f t="shared" si="1701"/>
        <v>0</v>
      </c>
      <c r="H2222" s="209" t="b">
        <f t="shared" si="7"/>
        <v>1</v>
      </c>
      <c r="I2222" s="208" t="b">
        <f t="shared" ref="I2222:J2222" si="1754">FALSE</f>
        <v>0</v>
      </c>
      <c r="J2222" s="208" t="b">
        <f t="shared" si="1754"/>
        <v>0</v>
      </c>
      <c r="K2222" s="214">
        <v>174763.0</v>
      </c>
      <c r="L2222" s="207" t="str">
        <f t="shared" si="3"/>
        <v>n/a</v>
      </c>
      <c r="M2222" s="212" t="str">
        <f t="shared" si="4"/>
        <v>n/a</v>
      </c>
      <c r="N2222" s="207" t="str">
        <f t="shared" si="1421"/>
        <v>n/a</v>
      </c>
      <c r="O2222" s="207">
        <f t="shared" si="1422"/>
        <v>0.000005722034985</v>
      </c>
    </row>
    <row r="2223">
      <c r="A2223" s="207">
        <v>187.0</v>
      </c>
      <c r="B2223" s="6" t="str">
        <f>VLOOKUP($A2223, 'Completion rates'!$A:$E, 2, FALSE)</f>
        <v>Killing warped jellies</v>
      </c>
      <c r="C2223" s="207">
        <v>4127.0</v>
      </c>
      <c r="D2223" s="6" t="str">
        <f>VLOOKUP($C2223, 'List of log slots'!$A:$E, 2, FALSE)</f>
        <v>Mithril boots</v>
      </c>
      <c r="E2223" s="207">
        <f>VLOOKUP($C2223, 'List of log slots'!$A:$E, 5, FALSE)</f>
        <v>3</v>
      </c>
      <c r="F2223" s="213" t="b">
        <f>VLOOKUP(C2223, 'List of log slots'!$A:$C, 3, FALSE)</f>
        <v>0</v>
      </c>
      <c r="G2223" s="209" t="b">
        <f t="shared" si="1701"/>
        <v>0</v>
      </c>
      <c r="H2223" s="209" t="b">
        <f t="shared" si="7"/>
        <v>1</v>
      </c>
      <c r="I2223" s="208" t="b">
        <f t="shared" ref="I2223:J2223" si="1755">FALSE</f>
        <v>0</v>
      </c>
      <c r="J2223" s="208" t="b">
        <f t="shared" si="1755"/>
        <v>0</v>
      </c>
      <c r="K2223" s="214">
        <v>64.0</v>
      </c>
      <c r="L2223" s="207" t="str">
        <f t="shared" si="3"/>
        <v>n/a</v>
      </c>
      <c r="M2223" s="212" t="str">
        <f t="shared" si="4"/>
        <v>n/a</v>
      </c>
      <c r="N2223" s="207" t="str">
        <f t="shared" si="1421"/>
        <v>n/a</v>
      </c>
      <c r="O2223" s="207">
        <f t="shared" si="1422"/>
        <v>0.015625</v>
      </c>
    </row>
    <row r="2224">
      <c r="A2224" s="207">
        <v>187.0</v>
      </c>
      <c r="B2224" s="6" t="str">
        <f>VLOOKUP($A2224, 'Completion rates'!$A:$E, 2, FALSE)</f>
        <v>Killing warped jellies</v>
      </c>
      <c r="C2224" s="207">
        <v>19677.0</v>
      </c>
      <c r="D2224" s="6" t="str">
        <f>VLOOKUP($C2224, 'List of log slots'!$A:$E, 2, FALSE)</f>
        <v>Ancient shard</v>
      </c>
      <c r="E2224" s="207">
        <f>VLOOKUP($C2224, 'List of log slots'!$A:$E, 5, FALSE)</f>
        <v>5</v>
      </c>
      <c r="F2224" s="213" t="b">
        <f>VLOOKUP(C2224, 'List of log slots'!$A:$C, 3, FALSE)</f>
        <v>0</v>
      </c>
      <c r="G2224" s="209" t="b">
        <f t="shared" si="1701"/>
        <v>0</v>
      </c>
      <c r="H2224" s="209" t="b">
        <f t="shared" si="7"/>
        <v>1</v>
      </c>
      <c r="I2224" s="208" t="b">
        <f t="shared" ref="I2224:J2224" si="1756">FALSE</f>
        <v>0</v>
      </c>
      <c r="J2224" s="208" t="b">
        <f t="shared" si="1756"/>
        <v>0</v>
      </c>
      <c r="K2224" s="214">
        <v>240.0</v>
      </c>
      <c r="L2224" s="207" t="str">
        <f t="shared" si="3"/>
        <v>n/a</v>
      </c>
      <c r="M2224" s="212" t="str">
        <f t="shared" si="4"/>
        <v>n/a</v>
      </c>
      <c r="N2224" s="207" t="str">
        <f t="shared" si="1421"/>
        <v>n/a</v>
      </c>
      <c r="O2224" s="207">
        <f t="shared" si="1422"/>
        <v>0.004166666667</v>
      </c>
    </row>
    <row r="2225">
      <c r="A2225" s="207">
        <v>187.0</v>
      </c>
      <c r="B2225" s="6" t="str">
        <f>VLOOKUP($A2225, 'Completion rates'!$A:$E, 2, FALSE)</f>
        <v>Killing warped jellies</v>
      </c>
      <c r="C2225" s="207">
        <v>19679.0</v>
      </c>
      <c r="D2225" s="6" t="str">
        <f>VLOOKUP($C2225, 'List of log slots'!$A:$E, 2, FALSE)</f>
        <v>Dark totem base</v>
      </c>
      <c r="E2225" s="207">
        <f>VLOOKUP($C2225, 'List of log slots'!$A:$E, 5, FALSE)</f>
        <v>3</v>
      </c>
      <c r="F2225" s="210" t="b">
        <f>VLOOKUP(C2225, 'List of log slots'!$A:$C, 3, FALSE)</f>
        <v>0</v>
      </c>
      <c r="G2225" s="209" t="b">
        <f t="shared" si="1701"/>
        <v>0</v>
      </c>
      <c r="H2225" s="209" t="b">
        <f t="shared" si="7"/>
        <v>1</v>
      </c>
      <c r="I2225" s="208" t="b">
        <f t="shared" ref="I2225:J2225" si="1757">FALSE</f>
        <v>0</v>
      </c>
      <c r="J2225" s="208" t="b">
        <f t="shared" si="1757"/>
        <v>0</v>
      </c>
      <c r="K2225" s="214">
        <v>360.0</v>
      </c>
      <c r="L2225" s="207" t="str">
        <f t="shared" si="3"/>
        <v>n/a</v>
      </c>
      <c r="M2225" s="212" t="str">
        <f t="shared" si="4"/>
        <v>n/a</v>
      </c>
      <c r="N2225" s="207" t="str">
        <f t="shared" si="1421"/>
        <v>n/a</v>
      </c>
      <c r="O2225" s="207">
        <f t="shared" si="1422"/>
        <v>0.002777777778</v>
      </c>
    </row>
    <row r="2226">
      <c r="A2226" s="207">
        <v>187.0</v>
      </c>
      <c r="B2226" s="6" t="str">
        <f>VLOOKUP($A2226, 'Completion rates'!$A:$E, 2, FALSE)</f>
        <v>Killing warped jellies</v>
      </c>
      <c r="C2226" s="207">
        <v>19681.0</v>
      </c>
      <c r="D2226" s="6" t="str">
        <f>VLOOKUP($C2226, 'List of log slots'!$A:$E, 2, FALSE)</f>
        <v>Dark totem middle</v>
      </c>
      <c r="E2226" s="207">
        <f>VLOOKUP($C2226, 'List of log slots'!$A:$E, 5, FALSE)</f>
        <v>3</v>
      </c>
      <c r="F2226" s="210" t="b">
        <f>VLOOKUP(C2226, 'List of log slots'!$A:$C, 3, FALSE)</f>
        <v>0</v>
      </c>
      <c r="G2226" s="210" t="b">
        <f t="shared" ref="G2226:G2227" si="1759">TRUE</f>
        <v>1</v>
      </c>
      <c r="H2226" s="209" t="b">
        <f t="shared" si="7"/>
        <v>0</v>
      </c>
      <c r="I2226" s="208" t="b">
        <f t="shared" ref="I2226:J2226" si="1758">FALSE</f>
        <v>0</v>
      </c>
      <c r="J2226" s="208" t="b">
        <f t="shared" si="1758"/>
        <v>0</v>
      </c>
      <c r="K2226" s="214">
        <v>360.0</v>
      </c>
      <c r="L2226" s="207" t="str">
        <f t="shared" si="3"/>
        <v>n/a</v>
      </c>
      <c r="M2226" s="212" t="str">
        <f t="shared" si="4"/>
        <v>n/a</v>
      </c>
      <c r="N2226" s="207" t="str">
        <f t="shared" si="1421"/>
        <v>n/a</v>
      </c>
      <c r="O2226" s="207">
        <f t="shared" si="1422"/>
        <v>0.002777777778</v>
      </c>
    </row>
    <row r="2227">
      <c r="A2227" s="207">
        <v>187.0</v>
      </c>
      <c r="B2227" s="6" t="str">
        <f>VLOOKUP($A2227, 'Completion rates'!$A:$E, 2, FALSE)</f>
        <v>Killing warped jellies</v>
      </c>
      <c r="C2227" s="207">
        <v>19683.0</v>
      </c>
      <c r="D2227" s="6" t="str">
        <f>VLOOKUP($C2227, 'List of log slots'!$A:$E, 2, FALSE)</f>
        <v>Dark totem top</v>
      </c>
      <c r="E2227" s="207">
        <f>VLOOKUP($C2227, 'List of log slots'!$A:$E, 5, FALSE)</f>
        <v>3</v>
      </c>
      <c r="F2227" s="210" t="b">
        <f>VLOOKUP(C2227, 'List of log slots'!$A:$C, 3, FALSE)</f>
        <v>0</v>
      </c>
      <c r="G2227" s="210" t="b">
        <f t="shared" si="1759"/>
        <v>1</v>
      </c>
      <c r="H2227" s="209" t="b">
        <f t="shared" si="7"/>
        <v>0</v>
      </c>
      <c r="I2227" s="208" t="b">
        <f t="shared" ref="I2227:J2227" si="1760">FALSE</f>
        <v>0</v>
      </c>
      <c r="J2227" s="208" t="b">
        <f t="shared" si="1760"/>
        <v>0</v>
      </c>
      <c r="K2227" s="214">
        <v>360.0</v>
      </c>
      <c r="L2227" s="207" t="str">
        <f t="shared" si="3"/>
        <v>n/a</v>
      </c>
      <c r="M2227" s="212" t="str">
        <f t="shared" si="4"/>
        <v>n/a</v>
      </c>
      <c r="N2227" s="207" t="str">
        <f t="shared" si="1421"/>
        <v>n/a</v>
      </c>
      <c r="O2227" s="207">
        <f t="shared" si="1422"/>
        <v>0.002777777778</v>
      </c>
    </row>
    <row r="2228">
      <c r="A2228" s="207">
        <v>187.0</v>
      </c>
      <c r="B2228" s="6" t="str">
        <f>VLOOKUP($A2228, 'Completion rates'!$A:$E, 2, FALSE)</f>
        <v>Killing warped jellies</v>
      </c>
      <c r="C2228" s="207">
        <v>2366.0</v>
      </c>
      <c r="D2228" s="6" t="str">
        <f>VLOOKUP($C2228, 'List of log slots'!$A:$E, 2, FALSE)</f>
        <v>Shield left half</v>
      </c>
      <c r="E2228" s="207">
        <f>VLOOKUP($C2228, 'List of log slots'!$A:$E, 5, FALSE)</f>
        <v>5</v>
      </c>
      <c r="F2228" s="210" t="b">
        <f>VLOOKUP(C2228, 'List of log slots'!$A:$C, 3, FALSE)</f>
        <v>0</v>
      </c>
      <c r="G2228" s="209" t="b">
        <f t="shared" ref="G2228:G2236" si="1762">FALSE</f>
        <v>0</v>
      </c>
      <c r="H2228" s="209" t="b">
        <f t="shared" si="7"/>
        <v>1</v>
      </c>
      <c r="I2228" s="208" t="b">
        <f t="shared" ref="I2228:J2228" si="1761">FALSE</f>
        <v>0</v>
      </c>
      <c r="J2228" s="208" t="b">
        <f t="shared" si="1761"/>
        <v>0</v>
      </c>
      <c r="K2228" s="214">
        <v>131072.0</v>
      </c>
      <c r="L2228" s="207" t="str">
        <f t="shared" si="3"/>
        <v>n/a</v>
      </c>
      <c r="M2228" s="212" t="str">
        <f t="shared" si="4"/>
        <v>n/a</v>
      </c>
      <c r="N2228" s="207" t="str">
        <f t="shared" si="1421"/>
        <v>n/a</v>
      </c>
      <c r="O2228" s="207">
        <f t="shared" si="1422"/>
        <v>0.000007629394531</v>
      </c>
    </row>
    <row r="2229">
      <c r="A2229" s="207">
        <v>187.0</v>
      </c>
      <c r="B2229" s="6" t="str">
        <f>VLOOKUP($A2229, 'Completion rates'!$A:$E, 2, FALSE)</f>
        <v>Killing warped jellies</v>
      </c>
      <c r="C2229" s="207">
        <v>1249.0</v>
      </c>
      <c r="D2229" s="6" t="str">
        <f>VLOOKUP($C2229, 'List of log slots'!$A:$E, 2, FALSE)</f>
        <v>Dragon spear</v>
      </c>
      <c r="E2229" s="207">
        <f>VLOOKUP($C2229, 'List of log slots'!$A:$E, 5, FALSE)</f>
        <v>5</v>
      </c>
      <c r="F2229" s="210" t="b">
        <f>VLOOKUP(C2229, 'List of log slots'!$A:$C, 3, FALSE)</f>
        <v>0</v>
      </c>
      <c r="G2229" s="209" t="b">
        <f t="shared" si="1762"/>
        <v>0</v>
      </c>
      <c r="H2229" s="209" t="b">
        <f t="shared" si="7"/>
        <v>1</v>
      </c>
      <c r="I2229" s="208" t="b">
        <f t="shared" ref="I2229:J2229" si="1763">FALSE</f>
        <v>0</v>
      </c>
      <c r="J2229" s="208" t="b">
        <f t="shared" si="1763"/>
        <v>0</v>
      </c>
      <c r="K2229" s="214">
        <v>174763.0</v>
      </c>
      <c r="L2229" s="207" t="str">
        <f t="shared" si="3"/>
        <v>n/a</v>
      </c>
      <c r="M2229" s="212" t="str">
        <f t="shared" si="4"/>
        <v>n/a</v>
      </c>
      <c r="N2229" s="207" t="str">
        <f t="shared" si="1421"/>
        <v>n/a</v>
      </c>
      <c r="O2229" s="207">
        <f t="shared" si="1422"/>
        <v>0.000005722034985</v>
      </c>
    </row>
    <row r="2230">
      <c r="A2230" s="207">
        <v>188.0</v>
      </c>
      <c r="B2230" s="6" t="str">
        <f>VLOOKUP($A2230, 'Completion rates'!$A:$E, 2, FALSE)</f>
        <v>Killing greater nechryael (on task)</v>
      </c>
      <c r="C2230" s="207">
        <v>4131.0</v>
      </c>
      <c r="D2230" s="6" t="str">
        <f>VLOOKUP($C2230, 'List of log slots'!$A:$E, 2, FALSE)</f>
        <v>Rune boots</v>
      </c>
      <c r="E2230" s="207">
        <f>VLOOKUP($C2230, 'List of log slots'!$A:$E, 5, FALSE)</f>
        <v>4</v>
      </c>
      <c r="F2230" s="210" t="b">
        <f>VLOOKUP(C2230, 'List of log slots'!$A:$C, 3, FALSE)</f>
        <v>0</v>
      </c>
      <c r="G2230" s="209" t="b">
        <f t="shared" si="1762"/>
        <v>0</v>
      </c>
      <c r="H2230" s="209" t="b">
        <f t="shared" si="7"/>
        <v>1</v>
      </c>
      <c r="I2230" s="208" t="b">
        <f t="shared" ref="I2230:J2230" si="1764">FALSE</f>
        <v>0</v>
      </c>
      <c r="J2230" s="208" t="b">
        <f t="shared" si="1764"/>
        <v>0</v>
      </c>
      <c r="K2230" s="214">
        <v>128.0</v>
      </c>
      <c r="L2230" s="207" t="str">
        <f t="shared" si="3"/>
        <v>n/a</v>
      </c>
      <c r="M2230" s="212" t="str">
        <f t="shared" si="4"/>
        <v>n/a</v>
      </c>
      <c r="N2230" s="207" t="str">
        <f t="shared" si="1421"/>
        <v>n/a</v>
      </c>
      <c r="O2230" s="207">
        <f t="shared" si="1422"/>
        <v>0.0078125</v>
      </c>
    </row>
    <row r="2231">
      <c r="A2231" s="207">
        <v>188.0</v>
      </c>
      <c r="B2231" s="6" t="str">
        <f>VLOOKUP($A2231, 'Completion rates'!$A:$E, 2, FALSE)</f>
        <v>Killing greater nechryael (on task)</v>
      </c>
      <c r="C2231" s="207">
        <v>19677.0</v>
      </c>
      <c r="D2231" s="6" t="str">
        <f>VLOOKUP($C2231, 'List of log slots'!$A:$E, 2, FALSE)</f>
        <v>Ancient shard</v>
      </c>
      <c r="E2231" s="207">
        <f>VLOOKUP($C2231, 'List of log slots'!$A:$E, 5, FALSE)</f>
        <v>5</v>
      </c>
      <c r="F2231" s="210" t="b">
        <f>VLOOKUP(C2231, 'List of log slots'!$A:$C, 3, FALSE)</f>
        <v>0</v>
      </c>
      <c r="G2231" s="209" t="b">
        <f t="shared" si="1762"/>
        <v>0</v>
      </c>
      <c r="H2231" s="209" t="b">
        <f t="shared" si="7"/>
        <v>1</v>
      </c>
      <c r="I2231" s="208" t="b">
        <f t="shared" ref="I2231:J2231" si="1765">FALSE</f>
        <v>0</v>
      </c>
      <c r="J2231" s="208" t="b">
        <f t="shared" si="1765"/>
        <v>0</v>
      </c>
      <c r="K2231" s="214">
        <v>196.0</v>
      </c>
      <c r="L2231" s="207" t="str">
        <f t="shared" si="3"/>
        <v>n/a</v>
      </c>
      <c r="M2231" s="212" t="str">
        <f t="shared" si="4"/>
        <v>n/a</v>
      </c>
      <c r="N2231" s="207" t="str">
        <f t="shared" si="1421"/>
        <v>n/a</v>
      </c>
      <c r="O2231" s="207">
        <f t="shared" si="1422"/>
        <v>0.005102040816</v>
      </c>
    </row>
    <row r="2232">
      <c r="A2232" s="207">
        <v>188.0</v>
      </c>
      <c r="B2232" s="6" t="str">
        <f>VLOOKUP($A2232, 'Completion rates'!$A:$E, 2, FALSE)</f>
        <v>Killing greater nechryael (on task)</v>
      </c>
      <c r="C2232" s="207">
        <v>20724.0</v>
      </c>
      <c r="D2232" s="6" t="str">
        <f>VLOOKUP($C2232, 'List of log slots'!$A:$E, 2, FALSE)</f>
        <v>Imbued heart</v>
      </c>
      <c r="E2232" s="207">
        <f>VLOOKUP($C2232, 'List of log slots'!$A:$E, 5, FALSE)</f>
        <v>8</v>
      </c>
      <c r="F2232" s="209" t="b">
        <f>VLOOKUP(C2232, 'List of log slots'!$A:$C, 3, FALSE)</f>
        <v>0</v>
      </c>
      <c r="G2232" s="209" t="b">
        <f t="shared" si="1762"/>
        <v>0</v>
      </c>
      <c r="H2232" s="210" t="b">
        <f t="shared" si="7"/>
        <v>1</v>
      </c>
      <c r="I2232" s="208" t="b">
        <f t="shared" ref="I2232:J2232" si="1766">FALSE</f>
        <v>0</v>
      </c>
      <c r="J2232" s="208" t="b">
        <f t="shared" si="1766"/>
        <v>0</v>
      </c>
      <c r="K2232" s="214">
        <v>66000.0</v>
      </c>
      <c r="L2232" s="207" t="str">
        <f t="shared" si="3"/>
        <v>n/a</v>
      </c>
      <c r="M2232" s="212" t="str">
        <f t="shared" si="4"/>
        <v>n/a</v>
      </c>
      <c r="N2232" s="207" t="str">
        <f t="shared" si="1421"/>
        <v>n/a</v>
      </c>
      <c r="O2232" s="207">
        <f t="shared" si="1422"/>
        <v>0.00001515151515</v>
      </c>
    </row>
    <row r="2233">
      <c r="A2233" s="207">
        <v>188.0</v>
      </c>
      <c r="B2233" s="6" t="str">
        <f>VLOOKUP($A2233, 'Completion rates'!$A:$E, 2, FALSE)</f>
        <v>Killing greater nechryael (on task)</v>
      </c>
      <c r="C2233" s="207">
        <v>21270.0</v>
      </c>
      <c r="D2233" s="6" t="str">
        <f>VLOOKUP($C2233, 'List of log slots'!$A:$E, 2, FALSE)</f>
        <v>Eternal gem</v>
      </c>
      <c r="E2233" s="207">
        <f>VLOOKUP($C2233, 'List of log slots'!$A:$E, 5, FALSE)</f>
        <v>8</v>
      </c>
      <c r="F2233" s="210" t="b">
        <f>VLOOKUP(C2233, 'List of log slots'!$A:$C, 3, FALSE)</f>
        <v>0</v>
      </c>
      <c r="G2233" s="209" t="b">
        <f t="shared" si="1762"/>
        <v>0</v>
      </c>
      <c r="H2233" s="209" t="b">
        <f t="shared" si="7"/>
        <v>1</v>
      </c>
      <c r="I2233" s="208" t="b">
        <f t="shared" ref="I2233:J2233" si="1767">FALSE</f>
        <v>0</v>
      </c>
      <c r="J2233" s="208" t="b">
        <f t="shared" si="1767"/>
        <v>0</v>
      </c>
      <c r="K2233" s="214">
        <v>66000.0</v>
      </c>
      <c r="L2233" s="207" t="str">
        <f t="shared" si="3"/>
        <v>n/a</v>
      </c>
      <c r="M2233" s="212" t="str">
        <f t="shared" si="4"/>
        <v>n/a</v>
      </c>
      <c r="N2233" s="207" t="str">
        <f t="shared" si="1421"/>
        <v>n/a</v>
      </c>
      <c r="O2233" s="207">
        <f t="shared" si="1422"/>
        <v>0.00001515151515</v>
      </c>
    </row>
    <row r="2234">
      <c r="A2234" s="207">
        <v>188.0</v>
      </c>
      <c r="B2234" s="6" t="str">
        <f>VLOOKUP($A2234, 'Completion rates'!$A:$E, 2, FALSE)</f>
        <v>Killing greater nechryael (on task)</v>
      </c>
      <c r="C2234" s="207">
        <v>20736.0</v>
      </c>
      <c r="D2234" s="6" t="str">
        <f>VLOOKUP($C2234, 'List of log slots'!$A:$E, 2, FALSE)</f>
        <v>Dust battlestaff</v>
      </c>
      <c r="E2234" s="207">
        <f>VLOOKUP($C2234, 'List of log slots'!$A:$E, 5, FALSE)</f>
        <v>6</v>
      </c>
      <c r="F2234" s="210" t="b">
        <f>VLOOKUP(C2234, 'List of log slots'!$A:$C, 3, FALSE)</f>
        <v>0</v>
      </c>
      <c r="G2234" s="209" t="b">
        <f t="shared" si="1762"/>
        <v>0</v>
      </c>
      <c r="H2234" s="209" t="b">
        <f t="shared" si="7"/>
        <v>1</v>
      </c>
      <c r="I2234" s="208" t="b">
        <f t="shared" ref="I2234:J2234" si="1768">FALSE</f>
        <v>0</v>
      </c>
      <c r="J2234" s="208" t="b">
        <f t="shared" si="1768"/>
        <v>0</v>
      </c>
      <c r="K2234" s="214">
        <v>22000.0</v>
      </c>
      <c r="L2234" s="207" t="str">
        <f t="shared" si="3"/>
        <v>n/a</v>
      </c>
      <c r="M2234" s="212" t="str">
        <f t="shared" si="4"/>
        <v>n/a</v>
      </c>
      <c r="N2234" s="207" t="str">
        <f t="shared" si="1421"/>
        <v>n/a</v>
      </c>
      <c r="O2234" s="207">
        <f t="shared" si="1422"/>
        <v>0.00004545454545</v>
      </c>
    </row>
    <row r="2235">
      <c r="A2235" s="207">
        <v>188.0</v>
      </c>
      <c r="B2235" s="6" t="str">
        <f>VLOOKUP($A2235, 'Completion rates'!$A:$E, 2, FALSE)</f>
        <v>Killing greater nechryael (on task)</v>
      </c>
      <c r="C2235" s="207">
        <v>20730.0</v>
      </c>
      <c r="D2235" s="6" t="str">
        <f>VLOOKUP($C2235, 'List of log slots'!$A:$E, 2, FALSE)</f>
        <v>Mist battlestaff</v>
      </c>
      <c r="E2235" s="207">
        <f>VLOOKUP($C2235, 'List of log slots'!$A:$E, 5, FALSE)</f>
        <v>7</v>
      </c>
      <c r="F2235" s="210" t="b">
        <f>VLOOKUP(C2235, 'List of log slots'!$A:$C, 3, FALSE)</f>
        <v>0</v>
      </c>
      <c r="G2235" s="209" t="b">
        <f t="shared" si="1762"/>
        <v>0</v>
      </c>
      <c r="H2235" s="209" t="b">
        <f t="shared" si="7"/>
        <v>1</v>
      </c>
      <c r="I2235" s="208" t="b">
        <f t="shared" ref="I2235:J2235" si="1769">FALSE</f>
        <v>0</v>
      </c>
      <c r="J2235" s="208" t="b">
        <f t="shared" si="1769"/>
        <v>0</v>
      </c>
      <c r="K2235" s="214">
        <v>22000.0</v>
      </c>
      <c r="L2235" s="207" t="str">
        <f t="shared" si="3"/>
        <v>n/a</v>
      </c>
      <c r="M2235" s="212" t="str">
        <f t="shared" si="4"/>
        <v>n/a</v>
      </c>
      <c r="N2235" s="207" t="str">
        <f t="shared" si="1421"/>
        <v>n/a</v>
      </c>
      <c r="O2235" s="207">
        <f t="shared" si="1422"/>
        <v>0.00004545454545</v>
      </c>
    </row>
    <row r="2236">
      <c r="A2236" s="207">
        <v>188.0</v>
      </c>
      <c r="B2236" s="6" t="str">
        <f>VLOOKUP($A2236, 'Completion rates'!$A:$E, 2, FALSE)</f>
        <v>Killing greater nechryael (on task)</v>
      </c>
      <c r="C2236" s="207">
        <v>19679.0</v>
      </c>
      <c r="D2236" s="6" t="str">
        <f>VLOOKUP($C2236, 'List of log slots'!$A:$E, 2, FALSE)</f>
        <v>Dark totem base</v>
      </c>
      <c r="E2236" s="207">
        <f>VLOOKUP($C2236, 'List of log slots'!$A:$E, 5, FALSE)</f>
        <v>3</v>
      </c>
      <c r="F2236" s="210" t="b">
        <f>VLOOKUP(C2236, 'List of log slots'!$A:$C, 3, FALSE)</f>
        <v>0</v>
      </c>
      <c r="G2236" s="209" t="b">
        <f t="shared" si="1762"/>
        <v>0</v>
      </c>
      <c r="H2236" s="209" t="b">
        <f t="shared" si="7"/>
        <v>1</v>
      </c>
      <c r="I2236" s="208" t="b">
        <f t="shared" ref="I2236:J2236" si="1770">FALSE</f>
        <v>0</v>
      </c>
      <c r="J2236" s="208" t="b">
        <f t="shared" si="1770"/>
        <v>0</v>
      </c>
      <c r="K2236" s="214">
        <v>295.0</v>
      </c>
      <c r="L2236" s="207" t="str">
        <f t="shared" si="3"/>
        <v>n/a</v>
      </c>
      <c r="M2236" s="212" t="str">
        <f t="shared" si="4"/>
        <v>n/a</v>
      </c>
      <c r="N2236" s="207" t="str">
        <f t="shared" si="1421"/>
        <v>n/a</v>
      </c>
      <c r="O2236" s="207">
        <f t="shared" si="1422"/>
        <v>0.003389830508</v>
      </c>
    </row>
    <row r="2237">
      <c r="A2237" s="207">
        <v>188.0</v>
      </c>
      <c r="B2237" s="6" t="str">
        <f>VLOOKUP($A2237, 'Completion rates'!$A:$E, 2, FALSE)</f>
        <v>Killing greater nechryael (on task)</v>
      </c>
      <c r="C2237" s="207">
        <v>19681.0</v>
      </c>
      <c r="D2237" s="6" t="str">
        <f>VLOOKUP($C2237, 'List of log slots'!$A:$E, 2, FALSE)</f>
        <v>Dark totem middle</v>
      </c>
      <c r="E2237" s="207">
        <f>VLOOKUP($C2237, 'List of log slots'!$A:$E, 5, FALSE)</f>
        <v>3</v>
      </c>
      <c r="F2237" s="210" t="b">
        <f>VLOOKUP(C2237, 'List of log slots'!$A:$C, 3, FALSE)</f>
        <v>0</v>
      </c>
      <c r="G2237" s="210" t="b">
        <f t="shared" ref="G2237:G2238" si="1772">TRUE</f>
        <v>1</v>
      </c>
      <c r="H2237" s="209" t="b">
        <f t="shared" si="7"/>
        <v>0</v>
      </c>
      <c r="I2237" s="208" t="b">
        <f t="shared" ref="I2237:J2237" si="1771">FALSE</f>
        <v>0</v>
      </c>
      <c r="J2237" s="208" t="b">
        <f t="shared" si="1771"/>
        <v>0</v>
      </c>
      <c r="K2237" s="214">
        <v>295.0</v>
      </c>
      <c r="L2237" s="207" t="str">
        <f t="shared" si="3"/>
        <v>n/a</v>
      </c>
      <c r="M2237" s="212" t="str">
        <f t="shared" si="4"/>
        <v>n/a</v>
      </c>
      <c r="N2237" s="207" t="str">
        <f t="shared" si="1421"/>
        <v>n/a</v>
      </c>
      <c r="O2237" s="207">
        <f t="shared" si="1422"/>
        <v>0.003389830508</v>
      </c>
    </row>
    <row r="2238">
      <c r="A2238" s="207">
        <v>188.0</v>
      </c>
      <c r="B2238" s="6" t="str">
        <f>VLOOKUP($A2238, 'Completion rates'!$A:$E, 2, FALSE)</f>
        <v>Killing greater nechryael (on task)</v>
      </c>
      <c r="C2238" s="207">
        <v>19683.0</v>
      </c>
      <c r="D2238" s="6" t="str">
        <f>VLOOKUP($C2238, 'List of log slots'!$A:$E, 2, FALSE)</f>
        <v>Dark totem top</v>
      </c>
      <c r="E2238" s="207">
        <f>VLOOKUP($C2238, 'List of log slots'!$A:$E, 5, FALSE)</f>
        <v>3</v>
      </c>
      <c r="F2238" s="210" t="b">
        <f>VLOOKUP(C2238, 'List of log slots'!$A:$C, 3, FALSE)</f>
        <v>0</v>
      </c>
      <c r="G2238" s="210" t="b">
        <f t="shared" si="1772"/>
        <v>1</v>
      </c>
      <c r="H2238" s="209" t="b">
        <f t="shared" si="7"/>
        <v>0</v>
      </c>
      <c r="I2238" s="208" t="b">
        <f t="shared" ref="I2238:J2238" si="1773">FALSE</f>
        <v>0</v>
      </c>
      <c r="J2238" s="208" t="b">
        <f t="shared" si="1773"/>
        <v>0</v>
      </c>
      <c r="K2238" s="214">
        <v>295.0</v>
      </c>
      <c r="L2238" s="207" t="str">
        <f t="shared" si="3"/>
        <v>n/a</v>
      </c>
      <c r="M2238" s="212" t="str">
        <f t="shared" si="4"/>
        <v>n/a</v>
      </c>
      <c r="N2238" s="207" t="str">
        <f t="shared" si="1421"/>
        <v>n/a</v>
      </c>
      <c r="O2238" s="207">
        <f t="shared" si="1422"/>
        <v>0.003389830508</v>
      </c>
    </row>
    <row r="2239">
      <c r="A2239" s="207">
        <v>188.0</v>
      </c>
      <c r="B2239" s="6" t="str">
        <f>VLOOKUP($A2239, 'Completion rates'!$A:$E, 2, FALSE)</f>
        <v>Killing greater nechryael (on task)</v>
      </c>
      <c r="C2239" s="207">
        <v>2366.0</v>
      </c>
      <c r="D2239" s="6" t="str">
        <f>VLOOKUP($C2239, 'List of log slots'!$A:$E, 2, FALSE)</f>
        <v>Shield left half</v>
      </c>
      <c r="E2239" s="207">
        <f>VLOOKUP($C2239, 'List of log slots'!$A:$E, 5, FALSE)</f>
        <v>5</v>
      </c>
      <c r="F2239" s="210" t="b">
        <f>VLOOKUP(C2239, 'List of log slots'!$A:$C, 3, FALSE)</f>
        <v>0</v>
      </c>
      <c r="G2239" s="209" t="b">
        <f t="shared" ref="G2239:G2439" si="1775">FALSE</f>
        <v>0</v>
      </c>
      <c r="H2239" s="209" t="b">
        <f t="shared" si="7"/>
        <v>1</v>
      </c>
      <c r="I2239" s="208" t="b">
        <f t="shared" ref="I2239:J2239" si="1774">FALSE</f>
        <v>0</v>
      </c>
      <c r="J2239" s="208" t="b">
        <f t="shared" si="1774"/>
        <v>0</v>
      </c>
      <c r="K2239" s="214">
        <v>174763.0</v>
      </c>
      <c r="L2239" s="207" t="str">
        <f t="shared" si="3"/>
        <v>n/a</v>
      </c>
      <c r="M2239" s="212" t="str">
        <f t="shared" si="4"/>
        <v>n/a</v>
      </c>
      <c r="N2239" s="207" t="str">
        <f t="shared" si="1421"/>
        <v>n/a</v>
      </c>
      <c r="O2239" s="207">
        <f t="shared" si="1422"/>
        <v>0.000005722034985</v>
      </c>
    </row>
    <row r="2240">
      <c r="A2240" s="207">
        <v>188.0</v>
      </c>
      <c r="B2240" s="6" t="str">
        <f>VLOOKUP($A2240, 'Completion rates'!$A:$E, 2, FALSE)</f>
        <v>Killing greater nechryael (on task)</v>
      </c>
      <c r="C2240" s="207">
        <v>1249.0</v>
      </c>
      <c r="D2240" s="6" t="str">
        <f>VLOOKUP($C2240, 'List of log slots'!$A:$E, 2, FALSE)</f>
        <v>Dragon spear</v>
      </c>
      <c r="E2240" s="207">
        <f>VLOOKUP($C2240, 'List of log slots'!$A:$E, 5, FALSE)</f>
        <v>5</v>
      </c>
      <c r="F2240" s="210" t="b">
        <f>VLOOKUP(C2240, 'List of log slots'!$A:$C, 3, FALSE)</f>
        <v>0</v>
      </c>
      <c r="G2240" s="209" t="b">
        <f t="shared" si="1775"/>
        <v>0</v>
      </c>
      <c r="H2240" s="209" t="b">
        <f t="shared" si="7"/>
        <v>1</v>
      </c>
      <c r="I2240" s="208" t="b">
        <f t="shared" ref="I2240:J2240" si="1776">FALSE</f>
        <v>0</v>
      </c>
      <c r="J2240" s="208" t="b">
        <f t="shared" si="1776"/>
        <v>0</v>
      </c>
      <c r="K2240" s="214">
        <v>233017.0</v>
      </c>
      <c r="L2240" s="207" t="str">
        <f t="shared" si="3"/>
        <v>n/a</v>
      </c>
      <c r="M2240" s="212" t="str">
        <f t="shared" si="4"/>
        <v>n/a</v>
      </c>
      <c r="N2240" s="207" t="str">
        <f t="shared" si="1421"/>
        <v>n/a</v>
      </c>
      <c r="O2240" s="207">
        <f t="shared" si="1422"/>
        <v>0.000004291532377</v>
      </c>
    </row>
    <row r="2241">
      <c r="A2241" s="207">
        <v>189.0</v>
      </c>
      <c r="B2241" s="6" t="str">
        <f>VLOOKUP($A2241, 'Completion rates'!$A:$E, 2, FALSE)</f>
        <v>Killing spiritual mages (non-zaros)</v>
      </c>
      <c r="C2241" s="207">
        <v>11840.0</v>
      </c>
      <c r="D2241" s="6" t="str">
        <f>VLOOKUP($C2241, 'List of log slots'!$A:$E, 2, FALSE)</f>
        <v>Dragon boots</v>
      </c>
      <c r="E2241" s="207">
        <f>VLOOKUP($C2241, 'List of log slots'!$A:$E, 5, FALSE)</f>
        <v>4</v>
      </c>
      <c r="F2241" s="210" t="b">
        <f>VLOOKUP(C2241, 'List of log slots'!$A:$C, 3, FALSE)</f>
        <v>0</v>
      </c>
      <c r="G2241" s="209" t="b">
        <f t="shared" si="1775"/>
        <v>0</v>
      </c>
      <c r="H2241" s="209" t="b">
        <f t="shared" si="7"/>
        <v>1</v>
      </c>
      <c r="I2241" s="208" t="b">
        <f t="shared" ref="I2241:J2241" si="1777">FALSE</f>
        <v>0</v>
      </c>
      <c r="J2241" s="208" t="b">
        <f t="shared" si="1777"/>
        <v>0</v>
      </c>
      <c r="K2241" s="214">
        <v>128.0</v>
      </c>
      <c r="L2241" s="207" t="str">
        <f t="shared" si="3"/>
        <v>n/a</v>
      </c>
      <c r="M2241" s="212" t="str">
        <f t="shared" si="4"/>
        <v>n/a</v>
      </c>
      <c r="N2241" s="207" t="str">
        <f t="shared" si="1421"/>
        <v>n/a</v>
      </c>
      <c r="O2241" s="207">
        <f t="shared" si="1422"/>
        <v>0.0078125</v>
      </c>
    </row>
    <row r="2242">
      <c r="A2242" s="207">
        <v>189.0</v>
      </c>
      <c r="B2242" s="6" t="str">
        <f>VLOOKUP($A2242, 'Completion rates'!$A:$E, 2, FALSE)</f>
        <v>Killing spiritual mages (non-zaros)</v>
      </c>
      <c r="C2242" s="207">
        <v>2366.0</v>
      </c>
      <c r="D2242" s="6" t="str">
        <f>VLOOKUP($C2242, 'List of log slots'!$A:$E, 2, FALSE)</f>
        <v>Shield left half</v>
      </c>
      <c r="E2242" s="207">
        <f>VLOOKUP($C2242, 'List of log slots'!$A:$E, 5, FALSE)</f>
        <v>5</v>
      </c>
      <c r="F2242" s="210" t="b">
        <f>VLOOKUP(C2242, 'List of log slots'!$A:$C, 3, FALSE)</f>
        <v>0</v>
      </c>
      <c r="G2242" s="209" t="b">
        <f t="shared" si="1775"/>
        <v>0</v>
      </c>
      <c r="H2242" s="209" t="b">
        <f t="shared" si="7"/>
        <v>1</v>
      </c>
      <c r="I2242" s="208" t="b">
        <f t="shared" ref="I2242:J2242" si="1778">FALSE</f>
        <v>0</v>
      </c>
      <c r="J2242" s="208" t="b">
        <f t="shared" si="1778"/>
        <v>0</v>
      </c>
      <c r="K2242" s="214">
        <v>262144.0</v>
      </c>
      <c r="L2242" s="207" t="str">
        <f t="shared" si="3"/>
        <v>n/a</v>
      </c>
      <c r="M2242" s="212" t="str">
        <f t="shared" si="4"/>
        <v>n/a</v>
      </c>
      <c r="N2242" s="207" t="str">
        <f t="shared" si="1421"/>
        <v>n/a</v>
      </c>
      <c r="O2242" s="207">
        <f t="shared" si="1422"/>
        <v>0.000003814697266</v>
      </c>
    </row>
    <row r="2243">
      <c r="A2243" s="212">
        <v>189.0</v>
      </c>
      <c r="B2243" s="6" t="str">
        <f>VLOOKUP($A2243, 'Completion rates'!$A:$E, 2, FALSE)</f>
        <v>Killing spiritual mages (non-zaros)</v>
      </c>
      <c r="C2243" s="207">
        <v>1249.0</v>
      </c>
      <c r="D2243" s="6" t="str">
        <f>VLOOKUP($C2243, 'List of log slots'!$A:$E, 2, FALSE)</f>
        <v>Dragon spear</v>
      </c>
      <c r="E2243" s="207">
        <f>VLOOKUP($C2243, 'List of log slots'!$A:$E, 5, FALSE)</f>
        <v>5</v>
      </c>
      <c r="F2243" s="210" t="b">
        <f>VLOOKUP(C2243, 'List of log slots'!$A:$C, 3, FALSE)</f>
        <v>0</v>
      </c>
      <c r="G2243" s="209" t="b">
        <f t="shared" si="1775"/>
        <v>0</v>
      </c>
      <c r="H2243" s="209" t="b">
        <f t="shared" si="7"/>
        <v>1</v>
      </c>
      <c r="I2243" s="208" t="b">
        <f t="shared" ref="I2243:J2243" si="1779">FALSE</f>
        <v>0</v>
      </c>
      <c r="J2243" s="208" t="b">
        <f t="shared" si="1779"/>
        <v>0</v>
      </c>
      <c r="K2243" s="214">
        <v>349525.0</v>
      </c>
      <c r="L2243" s="207" t="str">
        <f t="shared" si="3"/>
        <v>n/a</v>
      </c>
      <c r="M2243" s="212" t="str">
        <f t="shared" si="4"/>
        <v>n/a</v>
      </c>
      <c r="N2243" s="207" t="str">
        <f t="shared" si="1421"/>
        <v>n/a</v>
      </c>
      <c r="O2243" s="207">
        <f t="shared" si="1422"/>
        <v>0.000002861025678</v>
      </c>
    </row>
    <row r="2244">
      <c r="A2244" s="212">
        <v>190.0</v>
      </c>
      <c r="B2244" s="6" t="str">
        <f>VLOOKUP($A2244, 'Completion rates'!$A:$E, 2, FALSE)</f>
        <v>Killing spiritual mages (zaros)</v>
      </c>
      <c r="C2244" s="207">
        <v>26231.0</v>
      </c>
      <c r="D2244" s="6" t="str">
        <f>VLOOKUP($C2244, 'List of log slots'!$A:$E, 2, FALSE)</f>
        <v>Nihil shard</v>
      </c>
      <c r="E2244" s="207">
        <f>VLOOKUP($C2244, 'List of log slots'!$A:$E, 5, FALSE)</f>
        <v>4</v>
      </c>
      <c r="F2244" s="210" t="b">
        <f>VLOOKUP(C2244, 'List of log slots'!$A:$C, 3, FALSE)</f>
        <v>0</v>
      </c>
      <c r="G2244" s="209" t="b">
        <f t="shared" si="1775"/>
        <v>0</v>
      </c>
      <c r="H2244" s="209" t="b">
        <f t="shared" si="7"/>
        <v>1</v>
      </c>
      <c r="I2244" s="208" t="b">
        <f t="shared" ref="I2244:J2244" si="1780">FALSE</f>
        <v>0</v>
      </c>
      <c r="J2244" s="208" t="b">
        <f t="shared" si="1780"/>
        <v>0</v>
      </c>
      <c r="K2244" s="214">
        <v>128.0</v>
      </c>
      <c r="L2244" s="207" t="str">
        <f t="shared" si="3"/>
        <v>n/a</v>
      </c>
      <c r="M2244" s="212" t="str">
        <f t="shared" si="4"/>
        <v>n/a</v>
      </c>
      <c r="N2244" s="207" t="str">
        <f t="shared" si="1421"/>
        <v>n/a</v>
      </c>
      <c r="O2244" s="207">
        <f t="shared" si="1422"/>
        <v>0.0078125</v>
      </c>
    </row>
    <row r="2245">
      <c r="A2245" s="212">
        <v>190.0</v>
      </c>
      <c r="B2245" s="6" t="str">
        <f>VLOOKUP($A2245, 'Completion rates'!$A:$E, 2, FALSE)</f>
        <v>Killing spiritual mages (zaros)</v>
      </c>
      <c r="C2245" s="207">
        <v>11840.0</v>
      </c>
      <c r="D2245" s="6" t="str">
        <f>VLOOKUP($C2245, 'List of log slots'!$A:$E, 2, FALSE)</f>
        <v>Dragon boots</v>
      </c>
      <c r="E2245" s="207">
        <f>VLOOKUP($C2245, 'List of log slots'!$A:$E, 5, FALSE)</f>
        <v>4</v>
      </c>
      <c r="F2245" s="210" t="b">
        <f>VLOOKUP(C2245, 'List of log slots'!$A:$C, 3, FALSE)</f>
        <v>0</v>
      </c>
      <c r="G2245" s="209" t="b">
        <f t="shared" si="1775"/>
        <v>0</v>
      </c>
      <c r="H2245" s="209" t="b">
        <f t="shared" si="7"/>
        <v>1</v>
      </c>
      <c r="I2245" s="208" t="b">
        <f t="shared" ref="I2245:J2245" si="1781">FALSE</f>
        <v>0</v>
      </c>
      <c r="J2245" s="208" t="b">
        <f t="shared" si="1781"/>
        <v>0</v>
      </c>
      <c r="K2245" s="214">
        <v>128.0</v>
      </c>
      <c r="L2245" s="207" t="str">
        <f t="shared" si="3"/>
        <v>n/a</v>
      </c>
      <c r="M2245" s="212" t="str">
        <f t="shared" si="4"/>
        <v>n/a</v>
      </c>
      <c r="N2245" s="207" t="str">
        <f t="shared" si="1421"/>
        <v>n/a</v>
      </c>
      <c r="O2245" s="207">
        <f t="shared" si="1422"/>
        <v>0.0078125</v>
      </c>
    </row>
    <row r="2246">
      <c r="A2246" s="212">
        <v>190.0</v>
      </c>
      <c r="B2246" s="6" t="str">
        <f>VLOOKUP($A2246, 'Completion rates'!$A:$E, 2, FALSE)</f>
        <v>Killing spiritual mages (zaros)</v>
      </c>
      <c r="C2246" s="212">
        <v>26225.0</v>
      </c>
      <c r="D2246" s="6" t="str">
        <f>VLOOKUP($C2246, 'List of log slots'!$A:$E, 2, FALSE)</f>
        <v>Ancient ceremonial mask</v>
      </c>
      <c r="E2246" s="207">
        <f>VLOOKUP($C2246, 'List of log slots'!$A:$E, 5, FALSE)</f>
        <v>5</v>
      </c>
      <c r="F2246" s="210" t="b">
        <f>VLOOKUP(C2246, 'List of log slots'!$A:$C, 3, FALSE)</f>
        <v>0</v>
      </c>
      <c r="G2246" s="209" t="b">
        <f t="shared" si="1775"/>
        <v>0</v>
      </c>
      <c r="H2246" s="209" t="b">
        <f t="shared" si="7"/>
        <v>1</v>
      </c>
      <c r="I2246" s="208" t="b">
        <f t="shared" ref="I2246:J2246" si="1782">FALSE</f>
        <v>0</v>
      </c>
      <c r="J2246" s="208" t="b">
        <f t="shared" si="1782"/>
        <v>0</v>
      </c>
      <c r="K2246" s="214">
        <v>640.0</v>
      </c>
      <c r="L2246" s="207" t="str">
        <f t="shared" si="3"/>
        <v>n/a</v>
      </c>
      <c r="M2246" s="212" t="str">
        <f t="shared" si="4"/>
        <v>n/a</v>
      </c>
      <c r="N2246" s="207" t="str">
        <f t="shared" si="1421"/>
        <v>n/a</v>
      </c>
      <c r="O2246" s="207">
        <f t="shared" si="1422"/>
        <v>0.0015625</v>
      </c>
    </row>
    <row r="2247">
      <c r="A2247" s="212">
        <v>190.0</v>
      </c>
      <c r="B2247" s="6" t="str">
        <f>VLOOKUP($A2247, 'Completion rates'!$A:$E, 2, FALSE)</f>
        <v>Killing spiritual mages (zaros)</v>
      </c>
      <c r="C2247" s="212">
        <v>26221.0</v>
      </c>
      <c r="D2247" s="6" t="str">
        <f>VLOOKUP($C2247, 'List of log slots'!$A:$E, 2, FALSE)</f>
        <v>Ancient ceremonial top</v>
      </c>
      <c r="E2247" s="207">
        <f>VLOOKUP($C2247, 'List of log slots'!$A:$E, 5, FALSE)</f>
        <v>5</v>
      </c>
      <c r="F2247" s="209" t="b">
        <f>VLOOKUP(C2247, 'List of log slots'!$A:$C, 3, FALSE)</f>
        <v>0</v>
      </c>
      <c r="G2247" s="209" t="b">
        <f t="shared" si="1775"/>
        <v>0</v>
      </c>
      <c r="H2247" s="210" t="b">
        <f t="shared" si="7"/>
        <v>1</v>
      </c>
      <c r="I2247" s="208" t="b">
        <f t="shared" ref="I2247:J2247" si="1783">FALSE</f>
        <v>0</v>
      </c>
      <c r="J2247" s="208" t="b">
        <f t="shared" si="1783"/>
        <v>0</v>
      </c>
      <c r="K2247" s="214">
        <v>640.0</v>
      </c>
      <c r="L2247" s="207" t="str">
        <f t="shared" si="3"/>
        <v>n/a</v>
      </c>
      <c r="M2247" s="212" t="str">
        <f t="shared" si="4"/>
        <v>n/a</v>
      </c>
      <c r="N2247" s="207" t="str">
        <f t="shared" si="1421"/>
        <v>n/a</v>
      </c>
      <c r="O2247" s="207">
        <f t="shared" si="1422"/>
        <v>0.0015625</v>
      </c>
    </row>
    <row r="2248">
      <c r="A2248" s="212">
        <v>190.0</v>
      </c>
      <c r="B2248" s="6" t="str">
        <f>VLOOKUP($A2248, 'Completion rates'!$A:$E, 2, FALSE)</f>
        <v>Killing spiritual mages (zaros)</v>
      </c>
      <c r="C2248" s="212">
        <v>26223.0</v>
      </c>
      <c r="D2248" s="6" t="str">
        <f>VLOOKUP($C2248, 'List of log slots'!$A:$E, 2, FALSE)</f>
        <v>Ancient ceremonial legs</v>
      </c>
      <c r="E2248" s="207">
        <f>VLOOKUP($C2248, 'List of log slots'!$A:$E, 5, FALSE)</f>
        <v>5</v>
      </c>
      <c r="F2248" s="209" t="b">
        <f>VLOOKUP(C2248, 'List of log slots'!$A:$C, 3, FALSE)</f>
        <v>0</v>
      </c>
      <c r="G2248" s="209" t="b">
        <f t="shared" si="1775"/>
        <v>0</v>
      </c>
      <c r="H2248" s="210" t="b">
        <f t="shared" si="7"/>
        <v>1</v>
      </c>
      <c r="I2248" s="208" t="b">
        <f t="shared" ref="I2248:J2248" si="1784">FALSE</f>
        <v>0</v>
      </c>
      <c r="J2248" s="208" t="b">
        <f t="shared" si="1784"/>
        <v>0</v>
      </c>
      <c r="K2248" s="214">
        <v>640.0</v>
      </c>
      <c r="L2248" s="207" t="str">
        <f t="shared" si="3"/>
        <v>n/a</v>
      </c>
      <c r="M2248" s="212" t="str">
        <f t="shared" si="4"/>
        <v>n/a</v>
      </c>
      <c r="N2248" s="207" t="str">
        <f t="shared" si="1421"/>
        <v>n/a</v>
      </c>
      <c r="O2248" s="207">
        <f t="shared" si="1422"/>
        <v>0.0015625</v>
      </c>
    </row>
    <row r="2249">
      <c r="A2249" s="212">
        <v>190.0</v>
      </c>
      <c r="B2249" s="6" t="str">
        <f>VLOOKUP($A2249, 'Completion rates'!$A:$E, 2, FALSE)</f>
        <v>Killing spiritual mages (zaros)</v>
      </c>
      <c r="C2249" s="212">
        <v>26227.0</v>
      </c>
      <c r="D2249" s="6" t="str">
        <f>VLOOKUP($C2249, 'List of log slots'!$A:$E, 2, FALSE)</f>
        <v>Ancient ceremonial gloves</v>
      </c>
      <c r="E2249" s="207">
        <f>VLOOKUP($C2249, 'List of log slots'!$A:$E, 5, FALSE)</f>
        <v>5</v>
      </c>
      <c r="F2249" s="209" t="b">
        <f>VLOOKUP(C2249, 'List of log slots'!$A:$C, 3, FALSE)</f>
        <v>0</v>
      </c>
      <c r="G2249" s="209" t="b">
        <f t="shared" si="1775"/>
        <v>0</v>
      </c>
      <c r="H2249" s="210" t="b">
        <f t="shared" si="7"/>
        <v>1</v>
      </c>
      <c r="I2249" s="208" t="b">
        <f t="shared" ref="I2249:J2249" si="1785">FALSE</f>
        <v>0</v>
      </c>
      <c r="J2249" s="208" t="b">
        <f t="shared" si="1785"/>
        <v>0</v>
      </c>
      <c r="K2249" s="214">
        <v>640.0</v>
      </c>
      <c r="L2249" s="207" t="str">
        <f t="shared" si="3"/>
        <v>n/a</v>
      </c>
      <c r="M2249" s="212" t="str">
        <f t="shared" si="4"/>
        <v>n/a</v>
      </c>
      <c r="N2249" s="207" t="str">
        <f t="shared" si="1421"/>
        <v>n/a</v>
      </c>
      <c r="O2249" s="207">
        <f t="shared" si="1422"/>
        <v>0.0015625</v>
      </c>
    </row>
    <row r="2250">
      <c r="A2250" s="212">
        <v>190.0</v>
      </c>
      <c r="B2250" s="6" t="str">
        <f>VLOOKUP($A2250, 'Completion rates'!$A:$E, 2, FALSE)</f>
        <v>Killing spiritual mages (zaros)</v>
      </c>
      <c r="C2250" s="212">
        <v>26229.0</v>
      </c>
      <c r="D2250" s="6" t="str">
        <f>VLOOKUP($C2250, 'List of log slots'!$A:$E, 2, FALSE)</f>
        <v>Ancient ceremonial boots</v>
      </c>
      <c r="E2250" s="207">
        <f>VLOOKUP($C2250, 'List of log slots'!$A:$E, 5, FALSE)</f>
        <v>5</v>
      </c>
      <c r="F2250" s="210" t="b">
        <f>VLOOKUP(C2250, 'List of log slots'!$A:$C, 3, FALSE)</f>
        <v>0</v>
      </c>
      <c r="G2250" s="209" t="b">
        <f t="shared" si="1775"/>
        <v>0</v>
      </c>
      <c r="H2250" s="209" t="b">
        <f t="shared" si="7"/>
        <v>1</v>
      </c>
      <c r="I2250" s="208" t="b">
        <f t="shared" ref="I2250:J2250" si="1786">FALSE</f>
        <v>0</v>
      </c>
      <c r="J2250" s="208" t="b">
        <f t="shared" si="1786"/>
        <v>0</v>
      </c>
      <c r="K2250" s="214">
        <v>640.0</v>
      </c>
      <c r="L2250" s="207" t="str">
        <f t="shared" si="3"/>
        <v>n/a</v>
      </c>
      <c r="M2250" s="212" t="str">
        <f t="shared" si="4"/>
        <v>n/a</v>
      </c>
      <c r="N2250" s="207" t="str">
        <f t="shared" si="1421"/>
        <v>n/a</v>
      </c>
      <c r="O2250" s="207">
        <f t="shared" si="1422"/>
        <v>0.0015625</v>
      </c>
    </row>
    <row r="2251">
      <c r="A2251" s="212">
        <v>190.0</v>
      </c>
      <c r="B2251" s="6" t="str">
        <f>VLOOKUP($A2251, 'Completion rates'!$A:$E, 2, FALSE)</f>
        <v>Killing spiritual mages (zaros)</v>
      </c>
      <c r="C2251" s="212">
        <v>2366.0</v>
      </c>
      <c r="D2251" s="6" t="str">
        <f>VLOOKUP($C2251, 'List of log slots'!$A:$E, 2, FALSE)</f>
        <v>Shield left half</v>
      </c>
      <c r="E2251" s="207">
        <f>VLOOKUP($C2251, 'List of log slots'!$A:$E, 5, FALSE)</f>
        <v>5</v>
      </c>
      <c r="F2251" s="210" t="b">
        <f>VLOOKUP(C2251, 'List of log slots'!$A:$C, 3, FALSE)</f>
        <v>0</v>
      </c>
      <c r="G2251" s="209" t="b">
        <f t="shared" si="1775"/>
        <v>0</v>
      </c>
      <c r="H2251" s="209" t="b">
        <f t="shared" si="7"/>
        <v>1</v>
      </c>
      <c r="I2251" s="208" t="b">
        <f t="shared" ref="I2251:J2251" si="1787">FALSE</f>
        <v>0</v>
      </c>
      <c r="J2251" s="208" t="b">
        <f t="shared" si="1787"/>
        <v>0</v>
      </c>
      <c r="K2251" s="214">
        <v>524288.0</v>
      </c>
      <c r="L2251" s="207" t="str">
        <f t="shared" si="3"/>
        <v>n/a</v>
      </c>
      <c r="M2251" s="212" t="str">
        <f t="shared" si="4"/>
        <v>n/a</v>
      </c>
      <c r="N2251" s="207" t="str">
        <f t="shared" si="1421"/>
        <v>n/a</v>
      </c>
      <c r="O2251" s="207">
        <f t="shared" si="1422"/>
        <v>0.000001907348633</v>
      </c>
    </row>
    <row r="2252">
      <c r="A2252" s="212">
        <v>190.0</v>
      </c>
      <c r="B2252" s="6" t="str">
        <f>VLOOKUP($A2252, 'Completion rates'!$A:$E, 2, FALSE)</f>
        <v>Killing spiritual mages (zaros)</v>
      </c>
      <c r="C2252" s="212">
        <v>1249.0</v>
      </c>
      <c r="D2252" s="6" t="str">
        <f>VLOOKUP($C2252, 'List of log slots'!$A:$E, 2, FALSE)</f>
        <v>Dragon spear</v>
      </c>
      <c r="E2252" s="207">
        <f>VLOOKUP($C2252, 'List of log slots'!$A:$E, 5, FALSE)</f>
        <v>5</v>
      </c>
      <c r="F2252" s="210" t="b">
        <f>VLOOKUP(C2252, 'List of log slots'!$A:$C, 3, FALSE)</f>
        <v>0</v>
      </c>
      <c r="G2252" s="209" t="b">
        <f t="shared" si="1775"/>
        <v>0</v>
      </c>
      <c r="H2252" s="209" t="b">
        <f t="shared" si="7"/>
        <v>1</v>
      </c>
      <c r="I2252" s="208" t="b">
        <f t="shared" ref="I2252:J2252" si="1788">FALSE</f>
        <v>0</v>
      </c>
      <c r="J2252" s="208" t="b">
        <f t="shared" si="1788"/>
        <v>0</v>
      </c>
      <c r="K2252" s="214">
        <v>699051.0</v>
      </c>
      <c r="L2252" s="207" t="str">
        <f t="shared" si="3"/>
        <v>n/a</v>
      </c>
      <c r="M2252" s="212" t="str">
        <f t="shared" si="4"/>
        <v>n/a</v>
      </c>
      <c r="N2252" s="207" t="str">
        <f t="shared" si="1421"/>
        <v>n/a</v>
      </c>
      <c r="O2252" s="207">
        <f t="shared" si="1422"/>
        <v>0.000001430510792</v>
      </c>
    </row>
    <row r="2253">
      <c r="A2253" s="212">
        <v>191.0</v>
      </c>
      <c r="B2253" s="6" t="str">
        <f>VLOOKUP($A2253, 'Completion rates'!$A:$E, 2, FALSE)</f>
        <v>Killing cave kraken (non-boss, on task)</v>
      </c>
      <c r="C2253" s="212">
        <v>12004.0</v>
      </c>
      <c r="D2253" s="6" t="str">
        <f>VLOOKUP($C2253, 'List of log slots'!$A:$E, 2, FALSE)</f>
        <v>Kraken tentacle</v>
      </c>
      <c r="E2253" s="207">
        <f>VLOOKUP($C2253, 'List of log slots'!$A:$E, 5, FALSE)</f>
        <v>5</v>
      </c>
      <c r="F2253" s="210" t="b">
        <f>VLOOKUP(C2253, 'List of log slots'!$A:$C, 3, FALSE)</f>
        <v>0</v>
      </c>
      <c r="G2253" s="209" t="b">
        <f t="shared" si="1775"/>
        <v>0</v>
      </c>
      <c r="H2253" s="209" t="b">
        <f t="shared" si="7"/>
        <v>1</v>
      </c>
      <c r="I2253" s="208" t="b">
        <f t="shared" ref="I2253:J2253" si="1789">FALSE</f>
        <v>0</v>
      </c>
      <c r="J2253" s="208" t="b">
        <f t="shared" si="1789"/>
        <v>0</v>
      </c>
      <c r="K2253" s="214">
        <v>1200.0</v>
      </c>
      <c r="L2253" s="207" t="str">
        <f t="shared" si="3"/>
        <v>n/a</v>
      </c>
      <c r="M2253" s="212" t="str">
        <f t="shared" si="4"/>
        <v>n/a</v>
      </c>
      <c r="N2253" s="207" t="str">
        <f t="shared" si="1421"/>
        <v>n/a</v>
      </c>
      <c r="O2253" s="207">
        <f t="shared" si="1422"/>
        <v>0.0008333333333</v>
      </c>
    </row>
    <row r="2254">
      <c r="A2254" s="212">
        <v>191.0</v>
      </c>
      <c r="B2254" s="6" t="str">
        <f>VLOOKUP($A2254, 'Completion rates'!$A:$E, 2, FALSE)</f>
        <v>Killing cave kraken (non-boss, on task)</v>
      </c>
      <c r="C2254" s="212">
        <v>11908.0</v>
      </c>
      <c r="D2254" s="6" t="str">
        <f>VLOOKUP($C2254, 'List of log slots'!$A:$E, 2, FALSE)</f>
        <v>Uncharged trident</v>
      </c>
      <c r="E2254" s="207">
        <f>VLOOKUP($C2254, 'List of log slots'!$A:$E, 5, FALSE)</f>
        <v>5</v>
      </c>
      <c r="F2254" s="209" t="b">
        <f>VLOOKUP(C2254, 'List of log slots'!$A:$C, 3, FALSE)</f>
        <v>0</v>
      </c>
      <c r="G2254" s="209" t="b">
        <f t="shared" si="1775"/>
        <v>0</v>
      </c>
      <c r="H2254" s="210" t="b">
        <f t="shared" si="7"/>
        <v>1</v>
      </c>
      <c r="I2254" s="208" t="b">
        <f t="shared" ref="I2254:J2254" si="1790">FALSE</f>
        <v>0</v>
      </c>
      <c r="J2254" s="208" t="b">
        <f t="shared" si="1790"/>
        <v>0</v>
      </c>
      <c r="K2254" s="214">
        <v>200.0</v>
      </c>
      <c r="L2254" s="207" t="str">
        <f t="shared" si="3"/>
        <v>n/a</v>
      </c>
      <c r="M2254" s="212" t="str">
        <f t="shared" si="4"/>
        <v>n/a</v>
      </c>
      <c r="N2254" s="207" t="str">
        <f t="shared" si="1421"/>
        <v>n/a</v>
      </c>
      <c r="O2254" s="207">
        <f t="shared" si="1422"/>
        <v>0.005</v>
      </c>
    </row>
    <row r="2255">
      <c r="A2255" s="212">
        <v>191.0</v>
      </c>
      <c r="B2255" s="6" t="str">
        <f>VLOOKUP($A2255, 'Completion rates'!$A:$E, 2, FALSE)</f>
        <v>Killing cave kraken (non-boss, on task)</v>
      </c>
      <c r="C2255" s="212">
        <v>2366.0</v>
      </c>
      <c r="D2255" s="6" t="str">
        <f>VLOOKUP($C2255, 'List of log slots'!$A:$E, 2, FALSE)</f>
        <v>Shield left half</v>
      </c>
      <c r="E2255" s="207">
        <f>VLOOKUP($C2255, 'List of log slots'!$A:$E, 5, FALSE)</f>
        <v>5</v>
      </c>
      <c r="F2255" s="210" t="b">
        <f>VLOOKUP(C2255, 'List of log slots'!$A:$C, 3, FALSE)</f>
        <v>0</v>
      </c>
      <c r="G2255" s="209" t="b">
        <f t="shared" si="1775"/>
        <v>0</v>
      </c>
      <c r="H2255" s="209" t="b">
        <f t="shared" si="7"/>
        <v>1</v>
      </c>
      <c r="I2255" s="208" t="b">
        <f t="shared" ref="I2255:J2255" si="1791">FALSE</f>
        <v>0</v>
      </c>
      <c r="J2255" s="208" t="b">
        <f t="shared" si="1791"/>
        <v>0</v>
      </c>
      <c r="K2255" s="214">
        <v>136533.0</v>
      </c>
      <c r="L2255" s="207" t="str">
        <f t="shared" si="3"/>
        <v>n/a</v>
      </c>
      <c r="M2255" s="212" t="str">
        <f t="shared" si="4"/>
        <v>n/a</v>
      </c>
      <c r="N2255" s="207" t="str">
        <f t="shared" si="1421"/>
        <v>n/a</v>
      </c>
      <c r="O2255" s="207">
        <f t="shared" si="1422"/>
        <v>0.000007324236631</v>
      </c>
    </row>
    <row r="2256">
      <c r="A2256" s="212">
        <v>191.0</v>
      </c>
      <c r="B2256" s="6" t="str">
        <f>VLOOKUP($A2256, 'Completion rates'!$A:$E, 2, FALSE)</f>
        <v>Killing cave kraken (non-boss, on task)</v>
      </c>
      <c r="C2256" s="212">
        <v>1249.0</v>
      </c>
      <c r="D2256" s="6" t="str">
        <f>VLOOKUP($C2256, 'List of log slots'!$A:$E, 2, FALSE)</f>
        <v>Dragon spear</v>
      </c>
      <c r="E2256" s="207">
        <f>VLOOKUP($C2256, 'List of log slots'!$A:$E, 5, FALSE)</f>
        <v>5</v>
      </c>
      <c r="F2256" s="210" t="b">
        <f>VLOOKUP(C2256, 'List of log slots'!$A:$C, 3, FALSE)</f>
        <v>0</v>
      </c>
      <c r="G2256" s="209" t="b">
        <f t="shared" si="1775"/>
        <v>0</v>
      </c>
      <c r="H2256" s="209" t="b">
        <f t="shared" si="7"/>
        <v>1</v>
      </c>
      <c r="I2256" s="208" t="b">
        <f t="shared" ref="I2256:J2256" si="1792">FALSE</f>
        <v>0</v>
      </c>
      <c r="J2256" s="208" t="b">
        <f t="shared" si="1792"/>
        <v>0</v>
      </c>
      <c r="K2256" s="214">
        <v>182044.0</v>
      </c>
      <c r="L2256" s="207" t="str">
        <f t="shared" si="3"/>
        <v>n/a</v>
      </c>
      <c r="M2256" s="212" t="str">
        <f t="shared" si="4"/>
        <v>n/a</v>
      </c>
      <c r="N2256" s="207" t="str">
        <f t="shared" si="1421"/>
        <v>n/a</v>
      </c>
      <c r="O2256" s="207">
        <f t="shared" si="1422"/>
        <v>0.000005493177474</v>
      </c>
    </row>
    <row r="2257">
      <c r="A2257" s="212">
        <v>192.0</v>
      </c>
      <c r="B2257" s="6" t="str">
        <f>VLOOKUP($A2257, 'Completion rates'!$A:$E, 2, FALSE)</f>
        <v>Killing dark beasts</v>
      </c>
      <c r="C2257" s="212">
        <v>11235.0</v>
      </c>
      <c r="D2257" s="6" t="str">
        <f>VLOOKUP($C2257, 'List of log slots'!$A:$E, 2, FALSE)</f>
        <v>Dark bow</v>
      </c>
      <c r="E2257" s="207">
        <f>VLOOKUP($C2257, 'List of log slots'!$A:$E, 5, FALSE)</f>
        <v>5</v>
      </c>
      <c r="F2257" s="210" t="b">
        <f>VLOOKUP(C2257, 'List of log slots'!$A:$C, 3, FALSE)</f>
        <v>0</v>
      </c>
      <c r="G2257" s="209" t="b">
        <f t="shared" si="1775"/>
        <v>0</v>
      </c>
      <c r="H2257" s="209" t="b">
        <f t="shared" si="7"/>
        <v>1</v>
      </c>
      <c r="I2257" s="208" t="b">
        <f t="shared" ref="I2257:J2257" si="1793">FALSE</f>
        <v>0</v>
      </c>
      <c r="J2257" s="208" t="b">
        <f t="shared" si="1793"/>
        <v>0</v>
      </c>
      <c r="K2257" s="214">
        <v>512.0</v>
      </c>
      <c r="L2257" s="207" t="str">
        <f t="shared" si="3"/>
        <v>n/a</v>
      </c>
      <c r="M2257" s="212" t="str">
        <f t="shared" si="4"/>
        <v>n/a</v>
      </c>
      <c r="N2257" s="207" t="str">
        <f t="shared" si="1421"/>
        <v>n/a</v>
      </c>
      <c r="O2257" s="207">
        <f t="shared" si="1422"/>
        <v>0.001953125</v>
      </c>
    </row>
    <row r="2258">
      <c r="A2258" s="212">
        <v>192.0</v>
      </c>
      <c r="B2258" s="6" t="str">
        <f>VLOOKUP($A2258, 'Completion rates'!$A:$E, 2, FALSE)</f>
        <v>Killing dark beasts</v>
      </c>
      <c r="C2258" s="212">
        <v>10976.0</v>
      </c>
      <c r="D2258" s="6" t="str">
        <f>VLOOKUP($C2258, 'List of log slots'!$A:$E, 2, FALSE)</f>
        <v>Long bone</v>
      </c>
      <c r="E2258" s="207">
        <f>VLOOKUP($C2258, 'List of log slots'!$A:$E, 5, FALSE)</f>
        <v>3</v>
      </c>
      <c r="F2258" s="210" t="b">
        <f>VLOOKUP(C2258, 'List of log slots'!$A:$C, 3, FALSE)</f>
        <v>0</v>
      </c>
      <c r="G2258" s="209" t="b">
        <f t="shared" si="1775"/>
        <v>0</v>
      </c>
      <c r="H2258" s="209" t="b">
        <f t="shared" si="7"/>
        <v>1</v>
      </c>
      <c r="I2258" s="208" t="b">
        <f t="shared" ref="I2258:J2258" si="1794">FALSE</f>
        <v>0</v>
      </c>
      <c r="J2258" s="208" t="b">
        <f t="shared" si="1794"/>
        <v>0</v>
      </c>
      <c r="K2258" s="214">
        <v>400.0</v>
      </c>
      <c r="L2258" s="207" t="str">
        <f t="shared" si="3"/>
        <v>n/a</v>
      </c>
      <c r="M2258" s="212" t="str">
        <f t="shared" si="4"/>
        <v>n/a</v>
      </c>
      <c r="N2258" s="207" t="str">
        <f t="shared" si="1421"/>
        <v>n/a</v>
      </c>
      <c r="O2258" s="207">
        <f t="shared" si="1422"/>
        <v>0.0025</v>
      </c>
    </row>
    <row r="2259">
      <c r="A2259" s="212">
        <v>192.0</v>
      </c>
      <c r="B2259" s="6" t="str">
        <f>VLOOKUP($A2259, 'Completion rates'!$A:$E, 2, FALSE)</f>
        <v>Killing dark beasts</v>
      </c>
      <c r="C2259" s="212">
        <v>10977.0</v>
      </c>
      <c r="D2259" s="6" t="str">
        <f>VLOOKUP($C2259, 'List of log slots'!$A:$E, 2, FALSE)</f>
        <v>Curved bone</v>
      </c>
      <c r="E2259" s="207">
        <f>VLOOKUP($C2259, 'List of log slots'!$A:$E, 5, FALSE)</f>
        <v>5</v>
      </c>
      <c r="F2259" s="209" t="b">
        <f>VLOOKUP(C2259, 'List of log slots'!$A:$C, 3, FALSE)</f>
        <v>0</v>
      </c>
      <c r="G2259" s="209" t="b">
        <f t="shared" si="1775"/>
        <v>0</v>
      </c>
      <c r="H2259" s="210" t="b">
        <f t="shared" si="7"/>
        <v>1</v>
      </c>
      <c r="I2259" s="208" t="b">
        <f t="shared" ref="I2259:J2259" si="1795">FALSE</f>
        <v>0</v>
      </c>
      <c r="J2259" s="208" t="b">
        <f t="shared" si="1795"/>
        <v>0</v>
      </c>
      <c r="K2259" s="214">
        <v>5013.0</v>
      </c>
      <c r="L2259" s="207" t="str">
        <f t="shared" si="3"/>
        <v>n/a</v>
      </c>
      <c r="M2259" s="212" t="str">
        <f t="shared" si="4"/>
        <v>n/a</v>
      </c>
      <c r="N2259" s="207" t="str">
        <f t="shared" si="1421"/>
        <v>n/a</v>
      </c>
      <c r="O2259" s="207">
        <f t="shared" si="1422"/>
        <v>0.0001994813485</v>
      </c>
    </row>
    <row r="2260">
      <c r="A2260" s="212">
        <v>192.0</v>
      </c>
      <c r="B2260" s="6" t="str">
        <f>VLOOKUP($A2260, 'Completion rates'!$A:$E, 2, FALSE)</f>
        <v>Killing dark beasts</v>
      </c>
      <c r="C2260" s="212">
        <v>2366.0</v>
      </c>
      <c r="D2260" s="6" t="str">
        <f>VLOOKUP($C2260, 'List of log slots'!$A:$E, 2, FALSE)</f>
        <v>Shield left half</v>
      </c>
      <c r="E2260" s="207">
        <f>VLOOKUP($C2260, 'List of log slots'!$A:$E, 5, FALSE)</f>
        <v>5</v>
      </c>
      <c r="F2260" s="210" t="b">
        <f>VLOOKUP(C2260, 'List of log slots'!$A:$C, 3, FALSE)</f>
        <v>0</v>
      </c>
      <c r="G2260" s="209" t="b">
        <f t="shared" si="1775"/>
        <v>0</v>
      </c>
      <c r="H2260" s="209" t="b">
        <f t="shared" si="7"/>
        <v>1</v>
      </c>
      <c r="I2260" s="208" t="b">
        <f t="shared" ref="I2260:J2260" si="1796">FALSE</f>
        <v>0</v>
      </c>
      <c r="J2260" s="208" t="b">
        <f t="shared" si="1796"/>
        <v>0</v>
      </c>
      <c r="K2260" s="214">
        <v>10817.0</v>
      </c>
      <c r="L2260" s="207" t="str">
        <f t="shared" si="3"/>
        <v>n/a</v>
      </c>
      <c r="M2260" s="212" t="str">
        <f t="shared" si="4"/>
        <v>n/a</v>
      </c>
      <c r="N2260" s="207" t="str">
        <f t="shared" si="1421"/>
        <v>n/a</v>
      </c>
      <c r="O2260" s="207">
        <f t="shared" si="1422"/>
        <v>0.00009244707405</v>
      </c>
    </row>
    <row r="2261">
      <c r="A2261" s="212">
        <v>192.0</v>
      </c>
      <c r="B2261" s="6" t="str">
        <f>VLOOKUP($A2261, 'Completion rates'!$A:$E, 2, FALSE)</f>
        <v>Killing dark beasts</v>
      </c>
      <c r="C2261" s="212">
        <v>1249.0</v>
      </c>
      <c r="D2261" s="6" t="str">
        <f>VLOOKUP($C2261, 'List of log slots'!$A:$E, 2, FALSE)</f>
        <v>Dragon spear</v>
      </c>
      <c r="E2261" s="207">
        <f>VLOOKUP($C2261, 'List of log slots'!$A:$E, 5, FALSE)</f>
        <v>5</v>
      </c>
      <c r="F2261" s="210" t="b">
        <f>VLOOKUP(C2261, 'List of log slots'!$A:$C, 3, FALSE)</f>
        <v>0</v>
      </c>
      <c r="G2261" s="209" t="b">
        <f t="shared" si="1775"/>
        <v>0</v>
      </c>
      <c r="H2261" s="209" t="b">
        <f t="shared" si="7"/>
        <v>1</v>
      </c>
      <c r="I2261" s="208" t="b">
        <f t="shared" ref="I2261:J2261" si="1797">FALSE</f>
        <v>0</v>
      </c>
      <c r="J2261" s="208" t="b">
        <f t="shared" si="1797"/>
        <v>0</v>
      </c>
      <c r="K2261" s="214">
        <v>14423.0</v>
      </c>
      <c r="L2261" s="207" t="str">
        <f t="shared" si="3"/>
        <v>n/a</v>
      </c>
      <c r="M2261" s="212" t="str">
        <f t="shared" si="4"/>
        <v>n/a</v>
      </c>
      <c r="N2261" s="207" t="str">
        <f t="shared" si="1421"/>
        <v>n/a</v>
      </c>
      <c r="O2261" s="207">
        <f t="shared" si="1422"/>
        <v>0.00006933370311</v>
      </c>
    </row>
    <row r="2262">
      <c r="A2262" s="212">
        <v>193.0</v>
      </c>
      <c r="B2262" s="6" t="str">
        <f>VLOOKUP($A2262, 'Completion rates'!$A:$E, 2, FALSE)</f>
        <v>Killing smoke devils (on task)</v>
      </c>
      <c r="C2262" s="212">
        <v>3140.0</v>
      </c>
      <c r="D2262" s="6" t="str">
        <f>VLOOKUP($C2262, 'List of log slots'!$A:$E, 2, FALSE)</f>
        <v>Dragon chainbody</v>
      </c>
      <c r="E2262" s="207">
        <f>VLOOKUP($C2262, 'List of log slots'!$A:$E, 5, FALSE)</f>
        <v>5</v>
      </c>
      <c r="F2262" s="210" t="b">
        <f>VLOOKUP(C2262, 'List of log slots'!$A:$C, 3, FALSE)</f>
        <v>0</v>
      </c>
      <c r="G2262" s="209" t="b">
        <f t="shared" si="1775"/>
        <v>0</v>
      </c>
      <c r="H2262" s="209" t="b">
        <f t="shared" si="7"/>
        <v>1</v>
      </c>
      <c r="I2262" s="208" t="b">
        <f t="shared" ref="I2262:J2262" si="1798">FALSE</f>
        <v>0</v>
      </c>
      <c r="J2262" s="208" t="b">
        <f t="shared" si="1798"/>
        <v>0</v>
      </c>
      <c r="K2262" s="214">
        <v>32768.0</v>
      </c>
      <c r="L2262" s="207" t="str">
        <f t="shared" si="3"/>
        <v>n/a</v>
      </c>
      <c r="M2262" s="212" t="str">
        <f t="shared" si="4"/>
        <v>n/a</v>
      </c>
      <c r="N2262" s="207" t="str">
        <f t="shared" si="1421"/>
        <v>n/a</v>
      </c>
      <c r="O2262" s="207">
        <f t="shared" si="1422"/>
        <v>0.00003051757813</v>
      </c>
    </row>
    <row r="2263">
      <c r="A2263" s="212">
        <v>193.0</v>
      </c>
      <c r="B2263" s="6" t="str">
        <f>VLOOKUP($A2263, 'Completion rates'!$A:$E, 2, FALSE)</f>
        <v>Killing smoke devils (on task)</v>
      </c>
      <c r="C2263" s="212">
        <v>20724.0</v>
      </c>
      <c r="D2263" s="6" t="str">
        <f>VLOOKUP($C2263, 'List of log slots'!$A:$E, 2, FALSE)</f>
        <v>Imbued heart</v>
      </c>
      <c r="E2263" s="207">
        <f>VLOOKUP($C2263, 'List of log slots'!$A:$E, 5, FALSE)</f>
        <v>8</v>
      </c>
      <c r="F2263" s="209" t="b">
        <f>VLOOKUP(C2263, 'List of log slots'!$A:$C, 3, FALSE)</f>
        <v>0</v>
      </c>
      <c r="G2263" s="209" t="b">
        <f t="shared" si="1775"/>
        <v>0</v>
      </c>
      <c r="H2263" s="210" t="b">
        <f t="shared" si="7"/>
        <v>1</v>
      </c>
      <c r="I2263" s="208" t="b">
        <f t="shared" ref="I2263:J2263" si="1799">FALSE</f>
        <v>0</v>
      </c>
      <c r="J2263" s="208" t="b">
        <f t="shared" si="1799"/>
        <v>0</v>
      </c>
      <c r="K2263" s="214">
        <v>30000.0</v>
      </c>
      <c r="L2263" s="207" t="str">
        <f t="shared" si="3"/>
        <v>n/a</v>
      </c>
      <c r="M2263" s="212" t="str">
        <f t="shared" si="4"/>
        <v>n/a</v>
      </c>
      <c r="N2263" s="207" t="str">
        <f t="shared" si="1421"/>
        <v>n/a</v>
      </c>
      <c r="O2263" s="207">
        <f t="shared" si="1422"/>
        <v>0.00003333333333</v>
      </c>
    </row>
    <row r="2264">
      <c r="A2264" s="212">
        <v>193.0</v>
      </c>
      <c r="B2264" s="6" t="str">
        <f>VLOOKUP($A2264, 'Completion rates'!$A:$E, 2, FALSE)</f>
        <v>Killing smoke devils (on task)</v>
      </c>
      <c r="C2264" s="212">
        <v>21270.0</v>
      </c>
      <c r="D2264" s="6" t="str">
        <f>VLOOKUP($C2264, 'List of log slots'!$A:$E, 2, FALSE)</f>
        <v>Eternal gem</v>
      </c>
      <c r="E2264" s="207">
        <f>VLOOKUP($C2264, 'List of log slots'!$A:$E, 5, FALSE)</f>
        <v>8</v>
      </c>
      <c r="F2264" s="210" t="b">
        <f>VLOOKUP(C2264, 'List of log slots'!$A:$C, 3, FALSE)</f>
        <v>0</v>
      </c>
      <c r="G2264" s="209" t="b">
        <f t="shared" si="1775"/>
        <v>0</v>
      </c>
      <c r="H2264" s="209" t="b">
        <f t="shared" si="7"/>
        <v>1</v>
      </c>
      <c r="I2264" s="208" t="b">
        <f t="shared" ref="I2264:J2264" si="1800">FALSE</f>
        <v>0</v>
      </c>
      <c r="J2264" s="208" t="b">
        <f t="shared" si="1800"/>
        <v>0</v>
      </c>
      <c r="K2264" s="214">
        <v>30000.0</v>
      </c>
      <c r="L2264" s="207" t="str">
        <f t="shared" si="3"/>
        <v>n/a</v>
      </c>
      <c r="M2264" s="212" t="str">
        <f t="shared" si="4"/>
        <v>n/a</v>
      </c>
      <c r="N2264" s="207" t="str">
        <f t="shared" si="1421"/>
        <v>n/a</v>
      </c>
      <c r="O2264" s="207">
        <f t="shared" si="1422"/>
        <v>0.00003333333333</v>
      </c>
    </row>
    <row r="2265">
      <c r="A2265" s="212">
        <v>193.0</v>
      </c>
      <c r="B2265" s="6" t="str">
        <f>VLOOKUP($A2265, 'Completion rates'!$A:$E, 2, FALSE)</f>
        <v>Killing smoke devils (on task)</v>
      </c>
      <c r="C2265" s="212">
        <v>20736.0</v>
      </c>
      <c r="D2265" s="6" t="str">
        <f>VLOOKUP($C2265, 'List of log slots'!$A:$E, 2, FALSE)</f>
        <v>Dust battlestaff</v>
      </c>
      <c r="E2265" s="207">
        <f>VLOOKUP($C2265, 'List of log slots'!$A:$E, 5, FALSE)</f>
        <v>6</v>
      </c>
      <c r="F2265" s="210" t="b">
        <f>VLOOKUP(C2265, 'List of log slots'!$A:$C, 3, FALSE)</f>
        <v>0</v>
      </c>
      <c r="G2265" s="209" t="b">
        <f t="shared" si="1775"/>
        <v>0</v>
      </c>
      <c r="H2265" s="209" t="b">
        <f t="shared" si="7"/>
        <v>1</v>
      </c>
      <c r="I2265" s="208" t="b">
        <f t="shared" ref="I2265:J2265" si="1801">FALSE</f>
        <v>0</v>
      </c>
      <c r="J2265" s="208" t="b">
        <f t="shared" si="1801"/>
        <v>0</v>
      </c>
      <c r="K2265" s="214">
        <v>10000.0</v>
      </c>
      <c r="L2265" s="207" t="str">
        <f t="shared" si="3"/>
        <v>n/a</v>
      </c>
      <c r="M2265" s="212" t="str">
        <f t="shared" si="4"/>
        <v>n/a</v>
      </c>
      <c r="N2265" s="207" t="str">
        <f t="shared" si="1421"/>
        <v>n/a</v>
      </c>
      <c r="O2265" s="207">
        <f t="shared" si="1422"/>
        <v>0.0001</v>
      </c>
    </row>
    <row r="2266">
      <c r="A2266" s="212">
        <v>193.0</v>
      </c>
      <c r="B2266" s="6" t="str">
        <f>VLOOKUP($A2266, 'Completion rates'!$A:$E, 2, FALSE)</f>
        <v>Killing smoke devils (on task)</v>
      </c>
      <c r="C2266" s="212">
        <v>20730.0</v>
      </c>
      <c r="D2266" s="6" t="str">
        <f>VLOOKUP($C2266, 'List of log slots'!$A:$E, 2, FALSE)</f>
        <v>Mist battlestaff</v>
      </c>
      <c r="E2266" s="207">
        <f>VLOOKUP($C2266, 'List of log slots'!$A:$E, 5, FALSE)</f>
        <v>7</v>
      </c>
      <c r="F2266" s="210" t="b">
        <f>VLOOKUP(C2266, 'List of log slots'!$A:$C, 3, FALSE)</f>
        <v>0</v>
      </c>
      <c r="G2266" s="209" t="b">
        <f t="shared" si="1775"/>
        <v>0</v>
      </c>
      <c r="H2266" s="209" t="b">
        <f t="shared" si="7"/>
        <v>1</v>
      </c>
      <c r="I2266" s="208" t="b">
        <f t="shared" ref="I2266:J2266" si="1802">FALSE</f>
        <v>0</v>
      </c>
      <c r="J2266" s="208" t="b">
        <f t="shared" si="1802"/>
        <v>0</v>
      </c>
      <c r="K2266" s="214">
        <v>10000.0</v>
      </c>
      <c r="L2266" s="207" t="str">
        <f t="shared" si="3"/>
        <v>n/a</v>
      </c>
      <c r="M2266" s="212" t="str">
        <f t="shared" si="4"/>
        <v>n/a</v>
      </c>
      <c r="N2266" s="207" t="str">
        <f t="shared" si="1421"/>
        <v>n/a</v>
      </c>
      <c r="O2266" s="207">
        <f t="shared" si="1422"/>
        <v>0.0001</v>
      </c>
    </row>
    <row r="2267">
      <c r="A2267" s="212">
        <v>193.0</v>
      </c>
      <c r="B2267" s="6" t="str">
        <f>VLOOKUP($A2267, 'Completion rates'!$A:$E, 2, FALSE)</f>
        <v>Killing smoke devils (on task)</v>
      </c>
      <c r="C2267" s="212">
        <v>12002.0</v>
      </c>
      <c r="D2267" s="6" t="str">
        <f>VLOOKUP($C2267, 'List of log slots'!$A:$E, 2, FALSE)</f>
        <v>Occult necklace</v>
      </c>
      <c r="E2267" s="207">
        <f>VLOOKUP($C2267, 'List of log slots'!$A:$E, 5, FALSE)</f>
        <v>5</v>
      </c>
      <c r="F2267" s="209" t="b">
        <f>VLOOKUP(C2267, 'List of log slots'!$A:$C, 3, FALSE)</f>
        <v>0</v>
      </c>
      <c r="G2267" s="209" t="b">
        <f t="shared" si="1775"/>
        <v>0</v>
      </c>
      <c r="H2267" s="210" t="b">
        <f t="shared" si="7"/>
        <v>1</v>
      </c>
      <c r="I2267" s="208" t="b">
        <f t="shared" ref="I2267:J2267" si="1803">FALSE</f>
        <v>0</v>
      </c>
      <c r="J2267" s="208" t="b">
        <f t="shared" si="1803"/>
        <v>0</v>
      </c>
      <c r="K2267" s="214">
        <v>512.0</v>
      </c>
      <c r="L2267" s="207" t="str">
        <f t="shared" si="3"/>
        <v>n/a</v>
      </c>
      <c r="M2267" s="212" t="str">
        <f t="shared" si="4"/>
        <v>n/a</v>
      </c>
      <c r="N2267" s="207" t="str">
        <f t="shared" si="1421"/>
        <v>n/a</v>
      </c>
      <c r="O2267" s="207">
        <f t="shared" si="1422"/>
        <v>0.001953125</v>
      </c>
    </row>
    <row r="2268">
      <c r="A2268" s="212">
        <v>193.0</v>
      </c>
      <c r="B2268" s="6" t="str">
        <f>VLOOKUP($A2268, 'Completion rates'!$A:$E, 2, FALSE)</f>
        <v>Killing smoke devils (on task)</v>
      </c>
      <c r="C2268" s="212">
        <v>2366.0</v>
      </c>
      <c r="D2268" s="6" t="str">
        <f>VLOOKUP($C2268, 'List of log slots'!$A:$E, 2, FALSE)</f>
        <v>Shield left half</v>
      </c>
      <c r="E2268" s="207">
        <f>VLOOKUP($C2268, 'List of log slots'!$A:$E, 5, FALSE)</f>
        <v>5</v>
      </c>
      <c r="F2268" s="210" t="b">
        <f>VLOOKUP(C2268, 'List of log slots'!$A:$C, 3, FALSE)</f>
        <v>0</v>
      </c>
      <c r="G2268" s="209" t="b">
        <f t="shared" si="1775"/>
        <v>0</v>
      </c>
      <c r="H2268" s="209" t="b">
        <f t="shared" si="7"/>
        <v>1</v>
      </c>
      <c r="I2268" s="208" t="b">
        <f t="shared" ref="I2268:J2268" si="1804">FALSE</f>
        <v>0</v>
      </c>
      <c r="J2268" s="208" t="b">
        <f t="shared" si="1804"/>
        <v>0</v>
      </c>
      <c r="K2268" s="214">
        <v>8113.0</v>
      </c>
      <c r="L2268" s="207" t="str">
        <f t="shared" si="3"/>
        <v>n/a</v>
      </c>
      <c r="M2268" s="212" t="str">
        <f t="shared" si="4"/>
        <v>n/a</v>
      </c>
      <c r="N2268" s="207" t="str">
        <f t="shared" si="1421"/>
        <v>n/a</v>
      </c>
      <c r="O2268" s="207">
        <f t="shared" si="1422"/>
        <v>0.0001232589671</v>
      </c>
    </row>
    <row r="2269">
      <c r="A2269" s="212">
        <v>193.0</v>
      </c>
      <c r="B2269" s="6" t="str">
        <f>VLOOKUP($A2269, 'Completion rates'!$A:$E, 2, FALSE)</f>
        <v>Killing smoke devils (on task)</v>
      </c>
      <c r="C2269" s="212">
        <v>1249.0</v>
      </c>
      <c r="D2269" s="6" t="str">
        <f>VLOOKUP($C2269, 'List of log slots'!$A:$E, 2, FALSE)</f>
        <v>Dragon spear</v>
      </c>
      <c r="E2269" s="207">
        <f>VLOOKUP($C2269, 'List of log slots'!$A:$E, 5, FALSE)</f>
        <v>5</v>
      </c>
      <c r="F2269" s="210" t="b">
        <f>VLOOKUP(C2269, 'List of log slots'!$A:$C, 3, FALSE)</f>
        <v>0</v>
      </c>
      <c r="G2269" s="209" t="b">
        <f t="shared" si="1775"/>
        <v>0</v>
      </c>
      <c r="H2269" s="209" t="b">
        <f t="shared" si="7"/>
        <v>1</v>
      </c>
      <c r="I2269" s="208" t="b">
        <f t="shared" ref="I2269:J2269" si="1805">FALSE</f>
        <v>0</v>
      </c>
      <c r="J2269" s="208" t="b">
        <f t="shared" si="1805"/>
        <v>0</v>
      </c>
      <c r="K2269" s="214">
        <v>10817.0</v>
      </c>
      <c r="L2269" s="207" t="str">
        <f t="shared" si="3"/>
        <v>n/a</v>
      </c>
      <c r="M2269" s="212" t="str">
        <f t="shared" si="4"/>
        <v>n/a</v>
      </c>
      <c r="N2269" s="207" t="str">
        <f t="shared" si="1421"/>
        <v>n/a</v>
      </c>
      <c r="O2269" s="207">
        <f t="shared" si="1422"/>
        <v>0.00009244707405</v>
      </c>
    </row>
    <row r="2270">
      <c r="A2270" s="212">
        <v>194.0</v>
      </c>
      <c r="B2270" s="6" t="str">
        <f>VLOOKUP($A2270, 'Completion rates'!$A:$E, 2, FALSE)</f>
        <v>Killing wyrms (on task)</v>
      </c>
      <c r="C2270" s="212">
        <v>20724.0</v>
      </c>
      <c r="D2270" s="6" t="str">
        <f>VLOOKUP($C2270, 'List of log slots'!$A:$E, 2, FALSE)</f>
        <v>Imbued heart</v>
      </c>
      <c r="E2270" s="207">
        <f>VLOOKUP($C2270, 'List of log slots'!$A:$E, 5, FALSE)</f>
        <v>8</v>
      </c>
      <c r="F2270" s="209" t="b">
        <f>VLOOKUP(C2270, 'List of log slots'!$A:$C, 3, FALSE)</f>
        <v>0</v>
      </c>
      <c r="G2270" s="209" t="b">
        <f t="shared" si="1775"/>
        <v>0</v>
      </c>
      <c r="H2270" s="210" t="b">
        <f t="shared" si="7"/>
        <v>1</v>
      </c>
      <c r="I2270" s="208" t="b">
        <f t="shared" ref="I2270:J2270" si="1806">FALSE</f>
        <v>0</v>
      </c>
      <c r="J2270" s="208" t="b">
        <f t="shared" si="1806"/>
        <v>0</v>
      </c>
      <c r="K2270" s="214">
        <v>109200.0</v>
      </c>
      <c r="L2270" s="207" t="str">
        <f t="shared" si="3"/>
        <v>n/a</v>
      </c>
      <c r="M2270" s="212" t="str">
        <f t="shared" si="4"/>
        <v>n/a</v>
      </c>
      <c r="N2270" s="207" t="str">
        <f t="shared" si="1421"/>
        <v>n/a</v>
      </c>
      <c r="O2270" s="207">
        <f t="shared" si="1422"/>
        <v>0.000009157509158</v>
      </c>
    </row>
    <row r="2271">
      <c r="A2271" s="212">
        <v>194.0</v>
      </c>
      <c r="B2271" s="6" t="str">
        <f>VLOOKUP($A2271, 'Completion rates'!$A:$E, 2, FALSE)</f>
        <v>Killing wyrms (on task)</v>
      </c>
      <c r="C2271" s="212">
        <v>21270.0</v>
      </c>
      <c r="D2271" s="6" t="str">
        <f>VLOOKUP($C2271, 'List of log slots'!$A:$E, 2, FALSE)</f>
        <v>Eternal gem</v>
      </c>
      <c r="E2271" s="207">
        <f>VLOOKUP($C2271, 'List of log slots'!$A:$E, 5, FALSE)</f>
        <v>8</v>
      </c>
      <c r="F2271" s="210" t="b">
        <f>VLOOKUP(C2271, 'List of log slots'!$A:$C, 3, FALSE)</f>
        <v>0</v>
      </c>
      <c r="G2271" s="209" t="b">
        <f t="shared" si="1775"/>
        <v>0</v>
      </c>
      <c r="H2271" s="209" t="b">
        <f t="shared" si="7"/>
        <v>1</v>
      </c>
      <c r="I2271" s="208" t="b">
        <f t="shared" ref="I2271:J2271" si="1807">FALSE</f>
        <v>0</v>
      </c>
      <c r="J2271" s="208" t="b">
        <f t="shared" si="1807"/>
        <v>0</v>
      </c>
      <c r="K2271" s="214">
        <v>109200.0</v>
      </c>
      <c r="L2271" s="207" t="str">
        <f t="shared" si="3"/>
        <v>n/a</v>
      </c>
      <c r="M2271" s="212" t="str">
        <f t="shared" si="4"/>
        <v>n/a</v>
      </c>
      <c r="N2271" s="207" t="str">
        <f t="shared" si="1421"/>
        <v>n/a</v>
      </c>
      <c r="O2271" s="207">
        <f t="shared" si="1422"/>
        <v>0.000009157509158</v>
      </c>
    </row>
    <row r="2272">
      <c r="A2272" s="212">
        <v>194.0</v>
      </c>
      <c r="B2272" s="6" t="str">
        <f>VLOOKUP($A2272, 'Completion rates'!$A:$E, 2, FALSE)</f>
        <v>Killing wyrms (on task)</v>
      </c>
      <c r="C2272" s="212">
        <v>20736.0</v>
      </c>
      <c r="D2272" s="6" t="str">
        <f>VLOOKUP($C2272, 'List of log slots'!$A:$E, 2, FALSE)</f>
        <v>Dust battlestaff</v>
      </c>
      <c r="E2272" s="207">
        <f>VLOOKUP($C2272, 'List of log slots'!$A:$E, 5, FALSE)</f>
        <v>6</v>
      </c>
      <c r="F2272" s="210" t="b">
        <f>VLOOKUP(C2272, 'List of log slots'!$A:$C, 3, FALSE)</f>
        <v>0</v>
      </c>
      <c r="G2272" s="209" t="b">
        <f t="shared" si="1775"/>
        <v>0</v>
      </c>
      <c r="H2272" s="209" t="b">
        <f t="shared" si="7"/>
        <v>1</v>
      </c>
      <c r="I2272" s="208" t="b">
        <f t="shared" ref="I2272:J2272" si="1808">FALSE</f>
        <v>0</v>
      </c>
      <c r="J2272" s="208" t="b">
        <f t="shared" si="1808"/>
        <v>0</v>
      </c>
      <c r="K2272" s="214">
        <v>36400.0</v>
      </c>
      <c r="L2272" s="207" t="str">
        <f t="shared" si="3"/>
        <v>n/a</v>
      </c>
      <c r="M2272" s="212" t="str">
        <f t="shared" si="4"/>
        <v>n/a</v>
      </c>
      <c r="N2272" s="207" t="str">
        <f t="shared" si="1421"/>
        <v>n/a</v>
      </c>
      <c r="O2272" s="207">
        <f t="shared" si="1422"/>
        <v>0.00002747252747</v>
      </c>
    </row>
    <row r="2273">
      <c r="A2273" s="212">
        <v>194.0</v>
      </c>
      <c r="B2273" s="6" t="str">
        <f>VLOOKUP($A2273, 'Completion rates'!$A:$E, 2, FALSE)</f>
        <v>Killing wyrms (on task)</v>
      </c>
      <c r="C2273" s="212">
        <v>20730.0</v>
      </c>
      <c r="D2273" s="6" t="str">
        <f>VLOOKUP($C2273, 'List of log slots'!$A:$E, 2, FALSE)</f>
        <v>Mist battlestaff</v>
      </c>
      <c r="E2273" s="207">
        <f>VLOOKUP($C2273, 'List of log slots'!$A:$E, 5, FALSE)</f>
        <v>7</v>
      </c>
      <c r="F2273" s="210" t="b">
        <f>VLOOKUP(C2273, 'List of log slots'!$A:$C, 3, FALSE)</f>
        <v>0</v>
      </c>
      <c r="G2273" s="209" t="b">
        <f t="shared" si="1775"/>
        <v>0</v>
      </c>
      <c r="H2273" s="209" t="b">
        <f t="shared" si="7"/>
        <v>1</v>
      </c>
      <c r="I2273" s="208" t="b">
        <f t="shared" ref="I2273:J2273" si="1809">FALSE</f>
        <v>0</v>
      </c>
      <c r="J2273" s="208" t="b">
        <f t="shared" si="1809"/>
        <v>0</v>
      </c>
      <c r="K2273" s="214">
        <v>36400.0</v>
      </c>
      <c r="L2273" s="207" t="str">
        <f t="shared" si="3"/>
        <v>n/a</v>
      </c>
      <c r="M2273" s="212" t="str">
        <f t="shared" si="4"/>
        <v>n/a</v>
      </c>
      <c r="N2273" s="207" t="str">
        <f t="shared" si="1421"/>
        <v>n/a</v>
      </c>
      <c r="O2273" s="207">
        <f t="shared" si="1422"/>
        <v>0.00002747252747</v>
      </c>
    </row>
    <row r="2274">
      <c r="A2274" s="212">
        <v>194.0</v>
      </c>
      <c r="B2274" s="6" t="str">
        <f>VLOOKUP($A2274, 'Completion rates'!$A:$E, 2, FALSE)</f>
        <v>Killing wyrms (on task)</v>
      </c>
      <c r="C2274" s="212">
        <v>22804.0</v>
      </c>
      <c r="D2274" s="6" t="str">
        <f>VLOOKUP($C2274, 'List of log slots'!$A:$E, 2, FALSE)</f>
        <v>Dragon knife</v>
      </c>
      <c r="E2274" s="207">
        <f>VLOOKUP($C2274, 'List of log slots'!$A:$E, 5, FALSE)</f>
        <v>5</v>
      </c>
      <c r="F2274" s="210" t="b">
        <f>VLOOKUP(C2274, 'List of log slots'!$A:$C, 3, FALSE)</f>
        <v>0</v>
      </c>
      <c r="G2274" s="209" t="b">
        <f t="shared" si="1775"/>
        <v>0</v>
      </c>
      <c r="H2274" s="209" t="b">
        <f t="shared" si="7"/>
        <v>1</v>
      </c>
      <c r="I2274" s="208" t="b">
        <f t="shared" ref="I2274:J2274" si="1810">FALSE</f>
        <v>0</v>
      </c>
      <c r="J2274" s="208" t="b">
        <f t="shared" si="1810"/>
        <v>0</v>
      </c>
      <c r="K2274" s="214">
        <v>2000.0</v>
      </c>
      <c r="L2274" s="207" t="str">
        <f t="shared" si="3"/>
        <v>n/a</v>
      </c>
      <c r="M2274" s="212" t="str">
        <f t="shared" si="4"/>
        <v>n/a</v>
      </c>
      <c r="N2274" s="207" t="str">
        <f t="shared" si="1421"/>
        <v>n/a</v>
      </c>
      <c r="O2274" s="207">
        <f t="shared" si="1422"/>
        <v>0.0005</v>
      </c>
    </row>
    <row r="2275">
      <c r="A2275" s="212">
        <v>194.0</v>
      </c>
      <c r="B2275" s="6" t="str">
        <f>VLOOKUP($A2275, 'Completion rates'!$A:$E, 2, FALSE)</f>
        <v>Killing wyrms (on task)</v>
      </c>
      <c r="C2275" s="212">
        <v>20849.0</v>
      </c>
      <c r="D2275" s="6" t="str">
        <f>VLOOKUP($C2275, 'List of log slots'!$A:$E, 2, FALSE)</f>
        <v>Dragon thrownaxe</v>
      </c>
      <c r="E2275" s="207">
        <f>VLOOKUP($C2275, 'List of log slots'!$A:$E, 5, FALSE)</f>
        <v>5</v>
      </c>
      <c r="F2275" s="209" t="b">
        <f>VLOOKUP(C2275, 'List of log slots'!$A:$C, 3, FALSE)</f>
        <v>0</v>
      </c>
      <c r="G2275" s="209" t="b">
        <f t="shared" si="1775"/>
        <v>0</v>
      </c>
      <c r="H2275" s="210" t="b">
        <f t="shared" si="7"/>
        <v>1</v>
      </c>
      <c r="I2275" s="208" t="b">
        <f t="shared" ref="I2275:J2275" si="1811">FALSE</f>
        <v>0</v>
      </c>
      <c r="J2275" s="208" t="b">
        <f t="shared" si="1811"/>
        <v>0</v>
      </c>
      <c r="K2275" s="214">
        <v>2000.0</v>
      </c>
      <c r="L2275" s="207" t="str">
        <f t="shared" si="3"/>
        <v>n/a</v>
      </c>
      <c r="M2275" s="212" t="str">
        <f t="shared" si="4"/>
        <v>n/a</v>
      </c>
      <c r="N2275" s="207" t="str">
        <f t="shared" si="1421"/>
        <v>n/a</v>
      </c>
      <c r="O2275" s="207">
        <f t="shared" si="1422"/>
        <v>0.0005</v>
      </c>
    </row>
    <row r="2276">
      <c r="A2276" s="212">
        <v>194.0</v>
      </c>
      <c r="B2276" s="6" t="str">
        <f>VLOOKUP($A2276, 'Completion rates'!$A:$E, 2, FALSE)</f>
        <v>Killing wyrms (on task)</v>
      </c>
      <c r="C2276" s="212">
        <v>21028.0</v>
      </c>
      <c r="D2276" s="6" t="str">
        <f>VLOOKUP($C2276, 'List of log slots'!$A:$E, 2, FALSE)</f>
        <v>Dragon harpoon</v>
      </c>
      <c r="E2276" s="207">
        <f>VLOOKUP($C2276, 'List of log slots'!$A:$E, 5, FALSE)</f>
        <v>5</v>
      </c>
      <c r="F2276" s="210" t="b">
        <f>VLOOKUP(C2276, 'List of log slots'!$A:$C, 3, FALSE)</f>
        <v>0</v>
      </c>
      <c r="G2276" s="209" t="b">
        <f t="shared" si="1775"/>
        <v>0</v>
      </c>
      <c r="H2276" s="209" t="b">
        <f t="shared" si="7"/>
        <v>1</v>
      </c>
      <c r="I2276" s="208" t="b">
        <f t="shared" ref="I2276:J2276" si="1812">FALSE</f>
        <v>0</v>
      </c>
      <c r="J2276" s="208" t="b">
        <f t="shared" si="1812"/>
        <v>0</v>
      </c>
      <c r="K2276" s="214">
        <v>2000.0</v>
      </c>
      <c r="L2276" s="207" t="str">
        <f t="shared" si="3"/>
        <v>n/a</v>
      </c>
      <c r="M2276" s="212" t="str">
        <f t="shared" si="4"/>
        <v>n/a</v>
      </c>
      <c r="N2276" s="207" t="str">
        <f t="shared" si="1421"/>
        <v>n/a</v>
      </c>
      <c r="O2276" s="207">
        <f t="shared" si="1422"/>
        <v>0.0005</v>
      </c>
    </row>
    <row r="2277">
      <c r="A2277" s="212">
        <v>194.0</v>
      </c>
      <c r="B2277" s="6" t="str">
        <f>VLOOKUP($A2277, 'Completion rates'!$A:$E, 2, FALSE)</f>
        <v>Killing wyrms (on task)</v>
      </c>
      <c r="C2277" s="212">
        <v>21009.0</v>
      </c>
      <c r="D2277" s="6" t="str">
        <f>VLOOKUP($C2277, 'List of log slots'!$A:$E, 2, FALSE)</f>
        <v>Dragon sword</v>
      </c>
      <c r="E2277" s="207">
        <f>VLOOKUP($C2277, 'List of log slots'!$A:$E, 5, FALSE)</f>
        <v>5</v>
      </c>
      <c r="F2277" s="209" t="b">
        <f>VLOOKUP(C2277, 'List of log slots'!$A:$C, 3, FALSE)</f>
        <v>0</v>
      </c>
      <c r="G2277" s="209" t="b">
        <f t="shared" si="1775"/>
        <v>0</v>
      </c>
      <c r="H2277" s="210" t="b">
        <f t="shared" si="7"/>
        <v>1</v>
      </c>
      <c r="I2277" s="208" t="b">
        <f t="shared" ref="I2277:J2277" si="1813">FALSE</f>
        <v>0</v>
      </c>
      <c r="J2277" s="208" t="b">
        <f t="shared" si="1813"/>
        <v>0</v>
      </c>
      <c r="K2277" s="214">
        <v>2000.0</v>
      </c>
      <c r="L2277" s="207" t="str">
        <f t="shared" si="3"/>
        <v>n/a</v>
      </c>
      <c r="M2277" s="212" t="str">
        <f t="shared" si="4"/>
        <v>n/a</v>
      </c>
      <c r="N2277" s="207" t="str">
        <f t="shared" si="1421"/>
        <v>n/a</v>
      </c>
      <c r="O2277" s="207">
        <f t="shared" si="1422"/>
        <v>0.0005</v>
      </c>
    </row>
    <row r="2278">
      <c r="A2278" s="212">
        <v>194.0</v>
      </c>
      <c r="B2278" s="6" t="str">
        <f>VLOOKUP($A2278, 'Completion rates'!$A:$E, 2, FALSE)</f>
        <v>Killing wyrms (on task)</v>
      </c>
      <c r="C2278" s="212">
        <v>2366.0</v>
      </c>
      <c r="D2278" s="6" t="str">
        <f>VLOOKUP($C2278, 'List of log slots'!$A:$E, 2, FALSE)</f>
        <v>Shield left half</v>
      </c>
      <c r="E2278" s="207">
        <f>VLOOKUP($C2278, 'List of log slots'!$A:$E, 5, FALSE)</f>
        <v>5</v>
      </c>
      <c r="F2278" s="210" t="b">
        <f>VLOOKUP(C2278, 'List of log slots'!$A:$C, 3, FALSE)</f>
        <v>0</v>
      </c>
      <c r="G2278" s="209" t="b">
        <f t="shared" si="1775"/>
        <v>0</v>
      </c>
      <c r="H2278" s="209" t="b">
        <f t="shared" si="7"/>
        <v>1</v>
      </c>
      <c r="I2278" s="208" t="b">
        <f t="shared" ref="I2278:J2278" si="1814">FALSE</f>
        <v>0</v>
      </c>
      <c r="J2278" s="208" t="b">
        <f t="shared" si="1814"/>
        <v>0</v>
      </c>
      <c r="K2278" s="214">
        <v>311296.0</v>
      </c>
      <c r="L2278" s="207" t="str">
        <f t="shared" si="3"/>
        <v>n/a</v>
      </c>
      <c r="M2278" s="212" t="str">
        <f t="shared" si="4"/>
        <v>n/a</v>
      </c>
      <c r="N2278" s="207" t="str">
        <f t="shared" si="1421"/>
        <v>n/a</v>
      </c>
      <c r="O2278" s="207">
        <f t="shared" si="1422"/>
        <v>0.000003212376645</v>
      </c>
    </row>
    <row r="2279">
      <c r="A2279" s="212">
        <v>194.0</v>
      </c>
      <c r="B2279" s="6" t="str">
        <f>VLOOKUP($A2279, 'Completion rates'!$A:$E, 2, FALSE)</f>
        <v>Killing wyrms (on task)</v>
      </c>
      <c r="C2279" s="212">
        <v>1249.0</v>
      </c>
      <c r="D2279" s="6" t="str">
        <f>VLOOKUP($C2279, 'List of log slots'!$A:$E, 2, FALSE)</f>
        <v>Dragon spear</v>
      </c>
      <c r="E2279" s="207">
        <f>VLOOKUP($C2279, 'List of log slots'!$A:$E, 5, FALSE)</f>
        <v>5</v>
      </c>
      <c r="F2279" s="210" t="b">
        <f>VLOOKUP(C2279, 'List of log slots'!$A:$C, 3, FALSE)</f>
        <v>0</v>
      </c>
      <c r="G2279" s="209" t="b">
        <f t="shared" si="1775"/>
        <v>0</v>
      </c>
      <c r="H2279" s="209" t="b">
        <f t="shared" si="7"/>
        <v>1</v>
      </c>
      <c r="I2279" s="208" t="b">
        <f t="shared" ref="I2279:J2279" si="1815">FALSE</f>
        <v>0</v>
      </c>
      <c r="J2279" s="208" t="b">
        <f t="shared" si="1815"/>
        <v>0</v>
      </c>
      <c r="K2279" s="214">
        <v>415061.0</v>
      </c>
      <c r="L2279" s="207" t="str">
        <f t="shared" si="3"/>
        <v>n/a</v>
      </c>
      <c r="M2279" s="212" t="str">
        <f t="shared" si="4"/>
        <v>n/a</v>
      </c>
      <c r="N2279" s="207" t="str">
        <f t="shared" si="1421"/>
        <v>n/a</v>
      </c>
      <c r="O2279" s="207">
        <f t="shared" si="1422"/>
        <v>0.000002409284418</v>
      </c>
    </row>
    <row r="2280">
      <c r="A2280" s="212">
        <v>195.0</v>
      </c>
      <c r="B2280" s="6" t="str">
        <f>VLOOKUP($A2280, 'Completion rates'!$A:$E, 2, FALSE)</f>
        <v>Opening the brimstone chest</v>
      </c>
      <c r="C2280" s="212">
        <v>22963.0</v>
      </c>
      <c r="D2280" s="6" t="str">
        <f>VLOOKUP($C2280, 'List of log slots'!$A:$E, 2, FALSE)</f>
        <v>Broken dragon hasta</v>
      </c>
      <c r="E2280" s="207">
        <f>VLOOKUP($C2280, 'List of log slots'!$A:$E, 5, FALSE)</f>
        <v>5</v>
      </c>
      <c r="F2280" s="209" t="b">
        <f>VLOOKUP(C2280, 'List of log slots'!$A:$C, 3, FALSE)</f>
        <v>0</v>
      </c>
      <c r="G2280" s="209" t="b">
        <f t="shared" si="1775"/>
        <v>0</v>
      </c>
      <c r="H2280" s="210" t="b">
        <f t="shared" si="7"/>
        <v>1</v>
      </c>
      <c r="I2280" s="208" t="b">
        <f t="shared" ref="I2280:J2280" si="1816">FALSE</f>
        <v>0</v>
      </c>
      <c r="J2280" s="208" t="b">
        <f t="shared" si="1816"/>
        <v>0</v>
      </c>
      <c r="K2280" s="214">
        <v>200.0</v>
      </c>
      <c r="L2280" s="207" t="str">
        <f t="shared" si="3"/>
        <v>n/a</v>
      </c>
      <c r="M2280" s="212" t="str">
        <f t="shared" si="4"/>
        <v>n/a</v>
      </c>
      <c r="N2280" s="207" t="str">
        <f t="shared" si="1421"/>
        <v>n/a</v>
      </c>
      <c r="O2280" s="207">
        <f t="shared" si="1422"/>
        <v>0.005</v>
      </c>
    </row>
    <row r="2281">
      <c r="A2281" s="212">
        <v>195.0</v>
      </c>
      <c r="B2281" s="6" t="str">
        <f>VLOOKUP($A2281, 'Completion rates'!$A:$E, 2, FALSE)</f>
        <v>Opening the brimstone chest</v>
      </c>
      <c r="C2281" s="212">
        <v>23047.0</v>
      </c>
      <c r="D2281" s="6" t="str">
        <f>VLOOKUP($C2281, 'List of log slots'!$A:$E, 2, FALSE)</f>
        <v>Mystic hat (dusk)</v>
      </c>
      <c r="E2281" s="207">
        <f>VLOOKUP($C2281, 'List of log slots'!$A:$E, 5, FALSE)</f>
        <v>8</v>
      </c>
      <c r="F2281" s="209" t="b">
        <f>VLOOKUP(C2281, 'List of log slots'!$A:$C, 3, FALSE)</f>
        <v>0</v>
      </c>
      <c r="G2281" s="209" t="b">
        <f t="shared" si="1775"/>
        <v>0</v>
      </c>
      <c r="H2281" s="210" t="b">
        <f t="shared" si="7"/>
        <v>1</v>
      </c>
      <c r="I2281" s="208" t="b">
        <f t="shared" ref="I2281:J2281" si="1817">FALSE</f>
        <v>0</v>
      </c>
      <c r="J2281" s="208" t="b">
        <f t="shared" si="1817"/>
        <v>0</v>
      </c>
      <c r="K2281" s="214">
        <v>1000.0</v>
      </c>
      <c r="L2281" s="207" t="str">
        <f t="shared" si="3"/>
        <v>n/a</v>
      </c>
      <c r="M2281" s="212" t="str">
        <f t="shared" si="4"/>
        <v>n/a</v>
      </c>
      <c r="N2281" s="207" t="str">
        <f t="shared" si="1421"/>
        <v>n/a</v>
      </c>
      <c r="O2281" s="207">
        <f t="shared" si="1422"/>
        <v>0.001</v>
      </c>
    </row>
    <row r="2282">
      <c r="A2282" s="212">
        <v>195.0</v>
      </c>
      <c r="B2282" s="6" t="str">
        <f>VLOOKUP($A2282, 'Completion rates'!$A:$E, 2, FALSE)</f>
        <v>Opening the brimstone chest</v>
      </c>
      <c r="C2282" s="212">
        <v>23050.0</v>
      </c>
      <c r="D2282" s="6" t="str">
        <f>VLOOKUP($C2282, 'List of log slots'!$A:$E, 2, FALSE)</f>
        <v>Mystic robe top (dusk)</v>
      </c>
      <c r="E2282" s="207">
        <f>VLOOKUP($C2282, 'List of log slots'!$A:$E, 5, FALSE)</f>
        <v>8</v>
      </c>
      <c r="F2282" s="209" t="b">
        <f>VLOOKUP(C2282, 'List of log slots'!$A:$C, 3, FALSE)</f>
        <v>0</v>
      </c>
      <c r="G2282" s="209" t="b">
        <f t="shared" si="1775"/>
        <v>0</v>
      </c>
      <c r="H2282" s="210" t="b">
        <f t="shared" si="7"/>
        <v>1</v>
      </c>
      <c r="I2282" s="208" t="b">
        <f t="shared" ref="I2282:J2282" si="1818">FALSE</f>
        <v>0</v>
      </c>
      <c r="J2282" s="208" t="b">
        <f t="shared" si="1818"/>
        <v>0</v>
      </c>
      <c r="K2282" s="214">
        <v>1000.0</v>
      </c>
      <c r="L2282" s="207" t="str">
        <f t="shared" si="3"/>
        <v>n/a</v>
      </c>
      <c r="M2282" s="212" t="str">
        <f t="shared" si="4"/>
        <v>n/a</v>
      </c>
      <c r="N2282" s="207" t="str">
        <f t="shared" si="1421"/>
        <v>n/a</v>
      </c>
      <c r="O2282" s="207">
        <f t="shared" si="1422"/>
        <v>0.001</v>
      </c>
    </row>
    <row r="2283">
      <c r="A2283" s="212">
        <v>195.0</v>
      </c>
      <c r="B2283" s="6" t="str">
        <f>VLOOKUP($A2283, 'Completion rates'!$A:$E, 2, FALSE)</f>
        <v>Opening the brimstone chest</v>
      </c>
      <c r="C2283" s="212">
        <v>23053.0</v>
      </c>
      <c r="D2283" s="6" t="str">
        <f>VLOOKUP($C2283, 'List of log slots'!$A:$E, 2, FALSE)</f>
        <v>Mystic robe bottom (dusk)</v>
      </c>
      <c r="E2283" s="207">
        <f>VLOOKUP($C2283, 'List of log slots'!$A:$E, 5, FALSE)</f>
        <v>8</v>
      </c>
      <c r="F2283" s="209" t="b">
        <f>VLOOKUP(C2283, 'List of log slots'!$A:$C, 3, FALSE)</f>
        <v>0</v>
      </c>
      <c r="G2283" s="209" t="b">
        <f t="shared" si="1775"/>
        <v>0</v>
      </c>
      <c r="H2283" s="210" t="b">
        <f t="shared" si="7"/>
        <v>1</v>
      </c>
      <c r="I2283" s="208" t="b">
        <f t="shared" ref="I2283:J2283" si="1819">FALSE</f>
        <v>0</v>
      </c>
      <c r="J2283" s="208" t="b">
        <f t="shared" si="1819"/>
        <v>0</v>
      </c>
      <c r="K2283" s="214">
        <v>1000.0</v>
      </c>
      <c r="L2283" s="207" t="str">
        <f t="shared" si="3"/>
        <v>n/a</v>
      </c>
      <c r="M2283" s="212" t="str">
        <f t="shared" si="4"/>
        <v>n/a</v>
      </c>
      <c r="N2283" s="207" t="str">
        <f t="shared" si="1421"/>
        <v>n/a</v>
      </c>
      <c r="O2283" s="207">
        <f t="shared" si="1422"/>
        <v>0.001</v>
      </c>
    </row>
    <row r="2284">
      <c r="A2284" s="212">
        <v>195.0</v>
      </c>
      <c r="B2284" s="6" t="str">
        <f>VLOOKUP($A2284, 'Completion rates'!$A:$E, 2, FALSE)</f>
        <v>Opening the brimstone chest</v>
      </c>
      <c r="C2284" s="212">
        <v>23056.0</v>
      </c>
      <c r="D2284" s="6" t="str">
        <f>VLOOKUP($C2284, 'List of log slots'!$A:$E, 2, FALSE)</f>
        <v>Mystic gloves (dusk)</v>
      </c>
      <c r="E2284" s="207">
        <f>VLOOKUP($C2284, 'List of log slots'!$A:$E, 5, FALSE)</f>
        <v>8</v>
      </c>
      <c r="F2284" s="209" t="b">
        <f>VLOOKUP(C2284, 'List of log slots'!$A:$C, 3, FALSE)</f>
        <v>0</v>
      </c>
      <c r="G2284" s="209" t="b">
        <f t="shared" si="1775"/>
        <v>0</v>
      </c>
      <c r="H2284" s="210" t="b">
        <f t="shared" si="7"/>
        <v>1</v>
      </c>
      <c r="I2284" s="208" t="b">
        <f t="shared" ref="I2284:J2284" si="1820">FALSE</f>
        <v>0</v>
      </c>
      <c r="J2284" s="208" t="b">
        <f t="shared" si="1820"/>
        <v>0</v>
      </c>
      <c r="K2284" s="214">
        <v>1000.0</v>
      </c>
      <c r="L2284" s="207" t="str">
        <f t="shared" si="3"/>
        <v>n/a</v>
      </c>
      <c r="M2284" s="212" t="str">
        <f t="shared" si="4"/>
        <v>n/a</v>
      </c>
      <c r="N2284" s="207" t="str">
        <f t="shared" si="1421"/>
        <v>n/a</v>
      </c>
      <c r="O2284" s="207">
        <f t="shared" si="1422"/>
        <v>0.001</v>
      </c>
    </row>
    <row r="2285">
      <c r="A2285" s="212">
        <v>195.0</v>
      </c>
      <c r="B2285" s="6" t="str">
        <f>VLOOKUP($A2285, 'Completion rates'!$A:$E, 2, FALSE)</f>
        <v>Opening the brimstone chest</v>
      </c>
      <c r="C2285" s="212">
        <v>23059.0</v>
      </c>
      <c r="D2285" s="6" t="str">
        <f>VLOOKUP($C2285, 'List of log slots'!$A:$E, 2, FALSE)</f>
        <v>Mystic boots (dusk)</v>
      </c>
      <c r="E2285" s="207">
        <f>VLOOKUP($C2285, 'List of log slots'!$A:$E, 5, FALSE)</f>
        <v>8</v>
      </c>
      <c r="F2285" s="209" t="b">
        <f>VLOOKUP(C2285, 'List of log slots'!$A:$C, 3, FALSE)</f>
        <v>0</v>
      </c>
      <c r="G2285" s="209" t="b">
        <f t="shared" si="1775"/>
        <v>0</v>
      </c>
      <c r="H2285" s="210" t="b">
        <f t="shared" si="7"/>
        <v>1</v>
      </c>
      <c r="I2285" s="208" t="b">
        <f t="shared" ref="I2285:J2285" si="1821">FALSE</f>
        <v>0</v>
      </c>
      <c r="J2285" s="208" t="b">
        <f t="shared" si="1821"/>
        <v>0</v>
      </c>
      <c r="K2285" s="214">
        <v>1000.0</v>
      </c>
      <c r="L2285" s="207" t="str">
        <f t="shared" si="3"/>
        <v>n/a</v>
      </c>
      <c r="M2285" s="212" t="str">
        <f t="shared" si="4"/>
        <v>n/a</v>
      </c>
      <c r="N2285" s="207" t="str">
        <f t="shared" si="1421"/>
        <v>n/a</v>
      </c>
      <c r="O2285" s="207">
        <f t="shared" si="1422"/>
        <v>0.001</v>
      </c>
    </row>
    <row r="2286">
      <c r="A2286" s="212">
        <v>196.0</v>
      </c>
      <c r="B2286" s="6" t="str">
        <f>VLOOKUP($A2286, 'Completion rates'!$A:$E, 2, FALSE)</f>
        <v>Killing drakes (on task)</v>
      </c>
      <c r="C2286" s="212">
        <v>20724.0</v>
      </c>
      <c r="D2286" s="6" t="str">
        <f>VLOOKUP($C2286, 'List of log slots'!$A:$E, 2, FALSE)</f>
        <v>Imbued heart</v>
      </c>
      <c r="E2286" s="207">
        <f>VLOOKUP($C2286, 'List of log slots'!$A:$E, 5, FALSE)</f>
        <v>8</v>
      </c>
      <c r="F2286" s="209" t="b">
        <f>VLOOKUP(C2286, 'List of log slots'!$A:$C, 3, FALSE)</f>
        <v>0</v>
      </c>
      <c r="G2286" s="209" t="b">
        <f t="shared" si="1775"/>
        <v>0</v>
      </c>
      <c r="H2286" s="210" t="b">
        <f t="shared" si="7"/>
        <v>1</v>
      </c>
      <c r="I2286" s="208" t="b">
        <f t="shared" ref="I2286:J2286" si="1822">FALSE</f>
        <v>0</v>
      </c>
      <c r="J2286" s="208" t="b">
        <f t="shared" si="1822"/>
        <v>0</v>
      </c>
      <c r="K2286" s="214">
        <v>55200.0</v>
      </c>
      <c r="L2286" s="207" t="str">
        <f t="shared" si="3"/>
        <v>n/a</v>
      </c>
      <c r="M2286" s="212" t="str">
        <f t="shared" si="4"/>
        <v>n/a</v>
      </c>
      <c r="N2286" s="207" t="str">
        <f t="shared" si="1421"/>
        <v>n/a</v>
      </c>
      <c r="O2286" s="207">
        <f t="shared" si="1422"/>
        <v>0.00001811594203</v>
      </c>
    </row>
    <row r="2287">
      <c r="A2287" s="212">
        <v>196.0</v>
      </c>
      <c r="B2287" s="6" t="str">
        <f>VLOOKUP($A2287, 'Completion rates'!$A:$E, 2, FALSE)</f>
        <v>Killing drakes (on task)</v>
      </c>
      <c r="C2287" s="212">
        <v>21270.0</v>
      </c>
      <c r="D2287" s="6" t="str">
        <f>VLOOKUP($C2287, 'List of log slots'!$A:$E, 2, FALSE)</f>
        <v>Eternal gem</v>
      </c>
      <c r="E2287" s="207">
        <f>VLOOKUP($C2287, 'List of log slots'!$A:$E, 5, FALSE)</f>
        <v>8</v>
      </c>
      <c r="F2287" s="210" t="b">
        <f>VLOOKUP(C2287, 'List of log slots'!$A:$C, 3, FALSE)</f>
        <v>0</v>
      </c>
      <c r="G2287" s="209" t="b">
        <f t="shared" si="1775"/>
        <v>0</v>
      </c>
      <c r="H2287" s="209" t="b">
        <f t="shared" si="7"/>
        <v>1</v>
      </c>
      <c r="I2287" s="208" t="b">
        <f t="shared" ref="I2287:J2287" si="1823">FALSE</f>
        <v>0</v>
      </c>
      <c r="J2287" s="208" t="b">
        <f t="shared" si="1823"/>
        <v>0</v>
      </c>
      <c r="K2287" s="214">
        <v>55200.0</v>
      </c>
      <c r="L2287" s="207" t="str">
        <f t="shared" si="3"/>
        <v>n/a</v>
      </c>
      <c r="M2287" s="212" t="str">
        <f t="shared" si="4"/>
        <v>n/a</v>
      </c>
      <c r="N2287" s="207" t="str">
        <f t="shared" si="1421"/>
        <v>n/a</v>
      </c>
      <c r="O2287" s="207">
        <f t="shared" si="1422"/>
        <v>0.00001811594203</v>
      </c>
    </row>
    <row r="2288">
      <c r="A2288" s="212">
        <v>196.0</v>
      </c>
      <c r="B2288" s="6" t="str">
        <f>VLOOKUP($A2288, 'Completion rates'!$A:$E, 2, FALSE)</f>
        <v>Killing drakes (on task)</v>
      </c>
      <c r="C2288" s="212">
        <v>20736.0</v>
      </c>
      <c r="D2288" s="6" t="str">
        <f>VLOOKUP($C2288, 'List of log slots'!$A:$E, 2, FALSE)</f>
        <v>Dust battlestaff</v>
      </c>
      <c r="E2288" s="207">
        <f>VLOOKUP($C2288, 'List of log slots'!$A:$E, 5, FALSE)</f>
        <v>6</v>
      </c>
      <c r="F2288" s="210" t="b">
        <f>VLOOKUP(C2288, 'List of log slots'!$A:$C, 3, FALSE)</f>
        <v>0</v>
      </c>
      <c r="G2288" s="209" t="b">
        <f t="shared" si="1775"/>
        <v>0</v>
      </c>
      <c r="H2288" s="209" t="b">
        <f t="shared" si="7"/>
        <v>1</v>
      </c>
      <c r="I2288" s="208" t="b">
        <f t="shared" ref="I2288:J2288" si="1824">FALSE</f>
        <v>0</v>
      </c>
      <c r="J2288" s="208" t="b">
        <f t="shared" si="1824"/>
        <v>0</v>
      </c>
      <c r="K2288" s="214">
        <v>18400.0</v>
      </c>
      <c r="L2288" s="207" t="str">
        <f t="shared" si="3"/>
        <v>n/a</v>
      </c>
      <c r="M2288" s="212" t="str">
        <f t="shared" si="4"/>
        <v>n/a</v>
      </c>
      <c r="N2288" s="207" t="str">
        <f t="shared" si="1421"/>
        <v>n/a</v>
      </c>
      <c r="O2288" s="207">
        <f t="shared" si="1422"/>
        <v>0.00005434782609</v>
      </c>
    </row>
    <row r="2289">
      <c r="A2289" s="212">
        <v>196.0</v>
      </c>
      <c r="B2289" s="6" t="str">
        <f>VLOOKUP($A2289, 'Completion rates'!$A:$E, 2, FALSE)</f>
        <v>Killing drakes (on task)</v>
      </c>
      <c r="C2289" s="212">
        <v>20730.0</v>
      </c>
      <c r="D2289" s="6" t="str">
        <f>VLOOKUP($C2289, 'List of log slots'!$A:$E, 2, FALSE)</f>
        <v>Mist battlestaff</v>
      </c>
      <c r="E2289" s="207">
        <f>VLOOKUP($C2289, 'List of log slots'!$A:$E, 5, FALSE)</f>
        <v>7</v>
      </c>
      <c r="F2289" s="210" t="b">
        <f>VLOOKUP(C2289, 'List of log slots'!$A:$C, 3, FALSE)</f>
        <v>0</v>
      </c>
      <c r="G2289" s="209" t="b">
        <f t="shared" si="1775"/>
        <v>0</v>
      </c>
      <c r="H2289" s="209" t="b">
        <f t="shared" si="7"/>
        <v>1</v>
      </c>
      <c r="I2289" s="208" t="b">
        <f t="shared" ref="I2289:J2289" si="1825">FALSE</f>
        <v>0</v>
      </c>
      <c r="J2289" s="208" t="b">
        <f t="shared" si="1825"/>
        <v>0</v>
      </c>
      <c r="K2289" s="214">
        <v>18400.0</v>
      </c>
      <c r="L2289" s="207" t="str">
        <f t="shared" si="3"/>
        <v>n/a</v>
      </c>
      <c r="M2289" s="212" t="str">
        <f t="shared" si="4"/>
        <v>n/a</v>
      </c>
      <c r="N2289" s="207" t="str">
        <f t="shared" si="1421"/>
        <v>n/a</v>
      </c>
      <c r="O2289" s="207">
        <f t="shared" si="1422"/>
        <v>0.00005434782609</v>
      </c>
    </row>
    <row r="2290">
      <c r="A2290" s="212">
        <v>196.0</v>
      </c>
      <c r="B2290" s="6" t="str">
        <f>VLOOKUP($A2290, 'Completion rates'!$A:$E, 2, FALSE)</f>
        <v>Killing drakes (on task)</v>
      </c>
      <c r="C2290" s="212">
        <v>22804.0</v>
      </c>
      <c r="D2290" s="6" t="str">
        <f>VLOOKUP($C2290, 'List of log slots'!$A:$E, 2, FALSE)</f>
        <v>Dragon knife</v>
      </c>
      <c r="E2290" s="207">
        <f>VLOOKUP($C2290, 'List of log slots'!$A:$E, 5, FALSE)</f>
        <v>5</v>
      </c>
      <c r="F2290" s="210" t="b">
        <f>VLOOKUP(C2290, 'List of log slots'!$A:$C, 3, FALSE)</f>
        <v>0</v>
      </c>
      <c r="G2290" s="209" t="b">
        <f t="shared" si="1775"/>
        <v>0</v>
      </c>
      <c r="H2290" s="209" t="b">
        <f t="shared" si="7"/>
        <v>1</v>
      </c>
      <c r="I2290" s="208" t="b">
        <f t="shared" ref="I2290:J2290" si="1826">FALSE</f>
        <v>0</v>
      </c>
      <c r="J2290" s="208" t="b">
        <f t="shared" si="1826"/>
        <v>0</v>
      </c>
      <c r="K2290" s="214">
        <v>2000.0</v>
      </c>
      <c r="L2290" s="207" t="str">
        <f t="shared" si="3"/>
        <v>n/a</v>
      </c>
      <c r="M2290" s="212" t="str">
        <f t="shared" si="4"/>
        <v>n/a</v>
      </c>
      <c r="N2290" s="207" t="str">
        <f t="shared" si="1421"/>
        <v>n/a</v>
      </c>
      <c r="O2290" s="207">
        <f t="shared" si="1422"/>
        <v>0.0005</v>
      </c>
    </row>
    <row r="2291">
      <c r="A2291" s="212">
        <v>196.0</v>
      </c>
      <c r="B2291" s="6" t="str">
        <f>VLOOKUP($A2291, 'Completion rates'!$A:$E, 2, FALSE)</f>
        <v>Killing drakes (on task)</v>
      </c>
      <c r="C2291" s="212">
        <v>20849.0</v>
      </c>
      <c r="D2291" s="6" t="str">
        <f>VLOOKUP($C2291, 'List of log slots'!$A:$E, 2, FALSE)</f>
        <v>Dragon thrownaxe</v>
      </c>
      <c r="E2291" s="207">
        <f>VLOOKUP($C2291, 'List of log slots'!$A:$E, 5, FALSE)</f>
        <v>5</v>
      </c>
      <c r="F2291" s="209" t="b">
        <f>VLOOKUP(C2291, 'List of log slots'!$A:$C, 3, FALSE)</f>
        <v>0</v>
      </c>
      <c r="G2291" s="209" t="b">
        <f t="shared" si="1775"/>
        <v>0</v>
      </c>
      <c r="H2291" s="210" t="b">
        <f t="shared" si="7"/>
        <v>1</v>
      </c>
      <c r="I2291" s="208" t="b">
        <f t="shared" ref="I2291:J2291" si="1827">FALSE</f>
        <v>0</v>
      </c>
      <c r="J2291" s="208" t="b">
        <f t="shared" si="1827"/>
        <v>0</v>
      </c>
      <c r="K2291" s="214">
        <v>2000.0</v>
      </c>
      <c r="L2291" s="207" t="str">
        <f t="shared" si="3"/>
        <v>n/a</v>
      </c>
      <c r="M2291" s="212" t="str">
        <f t="shared" si="4"/>
        <v>n/a</v>
      </c>
      <c r="N2291" s="207" t="str">
        <f t="shared" si="1421"/>
        <v>n/a</v>
      </c>
      <c r="O2291" s="207">
        <f t="shared" si="1422"/>
        <v>0.0005</v>
      </c>
    </row>
    <row r="2292">
      <c r="A2292" s="212">
        <v>196.0</v>
      </c>
      <c r="B2292" s="6" t="str">
        <f>VLOOKUP($A2292, 'Completion rates'!$A:$E, 2, FALSE)</f>
        <v>Killing drakes (on task)</v>
      </c>
      <c r="C2292" s="212">
        <v>22960.0</v>
      </c>
      <c r="D2292" s="6" t="str">
        <f>VLOOKUP($C2292, 'List of log slots'!$A:$E, 2, FALSE)</f>
        <v>Drake's tooth</v>
      </c>
      <c r="E2292" s="207">
        <f>VLOOKUP($C2292, 'List of log slots'!$A:$E, 5, FALSE)</f>
        <v>4</v>
      </c>
      <c r="F2292" s="209" t="b">
        <f>VLOOKUP(C2292, 'List of log slots'!$A:$C, 3, FALSE)</f>
        <v>0</v>
      </c>
      <c r="G2292" s="209" t="b">
        <f t="shared" si="1775"/>
        <v>0</v>
      </c>
      <c r="H2292" s="210" t="b">
        <f t="shared" si="7"/>
        <v>1</v>
      </c>
      <c r="I2292" s="208" t="b">
        <f t="shared" ref="I2292:J2292" si="1828">FALSE</f>
        <v>0</v>
      </c>
      <c r="J2292" s="208" t="b">
        <f t="shared" si="1828"/>
        <v>0</v>
      </c>
      <c r="K2292" s="214">
        <v>512.0</v>
      </c>
      <c r="L2292" s="207" t="str">
        <f t="shared" si="3"/>
        <v>n/a</v>
      </c>
      <c r="M2292" s="212" t="str">
        <f t="shared" si="4"/>
        <v>n/a</v>
      </c>
      <c r="N2292" s="207" t="str">
        <f t="shared" si="1421"/>
        <v>n/a</v>
      </c>
      <c r="O2292" s="207">
        <f t="shared" si="1422"/>
        <v>0.001953125</v>
      </c>
    </row>
    <row r="2293">
      <c r="A2293" s="212">
        <v>196.0</v>
      </c>
      <c r="B2293" s="6" t="str">
        <f>VLOOKUP($A2293, 'Completion rates'!$A:$E, 2, FALSE)</f>
        <v>Killing drakes (on task)</v>
      </c>
      <c r="C2293" s="212">
        <v>22957.0</v>
      </c>
      <c r="D2293" s="6" t="str">
        <f>VLOOKUP($C2293, 'List of log slots'!$A:$E, 2, FALSE)</f>
        <v>Drake's claw</v>
      </c>
      <c r="E2293" s="207">
        <f>VLOOKUP($C2293, 'List of log slots'!$A:$E, 5, FALSE)</f>
        <v>4</v>
      </c>
      <c r="F2293" s="209" t="b">
        <f>VLOOKUP(C2293, 'List of log slots'!$A:$C, 3, FALSE)</f>
        <v>0</v>
      </c>
      <c r="G2293" s="209" t="b">
        <f t="shared" si="1775"/>
        <v>0</v>
      </c>
      <c r="H2293" s="210" t="b">
        <f t="shared" si="7"/>
        <v>1</v>
      </c>
      <c r="I2293" s="208" t="b">
        <f t="shared" ref="I2293:J2293" si="1829">FALSE</f>
        <v>0</v>
      </c>
      <c r="J2293" s="208" t="b">
        <f t="shared" si="1829"/>
        <v>0</v>
      </c>
      <c r="K2293" s="214">
        <v>512.0</v>
      </c>
      <c r="L2293" s="207" t="str">
        <f t="shared" si="3"/>
        <v>n/a</v>
      </c>
      <c r="M2293" s="212" t="str">
        <f t="shared" si="4"/>
        <v>n/a</v>
      </c>
      <c r="N2293" s="207" t="str">
        <f t="shared" si="1421"/>
        <v>n/a</v>
      </c>
      <c r="O2293" s="207">
        <f t="shared" si="1422"/>
        <v>0.001953125</v>
      </c>
    </row>
    <row r="2294">
      <c r="A2294" s="212">
        <v>196.0</v>
      </c>
      <c r="B2294" s="6" t="str">
        <f>VLOOKUP($A2294, 'Completion rates'!$A:$E, 2, FALSE)</f>
        <v>Killing drakes (on task)</v>
      </c>
      <c r="C2294" s="212">
        <v>2366.0</v>
      </c>
      <c r="D2294" s="6" t="str">
        <f>VLOOKUP($C2294, 'List of log slots'!$A:$E, 2, FALSE)</f>
        <v>Shield left half</v>
      </c>
      <c r="E2294" s="207">
        <f>VLOOKUP($C2294, 'List of log slots'!$A:$E, 5, FALSE)</f>
        <v>5</v>
      </c>
      <c r="F2294" s="210" t="b">
        <f>VLOOKUP(C2294, 'List of log slots'!$A:$C, 3, FALSE)</f>
        <v>0</v>
      </c>
      <c r="G2294" s="209" t="b">
        <f t="shared" si="1775"/>
        <v>0</v>
      </c>
      <c r="H2294" s="209" t="b">
        <f t="shared" si="7"/>
        <v>1</v>
      </c>
      <c r="I2294" s="208" t="b">
        <f t="shared" ref="I2294:J2294" si="1830">FALSE</f>
        <v>0</v>
      </c>
      <c r="J2294" s="208" t="b">
        <f t="shared" si="1830"/>
        <v>0</v>
      </c>
      <c r="K2294" s="214">
        <v>348160.0</v>
      </c>
      <c r="L2294" s="207" t="str">
        <f t="shared" si="3"/>
        <v>n/a</v>
      </c>
      <c r="M2294" s="212" t="str">
        <f t="shared" si="4"/>
        <v>n/a</v>
      </c>
      <c r="N2294" s="207" t="str">
        <f t="shared" si="1421"/>
        <v>n/a</v>
      </c>
      <c r="O2294" s="207">
        <f t="shared" si="1422"/>
        <v>0.000002872242647</v>
      </c>
    </row>
    <row r="2295">
      <c r="A2295" s="212">
        <v>196.0</v>
      </c>
      <c r="B2295" s="6" t="str">
        <f>VLOOKUP($A2295, 'Completion rates'!$A:$E, 2, FALSE)</f>
        <v>Killing drakes (on task)</v>
      </c>
      <c r="C2295" s="212">
        <v>1249.0</v>
      </c>
      <c r="D2295" s="6" t="str">
        <f>VLOOKUP($C2295, 'List of log slots'!$A:$E, 2, FALSE)</f>
        <v>Dragon spear</v>
      </c>
      <c r="E2295" s="207">
        <f>VLOOKUP($C2295, 'List of log slots'!$A:$E, 5, FALSE)</f>
        <v>5</v>
      </c>
      <c r="F2295" s="210" t="b">
        <f>VLOOKUP(C2295, 'List of log slots'!$A:$C, 3, FALSE)</f>
        <v>0</v>
      </c>
      <c r="G2295" s="209" t="b">
        <f t="shared" si="1775"/>
        <v>0</v>
      </c>
      <c r="H2295" s="209" t="b">
        <f t="shared" si="7"/>
        <v>1</v>
      </c>
      <c r="I2295" s="208" t="b">
        <f t="shared" ref="I2295:J2295" si="1831">FALSE</f>
        <v>0</v>
      </c>
      <c r="J2295" s="208" t="b">
        <f t="shared" si="1831"/>
        <v>0</v>
      </c>
      <c r="K2295" s="214">
        <v>464213.0</v>
      </c>
      <c r="L2295" s="207" t="str">
        <f t="shared" si="3"/>
        <v>n/a</v>
      </c>
      <c r="M2295" s="212" t="str">
        <f t="shared" si="4"/>
        <v>n/a</v>
      </c>
      <c r="N2295" s="207" t="str">
        <f t="shared" si="1421"/>
        <v>n/a</v>
      </c>
      <c r="O2295" s="207">
        <f t="shared" si="1422"/>
        <v>0.000002154183532</v>
      </c>
    </row>
    <row r="2296">
      <c r="A2296" s="212">
        <v>197.0</v>
      </c>
      <c r="B2296" s="6" t="str">
        <f>VLOOKUP($A2296, 'Completion rates'!$A:$E, 2, FALSE)</f>
        <v>Killing sulphur lizards</v>
      </c>
      <c r="C2296" s="212">
        <v>4115.0</v>
      </c>
      <c r="D2296" s="6" t="str">
        <f>VLOOKUP($C2296, 'List of log slots'!$A:$E, 2, FALSE)</f>
        <v>Mystic gloves (light)</v>
      </c>
      <c r="E2296" s="207">
        <f>VLOOKUP($C2296, 'List of log slots'!$A:$E, 5, FALSE)</f>
        <v>3</v>
      </c>
      <c r="F2296" s="209" t="b">
        <f>VLOOKUP(C2296, 'List of log slots'!$A:$C, 3, FALSE)</f>
        <v>0</v>
      </c>
      <c r="G2296" s="209" t="b">
        <f t="shared" si="1775"/>
        <v>0</v>
      </c>
      <c r="H2296" s="210" t="b">
        <f t="shared" si="7"/>
        <v>1</v>
      </c>
      <c r="I2296" s="208" t="b">
        <f t="shared" ref="I2296:J2296" si="1832">FALSE</f>
        <v>0</v>
      </c>
      <c r="J2296" s="208" t="b">
        <f t="shared" si="1832"/>
        <v>0</v>
      </c>
      <c r="K2296" s="214">
        <v>512.0</v>
      </c>
      <c r="L2296" s="207" t="str">
        <f t="shared" si="3"/>
        <v>n/a</v>
      </c>
      <c r="M2296" s="212" t="str">
        <f t="shared" si="4"/>
        <v>n/a</v>
      </c>
      <c r="N2296" s="207" t="str">
        <f t="shared" si="1421"/>
        <v>n/a</v>
      </c>
      <c r="O2296" s="207">
        <f t="shared" si="1422"/>
        <v>0.001953125</v>
      </c>
    </row>
    <row r="2297">
      <c r="A2297" s="212">
        <v>197.0</v>
      </c>
      <c r="B2297" s="6" t="str">
        <f>VLOOKUP($A2297, 'Completion rates'!$A:$E, 2, FALSE)</f>
        <v>Killing sulphur lizards</v>
      </c>
      <c r="C2297" s="212">
        <v>2366.0</v>
      </c>
      <c r="D2297" s="6" t="str">
        <f>VLOOKUP($C2297, 'List of log slots'!$A:$E, 2, FALSE)</f>
        <v>Shield left half</v>
      </c>
      <c r="E2297" s="207">
        <f>VLOOKUP($C2297, 'List of log slots'!$A:$E, 5, FALSE)</f>
        <v>5</v>
      </c>
      <c r="F2297" s="210" t="b">
        <f>VLOOKUP(C2297, 'List of log slots'!$A:$C, 3, FALSE)</f>
        <v>0</v>
      </c>
      <c r="G2297" s="209" t="b">
        <f t="shared" si="1775"/>
        <v>0</v>
      </c>
      <c r="H2297" s="209" t="b">
        <f t="shared" si="7"/>
        <v>1</v>
      </c>
      <c r="I2297" s="208" t="b">
        <f t="shared" ref="I2297:J2297" si="1833">FALSE</f>
        <v>0</v>
      </c>
      <c r="J2297" s="208" t="b">
        <f t="shared" si="1833"/>
        <v>0</v>
      </c>
      <c r="K2297" s="214">
        <v>87381.0</v>
      </c>
      <c r="L2297" s="207" t="str">
        <f t="shared" si="3"/>
        <v>n/a</v>
      </c>
      <c r="M2297" s="212" t="str">
        <f t="shared" si="4"/>
        <v>n/a</v>
      </c>
      <c r="N2297" s="207" t="str">
        <f t="shared" si="1421"/>
        <v>n/a</v>
      </c>
      <c r="O2297" s="207">
        <f t="shared" si="1422"/>
        <v>0.00001144413545</v>
      </c>
    </row>
    <row r="2298">
      <c r="A2298" s="212">
        <v>197.0</v>
      </c>
      <c r="B2298" s="6" t="str">
        <f>VLOOKUP($A2298, 'Completion rates'!$A:$E, 2, FALSE)</f>
        <v>Killing sulphur lizards</v>
      </c>
      <c r="C2298" s="212">
        <v>1249.0</v>
      </c>
      <c r="D2298" s="6" t="str">
        <f>VLOOKUP($C2298, 'List of log slots'!$A:$E, 2, FALSE)</f>
        <v>Dragon spear</v>
      </c>
      <c r="E2298" s="207">
        <f>VLOOKUP($C2298, 'List of log slots'!$A:$E, 5, FALSE)</f>
        <v>5</v>
      </c>
      <c r="F2298" s="210" t="b">
        <f>VLOOKUP(C2298, 'List of log slots'!$A:$C, 3, FALSE)</f>
        <v>0</v>
      </c>
      <c r="G2298" s="209" t="b">
        <f t="shared" si="1775"/>
        <v>0</v>
      </c>
      <c r="H2298" s="209" t="b">
        <f t="shared" si="7"/>
        <v>1</v>
      </c>
      <c r="I2298" s="208" t="b">
        <f t="shared" ref="I2298:J2298" si="1834">FALSE</f>
        <v>0</v>
      </c>
      <c r="J2298" s="208" t="b">
        <f t="shared" si="1834"/>
        <v>0</v>
      </c>
      <c r="K2298" s="214">
        <v>116508.0</v>
      </c>
      <c r="L2298" s="207" t="str">
        <f t="shared" si="3"/>
        <v>n/a</v>
      </c>
      <c r="M2298" s="212" t="str">
        <f t="shared" si="4"/>
        <v>n/a</v>
      </c>
      <c r="N2298" s="207" t="str">
        <f t="shared" si="1421"/>
        <v>n/a</v>
      </c>
      <c r="O2298" s="207">
        <f t="shared" si="1422"/>
        <v>0.00000858310159</v>
      </c>
    </row>
    <row r="2299">
      <c r="A2299" s="212">
        <v>198.0</v>
      </c>
      <c r="B2299" s="6" t="str">
        <f>VLOOKUP($A2299, 'Completion rates'!$A:$E, 2, FALSE)</f>
        <v>Killing infernal mages</v>
      </c>
      <c r="C2299" s="212">
        <v>4099.0</v>
      </c>
      <c r="D2299" s="6" t="str">
        <f>VLOOKUP($C2299, 'List of log slots'!$A:$E, 2, FALSE)</f>
        <v>Mystic hat (dark)</v>
      </c>
      <c r="E2299" s="207">
        <f>VLOOKUP($C2299, 'List of log slots'!$A:$E, 5, FALSE)</f>
        <v>3</v>
      </c>
      <c r="F2299" s="210" t="b">
        <f>VLOOKUP(C2299, 'List of log slots'!$A:$C, 3, FALSE)</f>
        <v>0</v>
      </c>
      <c r="G2299" s="209" t="b">
        <f t="shared" si="1775"/>
        <v>0</v>
      </c>
      <c r="H2299" s="209" t="b">
        <f t="shared" si="7"/>
        <v>1</v>
      </c>
      <c r="I2299" s="208" t="b">
        <f t="shared" ref="I2299:J2299" si="1835">FALSE</f>
        <v>0</v>
      </c>
      <c r="J2299" s="208" t="b">
        <f t="shared" si="1835"/>
        <v>0</v>
      </c>
      <c r="K2299" s="214">
        <v>512.0</v>
      </c>
      <c r="L2299" s="207" t="str">
        <f t="shared" si="3"/>
        <v>n/a</v>
      </c>
      <c r="M2299" s="212" t="str">
        <f t="shared" si="4"/>
        <v>n/a</v>
      </c>
      <c r="N2299" s="207" t="str">
        <f t="shared" si="1421"/>
        <v>n/a</v>
      </c>
      <c r="O2299" s="207">
        <f t="shared" si="1422"/>
        <v>0.001953125</v>
      </c>
    </row>
    <row r="2300">
      <c r="A2300" s="212">
        <v>198.0</v>
      </c>
      <c r="B2300" s="6" t="str">
        <f>VLOOKUP($A2300, 'Completion rates'!$A:$E, 2, FALSE)</f>
        <v>Killing infernal mages</v>
      </c>
      <c r="C2300" s="212">
        <v>4107.0</v>
      </c>
      <c r="D2300" s="6" t="str">
        <f>VLOOKUP($C2300, 'List of log slots'!$A:$E, 2, FALSE)</f>
        <v>Mystic boots (dark)</v>
      </c>
      <c r="E2300" s="207">
        <f>VLOOKUP($C2300, 'List of log slots'!$A:$E, 5, FALSE)</f>
        <v>3</v>
      </c>
      <c r="F2300" s="210" t="b">
        <f>VLOOKUP(C2300, 'List of log slots'!$A:$C, 3, FALSE)</f>
        <v>0</v>
      </c>
      <c r="G2300" s="209" t="b">
        <f t="shared" si="1775"/>
        <v>0</v>
      </c>
      <c r="H2300" s="209" t="b">
        <f t="shared" si="7"/>
        <v>1</v>
      </c>
      <c r="I2300" s="208" t="b">
        <f t="shared" ref="I2300:J2300" si="1836">FALSE</f>
        <v>0</v>
      </c>
      <c r="J2300" s="208" t="b">
        <f t="shared" si="1836"/>
        <v>0</v>
      </c>
      <c r="K2300" s="214">
        <v>512.0</v>
      </c>
      <c r="L2300" s="207" t="str">
        <f t="shared" si="3"/>
        <v>n/a</v>
      </c>
      <c r="M2300" s="212" t="str">
        <f t="shared" si="4"/>
        <v>n/a</v>
      </c>
      <c r="N2300" s="207" t="str">
        <f t="shared" si="1421"/>
        <v>n/a</v>
      </c>
      <c r="O2300" s="207">
        <f t="shared" si="1422"/>
        <v>0.001953125</v>
      </c>
    </row>
    <row r="2301">
      <c r="A2301" s="212">
        <v>199.0</v>
      </c>
      <c r="B2301" s="6" t="str">
        <f>VLOOKUP($A2301, 'Completion rates'!$A:$E, 2, FALSE)</f>
        <v>Killing banshees</v>
      </c>
      <c r="C2301" s="212">
        <v>4105.0</v>
      </c>
      <c r="D2301" s="6" t="str">
        <f>VLOOKUP($C2301, 'List of log slots'!$A:$E, 2, FALSE)</f>
        <v>Mystic gloves (dark)</v>
      </c>
      <c r="E2301" s="207">
        <f>VLOOKUP($C2301, 'List of log slots'!$A:$E, 5, FALSE)</f>
        <v>3</v>
      </c>
      <c r="F2301" s="210" t="b">
        <f>VLOOKUP(C2301, 'List of log slots'!$A:$C, 3, FALSE)</f>
        <v>0</v>
      </c>
      <c r="G2301" s="209" t="b">
        <f t="shared" si="1775"/>
        <v>0</v>
      </c>
      <c r="H2301" s="209" t="b">
        <f t="shared" si="7"/>
        <v>1</v>
      </c>
      <c r="I2301" s="208" t="b">
        <f t="shared" ref="I2301:J2301" si="1837">FALSE</f>
        <v>0</v>
      </c>
      <c r="J2301" s="208" t="b">
        <f t="shared" si="1837"/>
        <v>0</v>
      </c>
      <c r="K2301" s="214">
        <v>512.0</v>
      </c>
      <c r="L2301" s="207" t="str">
        <f t="shared" si="3"/>
        <v>n/a</v>
      </c>
      <c r="M2301" s="212" t="str">
        <f t="shared" si="4"/>
        <v>n/a</v>
      </c>
      <c r="N2301" s="207" t="str">
        <f t="shared" si="1421"/>
        <v>n/a</v>
      </c>
      <c r="O2301" s="207">
        <f t="shared" si="1422"/>
        <v>0.001953125</v>
      </c>
    </row>
    <row r="2302">
      <c r="A2302" s="212">
        <v>199.0</v>
      </c>
      <c r="B2302" s="6" t="str">
        <f>VLOOKUP($A2302, 'Completion rates'!$A:$E, 2, FALSE)</f>
        <v>Killing banshees</v>
      </c>
      <c r="C2302" s="212">
        <v>2366.0</v>
      </c>
      <c r="D2302" s="6" t="str">
        <f>VLOOKUP($C2302, 'List of log slots'!$A:$E, 2, FALSE)</f>
        <v>Shield left half</v>
      </c>
      <c r="E2302" s="207">
        <f>VLOOKUP($C2302, 'List of log slots'!$A:$E, 5, FALSE)</f>
        <v>5</v>
      </c>
      <c r="F2302" s="210" t="b">
        <f>VLOOKUP(C2302, 'List of log slots'!$A:$C, 3, FALSE)</f>
        <v>0</v>
      </c>
      <c r="G2302" s="209" t="b">
        <f t="shared" si="1775"/>
        <v>0</v>
      </c>
      <c r="H2302" s="209" t="b">
        <f t="shared" si="7"/>
        <v>1</v>
      </c>
      <c r="I2302" s="208" t="b">
        <f t="shared" ref="I2302:J2302" si="1838">FALSE</f>
        <v>0</v>
      </c>
      <c r="J2302" s="208" t="b">
        <f t="shared" si="1838"/>
        <v>0</v>
      </c>
      <c r="K2302" s="214">
        <v>262144.0</v>
      </c>
      <c r="L2302" s="207" t="str">
        <f t="shared" si="3"/>
        <v>n/a</v>
      </c>
      <c r="M2302" s="212" t="str">
        <f t="shared" si="4"/>
        <v>n/a</v>
      </c>
      <c r="N2302" s="207" t="str">
        <f t="shared" si="1421"/>
        <v>n/a</v>
      </c>
      <c r="O2302" s="207">
        <f t="shared" si="1422"/>
        <v>0.000003814697266</v>
      </c>
    </row>
    <row r="2303">
      <c r="A2303" s="212">
        <v>199.0</v>
      </c>
      <c r="B2303" s="6" t="str">
        <f>VLOOKUP($A2303, 'Completion rates'!$A:$E, 2, FALSE)</f>
        <v>Killing banshees</v>
      </c>
      <c r="C2303" s="212">
        <v>1249.0</v>
      </c>
      <c r="D2303" s="6" t="str">
        <f>VLOOKUP($C2303, 'List of log slots'!$A:$E, 2, FALSE)</f>
        <v>Dragon spear</v>
      </c>
      <c r="E2303" s="207">
        <f>VLOOKUP($C2303, 'List of log slots'!$A:$E, 5, FALSE)</f>
        <v>5</v>
      </c>
      <c r="F2303" s="210" t="b">
        <f>VLOOKUP(C2303, 'List of log slots'!$A:$C, 3, FALSE)</f>
        <v>0</v>
      </c>
      <c r="G2303" s="209" t="b">
        <f t="shared" si="1775"/>
        <v>0</v>
      </c>
      <c r="H2303" s="209" t="b">
        <f t="shared" si="7"/>
        <v>1</v>
      </c>
      <c r="I2303" s="208" t="b">
        <f t="shared" ref="I2303:J2303" si="1839">FALSE</f>
        <v>0</v>
      </c>
      <c r="J2303" s="208" t="b">
        <f t="shared" si="1839"/>
        <v>0</v>
      </c>
      <c r="K2303" s="214">
        <v>349525.0</v>
      </c>
      <c r="L2303" s="207" t="str">
        <f t="shared" si="3"/>
        <v>n/a</v>
      </c>
      <c r="M2303" s="212" t="str">
        <f t="shared" si="4"/>
        <v>n/a</v>
      </c>
      <c r="N2303" s="207" t="str">
        <f t="shared" si="1421"/>
        <v>n/a</v>
      </c>
      <c r="O2303" s="207">
        <f t="shared" si="1422"/>
        <v>0.000002861025678</v>
      </c>
    </row>
    <row r="2304">
      <c r="A2304" s="212">
        <v>200.0</v>
      </c>
      <c r="B2304" s="6" t="str">
        <f>VLOOKUP($A2304, 'Completion rates'!$A:$E, 2, FALSE)</f>
        <v>Killing aberrant spectres</v>
      </c>
      <c r="C2304" s="212">
        <v>4103.0</v>
      </c>
      <c r="D2304" s="6" t="str">
        <f>VLOOKUP($C2304, 'List of log slots'!$A:$E, 2, FALSE)</f>
        <v>Mystic robe bottom (dark)</v>
      </c>
      <c r="E2304" s="207">
        <f>VLOOKUP($C2304, 'List of log slots'!$A:$E, 5, FALSE)</f>
        <v>4</v>
      </c>
      <c r="F2304" s="209" t="b">
        <f>VLOOKUP(C2304, 'List of log slots'!$A:$C, 3, FALSE)</f>
        <v>0</v>
      </c>
      <c r="G2304" s="209" t="b">
        <f t="shared" si="1775"/>
        <v>0</v>
      </c>
      <c r="H2304" s="210" t="b">
        <f t="shared" si="7"/>
        <v>1</v>
      </c>
      <c r="I2304" s="208" t="b">
        <f t="shared" ref="I2304:J2304" si="1840">FALSE</f>
        <v>0</v>
      </c>
      <c r="J2304" s="208" t="b">
        <f t="shared" si="1840"/>
        <v>0</v>
      </c>
      <c r="K2304" s="214">
        <v>512.0</v>
      </c>
      <c r="L2304" s="207" t="str">
        <f t="shared" si="3"/>
        <v>n/a</v>
      </c>
      <c r="M2304" s="212" t="str">
        <f t="shared" si="4"/>
        <v>n/a</v>
      </c>
      <c r="N2304" s="207" t="str">
        <f t="shared" si="1421"/>
        <v>n/a</v>
      </c>
      <c r="O2304" s="207">
        <f t="shared" si="1422"/>
        <v>0.001953125</v>
      </c>
    </row>
    <row r="2305">
      <c r="A2305" s="212">
        <v>200.0</v>
      </c>
      <c r="B2305" s="6" t="str">
        <f>VLOOKUP($A2305, 'Completion rates'!$A:$E, 2, FALSE)</f>
        <v>Killing aberrant spectres</v>
      </c>
      <c r="C2305" s="212">
        <v>2366.0</v>
      </c>
      <c r="D2305" s="6" t="str">
        <f>VLOOKUP($C2305, 'List of log slots'!$A:$E, 2, FALSE)</f>
        <v>Shield left half</v>
      </c>
      <c r="E2305" s="207">
        <f>VLOOKUP($C2305, 'List of log slots'!$A:$E, 5, FALSE)</f>
        <v>5</v>
      </c>
      <c r="F2305" s="210" t="b">
        <f>VLOOKUP(C2305, 'List of log slots'!$A:$C, 3, FALSE)</f>
        <v>0</v>
      </c>
      <c r="G2305" s="209" t="b">
        <f t="shared" si="1775"/>
        <v>0</v>
      </c>
      <c r="H2305" s="209" t="b">
        <f t="shared" si="7"/>
        <v>1</v>
      </c>
      <c r="I2305" s="208" t="b">
        <f t="shared" ref="I2305:J2305" si="1841">FALSE</f>
        <v>0</v>
      </c>
      <c r="J2305" s="208" t="b">
        <f t="shared" si="1841"/>
        <v>0</v>
      </c>
      <c r="K2305" s="214">
        <v>104858.0</v>
      </c>
      <c r="L2305" s="207" t="str">
        <f t="shared" si="3"/>
        <v>n/a</v>
      </c>
      <c r="M2305" s="212" t="str">
        <f t="shared" si="4"/>
        <v>n/a</v>
      </c>
      <c r="N2305" s="207" t="str">
        <f t="shared" si="1421"/>
        <v>n/a</v>
      </c>
      <c r="O2305" s="207">
        <f t="shared" si="1422"/>
        <v>0.000009536706784</v>
      </c>
    </row>
    <row r="2306">
      <c r="A2306" s="212">
        <v>200.0</v>
      </c>
      <c r="B2306" s="6" t="str">
        <f>VLOOKUP($A2306, 'Completion rates'!$A:$E, 2, FALSE)</f>
        <v>Killing aberrant spectres</v>
      </c>
      <c r="C2306" s="212">
        <v>1249.0</v>
      </c>
      <c r="D2306" s="6" t="str">
        <f>VLOOKUP($C2306, 'List of log slots'!$A:$E, 2, FALSE)</f>
        <v>Dragon spear</v>
      </c>
      <c r="E2306" s="207">
        <f>VLOOKUP($C2306, 'List of log slots'!$A:$E, 5, FALSE)</f>
        <v>5</v>
      </c>
      <c r="F2306" s="210" t="b">
        <f>VLOOKUP(C2306, 'List of log slots'!$A:$C, 3, FALSE)</f>
        <v>0</v>
      </c>
      <c r="G2306" s="209" t="b">
        <f t="shared" si="1775"/>
        <v>0</v>
      </c>
      <c r="H2306" s="209" t="b">
        <f t="shared" si="7"/>
        <v>1</v>
      </c>
      <c r="I2306" s="208" t="b">
        <f t="shared" ref="I2306:J2306" si="1842">FALSE</f>
        <v>0</v>
      </c>
      <c r="J2306" s="208" t="b">
        <f t="shared" si="1842"/>
        <v>0</v>
      </c>
      <c r="K2306" s="214">
        <v>139810.0</v>
      </c>
      <c r="L2306" s="207" t="str">
        <f t="shared" si="3"/>
        <v>n/a</v>
      </c>
      <c r="M2306" s="212" t="str">
        <f t="shared" si="4"/>
        <v>n/a</v>
      </c>
      <c r="N2306" s="207" t="str">
        <f t="shared" si="1421"/>
        <v>n/a</v>
      </c>
      <c r="O2306" s="207">
        <f t="shared" si="1422"/>
        <v>0.000007152564194</v>
      </c>
    </row>
    <row r="2307">
      <c r="A2307" s="212">
        <v>201.0</v>
      </c>
      <c r="B2307" s="6" t="str">
        <f>VLOOKUP($A2307, 'Completion rates'!$A:$E, 2, FALSE)</f>
        <v>Killing aquanites (on task)</v>
      </c>
      <c r="C2307" s="212">
        <v>31916.0</v>
      </c>
      <c r="D2307" s="6" t="str">
        <f>VLOOKUP($C2307, 'List of log slots'!$A:$E, 2, FALSE)</f>
        <v>Dragon cannonball</v>
      </c>
      <c r="E2307" s="207">
        <f>VLOOKUP($C2307, 'List of log slots'!$A:$E, 5, FALSE)</f>
        <v>4</v>
      </c>
      <c r="F2307" s="210" t="b">
        <f>VLOOKUP(C2307, 'List of log slots'!$A:$C, 3, FALSE)</f>
        <v>0</v>
      </c>
      <c r="G2307" s="209" t="b">
        <f t="shared" si="1775"/>
        <v>0</v>
      </c>
      <c r="H2307" s="209" t="b">
        <f t="shared" si="7"/>
        <v>1</v>
      </c>
      <c r="I2307" s="208" t="b">
        <f t="shared" ref="I2307:J2307" si="1843">FALSE</f>
        <v>0</v>
      </c>
      <c r="J2307" s="208" t="b">
        <f t="shared" si="1843"/>
        <v>0</v>
      </c>
      <c r="K2307" s="214">
        <v>128.0</v>
      </c>
      <c r="L2307" s="207" t="str">
        <f t="shared" si="3"/>
        <v>n/a</v>
      </c>
      <c r="M2307" s="212" t="str">
        <f t="shared" si="4"/>
        <v>n/a</v>
      </c>
      <c r="N2307" s="207" t="str">
        <f t="shared" si="1421"/>
        <v>n/a</v>
      </c>
      <c r="O2307" s="207">
        <f t="shared" si="1422"/>
        <v>0.0078125</v>
      </c>
    </row>
    <row r="2308">
      <c r="A2308" s="212">
        <v>201.0</v>
      </c>
      <c r="B2308" s="6" t="str">
        <f>VLOOKUP($A2308, 'Completion rates'!$A:$E, 2, FALSE)</f>
        <v>Killing aquanites (on task)</v>
      </c>
      <c r="C2308" s="212">
        <v>20724.0</v>
      </c>
      <c r="D2308" s="6" t="str">
        <f>VLOOKUP($C2308, 'List of log slots'!$A:$E, 2, FALSE)</f>
        <v>Imbued heart</v>
      </c>
      <c r="E2308" s="207">
        <f>VLOOKUP($C2308, 'List of log slots'!$A:$E, 5, FALSE)</f>
        <v>8</v>
      </c>
      <c r="F2308" s="209" t="b">
        <f>VLOOKUP(C2308, 'List of log slots'!$A:$C, 3, FALSE)</f>
        <v>0</v>
      </c>
      <c r="G2308" s="209" t="b">
        <f t="shared" si="1775"/>
        <v>0</v>
      </c>
      <c r="H2308" s="210" t="b">
        <f t="shared" si="7"/>
        <v>1</v>
      </c>
      <c r="I2308" s="208" t="b">
        <f t="shared" ref="I2308:J2308" si="1844">FALSE</f>
        <v>0</v>
      </c>
      <c r="J2308" s="208" t="b">
        <f t="shared" si="1844"/>
        <v>0</v>
      </c>
      <c r="K2308" s="214">
        <v>70800.0</v>
      </c>
      <c r="L2308" s="207" t="str">
        <f t="shared" si="3"/>
        <v>n/a</v>
      </c>
      <c r="M2308" s="212" t="str">
        <f t="shared" si="4"/>
        <v>n/a</v>
      </c>
      <c r="N2308" s="207" t="str">
        <f t="shared" si="1421"/>
        <v>n/a</v>
      </c>
      <c r="O2308" s="207">
        <f t="shared" si="1422"/>
        <v>0.00001412429379</v>
      </c>
    </row>
    <row r="2309">
      <c r="A2309" s="212">
        <v>201.0</v>
      </c>
      <c r="B2309" s="6" t="str">
        <f>VLOOKUP($A2309, 'Completion rates'!$A:$E, 2, FALSE)</f>
        <v>Killing aquanites (on task)</v>
      </c>
      <c r="C2309" s="212">
        <v>21270.0</v>
      </c>
      <c r="D2309" s="6" t="str">
        <f>VLOOKUP($C2309, 'List of log slots'!$A:$E, 2, FALSE)</f>
        <v>Eternal gem</v>
      </c>
      <c r="E2309" s="207">
        <f>VLOOKUP($C2309, 'List of log slots'!$A:$E, 5, FALSE)</f>
        <v>8</v>
      </c>
      <c r="F2309" s="210" t="b">
        <f>VLOOKUP(C2309, 'List of log slots'!$A:$C, 3, FALSE)</f>
        <v>0</v>
      </c>
      <c r="G2309" s="209" t="b">
        <f t="shared" si="1775"/>
        <v>0</v>
      </c>
      <c r="H2309" s="209" t="b">
        <f t="shared" si="7"/>
        <v>1</v>
      </c>
      <c r="I2309" s="208" t="b">
        <f t="shared" ref="I2309:J2309" si="1845">FALSE</f>
        <v>0</v>
      </c>
      <c r="J2309" s="208" t="b">
        <f t="shared" si="1845"/>
        <v>0</v>
      </c>
      <c r="K2309" s="214">
        <v>70800.0</v>
      </c>
      <c r="L2309" s="207" t="str">
        <f t="shared" si="3"/>
        <v>n/a</v>
      </c>
      <c r="M2309" s="212" t="str">
        <f t="shared" si="4"/>
        <v>n/a</v>
      </c>
      <c r="N2309" s="207" t="str">
        <f t="shared" si="1421"/>
        <v>n/a</v>
      </c>
      <c r="O2309" s="207">
        <f t="shared" si="1422"/>
        <v>0.00001412429379</v>
      </c>
    </row>
    <row r="2310">
      <c r="A2310" s="212">
        <v>201.0</v>
      </c>
      <c r="B2310" s="6" t="str">
        <f>VLOOKUP($A2310, 'Completion rates'!$A:$E, 2, FALSE)</f>
        <v>Killing aquanites (on task)</v>
      </c>
      <c r="C2310" s="212">
        <v>20736.0</v>
      </c>
      <c r="D2310" s="6" t="str">
        <f>VLOOKUP($C2310, 'List of log slots'!$A:$E, 2, FALSE)</f>
        <v>Dust battlestaff</v>
      </c>
      <c r="E2310" s="207">
        <f>VLOOKUP($C2310, 'List of log slots'!$A:$E, 5, FALSE)</f>
        <v>6</v>
      </c>
      <c r="F2310" s="210" t="b">
        <f>VLOOKUP(C2310, 'List of log slots'!$A:$C, 3, FALSE)</f>
        <v>0</v>
      </c>
      <c r="G2310" s="209" t="b">
        <f t="shared" si="1775"/>
        <v>0</v>
      </c>
      <c r="H2310" s="209" t="b">
        <f t="shared" si="7"/>
        <v>1</v>
      </c>
      <c r="I2310" s="208" t="b">
        <f t="shared" ref="I2310:J2310" si="1846">FALSE</f>
        <v>0</v>
      </c>
      <c r="J2310" s="208" t="b">
        <f t="shared" si="1846"/>
        <v>0</v>
      </c>
      <c r="K2310" s="214">
        <v>23600.0</v>
      </c>
      <c r="L2310" s="207" t="str">
        <f t="shared" si="3"/>
        <v>n/a</v>
      </c>
      <c r="M2310" s="212" t="str">
        <f t="shared" si="4"/>
        <v>n/a</v>
      </c>
      <c r="N2310" s="207" t="str">
        <f t="shared" si="1421"/>
        <v>n/a</v>
      </c>
      <c r="O2310" s="207">
        <f t="shared" si="1422"/>
        <v>0.00004237288136</v>
      </c>
    </row>
    <row r="2311">
      <c r="A2311" s="212">
        <v>201.0</v>
      </c>
      <c r="B2311" s="6" t="str">
        <f>VLOOKUP($A2311, 'Completion rates'!$A:$E, 2, FALSE)</f>
        <v>Killing aquanites (on task)</v>
      </c>
      <c r="C2311" s="212">
        <v>20730.0</v>
      </c>
      <c r="D2311" s="6" t="str">
        <f>VLOOKUP($C2311, 'List of log slots'!$A:$E, 2, FALSE)</f>
        <v>Mist battlestaff</v>
      </c>
      <c r="E2311" s="207">
        <f>VLOOKUP($C2311, 'List of log slots'!$A:$E, 5, FALSE)</f>
        <v>7</v>
      </c>
      <c r="F2311" s="210" t="b">
        <f>VLOOKUP(C2311, 'List of log slots'!$A:$C, 3, FALSE)</f>
        <v>0</v>
      </c>
      <c r="G2311" s="209" t="b">
        <f t="shared" si="1775"/>
        <v>0</v>
      </c>
      <c r="H2311" s="209" t="b">
        <f t="shared" si="7"/>
        <v>1</v>
      </c>
      <c r="I2311" s="208" t="b">
        <f t="shared" ref="I2311:J2311" si="1847">FALSE</f>
        <v>0</v>
      </c>
      <c r="J2311" s="208" t="b">
        <f t="shared" si="1847"/>
        <v>0</v>
      </c>
      <c r="K2311" s="214">
        <v>23600.0</v>
      </c>
      <c r="L2311" s="207" t="str">
        <f t="shared" si="3"/>
        <v>n/a</v>
      </c>
      <c r="M2311" s="212" t="str">
        <f t="shared" si="4"/>
        <v>n/a</v>
      </c>
      <c r="N2311" s="207" t="str">
        <f t="shared" si="1421"/>
        <v>n/a</v>
      </c>
      <c r="O2311" s="207">
        <f t="shared" si="1422"/>
        <v>0.00004237288136</v>
      </c>
    </row>
    <row r="2312">
      <c r="A2312" s="212">
        <v>201.0</v>
      </c>
      <c r="B2312" s="6" t="str">
        <f>VLOOKUP($A2312, 'Completion rates'!$A:$E, 2, FALSE)</f>
        <v>Killing aquanites (on task)</v>
      </c>
      <c r="C2312" s="212">
        <v>32876.0</v>
      </c>
      <c r="D2312" s="6" t="str">
        <f>VLOOKUP($C2312, 'List of log slots'!$A:$E, 2, FALSE)</f>
        <v>Aquanite tendon</v>
      </c>
      <c r="E2312" s="207">
        <f>VLOOKUP($C2312, 'List of log slots'!$A:$E, 5, FALSE)</f>
        <v>5</v>
      </c>
      <c r="F2312" s="209" t="b">
        <f>VLOOKUP(C2312, 'List of log slots'!$A:$C, 3, FALSE)</f>
        <v>0</v>
      </c>
      <c r="G2312" s="209" t="b">
        <f t="shared" si="1775"/>
        <v>0</v>
      </c>
      <c r="H2312" s="210" t="b">
        <f t="shared" si="7"/>
        <v>1</v>
      </c>
      <c r="I2312" s="208" t="b">
        <f t="shared" ref="I2312:J2312" si="1848">FALSE</f>
        <v>0</v>
      </c>
      <c r="J2312" s="208" t="b">
        <f t="shared" si="1848"/>
        <v>0</v>
      </c>
      <c r="K2312" s="214">
        <v>750.0</v>
      </c>
      <c r="L2312" s="207" t="str">
        <f t="shared" si="3"/>
        <v>n/a</v>
      </c>
      <c r="M2312" s="212" t="str">
        <f t="shared" si="4"/>
        <v>n/a</v>
      </c>
      <c r="N2312" s="207" t="str">
        <f t="shared" si="1421"/>
        <v>n/a</v>
      </c>
      <c r="O2312" s="207">
        <f t="shared" si="1422"/>
        <v>0.001333333333</v>
      </c>
    </row>
    <row r="2313">
      <c r="A2313" s="212">
        <v>201.0</v>
      </c>
      <c r="B2313" s="6" t="str">
        <f>VLOOKUP($A2313, 'Completion rates'!$A:$E, 2, FALSE)</f>
        <v>Killing aquanites (on task)</v>
      </c>
      <c r="C2313" s="212">
        <v>10976.0</v>
      </c>
      <c r="D2313" s="6" t="str">
        <f>VLOOKUP($C2313, 'List of log slots'!$A:$E, 2, FALSE)</f>
        <v>Long bone</v>
      </c>
      <c r="E2313" s="207">
        <f>VLOOKUP($C2313, 'List of log slots'!$A:$E, 5, FALSE)</f>
        <v>3</v>
      </c>
      <c r="F2313" s="210" t="b">
        <f>VLOOKUP(C2313, 'List of log slots'!$A:$C, 3, FALSE)</f>
        <v>0</v>
      </c>
      <c r="G2313" s="209" t="b">
        <f t="shared" si="1775"/>
        <v>0</v>
      </c>
      <c r="H2313" s="209" t="b">
        <f t="shared" si="7"/>
        <v>1</v>
      </c>
      <c r="I2313" s="208" t="b">
        <f t="shared" ref="I2313:J2313" si="1849">FALSE</f>
        <v>0</v>
      </c>
      <c r="J2313" s="208" t="b">
        <f t="shared" si="1849"/>
        <v>0</v>
      </c>
      <c r="K2313" s="214">
        <v>400.0</v>
      </c>
      <c r="L2313" s="207" t="str">
        <f t="shared" si="3"/>
        <v>n/a</v>
      </c>
      <c r="M2313" s="212" t="str">
        <f t="shared" si="4"/>
        <v>n/a</v>
      </c>
      <c r="N2313" s="207" t="str">
        <f t="shared" si="1421"/>
        <v>n/a</v>
      </c>
      <c r="O2313" s="207">
        <f t="shared" si="1422"/>
        <v>0.0025</v>
      </c>
    </row>
    <row r="2314">
      <c r="A2314" s="212">
        <v>201.0</v>
      </c>
      <c r="B2314" s="6" t="str">
        <f>VLOOKUP($A2314, 'Completion rates'!$A:$E, 2, FALSE)</f>
        <v>Killing aquanites (on task)</v>
      </c>
      <c r="C2314" s="212">
        <v>10977.0</v>
      </c>
      <c r="D2314" s="6" t="str">
        <f>VLOOKUP($C2314, 'List of log slots'!$A:$E, 2, FALSE)</f>
        <v>Curved bone</v>
      </c>
      <c r="E2314" s="207">
        <f>VLOOKUP($C2314, 'List of log slots'!$A:$E, 5, FALSE)</f>
        <v>5</v>
      </c>
      <c r="F2314" s="209" t="b">
        <f>VLOOKUP(C2314, 'List of log slots'!$A:$C, 3, FALSE)</f>
        <v>0</v>
      </c>
      <c r="G2314" s="209" t="b">
        <f t="shared" si="1775"/>
        <v>0</v>
      </c>
      <c r="H2314" s="210" t="b">
        <f t="shared" si="7"/>
        <v>1</v>
      </c>
      <c r="I2314" s="208" t="b">
        <f t="shared" ref="I2314:J2314" si="1850">FALSE</f>
        <v>0</v>
      </c>
      <c r="J2314" s="208" t="b">
        <f t="shared" si="1850"/>
        <v>0</v>
      </c>
      <c r="K2314" s="214">
        <v>5013.0</v>
      </c>
      <c r="L2314" s="207" t="str">
        <f t="shared" si="3"/>
        <v>n/a</v>
      </c>
      <c r="M2314" s="212" t="str">
        <f t="shared" si="4"/>
        <v>n/a</v>
      </c>
      <c r="N2314" s="207" t="str">
        <f t="shared" si="1421"/>
        <v>n/a</v>
      </c>
      <c r="O2314" s="207">
        <f t="shared" si="1422"/>
        <v>0.0001994813485</v>
      </c>
    </row>
    <row r="2315">
      <c r="A2315" s="212">
        <v>202.0</v>
      </c>
      <c r="B2315" s="6" t="str">
        <f>VLOOKUP($A2315, 'Completion rates'!$A:$E, 2, FALSE)</f>
        <v>Opening larran's big chest</v>
      </c>
      <c r="C2315" s="212">
        <v>24288.0</v>
      </c>
      <c r="D2315" s="6" t="str">
        <f>VLOOKUP($C2315, 'List of log slots'!$A:$E, 2, FALSE)</f>
        <v>Dagon'hai hat</v>
      </c>
      <c r="E2315" s="207">
        <f>VLOOKUP($C2315, 'List of log slots'!$A:$E, 5, FALSE)</f>
        <v>6</v>
      </c>
      <c r="F2315" s="209" t="b">
        <f>VLOOKUP(C2315, 'List of log slots'!$A:$C, 3, FALSE)</f>
        <v>0</v>
      </c>
      <c r="G2315" s="209" t="b">
        <f t="shared" si="1775"/>
        <v>0</v>
      </c>
      <c r="H2315" s="210" t="b">
        <f t="shared" si="7"/>
        <v>1</v>
      </c>
      <c r="I2315" s="208" t="b">
        <f t="shared" ref="I2315:J2315" si="1851">FALSE</f>
        <v>0</v>
      </c>
      <c r="J2315" s="208" t="b">
        <f t="shared" si="1851"/>
        <v>0</v>
      </c>
      <c r="K2315" s="214">
        <v>256.0</v>
      </c>
      <c r="L2315" s="207" t="str">
        <f t="shared" si="3"/>
        <v>n/a</v>
      </c>
      <c r="M2315" s="212" t="str">
        <f t="shared" si="4"/>
        <v>n/a</v>
      </c>
      <c r="N2315" s="207" t="str">
        <f t="shared" si="1421"/>
        <v>n/a</v>
      </c>
      <c r="O2315" s="207">
        <f t="shared" si="1422"/>
        <v>0.00390625</v>
      </c>
    </row>
    <row r="2316">
      <c r="A2316" s="212">
        <v>202.0</v>
      </c>
      <c r="B2316" s="6" t="str">
        <f>VLOOKUP($A2316, 'Completion rates'!$A:$E, 2, FALSE)</f>
        <v>Opening larran's big chest</v>
      </c>
      <c r="C2316" s="212">
        <v>24291.0</v>
      </c>
      <c r="D2316" s="6" t="str">
        <f>VLOOKUP($C2316, 'List of log slots'!$A:$E, 2, FALSE)</f>
        <v>Dagon'hai robe top</v>
      </c>
      <c r="E2316" s="207">
        <f>VLOOKUP($C2316, 'List of log slots'!$A:$E, 5, FALSE)</f>
        <v>6</v>
      </c>
      <c r="F2316" s="209" t="b">
        <f>VLOOKUP(C2316, 'List of log slots'!$A:$C, 3, FALSE)</f>
        <v>0</v>
      </c>
      <c r="G2316" s="209" t="b">
        <f t="shared" si="1775"/>
        <v>0</v>
      </c>
      <c r="H2316" s="210" t="b">
        <f t="shared" si="7"/>
        <v>1</v>
      </c>
      <c r="I2316" s="208" t="b">
        <f t="shared" ref="I2316:J2316" si="1852">FALSE</f>
        <v>0</v>
      </c>
      <c r="J2316" s="208" t="b">
        <f t="shared" si="1852"/>
        <v>0</v>
      </c>
      <c r="K2316" s="214">
        <v>256.0</v>
      </c>
      <c r="L2316" s="207" t="str">
        <f t="shared" si="3"/>
        <v>n/a</v>
      </c>
      <c r="M2316" s="212" t="str">
        <f t="shared" si="4"/>
        <v>n/a</v>
      </c>
      <c r="N2316" s="207" t="str">
        <f t="shared" si="1421"/>
        <v>n/a</v>
      </c>
      <c r="O2316" s="207">
        <f t="shared" si="1422"/>
        <v>0.00390625</v>
      </c>
    </row>
    <row r="2317">
      <c r="A2317" s="212">
        <v>202.0</v>
      </c>
      <c r="B2317" s="6" t="str">
        <f>VLOOKUP($A2317, 'Completion rates'!$A:$E, 2, FALSE)</f>
        <v>Opening larran's big chest</v>
      </c>
      <c r="C2317" s="212">
        <v>24294.0</v>
      </c>
      <c r="D2317" s="6" t="str">
        <f>VLOOKUP($C2317, 'List of log slots'!$A:$E, 2, FALSE)</f>
        <v>Dagon'hai robe bottom</v>
      </c>
      <c r="E2317" s="207">
        <f>VLOOKUP($C2317, 'List of log slots'!$A:$E, 5, FALSE)</f>
        <v>6</v>
      </c>
      <c r="F2317" s="209" t="b">
        <f>VLOOKUP(C2317, 'List of log slots'!$A:$C, 3, FALSE)</f>
        <v>0</v>
      </c>
      <c r="G2317" s="209" t="b">
        <f t="shared" si="1775"/>
        <v>0</v>
      </c>
      <c r="H2317" s="210" t="b">
        <f t="shared" si="7"/>
        <v>1</v>
      </c>
      <c r="I2317" s="208" t="b">
        <f t="shared" ref="I2317:J2317" si="1853">FALSE</f>
        <v>0</v>
      </c>
      <c r="J2317" s="208" t="b">
        <f t="shared" si="1853"/>
        <v>0</v>
      </c>
      <c r="K2317" s="214">
        <v>256.0</v>
      </c>
      <c r="L2317" s="207" t="str">
        <f t="shared" si="3"/>
        <v>n/a</v>
      </c>
      <c r="M2317" s="212" t="str">
        <f t="shared" si="4"/>
        <v>n/a</v>
      </c>
      <c r="N2317" s="207" t="str">
        <f t="shared" si="1421"/>
        <v>n/a</v>
      </c>
      <c r="O2317" s="207">
        <f t="shared" si="1422"/>
        <v>0.00390625</v>
      </c>
    </row>
    <row r="2318">
      <c r="A2318" s="212">
        <v>203.0</v>
      </c>
      <c r="B2318" s="6" t="str">
        <f>VLOOKUP($A2318, 'Completion rates'!$A:$E, 2, FALSE)</f>
        <v>Pickpocketing from darkmeyer vyres</v>
      </c>
      <c r="C2318" s="212">
        <v>24777.0</v>
      </c>
      <c r="D2318" s="6" t="str">
        <f>VLOOKUP($C2318, 'List of log slots'!$A:$E, 2, FALSE)</f>
        <v>Blood shard</v>
      </c>
      <c r="E2318" s="207">
        <f>VLOOKUP($C2318, 'List of log slots'!$A:$E, 5, FALSE)</f>
        <v>6</v>
      </c>
      <c r="F2318" s="209" t="b">
        <f>VLOOKUP(C2318, 'List of log slots'!$A:$C, 3, FALSE)</f>
        <v>0</v>
      </c>
      <c r="G2318" s="209" t="b">
        <f t="shared" si="1775"/>
        <v>0</v>
      </c>
      <c r="H2318" s="210" t="b">
        <f t="shared" si="7"/>
        <v>1</v>
      </c>
      <c r="I2318" s="208" t="b">
        <f t="shared" ref="I2318:J2318" si="1854">FALSE</f>
        <v>0</v>
      </c>
      <c r="J2318" s="208" t="b">
        <f t="shared" si="1854"/>
        <v>0</v>
      </c>
      <c r="K2318" s="214">
        <v>5000.0</v>
      </c>
      <c r="L2318" s="207" t="str">
        <f t="shared" si="3"/>
        <v>n/a</v>
      </c>
      <c r="M2318" s="212" t="str">
        <f t="shared" si="4"/>
        <v>n/a</v>
      </c>
      <c r="N2318" s="207" t="str">
        <f t="shared" si="1421"/>
        <v>n/a</v>
      </c>
      <c r="O2318" s="207">
        <f t="shared" si="1422"/>
        <v>0.0002</v>
      </c>
    </row>
    <row r="2319">
      <c r="A2319" s="212">
        <v>204.0</v>
      </c>
      <c r="B2319" s="6" t="str">
        <f>VLOOKUP($A2319, 'Completion rates'!$A:$E, 2, FALSE)</f>
        <v>Killing vyrewatch sentinels</v>
      </c>
      <c r="C2319" s="212">
        <v>24777.0</v>
      </c>
      <c r="D2319" s="6" t="str">
        <f>VLOOKUP($C2319, 'List of log slots'!$A:$E, 2, FALSE)</f>
        <v>Blood shard</v>
      </c>
      <c r="E2319" s="207">
        <f>VLOOKUP($C2319, 'List of log slots'!$A:$E, 5, FALSE)</f>
        <v>6</v>
      </c>
      <c r="F2319" s="209" t="b">
        <f>VLOOKUP(C2319, 'List of log slots'!$A:$C, 3, FALSE)</f>
        <v>0</v>
      </c>
      <c r="G2319" s="209" t="b">
        <f t="shared" si="1775"/>
        <v>0</v>
      </c>
      <c r="H2319" s="210" t="b">
        <f t="shared" si="7"/>
        <v>1</v>
      </c>
      <c r="I2319" s="208" t="b">
        <f t="shared" ref="I2319:J2319" si="1855">FALSE</f>
        <v>0</v>
      </c>
      <c r="J2319" s="208" t="b">
        <f t="shared" si="1855"/>
        <v>0</v>
      </c>
      <c r="K2319" s="214">
        <v>1500.0</v>
      </c>
      <c r="L2319" s="207" t="str">
        <f t="shared" si="3"/>
        <v>n/a</v>
      </c>
      <c r="M2319" s="212" t="str">
        <f t="shared" si="4"/>
        <v>n/a</v>
      </c>
      <c r="N2319" s="207" t="str">
        <f t="shared" si="1421"/>
        <v>n/a</v>
      </c>
      <c r="O2319" s="207">
        <f t="shared" si="1422"/>
        <v>0.0006666666667</v>
      </c>
    </row>
    <row r="2320">
      <c r="A2320" s="212">
        <v>204.0</v>
      </c>
      <c r="B2320" s="6" t="str">
        <f>VLOOKUP($A2320, 'Completion rates'!$A:$E, 2, FALSE)</f>
        <v>Killing vyrewatch sentinels</v>
      </c>
      <c r="C2320" s="212">
        <v>2366.0</v>
      </c>
      <c r="D2320" s="6" t="str">
        <f>VLOOKUP($C2320, 'List of log slots'!$A:$E, 2, FALSE)</f>
        <v>Shield left half</v>
      </c>
      <c r="E2320" s="207">
        <f>VLOOKUP($C2320, 'List of log slots'!$A:$E, 5, FALSE)</f>
        <v>5</v>
      </c>
      <c r="F2320" s="210" t="b">
        <f>VLOOKUP(C2320, 'List of log slots'!$A:$C, 3, FALSE)</f>
        <v>0</v>
      </c>
      <c r="G2320" s="209" t="b">
        <f t="shared" si="1775"/>
        <v>0</v>
      </c>
      <c r="H2320" s="209" t="b">
        <f t="shared" si="7"/>
        <v>1</v>
      </c>
      <c r="I2320" s="208" t="b">
        <f t="shared" ref="I2320:J2320" si="1856">FALSE</f>
        <v>0</v>
      </c>
      <c r="J2320" s="208" t="b">
        <f t="shared" si="1856"/>
        <v>0</v>
      </c>
      <c r="K2320" s="214">
        <v>25133.0</v>
      </c>
      <c r="L2320" s="207" t="str">
        <f t="shared" si="3"/>
        <v>n/a</v>
      </c>
      <c r="M2320" s="212" t="str">
        <f t="shared" si="4"/>
        <v>n/a</v>
      </c>
      <c r="N2320" s="207" t="str">
        <f t="shared" si="1421"/>
        <v>n/a</v>
      </c>
      <c r="O2320" s="207">
        <f t="shared" si="1422"/>
        <v>0.00003978832611</v>
      </c>
    </row>
    <row r="2321">
      <c r="A2321" s="212">
        <v>204.0</v>
      </c>
      <c r="B2321" s="6" t="str">
        <f>VLOOKUP($A2321, 'Completion rates'!$A:$E, 2, FALSE)</f>
        <v>Killing vyrewatch sentinels</v>
      </c>
      <c r="C2321" s="212">
        <v>1249.0</v>
      </c>
      <c r="D2321" s="6" t="str">
        <f>VLOOKUP($C2321, 'List of log slots'!$A:$E, 2, FALSE)</f>
        <v>Dragon spear</v>
      </c>
      <c r="E2321" s="207">
        <f>VLOOKUP($C2321, 'List of log slots'!$A:$E, 5, FALSE)</f>
        <v>5</v>
      </c>
      <c r="F2321" s="210" t="b">
        <f>VLOOKUP(C2321, 'List of log slots'!$A:$C, 3, FALSE)</f>
        <v>0</v>
      </c>
      <c r="G2321" s="209" t="b">
        <f t="shared" si="1775"/>
        <v>0</v>
      </c>
      <c r="H2321" s="209" t="b">
        <f t="shared" si="7"/>
        <v>1</v>
      </c>
      <c r="I2321" s="208" t="b">
        <f t="shared" ref="I2321:J2321" si="1857">FALSE</f>
        <v>0</v>
      </c>
      <c r="J2321" s="208" t="b">
        <f t="shared" si="1857"/>
        <v>0</v>
      </c>
      <c r="K2321" s="214">
        <v>33511.0</v>
      </c>
      <c r="L2321" s="207" t="str">
        <f t="shared" si="3"/>
        <v>n/a</v>
      </c>
      <c r="M2321" s="212" t="str">
        <f t="shared" si="4"/>
        <v>n/a</v>
      </c>
      <c r="N2321" s="207" t="str">
        <f t="shared" si="1421"/>
        <v>n/a</v>
      </c>
      <c r="O2321" s="207">
        <f t="shared" si="1422"/>
        <v>0.00002984094775</v>
      </c>
    </row>
    <row r="2322">
      <c r="A2322" s="212">
        <v>205.0</v>
      </c>
      <c r="B2322" s="6" t="str">
        <f>VLOOKUP($A2322, 'Completion rates'!$A:$E, 2, FALSE)</f>
        <v>Killing warped terrorbirds</v>
      </c>
      <c r="C2322" s="212">
        <v>28583.0</v>
      </c>
      <c r="D2322" s="6" t="str">
        <f>VLOOKUP($C2322, 'List of log slots'!$A:$E, 2, FALSE)</f>
        <v>Warped sceptre (uncharged)</v>
      </c>
      <c r="E2322" s="207">
        <f>VLOOKUP($C2322, 'List of log slots'!$A:$E, 5, FALSE)</f>
        <v>4</v>
      </c>
      <c r="F2322" s="209" t="b">
        <f>VLOOKUP(C2322, 'List of log slots'!$A:$C, 3, FALSE)</f>
        <v>0</v>
      </c>
      <c r="G2322" s="209" t="b">
        <f t="shared" si="1775"/>
        <v>0</v>
      </c>
      <c r="H2322" s="210" t="b">
        <f t="shared" si="7"/>
        <v>1</v>
      </c>
      <c r="I2322" s="208" t="b">
        <f t="shared" ref="I2322:J2322" si="1858">FALSE</f>
        <v>0</v>
      </c>
      <c r="J2322" s="208" t="b">
        <f t="shared" si="1858"/>
        <v>0</v>
      </c>
      <c r="K2322" s="214">
        <v>320.0</v>
      </c>
      <c r="L2322" s="207" t="str">
        <f t="shared" si="3"/>
        <v>n/a</v>
      </c>
      <c r="M2322" s="212" t="str">
        <f t="shared" si="4"/>
        <v>n/a</v>
      </c>
      <c r="N2322" s="207" t="str">
        <f t="shared" si="1421"/>
        <v>n/a</v>
      </c>
      <c r="O2322" s="207">
        <f t="shared" si="1422"/>
        <v>0.003125</v>
      </c>
    </row>
    <row r="2323">
      <c r="A2323" s="212">
        <v>206.0</v>
      </c>
      <c r="B2323" s="6" t="str">
        <f>VLOOKUP($A2323, 'Completion rates'!$A:$E, 2, FALSE)</f>
        <v>Killing sulphur naguas</v>
      </c>
      <c r="C2323" s="212">
        <v>29084.0</v>
      </c>
      <c r="D2323" s="6" t="str">
        <f>VLOOKUP($C2323, 'List of log slots'!$A:$E, 2, FALSE)</f>
        <v>Sulphur blades</v>
      </c>
      <c r="E2323" s="207">
        <f>VLOOKUP($C2323, 'List of log slots'!$A:$E, 5, FALSE)</f>
        <v>3</v>
      </c>
      <c r="F2323" s="210" t="b">
        <f>VLOOKUP(C2323, 'List of log slots'!$A:$C, 3, FALSE)</f>
        <v>0</v>
      </c>
      <c r="G2323" s="209" t="b">
        <f t="shared" si="1775"/>
        <v>0</v>
      </c>
      <c r="H2323" s="209" t="b">
        <f t="shared" si="7"/>
        <v>1</v>
      </c>
      <c r="I2323" s="208" t="b">
        <f t="shared" ref="I2323:J2323" si="1859">FALSE</f>
        <v>0</v>
      </c>
      <c r="J2323" s="208" t="b">
        <f t="shared" si="1859"/>
        <v>0</v>
      </c>
      <c r="K2323" s="214">
        <v>450.0</v>
      </c>
      <c r="L2323" s="207" t="str">
        <f t="shared" si="3"/>
        <v>n/a</v>
      </c>
      <c r="M2323" s="212" t="str">
        <f t="shared" si="4"/>
        <v>n/a</v>
      </c>
      <c r="N2323" s="207" t="str">
        <f t="shared" si="1421"/>
        <v>n/a</v>
      </c>
      <c r="O2323" s="207">
        <f t="shared" si="1422"/>
        <v>0.002222222222</v>
      </c>
    </row>
    <row r="2324">
      <c r="A2324" s="212">
        <v>207.0</v>
      </c>
      <c r="B2324" s="6" t="str">
        <f>VLOOKUP($A2324, 'Completion rates'!$A:$E, 2, FALSE)</f>
        <v>Looting zombie pirate's lockers</v>
      </c>
      <c r="C2324" s="212">
        <v>29455.0</v>
      </c>
      <c r="D2324" s="6" t="str">
        <f>VLOOKUP($C2324, 'List of log slots'!$A:$E, 2, FALSE)</f>
        <v>Teleport anchoring scroll</v>
      </c>
      <c r="E2324" s="207">
        <f>VLOOKUP($C2324, 'List of log slots'!$A:$E, 5, FALSE)</f>
        <v>5</v>
      </c>
      <c r="F2324" s="210" t="b">
        <f>VLOOKUP(C2324, 'List of log slots'!$A:$C, 3, FALSE)</f>
        <v>0</v>
      </c>
      <c r="G2324" s="209" t="b">
        <f t="shared" si="1775"/>
        <v>0</v>
      </c>
      <c r="H2324" s="209" t="b">
        <f t="shared" si="7"/>
        <v>1</v>
      </c>
      <c r="I2324" s="208" t="b">
        <f t="shared" ref="I2324:J2324" si="1860">FALSE</f>
        <v>0</v>
      </c>
      <c r="J2324" s="208" t="b">
        <f t="shared" si="1860"/>
        <v>0</v>
      </c>
      <c r="K2324" s="214">
        <v>275.0</v>
      </c>
      <c r="L2324" s="207" t="str">
        <f t="shared" si="3"/>
        <v>n/a</v>
      </c>
      <c r="M2324" s="212" t="str">
        <f t="shared" si="4"/>
        <v>n/a</v>
      </c>
      <c r="N2324" s="207" t="str">
        <f t="shared" si="1421"/>
        <v>n/a</v>
      </c>
      <c r="O2324" s="207">
        <f t="shared" si="1422"/>
        <v>0.003636363636</v>
      </c>
    </row>
    <row r="2325">
      <c r="A2325" s="212">
        <v>208.0</v>
      </c>
      <c r="B2325" s="6" t="str">
        <f>VLOOKUP($A2325, 'Completion rates'!$A:$E, 2, FALSE)</f>
        <v>Killing araxytes (level 146, on task)</v>
      </c>
      <c r="C2325" s="212">
        <v>29784.0</v>
      </c>
      <c r="D2325" s="6" t="str">
        <f>VLOOKUP($C2325, 'List of log slots'!$A:$E, 2, FALSE)</f>
        <v>Araxyte venom sack</v>
      </c>
      <c r="E2325" s="207">
        <f>VLOOKUP($C2325, 'List of log slots'!$A:$E, 5, FALSE)</f>
        <v>5</v>
      </c>
      <c r="F2325" s="210" t="b">
        <f>VLOOKUP(C2325, 'List of log slots'!$A:$C, 3, FALSE)</f>
        <v>0</v>
      </c>
      <c r="G2325" s="209" t="b">
        <f t="shared" si="1775"/>
        <v>0</v>
      </c>
      <c r="H2325" s="209" t="b">
        <f t="shared" si="7"/>
        <v>1</v>
      </c>
      <c r="I2325" s="208" t="b">
        <f t="shared" ref="I2325:J2325" si="1861">FALSE</f>
        <v>0</v>
      </c>
      <c r="J2325" s="208" t="b">
        <f t="shared" si="1861"/>
        <v>0</v>
      </c>
      <c r="K2325" s="214">
        <v>1.0</v>
      </c>
      <c r="L2325" s="207" t="str">
        <f t="shared" si="3"/>
        <v>n/a</v>
      </c>
      <c r="M2325" s="212" t="str">
        <f t="shared" si="4"/>
        <v>n/a</v>
      </c>
      <c r="N2325" s="207" t="str">
        <f t="shared" si="1421"/>
        <v>n/a</v>
      </c>
      <c r="O2325" s="207">
        <f t="shared" si="1422"/>
        <v>1</v>
      </c>
    </row>
    <row r="2326">
      <c r="A2326" s="212">
        <v>208.0</v>
      </c>
      <c r="B2326" s="6" t="str">
        <f>VLOOKUP($A2326, 'Completion rates'!$A:$E, 2, FALSE)</f>
        <v>Killing araxytes (level 146, on task)</v>
      </c>
      <c r="C2326" s="212">
        <v>29788.0</v>
      </c>
      <c r="D2326" s="6" t="str">
        <f>VLOOKUP($C2326, 'List of log slots'!$A:$E, 2, FALSE)</f>
        <v>Araxyte head</v>
      </c>
      <c r="E2326" s="207">
        <f>VLOOKUP($C2326, 'List of log slots'!$A:$E, 5, FALSE)</f>
        <v>6</v>
      </c>
      <c r="F2326" s="210" t="b">
        <f>VLOOKUP(C2326, 'List of log slots'!$A:$C, 3, FALSE)</f>
        <v>0</v>
      </c>
      <c r="G2326" s="209" t="b">
        <f t="shared" si="1775"/>
        <v>0</v>
      </c>
      <c r="H2326" s="209" t="b">
        <f t="shared" si="7"/>
        <v>1</v>
      </c>
      <c r="I2326" s="208" t="b">
        <f t="shared" ref="I2326:J2326" si="1862">FALSE</f>
        <v>0</v>
      </c>
      <c r="J2326" s="208" t="b">
        <f t="shared" si="1862"/>
        <v>0</v>
      </c>
      <c r="K2326" s="214">
        <v>2000.0</v>
      </c>
      <c r="L2326" s="207" t="str">
        <f t="shared" si="3"/>
        <v>n/a</v>
      </c>
      <c r="M2326" s="212" t="str">
        <f t="shared" si="4"/>
        <v>n/a</v>
      </c>
      <c r="N2326" s="207" t="str">
        <f t="shared" si="1421"/>
        <v>n/a</v>
      </c>
      <c r="O2326" s="207">
        <f t="shared" si="1422"/>
        <v>0.0005</v>
      </c>
    </row>
    <row r="2327">
      <c r="A2327" s="212">
        <v>208.0</v>
      </c>
      <c r="B2327" s="6" t="str">
        <f>VLOOKUP($A2327, 'Completion rates'!$A:$E, 2, FALSE)</f>
        <v>Killing araxytes (level 146, on task)</v>
      </c>
      <c r="C2327" s="212">
        <v>20724.0</v>
      </c>
      <c r="D2327" s="6" t="str">
        <f>VLOOKUP($C2327, 'List of log slots'!$A:$E, 2, FALSE)</f>
        <v>Imbued heart</v>
      </c>
      <c r="E2327" s="207">
        <f>VLOOKUP($C2327, 'List of log slots'!$A:$E, 5, FALSE)</f>
        <v>8</v>
      </c>
      <c r="F2327" s="209" t="b">
        <f>VLOOKUP(C2327, 'List of log slots'!$A:$C, 3, FALSE)</f>
        <v>0</v>
      </c>
      <c r="G2327" s="209" t="b">
        <f t="shared" si="1775"/>
        <v>0</v>
      </c>
      <c r="H2327" s="210" t="b">
        <f t="shared" si="7"/>
        <v>1</v>
      </c>
      <c r="I2327" s="208" t="b">
        <f t="shared" ref="I2327:J2327" si="1863">FALSE</f>
        <v>0</v>
      </c>
      <c r="J2327" s="208" t="b">
        <f t="shared" si="1863"/>
        <v>0</v>
      </c>
      <c r="K2327" s="214">
        <v>33600.0</v>
      </c>
      <c r="L2327" s="207" t="str">
        <f t="shared" si="3"/>
        <v>n/a</v>
      </c>
      <c r="M2327" s="212" t="str">
        <f t="shared" si="4"/>
        <v>n/a</v>
      </c>
      <c r="N2327" s="207" t="str">
        <f t="shared" si="1421"/>
        <v>n/a</v>
      </c>
      <c r="O2327" s="207">
        <f t="shared" si="1422"/>
        <v>0.00002976190476</v>
      </c>
    </row>
    <row r="2328">
      <c r="A2328" s="212">
        <v>208.0</v>
      </c>
      <c r="B2328" s="6" t="str">
        <f>VLOOKUP($A2328, 'Completion rates'!$A:$E, 2, FALSE)</f>
        <v>Killing araxytes (level 146, on task)</v>
      </c>
      <c r="C2328" s="212">
        <v>21270.0</v>
      </c>
      <c r="D2328" s="6" t="str">
        <f>VLOOKUP($C2328, 'List of log slots'!$A:$E, 2, FALSE)</f>
        <v>Eternal gem</v>
      </c>
      <c r="E2328" s="207">
        <f>VLOOKUP($C2328, 'List of log slots'!$A:$E, 5, FALSE)</f>
        <v>8</v>
      </c>
      <c r="F2328" s="210" t="b">
        <f>VLOOKUP(C2328, 'List of log slots'!$A:$C, 3, FALSE)</f>
        <v>0</v>
      </c>
      <c r="G2328" s="209" t="b">
        <f t="shared" si="1775"/>
        <v>0</v>
      </c>
      <c r="H2328" s="209" t="b">
        <f t="shared" si="7"/>
        <v>1</v>
      </c>
      <c r="I2328" s="208" t="b">
        <f t="shared" ref="I2328:J2328" si="1864">FALSE</f>
        <v>0</v>
      </c>
      <c r="J2328" s="208" t="b">
        <f t="shared" si="1864"/>
        <v>0</v>
      </c>
      <c r="K2328" s="214">
        <v>33600.0</v>
      </c>
      <c r="L2328" s="207" t="str">
        <f t="shared" si="3"/>
        <v>n/a</v>
      </c>
      <c r="M2328" s="212" t="str">
        <f t="shared" si="4"/>
        <v>n/a</v>
      </c>
      <c r="N2328" s="207" t="str">
        <f t="shared" si="1421"/>
        <v>n/a</v>
      </c>
      <c r="O2328" s="207">
        <f t="shared" si="1422"/>
        <v>0.00002976190476</v>
      </c>
    </row>
    <row r="2329">
      <c r="A2329" s="212">
        <v>208.0</v>
      </c>
      <c r="B2329" s="6" t="str">
        <f>VLOOKUP($A2329, 'Completion rates'!$A:$E, 2, FALSE)</f>
        <v>Killing araxytes (level 146, on task)</v>
      </c>
      <c r="C2329" s="212">
        <v>20736.0</v>
      </c>
      <c r="D2329" s="6" t="str">
        <f>VLOOKUP($C2329, 'List of log slots'!$A:$E, 2, FALSE)</f>
        <v>Dust battlestaff</v>
      </c>
      <c r="E2329" s="207">
        <f>VLOOKUP($C2329, 'List of log slots'!$A:$E, 5, FALSE)</f>
        <v>6</v>
      </c>
      <c r="F2329" s="210" t="b">
        <f>VLOOKUP(C2329, 'List of log slots'!$A:$C, 3, FALSE)</f>
        <v>0</v>
      </c>
      <c r="G2329" s="209" t="b">
        <f t="shared" si="1775"/>
        <v>0</v>
      </c>
      <c r="H2329" s="209" t="b">
        <f t="shared" si="7"/>
        <v>1</v>
      </c>
      <c r="I2329" s="208" t="b">
        <f t="shared" ref="I2329:J2329" si="1865">FALSE</f>
        <v>0</v>
      </c>
      <c r="J2329" s="208" t="b">
        <f t="shared" si="1865"/>
        <v>0</v>
      </c>
      <c r="K2329" s="214">
        <v>11200.0</v>
      </c>
      <c r="L2329" s="207" t="str">
        <f t="shared" si="3"/>
        <v>n/a</v>
      </c>
      <c r="M2329" s="212" t="str">
        <f t="shared" si="4"/>
        <v>n/a</v>
      </c>
      <c r="N2329" s="207" t="str">
        <f t="shared" si="1421"/>
        <v>n/a</v>
      </c>
      <c r="O2329" s="207">
        <f t="shared" si="1422"/>
        <v>0.00008928571429</v>
      </c>
    </row>
    <row r="2330">
      <c r="A2330" s="212">
        <v>208.0</v>
      </c>
      <c r="B2330" s="6" t="str">
        <f>VLOOKUP($A2330, 'Completion rates'!$A:$E, 2, FALSE)</f>
        <v>Killing araxytes (level 146, on task)</v>
      </c>
      <c r="C2330" s="212">
        <v>20730.0</v>
      </c>
      <c r="D2330" s="6" t="str">
        <f>VLOOKUP($C2330, 'List of log slots'!$A:$E, 2, FALSE)</f>
        <v>Mist battlestaff</v>
      </c>
      <c r="E2330" s="207">
        <f>VLOOKUP($C2330, 'List of log slots'!$A:$E, 5, FALSE)</f>
        <v>7</v>
      </c>
      <c r="F2330" s="210" t="b">
        <f>VLOOKUP(C2330, 'List of log slots'!$A:$C, 3, FALSE)</f>
        <v>0</v>
      </c>
      <c r="G2330" s="209" t="b">
        <f t="shared" si="1775"/>
        <v>0</v>
      </c>
      <c r="H2330" s="209" t="b">
        <f t="shared" si="7"/>
        <v>1</v>
      </c>
      <c r="I2330" s="208" t="b">
        <f t="shared" ref="I2330:J2330" si="1866">FALSE</f>
        <v>0</v>
      </c>
      <c r="J2330" s="208" t="b">
        <f t="shared" si="1866"/>
        <v>0</v>
      </c>
      <c r="K2330" s="214">
        <v>11200.0</v>
      </c>
      <c r="L2330" s="207" t="str">
        <f t="shared" si="3"/>
        <v>n/a</v>
      </c>
      <c r="M2330" s="212" t="str">
        <f t="shared" si="4"/>
        <v>n/a</v>
      </c>
      <c r="N2330" s="207" t="str">
        <f t="shared" si="1421"/>
        <v>n/a</v>
      </c>
      <c r="O2330" s="207">
        <f t="shared" si="1422"/>
        <v>0.00008928571429</v>
      </c>
    </row>
    <row r="2331">
      <c r="A2331" s="212">
        <v>208.0</v>
      </c>
      <c r="B2331" s="6" t="str">
        <f>VLOOKUP($A2331, 'Completion rates'!$A:$E, 2, FALSE)</f>
        <v>Killing araxytes (level 146, on task)</v>
      </c>
      <c r="C2331" s="212">
        <v>29806.0</v>
      </c>
      <c r="D2331" s="6" t="str">
        <f>VLOOKUP($C2331, 'List of log slots'!$A:$E, 2, FALSE)</f>
        <v>Aranea boots</v>
      </c>
      <c r="E2331" s="207">
        <f>VLOOKUP($C2331, 'List of log slots'!$A:$E, 5, FALSE)</f>
        <v>5</v>
      </c>
      <c r="F2331" s="209" t="b">
        <f>VLOOKUP(C2331, 'List of log slots'!$A:$C, 3, FALSE)</f>
        <v>0</v>
      </c>
      <c r="G2331" s="209" t="b">
        <f t="shared" si="1775"/>
        <v>0</v>
      </c>
      <c r="H2331" s="210" t="b">
        <f t="shared" si="7"/>
        <v>1</v>
      </c>
      <c r="I2331" s="208" t="b">
        <f t="shared" ref="I2331:J2331" si="1867">FALSE</f>
        <v>0</v>
      </c>
      <c r="J2331" s="208" t="b">
        <f t="shared" si="1867"/>
        <v>0</v>
      </c>
      <c r="K2331" s="214">
        <v>800.0</v>
      </c>
      <c r="L2331" s="207" t="str">
        <f t="shared" si="3"/>
        <v>n/a</v>
      </c>
      <c r="M2331" s="212" t="str">
        <f t="shared" si="4"/>
        <v>n/a</v>
      </c>
      <c r="N2331" s="207" t="str">
        <f t="shared" si="1421"/>
        <v>n/a</v>
      </c>
      <c r="O2331" s="207">
        <f t="shared" si="1422"/>
        <v>0.00125</v>
      </c>
    </row>
    <row r="2332">
      <c r="A2332" s="212">
        <v>209.0</v>
      </c>
      <c r="B2332" s="6" t="str">
        <f>VLOOKUP($A2332, 'Completion rates'!$A:$E, 2, FALSE)</f>
        <v>Killing earthen naguas</v>
      </c>
      <c r="C2332" s="212">
        <v>30957.0</v>
      </c>
      <c r="D2332" s="6" t="str">
        <f>VLOOKUP($C2332, 'List of log slots'!$A:$E, 2, FALSE)</f>
        <v>Earthbound tecpatl</v>
      </c>
      <c r="E2332" s="207">
        <f>VLOOKUP($C2332, 'List of log slots'!$A:$E, 5, FALSE)</f>
        <v>4</v>
      </c>
      <c r="F2332" s="209" t="b">
        <f>VLOOKUP(C2332, 'List of log slots'!$A:$C, 3, FALSE)</f>
        <v>0</v>
      </c>
      <c r="G2332" s="209" t="b">
        <f t="shared" si="1775"/>
        <v>0</v>
      </c>
      <c r="H2332" s="210" t="b">
        <f t="shared" si="7"/>
        <v>1</v>
      </c>
      <c r="I2332" s="208" t="b">
        <f t="shared" ref="I2332:J2332" si="1868">FALSE</f>
        <v>0</v>
      </c>
      <c r="J2332" s="208" t="b">
        <f t="shared" si="1868"/>
        <v>0</v>
      </c>
      <c r="K2332" s="214">
        <v>400.0</v>
      </c>
      <c r="L2332" s="207" t="str">
        <f t="shared" si="3"/>
        <v>n/a</v>
      </c>
      <c r="M2332" s="212" t="str">
        <f t="shared" si="4"/>
        <v>n/a</v>
      </c>
      <c r="N2332" s="207" t="str">
        <f t="shared" si="1421"/>
        <v>n/a</v>
      </c>
      <c r="O2332" s="207">
        <f t="shared" si="1422"/>
        <v>0.0025</v>
      </c>
    </row>
    <row r="2333">
      <c r="A2333" s="212">
        <v>209.0</v>
      </c>
      <c r="B2333" s="6" t="str">
        <f>VLOOKUP($A2333, 'Completion rates'!$A:$E, 2, FALSE)</f>
        <v>Killing earthen naguas</v>
      </c>
      <c r="C2333" s="212">
        <v>2366.0</v>
      </c>
      <c r="D2333" s="6" t="str">
        <f>VLOOKUP($C2333, 'List of log slots'!$A:$E, 2, FALSE)</f>
        <v>Shield left half</v>
      </c>
      <c r="E2333" s="207">
        <f>VLOOKUP($C2333, 'List of log slots'!$A:$E, 5, FALSE)</f>
        <v>5</v>
      </c>
      <c r="F2333" s="210" t="b">
        <f>VLOOKUP(C2333, 'List of log slots'!$A:$C, 3, FALSE)</f>
        <v>0</v>
      </c>
      <c r="G2333" s="209" t="b">
        <f t="shared" si="1775"/>
        <v>0</v>
      </c>
      <c r="H2333" s="209" t="b">
        <f t="shared" si="7"/>
        <v>1</v>
      </c>
      <c r="I2333" s="208" t="b">
        <f t="shared" ref="I2333:J2333" si="1869">FALSE</f>
        <v>0</v>
      </c>
      <c r="J2333" s="208" t="b">
        <f t="shared" si="1869"/>
        <v>0</v>
      </c>
      <c r="K2333" s="214">
        <v>131072.0</v>
      </c>
      <c r="L2333" s="207" t="str">
        <f t="shared" si="3"/>
        <v>n/a</v>
      </c>
      <c r="M2333" s="212" t="str">
        <f t="shared" si="4"/>
        <v>n/a</v>
      </c>
      <c r="N2333" s="207" t="str">
        <f t="shared" si="1421"/>
        <v>n/a</v>
      </c>
      <c r="O2333" s="207">
        <f t="shared" si="1422"/>
        <v>0.000007629394531</v>
      </c>
    </row>
    <row r="2334">
      <c r="A2334" s="212">
        <v>209.0</v>
      </c>
      <c r="B2334" s="6" t="str">
        <f>VLOOKUP($A2334, 'Completion rates'!$A:$E, 2, FALSE)</f>
        <v>Killing earthen naguas</v>
      </c>
      <c r="C2334" s="212">
        <v>1249.0</v>
      </c>
      <c r="D2334" s="6" t="str">
        <f>VLOOKUP($C2334, 'List of log slots'!$A:$E, 2, FALSE)</f>
        <v>Dragon spear</v>
      </c>
      <c r="E2334" s="207">
        <f>VLOOKUP($C2334, 'List of log slots'!$A:$E, 5, FALSE)</f>
        <v>5</v>
      </c>
      <c r="F2334" s="210" t="b">
        <f>VLOOKUP(C2334, 'List of log slots'!$A:$C, 3, FALSE)</f>
        <v>0</v>
      </c>
      <c r="G2334" s="209" t="b">
        <f t="shared" si="1775"/>
        <v>0</v>
      </c>
      <c r="H2334" s="209" t="b">
        <f t="shared" si="7"/>
        <v>1</v>
      </c>
      <c r="I2334" s="208" t="b">
        <f t="shared" ref="I2334:J2334" si="1870">FALSE</f>
        <v>0</v>
      </c>
      <c r="J2334" s="208" t="b">
        <f t="shared" si="1870"/>
        <v>0</v>
      </c>
      <c r="K2334" s="214">
        <v>174763.0</v>
      </c>
      <c r="L2334" s="207" t="str">
        <f t="shared" si="3"/>
        <v>n/a</v>
      </c>
      <c r="M2334" s="212" t="str">
        <f t="shared" si="4"/>
        <v>n/a</v>
      </c>
      <c r="N2334" s="207" t="str">
        <f t="shared" si="1421"/>
        <v>n/a</v>
      </c>
      <c r="O2334" s="207">
        <f t="shared" si="1422"/>
        <v>0.000005722034985</v>
      </c>
    </row>
    <row r="2335">
      <c r="A2335" s="212">
        <v>210.0</v>
      </c>
      <c r="B2335" s="6" t="str">
        <f>VLOOKUP($A2335, 'Completion rates'!$A:$E, 2, FALSE)</f>
        <v>Killing elder custodian stalkers</v>
      </c>
      <c r="C2335" s="212">
        <v>30088.0</v>
      </c>
      <c r="D2335" s="6" t="str">
        <f>VLOOKUP($C2335, 'List of log slots'!$A:$E, 2, FALSE)</f>
        <v>Huasca seed</v>
      </c>
      <c r="E2335" s="207">
        <f>VLOOKUP($C2335, 'List of log slots'!$A:$E, 5, FALSE)</f>
        <v>4</v>
      </c>
      <c r="F2335" s="209" t="b">
        <f>VLOOKUP(C2335, 'List of log slots'!$A:$C, 3, FALSE)</f>
        <v>0</v>
      </c>
      <c r="G2335" s="209" t="b">
        <f t="shared" si="1775"/>
        <v>0</v>
      </c>
      <c r="H2335" s="210" t="b">
        <f t="shared" si="7"/>
        <v>1</v>
      </c>
      <c r="I2335" s="208" t="b">
        <f t="shared" ref="I2335:J2335" si="1871">FALSE</f>
        <v>0</v>
      </c>
      <c r="J2335" s="208" t="b">
        <f t="shared" si="1871"/>
        <v>0</v>
      </c>
      <c r="K2335" s="216">
        <v>124.0</v>
      </c>
      <c r="L2335" s="207" t="str">
        <f t="shared" si="3"/>
        <v>n/a</v>
      </c>
      <c r="M2335" s="212" t="str">
        <f t="shared" si="4"/>
        <v>n/a</v>
      </c>
      <c r="N2335" s="207" t="str">
        <f t="shared" si="1421"/>
        <v>n/a</v>
      </c>
      <c r="O2335" s="207">
        <f t="shared" si="1422"/>
        <v>0.008064516129</v>
      </c>
    </row>
    <row r="2336">
      <c r="A2336" s="212">
        <v>210.0</v>
      </c>
      <c r="B2336" s="6" t="str">
        <f>VLOOKUP($A2336, 'Completion rates'!$A:$E, 2, FALSE)</f>
        <v>Killing elder custodian stalkers</v>
      </c>
      <c r="C2336" s="212">
        <v>31081.0</v>
      </c>
      <c r="D2336" s="6" t="str">
        <f>VLOOKUP($C2336, 'List of log slots'!$A:$E, 2, FALSE)</f>
        <v>Antler guard</v>
      </c>
      <c r="E2336" s="207">
        <f>VLOOKUP($C2336, 'List of log slots'!$A:$E, 5, FALSE)</f>
        <v>4</v>
      </c>
      <c r="F2336" s="209" t="b">
        <f>VLOOKUP(C2336, 'List of log slots'!$A:$C, 3, FALSE)</f>
        <v>0</v>
      </c>
      <c r="G2336" s="209" t="b">
        <f t="shared" si="1775"/>
        <v>0</v>
      </c>
      <c r="H2336" s="210" t="b">
        <f t="shared" si="7"/>
        <v>1</v>
      </c>
      <c r="I2336" s="208" t="b">
        <f t="shared" ref="I2336:J2336" si="1872">FALSE</f>
        <v>0</v>
      </c>
      <c r="J2336" s="208" t="b">
        <f t="shared" si="1872"/>
        <v>0</v>
      </c>
      <c r="K2336" s="214">
        <v>650.0</v>
      </c>
      <c r="L2336" s="207" t="str">
        <f t="shared" si="3"/>
        <v>n/a</v>
      </c>
      <c r="M2336" s="212" t="str">
        <f t="shared" si="4"/>
        <v>n/a</v>
      </c>
      <c r="N2336" s="207" t="str">
        <f t="shared" si="1421"/>
        <v>n/a</v>
      </c>
      <c r="O2336" s="207">
        <f t="shared" si="1422"/>
        <v>0.001538461538</v>
      </c>
    </row>
    <row r="2337">
      <c r="A2337" s="212">
        <v>210.0</v>
      </c>
      <c r="B2337" s="6" t="str">
        <f>VLOOKUP($A2337, 'Completion rates'!$A:$E, 2, FALSE)</f>
        <v>Killing elder custodian stalkers</v>
      </c>
      <c r="C2337" s="212">
        <v>31084.0</v>
      </c>
      <c r="D2337" s="6" t="str">
        <f>VLOOKUP($C2337, 'List of log slots'!$A:$E, 2, FALSE)</f>
        <v>Alchemist's signet</v>
      </c>
      <c r="E2337" s="207">
        <f>VLOOKUP($C2337, 'List of log slots'!$A:$E, 5, FALSE)</f>
        <v>4</v>
      </c>
      <c r="F2337" s="209" t="b">
        <f>VLOOKUP(C2337, 'List of log slots'!$A:$C, 3, FALSE)</f>
        <v>0</v>
      </c>
      <c r="G2337" s="209" t="b">
        <f t="shared" si="1775"/>
        <v>0</v>
      </c>
      <c r="H2337" s="210" t="b">
        <f t="shared" si="7"/>
        <v>1</v>
      </c>
      <c r="I2337" s="208" t="b">
        <f t="shared" ref="I2337:J2337" si="1873">FALSE</f>
        <v>0</v>
      </c>
      <c r="J2337" s="208" t="b">
        <f t="shared" si="1873"/>
        <v>0</v>
      </c>
      <c r="K2337" s="214">
        <v>62.0</v>
      </c>
      <c r="L2337" s="207" t="str">
        <f t="shared" si="3"/>
        <v>n/a</v>
      </c>
      <c r="M2337" s="212" t="str">
        <f t="shared" si="4"/>
        <v>n/a</v>
      </c>
      <c r="N2337" s="207" t="str">
        <f t="shared" si="1421"/>
        <v>n/a</v>
      </c>
      <c r="O2337" s="207">
        <f t="shared" si="1422"/>
        <v>0.01612903226</v>
      </c>
    </row>
    <row r="2338">
      <c r="A2338" s="212">
        <v>210.0</v>
      </c>
      <c r="B2338" s="6" t="str">
        <f>VLOOKUP($A2338, 'Completion rates'!$A:$E, 2, FALSE)</f>
        <v>Killing elder custodian stalkers</v>
      </c>
      <c r="C2338" s="212">
        <v>31086.0</v>
      </c>
      <c r="D2338" s="6" t="str">
        <f>VLOOKUP($C2338, 'List of log slots'!$A:$E, 2, FALSE)</f>
        <v>Broken antler</v>
      </c>
      <c r="E2338" s="207">
        <f>VLOOKUP($C2338, 'List of log slots'!$A:$E, 5, FALSE)</f>
        <v>3</v>
      </c>
      <c r="F2338" s="209" t="b">
        <f>VLOOKUP(C2338, 'List of log slots'!$A:$C, 3, FALSE)</f>
        <v>0</v>
      </c>
      <c r="G2338" s="209" t="b">
        <f t="shared" si="1775"/>
        <v>0</v>
      </c>
      <c r="H2338" s="210" t="b">
        <f t="shared" si="7"/>
        <v>1</v>
      </c>
      <c r="I2338" s="208" t="b">
        <f t="shared" ref="I2338:J2338" si="1874">FALSE</f>
        <v>0</v>
      </c>
      <c r="J2338" s="208" t="b">
        <f t="shared" si="1874"/>
        <v>0</v>
      </c>
      <c r="K2338" s="214">
        <v>31.0</v>
      </c>
      <c r="L2338" s="207" t="str">
        <f t="shared" si="3"/>
        <v>n/a</v>
      </c>
      <c r="M2338" s="212" t="str">
        <f t="shared" si="4"/>
        <v>n/a</v>
      </c>
      <c r="N2338" s="207" t="str">
        <f t="shared" si="1421"/>
        <v>n/a</v>
      </c>
      <c r="O2338" s="207">
        <f t="shared" si="1422"/>
        <v>0.03225806452</v>
      </c>
    </row>
    <row r="2339">
      <c r="A2339" s="212">
        <v>210.0</v>
      </c>
      <c r="B2339" s="6" t="str">
        <f>VLOOKUP($A2339, 'Completion rates'!$A:$E, 2, FALSE)</f>
        <v>Killing elder custodian stalkers</v>
      </c>
      <c r="C2339" s="212">
        <v>10976.0</v>
      </c>
      <c r="D2339" s="6" t="str">
        <f>VLOOKUP($C2339, 'List of log slots'!$A:$E, 2, FALSE)</f>
        <v>Long bone</v>
      </c>
      <c r="E2339" s="207">
        <f>VLOOKUP($C2339, 'List of log slots'!$A:$E, 5, FALSE)</f>
        <v>3</v>
      </c>
      <c r="F2339" s="210" t="b">
        <f>VLOOKUP(C2339, 'List of log slots'!$A:$C, 3, FALSE)</f>
        <v>0</v>
      </c>
      <c r="G2339" s="209" t="b">
        <f t="shared" si="1775"/>
        <v>0</v>
      </c>
      <c r="H2339" s="209" t="b">
        <f t="shared" si="7"/>
        <v>1</v>
      </c>
      <c r="I2339" s="208" t="b">
        <f t="shared" ref="I2339:J2339" si="1875">FALSE</f>
        <v>0</v>
      </c>
      <c r="J2339" s="208" t="b">
        <f t="shared" si="1875"/>
        <v>0</v>
      </c>
      <c r="K2339" s="214">
        <v>400.0</v>
      </c>
      <c r="L2339" s="207" t="str">
        <f t="shared" si="3"/>
        <v>n/a</v>
      </c>
      <c r="M2339" s="212" t="str">
        <f t="shared" si="4"/>
        <v>n/a</v>
      </c>
      <c r="N2339" s="207" t="str">
        <f t="shared" si="1421"/>
        <v>n/a</v>
      </c>
      <c r="O2339" s="207">
        <f t="shared" si="1422"/>
        <v>0.0025</v>
      </c>
    </row>
    <row r="2340">
      <c r="A2340" s="212">
        <v>210.0</v>
      </c>
      <c r="B2340" s="6" t="str">
        <f>VLOOKUP($A2340, 'Completion rates'!$A:$E, 2, FALSE)</f>
        <v>Killing elder custodian stalkers</v>
      </c>
      <c r="C2340" s="212">
        <v>10977.0</v>
      </c>
      <c r="D2340" s="6" t="str">
        <f>VLOOKUP($C2340, 'List of log slots'!$A:$E, 2, FALSE)</f>
        <v>Curved bone</v>
      </c>
      <c r="E2340" s="207">
        <f>VLOOKUP($C2340, 'List of log slots'!$A:$E, 5, FALSE)</f>
        <v>5</v>
      </c>
      <c r="F2340" s="209" t="b">
        <f>VLOOKUP(C2340, 'List of log slots'!$A:$C, 3, FALSE)</f>
        <v>0</v>
      </c>
      <c r="G2340" s="209" t="b">
        <f t="shared" si="1775"/>
        <v>0</v>
      </c>
      <c r="H2340" s="210" t="b">
        <f t="shared" si="7"/>
        <v>1</v>
      </c>
      <c r="I2340" s="208" t="b">
        <f t="shared" ref="I2340:J2340" si="1876">FALSE</f>
        <v>0</v>
      </c>
      <c r="J2340" s="208" t="b">
        <f t="shared" si="1876"/>
        <v>0</v>
      </c>
      <c r="K2340" s="214">
        <v>5013.0</v>
      </c>
      <c r="L2340" s="207" t="str">
        <f t="shared" si="3"/>
        <v>n/a</v>
      </c>
      <c r="M2340" s="212" t="str">
        <f t="shared" si="4"/>
        <v>n/a</v>
      </c>
      <c r="N2340" s="207" t="str">
        <f t="shared" si="1421"/>
        <v>n/a</v>
      </c>
      <c r="O2340" s="207">
        <f t="shared" si="1422"/>
        <v>0.0001994813485</v>
      </c>
    </row>
    <row r="2341">
      <c r="A2341" s="212">
        <v>210.0</v>
      </c>
      <c r="B2341" s="6" t="str">
        <f>VLOOKUP($A2341, 'Completion rates'!$A:$E, 2, FALSE)</f>
        <v>Killing elder custodian stalkers</v>
      </c>
      <c r="C2341" s="212">
        <v>2366.0</v>
      </c>
      <c r="D2341" s="6" t="str">
        <f>VLOOKUP($C2341, 'List of log slots'!$A:$E, 2, FALSE)</f>
        <v>Shield left half</v>
      </c>
      <c r="E2341" s="207">
        <f>VLOOKUP($C2341, 'List of log slots'!$A:$E, 5, FALSE)</f>
        <v>5</v>
      </c>
      <c r="F2341" s="210" t="b">
        <f>VLOOKUP(C2341, 'List of log slots'!$A:$C, 3, FALSE)</f>
        <v>0</v>
      </c>
      <c r="G2341" s="209" t="b">
        <f t="shared" si="1775"/>
        <v>0</v>
      </c>
      <c r="H2341" s="209" t="b">
        <f t="shared" si="7"/>
        <v>1</v>
      </c>
      <c r="I2341" s="208" t="b">
        <f t="shared" ref="I2341:J2341" si="1877">FALSE</f>
        <v>0</v>
      </c>
      <c r="J2341" s="208" t="b">
        <f t="shared" si="1877"/>
        <v>0</v>
      </c>
      <c r="K2341" s="214">
        <v>24007.0</v>
      </c>
      <c r="L2341" s="207" t="str">
        <f t="shared" si="3"/>
        <v>n/a</v>
      </c>
      <c r="M2341" s="212" t="str">
        <f t="shared" si="4"/>
        <v>n/a</v>
      </c>
      <c r="N2341" s="207" t="str">
        <f t="shared" si="1421"/>
        <v>n/a</v>
      </c>
      <c r="O2341" s="207">
        <f t="shared" si="1422"/>
        <v>0.00004165451743</v>
      </c>
    </row>
    <row r="2342">
      <c r="A2342" s="212">
        <v>210.0</v>
      </c>
      <c r="B2342" s="6" t="str">
        <f>VLOOKUP($A2342, 'Completion rates'!$A:$E, 2, FALSE)</f>
        <v>Killing elder custodian stalkers</v>
      </c>
      <c r="C2342" s="212">
        <v>1249.0</v>
      </c>
      <c r="D2342" s="6" t="str">
        <f>VLOOKUP($C2342, 'List of log slots'!$A:$E, 2, FALSE)</f>
        <v>Dragon spear</v>
      </c>
      <c r="E2342" s="207">
        <f>VLOOKUP($C2342, 'List of log slots'!$A:$E, 5, FALSE)</f>
        <v>5</v>
      </c>
      <c r="F2342" s="210" t="b">
        <f>VLOOKUP(C2342, 'List of log slots'!$A:$C, 3, FALSE)</f>
        <v>0</v>
      </c>
      <c r="G2342" s="209" t="b">
        <f t="shared" si="1775"/>
        <v>0</v>
      </c>
      <c r="H2342" s="209" t="b">
        <f t="shared" si="7"/>
        <v>1</v>
      </c>
      <c r="I2342" s="208" t="b">
        <f t="shared" ref="I2342:J2342" si="1878">FALSE</f>
        <v>0</v>
      </c>
      <c r="J2342" s="208" t="b">
        <f t="shared" si="1878"/>
        <v>0</v>
      </c>
      <c r="K2342" s="214">
        <v>32010.0</v>
      </c>
      <c r="L2342" s="207" t="str">
        <f t="shared" si="3"/>
        <v>n/a</v>
      </c>
      <c r="M2342" s="212" t="str">
        <f t="shared" si="4"/>
        <v>n/a</v>
      </c>
      <c r="N2342" s="207" t="str">
        <f t="shared" si="1421"/>
        <v>n/a</v>
      </c>
      <c r="O2342" s="207">
        <f t="shared" si="1422"/>
        <v>0.00003124023743</v>
      </c>
    </row>
    <row r="2343">
      <c r="A2343" s="212">
        <v>211.0</v>
      </c>
      <c r="B2343" s="6" t="str">
        <f>VLOOKUP($A2343, 'Completion rates'!$A:$E, 2, FALSE)</f>
        <v>Killing gryphons (on task)</v>
      </c>
      <c r="C2343" s="212">
        <v>31235.0</v>
      </c>
      <c r="D2343" s="6" t="str">
        <f>VLOOKUP($C2343, 'List of log slots'!$A:$E, 2, FALSE)</f>
        <v>Gryphon feather</v>
      </c>
      <c r="E2343" s="207">
        <f>VLOOKUP($C2343, 'List of log slots'!$A:$E, 5, FALSE)</f>
        <v>4</v>
      </c>
      <c r="F2343" s="210" t="b">
        <f>VLOOKUP(C2343, 'List of log slots'!$A:$C, 3, FALSE)</f>
        <v>0</v>
      </c>
      <c r="G2343" s="209" t="b">
        <f t="shared" si="1775"/>
        <v>0</v>
      </c>
      <c r="H2343" s="209" t="b">
        <f t="shared" si="7"/>
        <v>1</v>
      </c>
      <c r="I2343" s="208" t="b">
        <f t="shared" ref="I2343:J2343" si="1879">FALSE</f>
        <v>0</v>
      </c>
      <c r="J2343" s="208" t="b">
        <f t="shared" si="1879"/>
        <v>0</v>
      </c>
      <c r="K2343" s="214">
        <v>1.0</v>
      </c>
      <c r="L2343" s="207" t="str">
        <f t="shared" si="3"/>
        <v>n/a</v>
      </c>
      <c r="M2343" s="212" t="str">
        <f t="shared" si="4"/>
        <v>n/a</v>
      </c>
      <c r="N2343" s="207" t="str">
        <f t="shared" si="1421"/>
        <v>n/a</v>
      </c>
      <c r="O2343" s="207">
        <f t="shared" si="1422"/>
        <v>1</v>
      </c>
    </row>
    <row r="2344">
      <c r="A2344" s="212">
        <v>211.0</v>
      </c>
      <c r="B2344" s="6" t="str">
        <f>VLOOKUP($A2344, 'Completion rates'!$A:$E, 2, FALSE)</f>
        <v>Killing gryphons (on task)</v>
      </c>
      <c r="C2344" s="212">
        <v>20724.0</v>
      </c>
      <c r="D2344" s="6" t="str">
        <f>VLOOKUP($C2344, 'List of log slots'!$A:$E, 2, FALSE)</f>
        <v>Imbued heart</v>
      </c>
      <c r="E2344" s="207">
        <f>VLOOKUP($C2344, 'List of log slots'!$A:$E, 5, FALSE)</f>
        <v>8</v>
      </c>
      <c r="F2344" s="209" t="b">
        <f>VLOOKUP(C2344, 'List of log slots'!$A:$C, 3, FALSE)</f>
        <v>0</v>
      </c>
      <c r="G2344" s="209" t="b">
        <f t="shared" si="1775"/>
        <v>0</v>
      </c>
      <c r="H2344" s="210" t="b">
        <f t="shared" si="7"/>
        <v>1</v>
      </c>
      <c r="I2344" s="208" t="b">
        <f t="shared" ref="I2344:J2344" si="1880">FALSE</f>
        <v>0</v>
      </c>
      <c r="J2344" s="208" t="b">
        <f t="shared" si="1880"/>
        <v>0</v>
      </c>
      <c r="K2344" s="214">
        <v>133200.0</v>
      </c>
      <c r="L2344" s="207" t="str">
        <f t="shared" si="3"/>
        <v>n/a</v>
      </c>
      <c r="M2344" s="212" t="str">
        <f t="shared" si="4"/>
        <v>n/a</v>
      </c>
      <c r="N2344" s="207" t="str">
        <f t="shared" si="1421"/>
        <v>n/a</v>
      </c>
      <c r="O2344" s="207">
        <f t="shared" si="1422"/>
        <v>0.000007507507508</v>
      </c>
    </row>
    <row r="2345">
      <c r="A2345" s="212">
        <v>211.0</v>
      </c>
      <c r="B2345" s="6" t="str">
        <f>VLOOKUP($A2345, 'Completion rates'!$A:$E, 2, FALSE)</f>
        <v>Killing gryphons (on task)</v>
      </c>
      <c r="C2345" s="212">
        <v>21270.0</v>
      </c>
      <c r="D2345" s="6" t="str">
        <f>VLOOKUP($C2345, 'List of log slots'!$A:$E, 2, FALSE)</f>
        <v>Eternal gem</v>
      </c>
      <c r="E2345" s="207">
        <f>VLOOKUP($C2345, 'List of log slots'!$A:$E, 5, FALSE)</f>
        <v>8</v>
      </c>
      <c r="F2345" s="210" t="b">
        <f>VLOOKUP(C2345, 'List of log slots'!$A:$C, 3, FALSE)</f>
        <v>0</v>
      </c>
      <c r="G2345" s="209" t="b">
        <f t="shared" si="1775"/>
        <v>0</v>
      </c>
      <c r="H2345" s="209" t="b">
        <f t="shared" si="7"/>
        <v>1</v>
      </c>
      <c r="I2345" s="208" t="b">
        <f t="shared" ref="I2345:J2345" si="1881">FALSE</f>
        <v>0</v>
      </c>
      <c r="J2345" s="208" t="b">
        <f t="shared" si="1881"/>
        <v>0</v>
      </c>
      <c r="K2345" s="214">
        <v>133200.0</v>
      </c>
      <c r="L2345" s="207" t="str">
        <f t="shared" si="3"/>
        <v>n/a</v>
      </c>
      <c r="M2345" s="212" t="str">
        <f t="shared" si="4"/>
        <v>n/a</v>
      </c>
      <c r="N2345" s="207" t="str">
        <f t="shared" si="1421"/>
        <v>n/a</v>
      </c>
      <c r="O2345" s="207">
        <f t="shared" si="1422"/>
        <v>0.000007507507508</v>
      </c>
    </row>
    <row r="2346">
      <c r="A2346" s="212">
        <v>211.0</v>
      </c>
      <c r="B2346" s="6" t="str">
        <f>VLOOKUP($A2346, 'Completion rates'!$A:$E, 2, FALSE)</f>
        <v>Killing gryphons (on task)</v>
      </c>
      <c r="C2346" s="212">
        <v>20736.0</v>
      </c>
      <c r="D2346" s="6" t="str">
        <f>VLOOKUP($C2346, 'List of log slots'!$A:$E, 2, FALSE)</f>
        <v>Dust battlestaff</v>
      </c>
      <c r="E2346" s="207">
        <f>VLOOKUP($C2346, 'List of log slots'!$A:$E, 5, FALSE)</f>
        <v>6</v>
      </c>
      <c r="F2346" s="210" t="b">
        <f>VLOOKUP(C2346, 'List of log slots'!$A:$C, 3, FALSE)</f>
        <v>0</v>
      </c>
      <c r="G2346" s="209" t="b">
        <f t="shared" si="1775"/>
        <v>0</v>
      </c>
      <c r="H2346" s="209" t="b">
        <f t="shared" si="7"/>
        <v>1</v>
      </c>
      <c r="I2346" s="208" t="b">
        <f t="shared" ref="I2346:J2346" si="1882">FALSE</f>
        <v>0</v>
      </c>
      <c r="J2346" s="208" t="b">
        <f t="shared" si="1882"/>
        <v>0</v>
      </c>
      <c r="K2346" s="214">
        <v>44400.0</v>
      </c>
      <c r="L2346" s="207" t="str">
        <f t="shared" si="3"/>
        <v>n/a</v>
      </c>
      <c r="M2346" s="212" t="str">
        <f t="shared" si="4"/>
        <v>n/a</v>
      </c>
      <c r="N2346" s="207" t="str">
        <f t="shared" si="1421"/>
        <v>n/a</v>
      </c>
      <c r="O2346" s="207">
        <f t="shared" si="1422"/>
        <v>0.00002252252252</v>
      </c>
    </row>
    <row r="2347">
      <c r="A2347" s="212">
        <v>211.0</v>
      </c>
      <c r="B2347" s="6" t="str">
        <f>VLOOKUP($A2347, 'Completion rates'!$A:$E, 2, FALSE)</f>
        <v>Killing gryphons (on task)</v>
      </c>
      <c r="C2347" s="212">
        <v>20730.0</v>
      </c>
      <c r="D2347" s="6" t="str">
        <f>VLOOKUP($C2347, 'List of log slots'!$A:$E, 2, FALSE)</f>
        <v>Mist battlestaff</v>
      </c>
      <c r="E2347" s="207">
        <f>VLOOKUP($C2347, 'List of log slots'!$A:$E, 5, FALSE)</f>
        <v>7</v>
      </c>
      <c r="F2347" s="210" t="b">
        <f>VLOOKUP(C2347, 'List of log slots'!$A:$C, 3, FALSE)</f>
        <v>0</v>
      </c>
      <c r="G2347" s="209" t="b">
        <f t="shared" si="1775"/>
        <v>0</v>
      </c>
      <c r="H2347" s="209" t="b">
        <f t="shared" si="7"/>
        <v>1</v>
      </c>
      <c r="I2347" s="208" t="b">
        <f t="shared" ref="I2347:J2347" si="1883">FALSE</f>
        <v>0</v>
      </c>
      <c r="J2347" s="208" t="b">
        <f t="shared" si="1883"/>
        <v>0</v>
      </c>
      <c r="K2347" s="214">
        <v>44400.0</v>
      </c>
      <c r="L2347" s="207" t="str">
        <f t="shared" si="3"/>
        <v>n/a</v>
      </c>
      <c r="M2347" s="212" t="str">
        <f t="shared" si="4"/>
        <v>n/a</v>
      </c>
      <c r="N2347" s="207" t="str">
        <f t="shared" si="1421"/>
        <v>n/a</v>
      </c>
      <c r="O2347" s="207">
        <f t="shared" si="1422"/>
        <v>0.00002252252252</v>
      </c>
    </row>
    <row r="2348">
      <c r="A2348" s="212">
        <v>211.0</v>
      </c>
      <c r="B2348" s="6" t="str">
        <f>VLOOKUP($A2348, 'Completion rates'!$A:$E, 2, FALSE)</f>
        <v>Killing gryphons (on task)</v>
      </c>
      <c r="C2348" s="212">
        <v>31243.0</v>
      </c>
      <c r="D2348" s="6" t="str">
        <f>VLOOKUP($C2348, 'List of log slots'!$A:$E, 2, FALSE)</f>
        <v>Horn of plenty (empty)</v>
      </c>
      <c r="E2348" s="207">
        <f>VLOOKUP($C2348, 'List of log slots'!$A:$E, 5, FALSE)</f>
        <v>5</v>
      </c>
      <c r="F2348" s="209" t="b">
        <f>VLOOKUP(C2348, 'List of log slots'!$A:$C, 3, FALSE)</f>
        <v>0</v>
      </c>
      <c r="G2348" s="209" t="b">
        <f t="shared" si="1775"/>
        <v>0</v>
      </c>
      <c r="H2348" s="210" t="b">
        <f t="shared" si="7"/>
        <v>1</v>
      </c>
      <c r="I2348" s="213" t="b">
        <f>TRUE</f>
        <v>1</v>
      </c>
      <c r="J2348" s="208" t="b">
        <f>FALSE</f>
        <v>0</v>
      </c>
      <c r="K2348" s="214">
        <v>1000.0</v>
      </c>
      <c r="L2348" s="207" t="str">
        <f t="shared" si="3"/>
        <v>n/a</v>
      </c>
      <c r="M2348" s="212">
        <f t="shared" si="4"/>
        <v>1000</v>
      </c>
      <c r="N2348" s="207" t="str">
        <f t="shared" si="1421"/>
        <v>n/a</v>
      </c>
      <c r="O2348" s="207" t="str">
        <f t="shared" si="1422"/>
        <v>n/a</v>
      </c>
    </row>
    <row r="2349">
      <c r="A2349" s="212">
        <v>211.0</v>
      </c>
      <c r="B2349" s="6" t="str">
        <f>VLOOKUP($A2349, 'Completion rates'!$A:$E, 2, FALSE)</f>
        <v>Killing gryphons (on task)</v>
      </c>
      <c r="C2349" s="212">
        <v>2366.0</v>
      </c>
      <c r="D2349" s="6" t="str">
        <f>VLOOKUP($C2349, 'List of log slots'!$A:$E, 2, FALSE)</f>
        <v>Shield left half</v>
      </c>
      <c r="E2349" s="207">
        <f>VLOOKUP($C2349, 'List of log slots'!$A:$E, 5, FALSE)</f>
        <v>5</v>
      </c>
      <c r="F2349" s="210" t="b">
        <f>VLOOKUP(C2349, 'List of log slots'!$A:$C, 3, FALSE)</f>
        <v>0</v>
      </c>
      <c r="G2349" s="209" t="b">
        <f t="shared" si="1775"/>
        <v>0</v>
      </c>
      <c r="H2349" s="209" t="b">
        <f t="shared" si="7"/>
        <v>1</v>
      </c>
      <c r="I2349" s="208" t="b">
        <f t="shared" ref="I2349:J2349" si="1884">FALSE</f>
        <v>0</v>
      </c>
      <c r="J2349" s="208" t="b">
        <f t="shared" si="1884"/>
        <v>0</v>
      </c>
      <c r="K2349" s="214">
        <v>524288.0</v>
      </c>
      <c r="L2349" s="207" t="str">
        <f t="shared" si="3"/>
        <v>n/a</v>
      </c>
      <c r="M2349" s="212" t="str">
        <f t="shared" si="4"/>
        <v>n/a</v>
      </c>
      <c r="N2349" s="207" t="str">
        <f t="shared" si="1421"/>
        <v>n/a</v>
      </c>
      <c r="O2349" s="207">
        <f t="shared" si="1422"/>
        <v>0.000001907348633</v>
      </c>
    </row>
    <row r="2350">
      <c r="A2350" s="212">
        <v>211.0</v>
      </c>
      <c r="B2350" s="6" t="str">
        <f>VLOOKUP($A2350, 'Completion rates'!$A:$E, 2, FALSE)</f>
        <v>Killing gryphons (on task)</v>
      </c>
      <c r="C2350" s="212">
        <v>1249.0</v>
      </c>
      <c r="D2350" s="6" t="str">
        <f>VLOOKUP($C2350, 'List of log slots'!$A:$E, 2, FALSE)</f>
        <v>Dragon spear</v>
      </c>
      <c r="E2350" s="207">
        <f>VLOOKUP($C2350, 'List of log slots'!$A:$E, 5, FALSE)</f>
        <v>5</v>
      </c>
      <c r="F2350" s="210" t="b">
        <f>VLOOKUP(C2350, 'List of log slots'!$A:$C, 3, FALSE)</f>
        <v>0</v>
      </c>
      <c r="G2350" s="209" t="b">
        <f t="shared" si="1775"/>
        <v>0</v>
      </c>
      <c r="H2350" s="209" t="b">
        <f t="shared" si="7"/>
        <v>1</v>
      </c>
      <c r="I2350" s="208" t="b">
        <f t="shared" ref="I2350:J2350" si="1885">FALSE</f>
        <v>0</v>
      </c>
      <c r="J2350" s="208" t="b">
        <f t="shared" si="1885"/>
        <v>0</v>
      </c>
      <c r="K2350" s="214">
        <v>699051.0</v>
      </c>
      <c r="L2350" s="207" t="str">
        <f t="shared" si="3"/>
        <v>n/a</v>
      </c>
      <c r="M2350" s="212" t="str">
        <f t="shared" si="4"/>
        <v>n/a</v>
      </c>
      <c r="N2350" s="207" t="str">
        <f t="shared" si="1421"/>
        <v>n/a</v>
      </c>
      <c r="O2350" s="207">
        <f t="shared" si="1422"/>
        <v>0.000001430510792</v>
      </c>
    </row>
    <row r="2351">
      <c r="A2351" s="212">
        <v>212.0</v>
      </c>
      <c r="B2351" s="6" t="str">
        <f>VLOOKUP($A2351, 'Completion rates'!$A:$E, 2, FALSE)</f>
        <v>Killing tormented demons</v>
      </c>
      <c r="C2351" s="212">
        <v>29580.0</v>
      </c>
      <c r="D2351" s="6" t="str">
        <f>VLOOKUP($C2351, 'List of log slots'!$A:$E, 2, FALSE)</f>
        <v>Tormented synapse</v>
      </c>
      <c r="E2351" s="207">
        <f>VLOOKUP($C2351, 'List of log slots'!$A:$E, 5, FALSE)</f>
        <v>6</v>
      </c>
      <c r="F2351" s="209" t="b">
        <f>VLOOKUP(C2351, 'List of log slots'!$A:$C, 3, FALSE)</f>
        <v>0</v>
      </c>
      <c r="G2351" s="209" t="b">
        <f t="shared" si="1775"/>
        <v>0</v>
      </c>
      <c r="H2351" s="210" t="b">
        <f t="shared" si="7"/>
        <v>1</v>
      </c>
      <c r="I2351" s="208" t="b">
        <f t="shared" ref="I2351:J2351" si="1886">FALSE</f>
        <v>0</v>
      </c>
      <c r="J2351" s="208" t="b">
        <f t="shared" si="1886"/>
        <v>0</v>
      </c>
      <c r="K2351" s="214">
        <v>500.0</v>
      </c>
      <c r="L2351" s="207" t="str">
        <f t="shared" si="3"/>
        <v>n/a</v>
      </c>
      <c r="M2351" s="212" t="str">
        <f t="shared" si="4"/>
        <v>n/a</v>
      </c>
      <c r="N2351" s="207" t="str">
        <f t="shared" si="1421"/>
        <v>n/a</v>
      </c>
      <c r="O2351" s="207">
        <f t="shared" si="1422"/>
        <v>0.002</v>
      </c>
    </row>
    <row r="2352">
      <c r="A2352" s="212">
        <v>212.0</v>
      </c>
      <c r="B2352" s="6" t="str">
        <f>VLOOKUP($A2352, 'Completion rates'!$A:$E, 2, FALSE)</f>
        <v>Killing tormented demons</v>
      </c>
      <c r="C2352" s="212">
        <v>29574.0</v>
      </c>
      <c r="D2352" s="6" t="str">
        <f>VLOOKUP($C2352, 'List of log slots'!$A:$E, 2, FALSE)</f>
        <v>Burning claw</v>
      </c>
      <c r="E2352" s="207">
        <f>VLOOKUP($C2352, 'List of log slots'!$A:$E, 5, FALSE)</f>
        <v>6</v>
      </c>
      <c r="F2352" s="209" t="b">
        <f>VLOOKUP(C2352, 'List of log slots'!$A:$C, 3, FALSE)</f>
        <v>0</v>
      </c>
      <c r="G2352" s="209" t="b">
        <f t="shared" si="1775"/>
        <v>0</v>
      </c>
      <c r="H2352" s="210" t="b">
        <f t="shared" si="7"/>
        <v>1</v>
      </c>
      <c r="I2352" s="208" t="b">
        <f t="shared" ref="I2352:J2352" si="1887">FALSE</f>
        <v>0</v>
      </c>
      <c r="J2352" s="208" t="b">
        <f t="shared" si="1887"/>
        <v>0</v>
      </c>
      <c r="K2352" s="214">
        <v>501.0</v>
      </c>
      <c r="L2352" s="207" t="str">
        <f t="shared" si="3"/>
        <v>n/a</v>
      </c>
      <c r="M2352" s="212" t="str">
        <f t="shared" si="4"/>
        <v>n/a</v>
      </c>
      <c r="N2352" s="207" t="str">
        <f t="shared" si="1421"/>
        <v>n/a</v>
      </c>
      <c r="O2352" s="207">
        <f t="shared" si="1422"/>
        <v>0.001996007984</v>
      </c>
    </row>
    <row r="2353">
      <c r="A2353" s="212">
        <v>212.0</v>
      </c>
      <c r="B2353" s="6" t="str">
        <f>VLOOKUP($A2353, 'Completion rates'!$A:$E, 2, FALSE)</f>
        <v>Killing tormented demons</v>
      </c>
      <c r="C2353" s="212">
        <v>29684.0</v>
      </c>
      <c r="D2353" s="6" t="str">
        <f>VLOOKUP($C2353, 'List of log slots'!$A:$E, 2, FALSE)</f>
        <v>Guthixian temple teleport</v>
      </c>
      <c r="E2353" s="207">
        <f>VLOOKUP($C2353, 'List of log slots'!$A:$E, 5, FALSE)</f>
        <v>5</v>
      </c>
      <c r="F2353" s="210" t="b">
        <f>VLOOKUP(C2353, 'List of log slots'!$A:$C, 3, FALSE)</f>
        <v>0</v>
      </c>
      <c r="G2353" s="209" t="b">
        <f t="shared" si="1775"/>
        <v>0</v>
      </c>
      <c r="H2353" s="209" t="b">
        <f t="shared" si="7"/>
        <v>1</v>
      </c>
      <c r="I2353" s="208" t="b">
        <f t="shared" ref="I2353:J2353" si="1888">FALSE</f>
        <v>0</v>
      </c>
      <c r="J2353" s="208" t="b">
        <f t="shared" si="1888"/>
        <v>0</v>
      </c>
      <c r="K2353" s="214">
        <v>12.0</v>
      </c>
      <c r="L2353" s="207" t="str">
        <f t="shared" si="3"/>
        <v>n/a</v>
      </c>
      <c r="M2353" s="212" t="str">
        <f t="shared" si="4"/>
        <v>n/a</v>
      </c>
      <c r="N2353" s="207" t="str">
        <f t="shared" si="1421"/>
        <v>n/a</v>
      </c>
      <c r="O2353" s="207">
        <f t="shared" si="1422"/>
        <v>0.08333333333</v>
      </c>
    </row>
    <row r="2354">
      <c r="A2354" s="212">
        <v>213.0</v>
      </c>
      <c r="B2354" s="6" t="str">
        <f>VLOOKUP($A2354, 'Completion rates'!$A:$E, 2, FALSE)</f>
        <v>Killing bulk tzhaar</v>
      </c>
      <c r="C2354" s="212">
        <v>6568.0</v>
      </c>
      <c r="D2354" s="6" t="str">
        <f>VLOOKUP($C2354, 'List of log slots'!$A:$E, 2, FALSE)</f>
        <v>Obsidian cape</v>
      </c>
      <c r="E2354" s="207">
        <f>VLOOKUP($C2354, 'List of log slots'!$A:$E, 5, FALSE)</f>
        <v>4</v>
      </c>
      <c r="F2354" s="210" t="b">
        <f>VLOOKUP(C2354, 'List of log slots'!$A:$C, 3, FALSE)</f>
        <v>0</v>
      </c>
      <c r="G2354" s="209" t="b">
        <f t="shared" si="1775"/>
        <v>0</v>
      </c>
      <c r="H2354" s="209" t="b">
        <f t="shared" si="7"/>
        <v>1</v>
      </c>
      <c r="I2354" s="208" t="b">
        <f t="shared" ref="I2354:J2354" si="1889">FALSE</f>
        <v>0</v>
      </c>
      <c r="J2354" s="208" t="b">
        <f t="shared" si="1889"/>
        <v>0</v>
      </c>
      <c r="K2354" s="214">
        <v>1024.0</v>
      </c>
      <c r="L2354" s="207" t="str">
        <f t="shared" si="3"/>
        <v>n/a</v>
      </c>
      <c r="M2354" s="212" t="str">
        <f t="shared" si="4"/>
        <v>n/a</v>
      </c>
      <c r="N2354" s="207" t="str">
        <f t="shared" si="1421"/>
        <v>n/a</v>
      </c>
      <c r="O2354" s="207">
        <f t="shared" si="1422"/>
        <v>0.0009765625</v>
      </c>
    </row>
    <row r="2355">
      <c r="A2355" s="212">
        <v>213.0</v>
      </c>
      <c r="B2355" s="6" t="str">
        <f>VLOOKUP($A2355, 'Completion rates'!$A:$E, 2, FALSE)</f>
        <v>Killing bulk tzhaar</v>
      </c>
      <c r="C2355" s="212">
        <v>6524.0</v>
      </c>
      <c r="D2355" s="6" t="str">
        <f>VLOOKUP($C2355, 'List of log slots'!$A:$E, 2, FALSE)</f>
        <v>Toktz-ket-xil</v>
      </c>
      <c r="E2355" s="207">
        <f>VLOOKUP($C2355, 'List of log slots'!$A:$E, 5, FALSE)</f>
        <v>4</v>
      </c>
      <c r="F2355" s="210" t="b">
        <f>VLOOKUP(C2355, 'List of log slots'!$A:$C, 3, FALSE)</f>
        <v>0</v>
      </c>
      <c r="G2355" s="209" t="b">
        <f t="shared" si="1775"/>
        <v>0</v>
      </c>
      <c r="H2355" s="209" t="b">
        <f t="shared" si="7"/>
        <v>1</v>
      </c>
      <c r="I2355" s="208" t="b">
        <f t="shared" ref="I2355:J2355" si="1890">FALSE</f>
        <v>0</v>
      </c>
      <c r="J2355" s="208" t="b">
        <f t="shared" si="1890"/>
        <v>0</v>
      </c>
      <c r="K2355" s="214">
        <v>2048.0</v>
      </c>
      <c r="L2355" s="207" t="str">
        <f t="shared" si="3"/>
        <v>n/a</v>
      </c>
      <c r="M2355" s="212" t="str">
        <f t="shared" si="4"/>
        <v>n/a</v>
      </c>
      <c r="N2355" s="207" t="str">
        <f t="shared" si="1421"/>
        <v>n/a</v>
      </c>
      <c r="O2355" s="207">
        <f t="shared" si="1422"/>
        <v>0.00048828125</v>
      </c>
    </row>
    <row r="2356">
      <c r="A2356" s="212">
        <v>213.0</v>
      </c>
      <c r="B2356" s="6" t="str">
        <f>VLOOKUP($A2356, 'Completion rates'!$A:$E, 2, FALSE)</f>
        <v>Killing bulk tzhaar</v>
      </c>
      <c r="C2356" s="212">
        <v>6528.0</v>
      </c>
      <c r="D2356" s="6" t="str">
        <f>VLOOKUP($C2356, 'List of log slots'!$A:$E, 2, FALSE)</f>
        <v>Tzhaar-ket-om</v>
      </c>
      <c r="E2356" s="207">
        <f>VLOOKUP($C2356, 'List of log slots'!$A:$E, 5, FALSE)</f>
        <v>4</v>
      </c>
      <c r="F2356" s="210" t="b">
        <f>VLOOKUP(C2356, 'List of log slots'!$A:$C, 3, FALSE)</f>
        <v>0</v>
      </c>
      <c r="G2356" s="209" t="b">
        <f t="shared" si="1775"/>
        <v>0</v>
      </c>
      <c r="H2356" s="209" t="b">
        <f t="shared" si="7"/>
        <v>1</v>
      </c>
      <c r="I2356" s="208" t="b">
        <f t="shared" ref="I2356:J2356" si="1891">FALSE</f>
        <v>0</v>
      </c>
      <c r="J2356" s="208" t="b">
        <f t="shared" si="1891"/>
        <v>0</v>
      </c>
      <c r="K2356" s="214">
        <v>2048.0</v>
      </c>
      <c r="L2356" s="207" t="str">
        <f t="shared" si="3"/>
        <v>n/a</v>
      </c>
      <c r="M2356" s="212" t="str">
        <f t="shared" si="4"/>
        <v>n/a</v>
      </c>
      <c r="N2356" s="207" t="str">
        <f t="shared" si="1421"/>
        <v>n/a</v>
      </c>
      <c r="O2356" s="207">
        <f t="shared" si="1422"/>
        <v>0.00048828125</v>
      </c>
    </row>
    <row r="2357">
      <c r="A2357" s="212">
        <v>213.0</v>
      </c>
      <c r="B2357" s="6" t="str">
        <f>VLOOKUP($A2357, 'Completion rates'!$A:$E, 2, FALSE)</f>
        <v>Killing bulk tzhaar</v>
      </c>
      <c r="C2357" s="212">
        <v>6523.0</v>
      </c>
      <c r="D2357" s="6" t="str">
        <f>VLOOKUP($C2357, 'List of log slots'!$A:$E, 2, FALSE)</f>
        <v>Toktz-xil-ak</v>
      </c>
      <c r="E2357" s="207">
        <f>VLOOKUP($C2357, 'List of log slots'!$A:$E, 5, FALSE)</f>
        <v>4</v>
      </c>
      <c r="F2357" s="209" t="b">
        <f>VLOOKUP(C2357, 'List of log slots'!$A:$C, 3, FALSE)</f>
        <v>0</v>
      </c>
      <c r="G2357" s="209" t="b">
        <f t="shared" si="1775"/>
        <v>0</v>
      </c>
      <c r="H2357" s="210" t="b">
        <f t="shared" si="7"/>
        <v>1</v>
      </c>
      <c r="I2357" s="208" t="b">
        <f t="shared" ref="I2357:J2357" si="1892">FALSE</f>
        <v>0</v>
      </c>
      <c r="J2357" s="208" t="b">
        <f t="shared" si="1892"/>
        <v>0</v>
      </c>
      <c r="K2357" s="214">
        <v>2048.0</v>
      </c>
      <c r="L2357" s="207" t="str">
        <f t="shared" si="3"/>
        <v>n/a</v>
      </c>
      <c r="M2357" s="212" t="str">
        <f t="shared" si="4"/>
        <v>n/a</v>
      </c>
      <c r="N2357" s="207" t="str">
        <f t="shared" si="1421"/>
        <v>n/a</v>
      </c>
      <c r="O2357" s="207">
        <f t="shared" si="1422"/>
        <v>0.00048828125</v>
      </c>
    </row>
    <row r="2358">
      <c r="A2358" s="212">
        <v>213.0</v>
      </c>
      <c r="B2358" s="6" t="str">
        <f>VLOOKUP($A2358, 'Completion rates'!$A:$E, 2, FALSE)</f>
        <v>Killing bulk tzhaar</v>
      </c>
      <c r="C2358" s="212">
        <v>6525.0</v>
      </c>
      <c r="D2358" s="6" t="str">
        <f>VLOOKUP($C2358, 'List of log slots'!$A:$E, 2, FALSE)</f>
        <v>Toktz-xil-ek</v>
      </c>
      <c r="E2358" s="207">
        <f>VLOOKUP($C2358, 'List of log slots'!$A:$E, 5, FALSE)</f>
        <v>4</v>
      </c>
      <c r="F2358" s="210" t="b">
        <f>VLOOKUP(C2358, 'List of log slots'!$A:$C, 3, FALSE)</f>
        <v>0</v>
      </c>
      <c r="G2358" s="209" t="b">
        <f t="shared" si="1775"/>
        <v>0</v>
      </c>
      <c r="H2358" s="209" t="b">
        <f t="shared" si="7"/>
        <v>1</v>
      </c>
      <c r="I2358" s="208" t="b">
        <f t="shared" ref="I2358:J2358" si="1893">FALSE</f>
        <v>0</v>
      </c>
      <c r="J2358" s="208" t="b">
        <f t="shared" si="1893"/>
        <v>0</v>
      </c>
      <c r="K2358" s="214">
        <v>2048.0</v>
      </c>
      <c r="L2358" s="207" t="str">
        <f t="shared" si="3"/>
        <v>n/a</v>
      </c>
      <c r="M2358" s="212" t="str">
        <f t="shared" si="4"/>
        <v>n/a</v>
      </c>
      <c r="N2358" s="207" t="str">
        <f t="shared" si="1421"/>
        <v>n/a</v>
      </c>
      <c r="O2358" s="207">
        <f t="shared" si="1422"/>
        <v>0.00048828125</v>
      </c>
    </row>
    <row r="2359">
      <c r="A2359" s="212">
        <v>213.0</v>
      </c>
      <c r="B2359" s="6" t="str">
        <f>VLOOKUP($A2359, 'Completion rates'!$A:$E, 2, FALSE)</f>
        <v>Killing bulk tzhaar</v>
      </c>
      <c r="C2359" s="212">
        <v>6526.0</v>
      </c>
      <c r="D2359" s="6" t="str">
        <f>VLOOKUP($C2359, 'List of log slots'!$A:$E, 2, FALSE)</f>
        <v>Toktz-mej-tal</v>
      </c>
      <c r="E2359" s="207">
        <f>VLOOKUP($C2359, 'List of log slots'!$A:$E, 5, FALSE)</f>
        <v>6</v>
      </c>
      <c r="F2359" s="209" t="b">
        <f>VLOOKUP(C2359, 'List of log slots'!$A:$C, 3, FALSE)</f>
        <v>0</v>
      </c>
      <c r="G2359" s="209" t="b">
        <f t="shared" si="1775"/>
        <v>0</v>
      </c>
      <c r="H2359" s="210" t="b">
        <f t="shared" si="7"/>
        <v>1</v>
      </c>
      <c r="I2359" s="208" t="b">
        <f t="shared" ref="I2359:J2359" si="1894">FALSE</f>
        <v>0</v>
      </c>
      <c r="J2359" s="208" t="b">
        <f t="shared" si="1894"/>
        <v>0</v>
      </c>
      <c r="K2359" s="214">
        <v>16384.0</v>
      </c>
      <c r="L2359" s="207" t="str">
        <f t="shared" si="3"/>
        <v>n/a</v>
      </c>
      <c r="M2359" s="212" t="str">
        <f t="shared" si="4"/>
        <v>n/a</v>
      </c>
      <c r="N2359" s="207" t="str">
        <f t="shared" si="1421"/>
        <v>n/a</v>
      </c>
      <c r="O2359" s="207">
        <f t="shared" si="1422"/>
        <v>0.00006103515625</v>
      </c>
    </row>
    <row r="2360">
      <c r="A2360" s="212">
        <v>213.0</v>
      </c>
      <c r="B2360" s="6" t="str">
        <f>VLOOKUP($A2360, 'Completion rates'!$A:$E, 2, FALSE)</f>
        <v>Killing bulk tzhaar</v>
      </c>
      <c r="C2360" s="212">
        <v>6522.0</v>
      </c>
      <c r="D2360" s="6" t="str">
        <f>VLOOKUP($C2360, 'List of log slots'!$A:$E, 2, FALSE)</f>
        <v>Toktz-xil-ul</v>
      </c>
      <c r="E2360" s="207">
        <f>VLOOKUP($C2360, 'List of log slots'!$A:$E, 5, FALSE)</f>
        <v>4</v>
      </c>
      <c r="F2360" s="209" t="b">
        <f>VLOOKUP(C2360, 'List of log slots'!$A:$C, 3, FALSE)</f>
        <v>0</v>
      </c>
      <c r="G2360" s="209" t="b">
        <f t="shared" si="1775"/>
        <v>0</v>
      </c>
      <c r="H2360" s="210" t="b">
        <f t="shared" si="7"/>
        <v>1</v>
      </c>
      <c r="I2360" s="208" t="b">
        <f t="shared" ref="I2360:J2360" si="1895">FALSE</f>
        <v>0</v>
      </c>
      <c r="J2360" s="208" t="b">
        <f t="shared" si="1895"/>
        <v>0</v>
      </c>
      <c r="K2360" s="214">
        <v>2048.0</v>
      </c>
      <c r="L2360" s="207" t="str">
        <f t="shared" si="3"/>
        <v>n/a</v>
      </c>
      <c r="M2360" s="212" t="str">
        <f t="shared" si="4"/>
        <v>n/a</v>
      </c>
      <c r="N2360" s="207" t="str">
        <f t="shared" si="1421"/>
        <v>n/a</v>
      </c>
      <c r="O2360" s="207">
        <f t="shared" si="1422"/>
        <v>0.00048828125</v>
      </c>
    </row>
    <row r="2361">
      <c r="A2361" s="212">
        <v>213.0</v>
      </c>
      <c r="B2361" s="6" t="str">
        <f>VLOOKUP($A2361, 'Completion rates'!$A:$E, 2, FALSE)</f>
        <v>Killing bulk tzhaar</v>
      </c>
      <c r="C2361" s="212">
        <v>21298.0</v>
      </c>
      <c r="D2361" s="6" t="str">
        <f>VLOOKUP($C2361, 'List of log slots'!$A:$E, 2, FALSE)</f>
        <v>Obsidian helmet</v>
      </c>
      <c r="E2361" s="207">
        <f>VLOOKUP($C2361, 'List of log slots'!$A:$E, 5, FALSE)</f>
        <v>5</v>
      </c>
      <c r="F2361" s="209" t="b">
        <f>VLOOKUP(C2361, 'List of log slots'!$A:$C, 3, FALSE)</f>
        <v>0</v>
      </c>
      <c r="G2361" s="209" t="b">
        <f t="shared" si="1775"/>
        <v>0</v>
      </c>
      <c r="H2361" s="210" t="b">
        <f t="shared" si="7"/>
        <v>1</v>
      </c>
      <c r="I2361" s="208" t="b">
        <f t="shared" ref="I2361:J2361" si="1896">FALSE</f>
        <v>0</v>
      </c>
      <c r="J2361" s="208" t="b">
        <f t="shared" si="1896"/>
        <v>0</v>
      </c>
      <c r="K2361" s="214">
        <v>8000.0</v>
      </c>
      <c r="L2361" s="207" t="str">
        <f t="shared" si="3"/>
        <v>n/a</v>
      </c>
      <c r="M2361" s="212" t="str">
        <f t="shared" si="4"/>
        <v>n/a</v>
      </c>
      <c r="N2361" s="207" t="str">
        <f t="shared" si="1421"/>
        <v>n/a</v>
      </c>
      <c r="O2361" s="207">
        <f t="shared" si="1422"/>
        <v>0.000125</v>
      </c>
    </row>
    <row r="2362">
      <c r="A2362" s="212">
        <v>213.0</v>
      </c>
      <c r="B2362" s="6" t="str">
        <f>VLOOKUP($A2362, 'Completion rates'!$A:$E, 2, FALSE)</f>
        <v>Killing bulk tzhaar</v>
      </c>
      <c r="C2362" s="212">
        <v>21301.0</v>
      </c>
      <c r="D2362" s="6" t="str">
        <f>VLOOKUP($C2362, 'List of log slots'!$A:$E, 2, FALSE)</f>
        <v>Obsidian platebody</v>
      </c>
      <c r="E2362" s="207">
        <f>VLOOKUP($C2362, 'List of log slots'!$A:$E, 5, FALSE)</f>
        <v>5</v>
      </c>
      <c r="F2362" s="209" t="b">
        <f>VLOOKUP(C2362, 'List of log slots'!$A:$C, 3, FALSE)</f>
        <v>0</v>
      </c>
      <c r="G2362" s="209" t="b">
        <f t="shared" si="1775"/>
        <v>0</v>
      </c>
      <c r="H2362" s="210" t="b">
        <f t="shared" si="7"/>
        <v>1</v>
      </c>
      <c r="I2362" s="208" t="b">
        <f t="shared" ref="I2362:J2362" si="1897">FALSE</f>
        <v>0</v>
      </c>
      <c r="J2362" s="208" t="b">
        <f t="shared" si="1897"/>
        <v>0</v>
      </c>
      <c r="K2362" s="214">
        <v>8000.0</v>
      </c>
      <c r="L2362" s="207" t="str">
        <f t="shared" si="3"/>
        <v>n/a</v>
      </c>
      <c r="M2362" s="212" t="str">
        <f t="shared" si="4"/>
        <v>n/a</v>
      </c>
      <c r="N2362" s="207" t="str">
        <f t="shared" si="1421"/>
        <v>n/a</v>
      </c>
      <c r="O2362" s="207">
        <f t="shared" si="1422"/>
        <v>0.000125</v>
      </c>
    </row>
    <row r="2363">
      <c r="A2363" s="212">
        <v>213.0</v>
      </c>
      <c r="B2363" s="6" t="str">
        <f>VLOOKUP($A2363, 'Completion rates'!$A:$E, 2, FALSE)</f>
        <v>Killing bulk tzhaar</v>
      </c>
      <c r="C2363" s="212">
        <v>21304.0</v>
      </c>
      <c r="D2363" s="6" t="str">
        <f>VLOOKUP($C2363, 'List of log slots'!$A:$E, 2, FALSE)</f>
        <v>Obsidian platelegs</v>
      </c>
      <c r="E2363" s="207">
        <f>VLOOKUP($C2363, 'List of log slots'!$A:$E, 5, FALSE)</f>
        <v>5</v>
      </c>
      <c r="F2363" s="210" t="b">
        <f>VLOOKUP(C2363, 'List of log slots'!$A:$C, 3, FALSE)</f>
        <v>0</v>
      </c>
      <c r="G2363" s="209" t="b">
        <f t="shared" si="1775"/>
        <v>0</v>
      </c>
      <c r="H2363" s="209" t="b">
        <f t="shared" si="7"/>
        <v>1</v>
      </c>
      <c r="I2363" s="208" t="b">
        <f t="shared" ref="I2363:J2363" si="1898">FALSE</f>
        <v>0</v>
      </c>
      <c r="J2363" s="208" t="b">
        <f t="shared" si="1898"/>
        <v>0</v>
      </c>
      <c r="K2363" s="214">
        <v>8000.0</v>
      </c>
      <c r="L2363" s="207" t="str">
        <f t="shared" si="3"/>
        <v>n/a</v>
      </c>
      <c r="M2363" s="212" t="str">
        <f t="shared" si="4"/>
        <v>n/a</v>
      </c>
      <c r="N2363" s="207" t="str">
        <f t="shared" si="1421"/>
        <v>n/a</v>
      </c>
      <c r="O2363" s="207">
        <f t="shared" si="1422"/>
        <v>0.000125</v>
      </c>
    </row>
    <row r="2364">
      <c r="A2364" s="212">
        <v>214.0</v>
      </c>
      <c r="B2364" s="6" t="str">
        <f>VLOOKUP($A2364, 'Completion rates'!$A:$E, 2, FALSE)</f>
        <v>Killing tzhaar-mej</v>
      </c>
      <c r="C2364" s="212">
        <v>6568.0</v>
      </c>
      <c r="D2364" s="6" t="str">
        <f>VLOOKUP($C2364, 'List of log slots'!$A:$E, 2, FALSE)</f>
        <v>Obsidian cape</v>
      </c>
      <c r="E2364" s="207">
        <f>VLOOKUP($C2364, 'List of log slots'!$A:$E, 5, FALSE)</f>
        <v>4</v>
      </c>
      <c r="F2364" s="210" t="b">
        <f>VLOOKUP(C2364, 'List of log slots'!$A:$C, 3, FALSE)</f>
        <v>0</v>
      </c>
      <c r="G2364" s="209" t="b">
        <f t="shared" si="1775"/>
        <v>0</v>
      </c>
      <c r="H2364" s="209" t="b">
        <f t="shared" si="7"/>
        <v>1</v>
      </c>
      <c r="I2364" s="208" t="b">
        <f t="shared" ref="I2364:J2364" si="1899">FALSE</f>
        <v>0</v>
      </c>
      <c r="J2364" s="208" t="b">
        <f t="shared" si="1899"/>
        <v>0</v>
      </c>
      <c r="K2364" s="214">
        <v>4096.0</v>
      </c>
      <c r="L2364" s="207" t="str">
        <f t="shared" si="3"/>
        <v>n/a</v>
      </c>
      <c r="M2364" s="212" t="str">
        <f t="shared" si="4"/>
        <v>n/a</v>
      </c>
      <c r="N2364" s="207" t="str">
        <f t="shared" si="1421"/>
        <v>n/a</v>
      </c>
      <c r="O2364" s="207">
        <f t="shared" si="1422"/>
        <v>0.000244140625</v>
      </c>
    </row>
    <row r="2365">
      <c r="A2365" s="212">
        <v>214.0</v>
      </c>
      <c r="B2365" s="6" t="str">
        <f>VLOOKUP($A2365, 'Completion rates'!$A:$E, 2, FALSE)</f>
        <v>Killing tzhaar-mej</v>
      </c>
      <c r="C2365" s="212">
        <v>6526.0</v>
      </c>
      <c r="D2365" s="6" t="str">
        <f>VLOOKUP($C2365, 'List of log slots'!$A:$E, 2, FALSE)</f>
        <v>Toktz-mej-tal</v>
      </c>
      <c r="E2365" s="207">
        <f>VLOOKUP($C2365, 'List of log slots'!$A:$E, 5, FALSE)</f>
        <v>6</v>
      </c>
      <c r="F2365" s="209" t="b">
        <f>VLOOKUP(C2365, 'List of log slots'!$A:$C, 3, FALSE)</f>
        <v>0</v>
      </c>
      <c r="G2365" s="209" t="b">
        <f t="shared" si="1775"/>
        <v>0</v>
      </c>
      <c r="H2365" s="210" t="b">
        <f t="shared" si="7"/>
        <v>1</v>
      </c>
      <c r="I2365" s="208" t="b">
        <f t="shared" ref="I2365:J2365" si="1900">FALSE</f>
        <v>0</v>
      </c>
      <c r="J2365" s="208" t="b">
        <f t="shared" si="1900"/>
        <v>0</v>
      </c>
      <c r="K2365" s="214">
        <v>4096.0</v>
      </c>
      <c r="L2365" s="207" t="str">
        <f t="shared" si="3"/>
        <v>n/a</v>
      </c>
      <c r="M2365" s="212" t="str">
        <f t="shared" si="4"/>
        <v>n/a</v>
      </c>
      <c r="N2365" s="207" t="str">
        <f t="shared" si="1421"/>
        <v>n/a</v>
      </c>
      <c r="O2365" s="207">
        <f t="shared" si="1422"/>
        <v>0.000244140625</v>
      </c>
    </row>
    <row r="2366">
      <c r="A2366" s="212">
        <v>215.0</v>
      </c>
      <c r="B2366" s="6" t="str">
        <f>VLOOKUP($A2366, 'Completion rates'!$A:$E, 2, FALSE)</f>
        <v>Plucking herbiboar</v>
      </c>
      <c r="C2366" s="212">
        <v>21509.0</v>
      </c>
      <c r="D2366" s="6" t="str">
        <f>VLOOKUP($C2366, 'List of log slots'!$A:$E, 2, FALSE)</f>
        <v>Herbi</v>
      </c>
      <c r="E2366" s="207">
        <f>VLOOKUP($C2366, 'List of log slots'!$A:$E, 5, FALSE)</f>
        <v>7</v>
      </c>
      <c r="F2366" s="209" t="b">
        <f>VLOOKUP(C2366, 'List of log slots'!$A:$C, 3, FALSE)</f>
        <v>0</v>
      </c>
      <c r="G2366" s="209" t="b">
        <f t="shared" si="1775"/>
        <v>0</v>
      </c>
      <c r="H2366" s="210" t="b">
        <f t="shared" si="7"/>
        <v>1</v>
      </c>
      <c r="I2366" s="208" t="b">
        <f t="shared" ref="I2366:J2366" si="1901">FALSE</f>
        <v>0</v>
      </c>
      <c r="J2366" s="208" t="b">
        <f t="shared" si="1901"/>
        <v>0</v>
      </c>
      <c r="K2366" s="214">
        <v>6500.0</v>
      </c>
      <c r="L2366" s="207" t="str">
        <f t="shared" si="3"/>
        <v>n/a</v>
      </c>
      <c r="M2366" s="212" t="str">
        <f t="shared" si="4"/>
        <v>n/a</v>
      </c>
      <c r="N2366" s="207" t="str">
        <f t="shared" si="1421"/>
        <v>n/a</v>
      </c>
      <c r="O2366" s="207">
        <f t="shared" si="1422"/>
        <v>0.0001538461538</v>
      </c>
    </row>
    <row r="2367">
      <c r="A2367" s="212">
        <v>216.0</v>
      </c>
      <c r="B2367" s="6" t="str">
        <f>VLOOKUP($A2367, 'Completion rates'!$A:$E, 2, FALSE)</f>
        <v>Killing lizardmen</v>
      </c>
      <c r="C2367" s="212">
        <v>13392.0</v>
      </c>
      <c r="D2367" s="6" t="str">
        <f>VLOOKUP($C2367, 'List of log slots'!$A:$E, 2, FALSE)</f>
        <v>Xeric's talisman (inert)</v>
      </c>
      <c r="E2367" s="207">
        <f>VLOOKUP($C2367, 'List of log slots'!$A:$E, 5, FALSE)</f>
        <v>2</v>
      </c>
      <c r="F2367" s="210" t="b">
        <f>VLOOKUP(C2367, 'List of log slots'!$A:$C, 3, FALSE)</f>
        <v>0</v>
      </c>
      <c r="G2367" s="209" t="b">
        <f t="shared" si="1775"/>
        <v>0</v>
      </c>
      <c r="H2367" s="209" t="b">
        <f t="shared" si="7"/>
        <v>1</v>
      </c>
      <c r="I2367" s="208" t="b">
        <f t="shared" ref="I2367:J2367" si="1902">FALSE</f>
        <v>0</v>
      </c>
      <c r="J2367" s="208" t="b">
        <f t="shared" si="1902"/>
        <v>0</v>
      </c>
      <c r="K2367" s="214">
        <v>125.0</v>
      </c>
      <c r="L2367" s="207" t="str">
        <f t="shared" si="3"/>
        <v>n/a</v>
      </c>
      <c r="M2367" s="212" t="str">
        <f t="shared" si="4"/>
        <v>n/a</v>
      </c>
      <c r="N2367" s="207" t="str">
        <f t="shared" si="1421"/>
        <v>n/a</v>
      </c>
      <c r="O2367" s="207">
        <f t="shared" si="1422"/>
        <v>0.008</v>
      </c>
    </row>
    <row r="2368">
      <c r="A2368" s="212">
        <v>217.0</v>
      </c>
      <c r="B2368" s="6" t="str">
        <f>VLOOKUP($A2368, 'Completion rates'!$A:$E, 2, FALSE)</f>
        <v>Killing lizardman shamans</v>
      </c>
      <c r="C2368" s="212">
        <v>13576.0</v>
      </c>
      <c r="D2368" s="6" t="str">
        <f>VLOOKUP($C2368, 'List of log slots'!$A:$E, 2, FALSE)</f>
        <v>Dragon warhammer</v>
      </c>
      <c r="E2368" s="207">
        <f>VLOOKUP($C2368, 'List of log slots'!$A:$E, 5, FALSE)</f>
        <v>6</v>
      </c>
      <c r="F2368" s="209" t="b">
        <f>VLOOKUP(C2368, 'List of log slots'!$A:$C, 3, FALSE)</f>
        <v>0</v>
      </c>
      <c r="G2368" s="209" t="b">
        <f t="shared" si="1775"/>
        <v>0</v>
      </c>
      <c r="H2368" s="210" t="b">
        <f t="shared" si="7"/>
        <v>1</v>
      </c>
      <c r="I2368" s="208" t="b">
        <f t="shared" ref="I2368:J2368" si="1903">FALSE</f>
        <v>0</v>
      </c>
      <c r="J2368" s="208" t="b">
        <f t="shared" si="1903"/>
        <v>0</v>
      </c>
      <c r="K2368" s="214">
        <v>3000.0</v>
      </c>
      <c r="L2368" s="207" t="str">
        <f t="shared" si="3"/>
        <v>n/a</v>
      </c>
      <c r="M2368" s="212" t="str">
        <f t="shared" si="4"/>
        <v>n/a</v>
      </c>
      <c r="N2368" s="207" t="str">
        <f t="shared" si="1421"/>
        <v>n/a</v>
      </c>
      <c r="O2368" s="207">
        <f t="shared" si="1422"/>
        <v>0.0003333333333</v>
      </c>
    </row>
    <row r="2369">
      <c r="A2369" s="212">
        <v>217.0</v>
      </c>
      <c r="B2369" s="6" t="str">
        <f>VLOOKUP($A2369, 'Completion rates'!$A:$E, 2, FALSE)</f>
        <v>Killing lizardman shamans</v>
      </c>
      <c r="C2369" s="212">
        <v>13392.0</v>
      </c>
      <c r="D2369" s="6" t="str">
        <f>VLOOKUP($C2369, 'List of log slots'!$A:$E, 2, FALSE)</f>
        <v>Xeric's talisman (inert)</v>
      </c>
      <c r="E2369" s="207">
        <f>VLOOKUP($C2369, 'List of log slots'!$A:$E, 5, FALSE)</f>
        <v>2</v>
      </c>
      <c r="F2369" s="210" t="b">
        <f>VLOOKUP(C2369, 'List of log slots'!$A:$C, 3, FALSE)</f>
        <v>0</v>
      </c>
      <c r="G2369" s="209" t="b">
        <f t="shared" si="1775"/>
        <v>0</v>
      </c>
      <c r="H2369" s="209" t="b">
        <f t="shared" si="7"/>
        <v>1</v>
      </c>
      <c r="I2369" s="208" t="b">
        <f t="shared" ref="I2369:J2369" si="1904">FALSE</f>
        <v>0</v>
      </c>
      <c r="J2369" s="208" t="b">
        <f t="shared" si="1904"/>
        <v>0</v>
      </c>
      <c r="K2369" s="214">
        <v>125.0</v>
      </c>
      <c r="L2369" s="207" t="str">
        <f t="shared" si="3"/>
        <v>n/a</v>
      </c>
      <c r="M2369" s="212" t="str">
        <f t="shared" si="4"/>
        <v>n/a</v>
      </c>
      <c r="N2369" s="207" t="str">
        <f t="shared" si="1421"/>
        <v>n/a</v>
      </c>
      <c r="O2369" s="207">
        <f t="shared" si="1422"/>
        <v>0.008</v>
      </c>
    </row>
    <row r="2370">
      <c r="A2370" s="212">
        <v>217.0</v>
      </c>
      <c r="B2370" s="6" t="str">
        <f>VLOOKUP($A2370, 'Completion rates'!$A:$E, 2, FALSE)</f>
        <v>Killing lizardman shamans</v>
      </c>
      <c r="C2370" s="212">
        <v>2366.0</v>
      </c>
      <c r="D2370" s="6" t="str">
        <f>VLOOKUP($C2370, 'List of log slots'!$A:$E, 2, FALSE)</f>
        <v>Shield left half</v>
      </c>
      <c r="E2370" s="207">
        <f>VLOOKUP($C2370, 'List of log slots'!$A:$E, 5, FALSE)</f>
        <v>5</v>
      </c>
      <c r="F2370" s="210" t="b">
        <f>VLOOKUP(C2370, 'List of log slots'!$A:$C, 3, FALSE)</f>
        <v>0</v>
      </c>
      <c r="G2370" s="209" t="b">
        <f t="shared" si="1775"/>
        <v>0</v>
      </c>
      <c r="H2370" s="209" t="b">
        <f t="shared" si="7"/>
        <v>1</v>
      </c>
      <c r="I2370" s="208" t="b">
        <f t="shared" ref="I2370:J2370" si="1905">FALSE</f>
        <v>0</v>
      </c>
      <c r="J2370" s="208" t="b">
        <f t="shared" si="1905"/>
        <v>0</v>
      </c>
      <c r="K2370" s="214">
        <v>6827.0</v>
      </c>
      <c r="L2370" s="207" t="str">
        <f t="shared" si="3"/>
        <v>n/a</v>
      </c>
      <c r="M2370" s="212" t="str">
        <f t="shared" si="4"/>
        <v>n/a</v>
      </c>
      <c r="N2370" s="207" t="str">
        <f t="shared" si="1421"/>
        <v>n/a</v>
      </c>
      <c r="O2370" s="207">
        <f t="shared" si="1422"/>
        <v>0.0001464772228</v>
      </c>
    </row>
    <row r="2371">
      <c r="A2371" s="212">
        <v>217.0</v>
      </c>
      <c r="B2371" s="6" t="str">
        <f>VLOOKUP($A2371, 'Completion rates'!$A:$E, 2, FALSE)</f>
        <v>Killing lizardman shamans</v>
      </c>
      <c r="C2371" s="212">
        <v>1249.0</v>
      </c>
      <c r="D2371" s="6" t="str">
        <f>VLOOKUP($C2371, 'List of log slots'!$A:$E, 2, FALSE)</f>
        <v>Dragon spear</v>
      </c>
      <c r="E2371" s="207">
        <f>VLOOKUP($C2371, 'List of log slots'!$A:$E, 5, FALSE)</f>
        <v>5</v>
      </c>
      <c r="F2371" s="210" t="b">
        <f>VLOOKUP(C2371, 'List of log slots'!$A:$C, 3, FALSE)</f>
        <v>0</v>
      </c>
      <c r="G2371" s="209" t="b">
        <f t="shared" si="1775"/>
        <v>0</v>
      </c>
      <c r="H2371" s="209" t="b">
        <f t="shared" si="7"/>
        <v>1</v>
      </c>
      <c r="I2371" s="208" t="b">
        <f t="shared" ref="I2371:J2371" si="1906">FALSE</f>
        <v>0</v>
      </c>
      <c r="J2371" s="208" t="b">
        <f t="shared" si="1906"/>
        <v>0</v>
      </c>
      <c r="K2371" s="214">
        <v>9008.0</v>
      </c>
      <c r="L2371" s="207" t="str">
        <f t="shared" si="3"/>
        <v>n/a</v>
      </c>
      <c r="M2371" s="212" t="str">
        <f t="shared" si="4"/>
        <v>n/a</v>
      </c>
      <c r="N2371" s="207" t="str">
        <f t="shared" si="1421"/>
        <v>n/a</v>
      </c>
      <c r="O2371" s="207">
        <f t="shared" si="1422"/>
        <v>0.0001110124334</v>
      </c>
    </row>
    <row r="2372">
      <c r="A2372" s="212">
        <v>218.0</v>
      </c>
      <c r="B2372" s="6" t="str">
        <f>VLOOKUP($A2372, 'Completion rates'!$A:$E, 2, FALSE)</f>
        <v>Fishing shark</v>
      </c>
      <c r="C2372" s="212">
        <v>7993.0</v>
      </c>
      <c r="D2372" s="6" t="str">
        <f>VLOOKUP($C2372, 'List of log slots'!$A:$E, 2, FALSE)</f>
        <v>Big shark</v>
      </c>
      <c r="E2372" s="207">
        <f>VLOOKUP($C2372, 'List of log slots'!$A:$E, 5, FALSE)</f>
        <v>6</v>
      </c>
      <c r="F2372" s="209" t="b">
        <f>VLOOKUP(C2372, 'List of log slots'!$A:$C, 3, FALSE)</f>
        <v>0</v>
      </c>
      <c r="G2372" s="209" t="b">
        <f t="shared" si="1775"/>
        <v>0</v>
      </c>
      <c r="H2372" s="210" t="b">
        <f t="shared" si="7"/>
        <v>1</v>
      </c>
      <c r="I2372" s="208" t="b">
        <f t="shared" ref="I2372:J2372" si="1907">FALSE</f>
        <v>0</v>
      </c>
      <c r="J2372" s="208" t="b">
        <f t="shared" si="1907"/>
        <v>0</v>
      </c>
      <c r="K2372" s="214">
        <v>5000.0</v>
      </c>
      <c r="L2372" s="207" t="str">
        <f t="shared" si="3"/>
        <v>n/a</v>
      </c>
      <c r="M2372" s="212" t="str">
        <f t="shared" si="4"/>
        <v>n/a</v>
      </c>
      <c r="N2372" s="207" t="str">
        <f t="shared" si="1421"/>
        <v>n/a</v>
      </c>
      <c r="O2372" s="207">
        <f t="shared" si="1422"/>
        <v>0.0002</v>
      </c>
    </row>
    <row r="2373">
      <c r="A2373" s="212">
        <v>219.0</v>
      </c>
      <c r="B2373" s="6" t="str">
        <f>VLOOKUP($A2373, 'Completion rates'!$A:$E, 2, FALSE)</f>
        <v>Fishing bass</v>
      </c>
      <c r="C2373" s="212">
        <v>7989.0</v>
      </c>
      <c r="D2373" s="6" t="str">
        <f>VLOOKUP($C2373, 'List of log slots'!$A:$E, 2, FALSE)</f>
        <v>Big bass</v>
      </c>
      <c r="E2373" s="207">
        <f>VLOOKUP($C2373, 'List of log slots'!$A:$E, 5, FALSE)</f>
        <v>5</v>
      </c>
      <c r="F2373" s="210" t="b">
        <f>VLOOKUP(C2373, 'List of log slots'!$A:$C, 3, FALSE)</f>
        <v>0</v>
      </c>
      <c r="G2373" s="209" t="b">
        <f t="shared" si="1775"/>
        <v>0</v>
      </c>
      <c r="H2373" s="209" t="b">
        <f t="shared" si="7"/>
        <v>1</v>
      </c>
      <c r="I2373" s="208" t="b">
        <f t="shared" ref="I2373:J2373" si="1908">FALSE</f>
        <v>0</v>
      </c>
      <c r="J2373" s="208" t="b">
        <f t="shared" si="1908"/>
        <v>0</v>
      </c>
      <c r="K2373" s="214">
        <v>1000.0</v>
      </c>
      <c r="L2373" s="207" t="str">
        <f t="shared" si="3"/>
        <v>n/a</v>
      </c>
      <c r="M2373" s="212" t="str">
        <f t="shared" si="4"/>
        <v>n/a</v>
      </c>
      <c r="N2373" s="207" t="str">
        <f t="shared" si="1421"/>
        <v>n/a</v>
      </c>
      <c r="O2373" s="207">
        <f t="shared" si="1422"/>
        <v>0.001</v>
      </c>
    </row>
    <row r="2374">
      <c r="A2374" s="212">
        <v>220.0</v>
      </c>
      <c r="B2374" s="6" t="str">
        <f>VLOOKUP($A2374, 'Completion rates'!$A:$E, 2, FALSE)</f>
        <v>Fishing giant krill (deep sea trawling)</v>
      </c>
      <c r="C2374" s="212">
        <v>31283.0</v>
      </c>
      <c r="D2374" s="6" t="str">
        <f>VLOOKUP($C2374, 'List of log slots'!$A:$E, 2, FALSE)</f>
        <v>Soup</v>
      </c>
      <c r="E2374" s="207">
        <f>VLOOKUP($C2374, 'List of log slots'!$A:$E, 5, FALSE)</f>
        <v>7</v>
      </c>
      <c r="F2374" s="209" t="b">
        <f>VLOOKUP(C2374, 'List of log slots'!$A:$C, 3, FALSE)</f>
        <v>0</v>
      </c>
      <c r="G2374" s="209" t="b">
        <f t="shared" si="1775"/>
        <v>0</v>
      </c>
      <c r="H2374" s="210" t="b">
        <f t="shared" si="7"/>
        <v>1</v>
      </c>
      <c r="I2374" s="208" t="b">
        <f t="shared" ref="I2374:J2374" si="1909">FALSE</f>
        <v>0</v>
      </c>
      <c r="J2374" s="208" t="b">
        <f t="shared" si="1909"/>
        <v>0</v>
      </c>
      <c r="K2374" s="214">
        <v>360000.0</v>
      </c>
      <c r="L2374" s="207" t="str">
        <f t="shared" si="3"/>
        <v>n/a</v>
      </c>
      <c r="M2374" s="212" t="str">
        <f t="shared" si="4"/>
        <v>n/a</v>
      </c>
      <c r="N2374" s="207" t="str">
        <f t="shared" si="1421"/>
        <v>n/a</v>
      </c>
      <c r="O2374" s="207">
        <f t="shared" si="1422"/>
        <v>0.000002777777778</v>
      </c>
    </row>
    <row r="2375">
      <c r="A2375" s="212">
        <v>220.0</v>
      </c>
      <c r="B2375" s="6" t="str">
        <f>VLOOKUP($A2375, 'Completion rates'!$A:$E, 2, FALSE)</f>
        <v>Fishing giant krill (deep sea trawling)</v>
      </c>
      <c r="C2375" s="212">
        <v>32096.0</v>
      </c>
      <c r="D2375" s="6" t="str">
        <f>VLOOKUP($C2375, 'List of log slots'!$A:$E, 2, FALSE)</f>
        <v>Angler's paint</v>
      </c>
      <c r="E2375" s="207">
        <f>VLOOKUP($C2375, 'List of log slots'!$A:$E, 5, FALSE)</f>
        <v>6</v>
      </c>
      <c r="F2375" s="209" t="b">
        <f>VLOOKUP(C2375, 'List of log slots'!$A:$C, 3, FALSE)</f>
        <v>0</v>
      </c>
      <c r="G2375" s="209" t="b">
        <f t="shared" si="1775"/>
        <v>0</v>
      </c>
      <c r="H2375" s="210" t="b">
        <f t="shared" si="7"/>
        <v>1</v>
      </c>
      <c r="I2375" s="208" t="b">
        <f t="shared" ref="I2375:J2375" si="1910">FALSE</f>
        <v>0</v>
      </c>
      <c r="J2375" s="208" t="b">
        <f t="shared" si="1910"/>
        <v>0</v>
      </c>
      <c r="K2375" s="214">
        <v>18000.0</v>
      </c>
      <c r="L2375" s="207" t="str">
        <f t="shared" si="3"/>
        <v>n/a</v>
      </c>
      <c r="M2375" s="212" t="str">
        <f t="shared" si="4"/>
        <v>n/a</v>
      </c>
      <c r="N2375" s="207" t="str">
        <f t="shared" si="1421"/>
        <v>n/a</v>
      </c>
      <c r="O2375" s="207">
        <f t="shared" si="1422"/>
        <v>0.00005555555556</v>
      </c>
    </row>
    <row r="2376">
      <c r="A2376" s="212">
        <v>220.0</v>
      </c>
      <c r="B2376" s="6" t="str">
        <f>VLOOKUP($A2376, 'Completion rates'!$A:$E, 2, FALSE)</f>
        <v>Fishing giant krill (deep sea trawling)</v>
      </c>
      <c r="C2376" s="212">
        <v>31408.0</v>
      </c>
      <c r="D2376" s="6" t="str">
        <f>VLOOKUP($C2376, 'List of log slots'!$A:$E, 2, FALSE)</f>
        <v>Giant blue krill</v>
      </c>
      <c r="E2376" s="207">
        <f>VLOOKUP($C2376, 'List of log slots'!$A:$E, 5, FALSE)</f>
        <v>5</v>
      </c>
      <c r="F2376" s="209" t="b">
        <f>VLOOKUP(C2376, 'List of log slots'!$A:$C, 3, FALSE)</f>
        <v>0</v>
      </c>
      <c r="G2376" s="209" t="b">
        <f t="shared" si="1775"/>
        <v>0</v>
      </c>
      <c r="H2376" s="210" t="b">
        <f t="shared" si="7"/>
        <v>1</v>
      </c>
      <c r="I2376" s="208" t="b">
        <f t="shared" ref="I2376:J2376" si="1911">FALSE</f>
        <v>0</v>
      </c>
      <c r="J2376" s="208" t="b">
        <f t="shared" si="1911"/>
        <v>0</v>
      </c>
      <c r="K2376" s="214">
        <v>2000.0</v>
      </c>
      <c r="L2376" s="207" t="str">
        <f t="shared" si="3"/>
        <v>n/a</v>
      </c>
      <c r="M2376" s="212" t="str">
        <f t="shared" si="4"/>
        <v>n/a</v>
      </c>
      <c r="N2376" s="207" t="str">
        <f t="shared" si="1421"/>
        <v>n/a</v>
      </c>
      <c r="O2376" s="207">
        <f t="shared" si="1422"/>
        <v>0.0005</v>
      </c>
    </row>
    <row r="2377">
      <c r="A2377" s="212">
        <v>221.0</v>
      </c>
      <c r="B2377" s="6" t="str">
        <f>VLOOKUP($A2377, 'Completion rates'!$A:$E, 2, FALSE)</f>
        <v>Fishing haddock (deep sea trawling)</v>
      </c>
      <c r="C2377" s="212">
        <v>31283.0</v>
      </c>
      <c r="D2377" s="6" t="str">
        <f>VLOOKUP($C2377, 'List of log slots'!$A:$E, 2, FALSE)</f>
        <v>Soup</v>
      </c>
      <c r="E2377" s="207">
        <f>VLOOKUP($C2377, 'List of log slots'!$A:$E, 5, FALSE)</f>
        <v>7</v>
      </c>
      <c r="F2377" s="209" t="b">
        <f>VLOOKUP(C2377, 'List of log slots'!$A:$C, 3, FALSE)</f>
        <v>0</v>
      </c>
      <c r="G2377" s="209" t="b">
        <f t="shared" si="1775"/>
        <v>0</v>
      </c>
      <c r="H2377" s="210" t="b">
        <f t="shared" si="7"/>
        <v>1</v>
      </c>
      <c r="I2377" s="208" t="b">
        <f t="shared" ref="I2377:J2377" si="1912">FALSE</f>
        <v>0</v>
      </c>
      <c r="J2377" s="208" t="b">
        <f t="shared" si="1912"/>
        <v>0</v>
      </c>
      <c r="K2377" s="214">
        <v>360000.0</v>
      </c>
      <c r="L2377" s="207" t="str">
        <f t="shared" si="3"/>
        <v>n/a</v>
      </c>
      <c r="M2377" s="212" t="str">
        <f t="shared" si="4"/>
        <v>n/a</v>
      </c>
      <c r="N2377" s="207" t="str">
        <f t="shared" si="1421"/>
        <v>n/a</v>
      </c>
      <c r="O2377" s="207">
        <f t="shared" si="1422"/>
        <v>0.000002777777778</v>
      </c>
    </row>
    <row r="2378">
      <c r="A2378" s="212">
        <v>221.0</v>
      </c>
      <c r="B2378" s="6" t="str">
        <f>VLOOKUP($A2378, 'Completion rates'!$A:$E, 2, FALSE)</f>
        <v>Fishing haddock (deep sea trawling)</v>
      </c>
      <c r="C2378" s="212">
        <v>32096.0</v>
      </c>
      <c r="D2378" s="6" t="str">
        <f>VLOOKUP($C2378, 'List of log slots'!$A:$E, 2, FALSE)</f>
        <v>Angler's paint</v>
      </c>
      <c r="E2378" s="207">
        <f>VLOOKUP($C2378, 'List of log slots'!$A:$E, 5, FALSE)</f>
        <v>6</v>
      </c>
      <c r="F2378" s="209" t="b">
        <f>VLOOKUP(C2378, 'List of log slots'!$A:$C, 3, FALSE)</f>
        <v>0</v>
      </c>
      <c r="G2378" s="209" t="b">
        <f t="shared" si="1775"/>
        <v>0</v>
      </c>
      <c r="H2378" s="210" t="b">
        <f t="shared" si="7"/>
        <v>1</v>
      </c>
      <c r="I2378" s="208" t="b">
        <f t="shared" ref="I2378:J2378" si="1913">FALSE</f>
        <v>0</v>
      </c>
      <c r="J2378" s="208" t="b">
        <f t="shared" si="1913"/>
        <v>0</v>
      </c>
      <c r="K2378" s="214">
        <v>18000.0</v>
      </c>
      <c r="L2378" s="207" t="str">
        <f t="shared" si="3"/>
        <v>n/a</v>
      </c>
      <c r="M2378" s="212" t="str">
        <f t="shared" si="4"/>
        <v>n/a</v>
      </c>
      <c r="N2378" s="207" t="str">
        <f t="shared" si="1421"/>
        <v>n/a</v>
      </c>
      <c r="O2378" s="207">
        <f t="shared" si="1422"/>
        <v>0.00005555555556</v>
      </c>
    </row>
    <row r="2379">
      <c r="A2379" s="212">
        <v>221.0</v>
      </c>
      <c r="B2379" s="6" t="str">
        <f>VLOOKUP($A2379, 'Completion rates'!$A:$E, 2, FALSE)</f>
        <v>Fishing haddock (deep sea trawling)</v>
      </c>
      <c r="C2379" s="212">
        <v>31412.0</v>
      </c>
      <c r="D2379" s="6" t="str">
        <f>VLOOKUP($C2379, 'List of log slots'!$A:$E, 2, FALSE)</f>
        <v>Golden haddock</v>
      </c>
      <c r="E2379" s="207">
        <f>VLOOKUP($C2379, 'List of log slots'!$A:$E, 5, FALSE)</f>
        <v>5</v>
      </c>
      <c r="F2379" s="209" t="b">
        <f>VLOOKUP(C2379, 'List of log slots'!$A:$C, 3, FALSE)</f>
        <v>0</v>
      </c>
      <c r="G2379" s="209" t="b">
        <f t="shared" si="1775"/>
        <v>0</v>
      </c>
      <c r="H2379" s="210" t="b">
        <f t="shared" si="7"/>
        <v>1</v>
      </c>
      <c r="I2379" s="208" t="b">
        <f t="shared" ref="I2379:J2379" si="1914">FALSE</f>
        <v>0</v>
      </c>
      <c r="J2379" s="208" t="b">
        <f t="shared" si="1914"/>
        <v>0</v>
      </c>
      <c r="K2379" s="214">
        <v>2000.0</v>
      </c>
      <c r="L2379" s="207" t="str">
        <f t="shared" si="3"/>
        <v>n/a</v>
      </c>
      <c r="M2379" s="212" t="str">
        <f t="shared" si="4"/>
        <v>n/a</v>
      </c>
      <c r="N2379" s="207" t="str">
        <f t="shared" si="1421"/>
        <v>n/a</v>
      </c>
      <c r="O2379" s="207">
        <f t="shared" si="1422"/>
        <v>0.0005</v>
      </c>
    </row>
    <row r="2380">
      <c r="A2380" s="212">
        <v>222.0</v>
      </c>
      <c r="B2380" s="6" t="str">
        <f>VLOOKUP($A2380, 'Completion rates'!$A:$E, 2, FALSE)</f>
        <v>Fishing yellowfin (deep sea trawling)</v>
      </c>
      <c r="C2380" s="212">
        <v>31283.0</v>
      </c>
      <c r="D2380" s="6" t="str">
        <f>VLOOKUP($C2380, 'List of log slots'!$A:$E, 2, FALSE)</f>
        <v>Soup</v>
      </c>
      <c r="E2380" s="207">
        <f>VLOOKUP($C2380, 'List of log slots'!$A:$E, 5, FALSE)</f>
        <v>7</v>
      </c>
      <c r="F2380" s="209" t="b">
        <f>VLOOKUP(C2380, 'List of log slots'!$A:$C, 3, FALSE)</f>
        <v>0</v>
      </c>
      <c r="G2380" s="209" t="b">
        <f t="shared" si="1775"/>
        <v>0</v>
      </c>
      <c r="H2380" s="210" t="b">
        <f t="shared" si="7"/>
        <v>1</v>
      </c>
      <c r="I2380" s="208" t="b">
        <f t="shared" ref="I2380:J2380" si="1915">FALSE</f>
        <v>0</v>
      </c>
      <c r="J2380" s="208" t="b">
        <f t="shared" si="1915"/>
        <v>0</v>
      </c>
      <c r="K2380" s="214">
        <v>360000.0</v>
      </c>
      <c r="L2380" s="207" t="str">
        <f t="shared" si="3"/>
        <v>n/a</v>
      </c>
      <c r="M2380" s="212" t="str">
        <f t="shared" si="4"/>
        <v>n/a</v>
      </c>
      <c r="N2380" s="207" t="str">
        <f t="shared" si="1421"/>
        <v>n/a</v>
      </c>
      <c r="O2380" s="207">
        <f t="shared" si="1422"/>
        <v>0.000002777777778</v>
      </c>
    </row>
    <row r="2381">
      <c r="A2381" s="212">
        <v>222.0</v>
      </c>
      <c r="B2381" s="6" t="str">
        <f>VLOOKUP($A2381, 'Completion rates'!$A:$E, 2, FALSE)</f>
        <v>Fishing yellowfin (deep sea trawling)</v>
      </c>
      <c r="C2381" s="212">
        <v>32096.0</v>
      </c>
      <c r="D2381" s="6" t="str">
        <f>VLOOKUP($C2381, 'List of log slots'!$A:$E, 2, FALSE)</f>
        <v>Angler's paint</v>
      </c>
      <c r="E2381" s="207">
        <f>VLOOKUP($C2381, 'List of log slots'!$A:$E, 5, FALSE)</f>
        <v>6</v>
      </c>
      <c r="F2381" s="209" t="b">
        <f>VLOOKUP(C2381, 'List of log slots'!$A:$C, 3, FALSE)</f>
        <v>0</v>
      </c>
      <c r="G2381" s="209" t="b">
        <f t="shared" si="1775"/>
        <v>0</v>
      </c>
      <c r="H2381" s="210" t="b">
        <f t="shared" si="7"/>
        <v>1</v>
      </c>
      <c r="I2381" s="208" t="b">
        <f t="shared" ref="I2381:J2381" si="1916">FALSE</f>
        <v>0</v>
      </c>
      <c r="J2381" s="208" t="b">
        <f t="shared" si="1916"/>
        <v>0</v>
      </c>
      <c r="K2381" s="214">
        <v>18000.0</v>
      </c>
      <c r="L2381" s="207" t="str">
        <f t="shared" si="3"/>
        <v>n/a</v>
      </c>
      <c r="M2381" s="212" t="str">
        <f t="shared" si="4"/>
        <v>n/a</v>
      </c>
      <c r="N2381" s="207" t="str">
        <f t="shared" si="1421"/>
        <v>n/a</v>
      </c>
      <c r="O2381" s="207">
        <f t="shared" si="1422"/>
        <v>0.00005555555556</v>
      </c>
    </row>
    <row r="2382">
      <c r="A2382" s="212">
        <v>222.0</v>
      </c>
      <c r="B2382" s="6" t="str">
        <f>VLOOKUP($A2382, 'Completion rates'!$A:$E, 2, FALSE)</f>
        <v>Fishing yellowfin (deep sea trawling)</v>
      </c>
      <c r="C2382" s="212">
        <v>31416.0</v>
      </c>
      <c r="D2382" s="6" t="str">
        <f>VLOOKUP($C2382, 'List of log slots'!$A:$E, 2, FALSE)</f>
        <v>Orangefin</v>
      </c>
      <c r="E2382" s="207">
        <f>VLOOKUP($C2382, 'List of log slots'!$A:$E, 5, FALSE)</f>
        <v>6</v>
      </c>
      <c r="F2382" s="209" t="b">
        <f>VLOOKUP(C2382, 'List of log slots'!$A:$C, 3, FALSE)</f>
        <v>0</v>
      </c>
      <c r="G2382" s="209" t="b">
        <f t="shared" si="1775"/>
        <v>0</v>
      </c>
      <c r="H2382" s="210" t="b">
        <f t="shared" si="7"/>
        <v>1</v>
      </c>
      <c r="I2382" s="208" t="b">
        <f t="shared" ref="I2382:J2382" si="1917">FALSE</f>
        <v>0</v>
      </c>
      <c r="J2382" s="208" t="b">
        <f t="shared" si="1917"/>
        <v>0</v>
      </c>
      <c r="K2382" s="214">
        <v>4000.0</v>
      </c>
      <c r="L2382" s="207" t="str">
        <f t="shared" si="3"/>
        <v>n/a</v>
      </c>
      <c r="M2382" s="212" t="str">
        <f t="shared" si="4"/>
        <v>n/a</v>
      </c>
      <c r="N2382" s="207" t="str">
        <f t="shared" si="1421"/>
        <v>n/a</v>
      </c>
      <c r="O2382" s="207">
        <f t="shared" si="1422"/>
        <v>0.00025</v>
      </c>
    </row>
    <row r="2383">
      <c r="A2383" s="212">
        <v>223.0</v>
      </c>
      <c r="B2383" s="6" t="str">
        <f>VLOOKUP($A2383, 'Completion rates'!$A:$E, 2, FALSE)</f>
        <v>Fishing halibut (deep sea trawling)</v>
      </c>
      <c r="C2383" s="212">
        <v>31283.0</v>
      </c>
      <c r="D2383" s="6" t="str">
        <f>VLOOKUP($C2383, 'List of log slots'!$A:$E, 2, FALSE)</f>
        <v>Soup</v>
      </c>
      <c r="E2383" s="207">
        <f>VLOOKUP($C2383, 'List of log slots'!$A:$E, 5, FALSE)</f>
        <v>7</v>
      </c>
      <c r="F2383" s="209" t="b">
        <f>VLOOKUP(C2383, 'List of log slots'!$A:$C, 3, FALSE)</f>
        <v>0</v>
      </c>
      <c r="G2383" s="209" t="b">
        <f t="shared" si="1775"/>
        <v>0</v>
      </c>
      <c r="H2383" s="210" t="b">
        <f t="shared" si="7"/>
        <v>1</v>
      </c>
      <c r="I2383" s="208" t="b">
        <f t="shared" ref="I2383:J2383" si="1918">FALSE</f>
        <v>0</v>
      </c>
      <c r="J2383" s="208" t="b">
        <f t="shared" si="1918"/>
        <v>0</v>
      </c>
      <c r="K2383" s="214">
        <v>360000.0</v>
      </c>
      <c r="L2383" s="207" t="str">
        <f t="shared" si="3"/>
        <v>n/a</v>
      </c>
      <c r="M2383" s="212" t="str">
        <f t="shared" si="4"/>
        <v>n/a</v>
      </c>
      <c r="N2383" s="207" t="str">
        <f t="shared" si="1421"/>
        <v>n/a</v>
      </c>
      <c r="O2383" s="207">
        <f t="shared" si="1422"/>
        <v>0.000002777777778</v>
      </c>
    </row>
    <row r="2384">
      <c r="A2384" s="212">
        <v>223.0</v>
      </c>
      <c r="B2384" s="6" t="str">
        <f>VLOOKUP($A2384, 'Completion rates'!$A:$E, 2, FALSE)</f>
        <v>Fishing halibut (deep sea trawling)</v>
      </c>
      <c r="C2384" s="212">
        <v>32096.0</v>
      </c>
      <c r="D2384" s="6" t="str">
        <f>VLOOKUP($C2384, 'List of log slots'!$A:$E, 2, FALSE)</f>
        <v>Angler's paint</v>
      </c>
      <c r="E2384" s="207">
        <f>VLOOKUP($C2384, 'List of log slots'!$A:$E, 5, FALSE)</f>
        <v>6</v>
      </c>
      <c r="F2384" s="209" t="b">
        <f>VLOOKUP(C2384, 'List of log slots'!$A:$C, 3, FALSE)</f>
        <v>0</v>
      </c>
      <c r="G2384" s="209" t="b">
        <f t="shared" si="1775"/>
        <v>0</v>
      </c>
      <c r="H2384" s="210" t="b">
        <f t="shared" si="7"/>
        <v>1</v>
      </c>
      <c r="I2384" s="208" t="b">
        <f t="shared" ref="I2384:J2384" si="1919">FALSE</f>
        <v>0</v>
      </c>
      <c r="J2384" s="208" t="b">
        <f t="shared" si="1919"/>
        <v>0</v>
      </c>
      <c r="K2384" s="214">
        <v>18000.0</v>
      </c>
      <c r="L2384" s="207" t="str">
        <f t="shared" si="3"/>
        <v>n/a</v>
      </c>
      <c r="M2384" s="212" t="str">
        <f t="shared" si="4"/>
        <v>n/a</v>
      </c>
      <c r="N2384" s="207" t="str">
        <f t="shared" si="1421"/>
        <v>n/a</v>
      </c>
      <c r="O2384" s="207">
        <f t="shared" si="1422"/>
        <v>0.00005555555556</v>
      </c>
    </row>
    <row r="2385">
      <c r="A2385" s="212">
        <v>223.0</v>
      </c>
      <c r="B2385" s="6" t="str">
        <f>VLOOKUP($A2385, 'Completion rates'!$A:$E, 2, FALSE)</f>
        <v>Fishing halibut (deep sea trawling)</v>
      </c>
      <c r="C2385" s="212">
        <v>31420.0</v>
      </c>
      <c r="D2385" s="6" t="str">
        <f>VLOOKUP($C2385, 'List of log slots'!$A:$E, 2, FALSE)</f>
        <v>Huge halibut</v>
      </c>
      <c r="E2385" s="207">
        <f>VLOOKUP($C2385, 'List of log slots'!$A:$E, 5, FALSE)</f>
        <v>6</v>
      </c>
      <c r="F2385" s="209" t="b">
        <f>VLOOKUP(C2385, 'List of log slots'!$A:$C, 3, FALSE)</f>
        <v>0</v>
      </c>
      <c r="G2385" s="209" t="b">
        <f t="shared" si="1775"/>
        <v>0</v>
      </c>
      <c r="H2385" s="210" t="b">
        <f t="shared" si="7"/>
        <v>1</v>
      </c>
      <c r="I2385" s="208" t="b">
        <f t="shared" ref="I2385:J2385" si="1920">FALSE</f>
        <v>0</v>
      </c>
      <c r="J2385" s="208" t="b">
        <f t="shared" si="1920"/>
        <v>0</v>
      </c>
      <c r="K2385" s="214">
        <v>4000.0</v>
      </c>
      <c r="L2385" s="207" t="str">
        <f t="shared" si="3"/>
        <v>n/a</v>
      </c>
      <c r="M2385" s="212" t="str">
        <f t="shared" si="4"/>
        <v>n/a</v>
      </c>
      <c r="N2385" s="207" t="str">
        <f t="shared" si="1421"/>
        <v>n/a</v>
      </c>
      <c r="O2385" s="207">
        <f t="shared" si="1422"/>
        <v>0.00025</v>
      </c>
    </row>
    <row r="2386">
      <c r="A2386" s="212">
        <v>224.0</v>
      </c>
      <c r="B2386" s="6" t="str">
        <f>VLOOKUP($A2386, 'Completion rates'!$A:$E, 2, FALSE)</f>
        <v>Fishing bluefin (deep sea trawling)</v>
      </c>
      <c r="C2386" s="212">
        <v>31283.0</v>
      </c>
      <c r="D2386" s="6" t="str">
        <f>VLOOKUP($C2386, 'List of log slots'!$A:$E, 2, FALSE)</f>
        <v>Soup</v>
      </c>
      <c r="E2386" s="207">
        <f>VLOOKUP($C2386, 'List of log slots'!$A:$E, 5, FALSE)</f>
        <v>7</v>
      </c>
      <c r="F2386" s="209" t="b">
        <f>VLOOKUP(C2386, 'List of log slots'!$A:$C, 3, FALSE)</f>
        <v>0</v>
      </c>
      <c r="G2386" s="209" t="b">
        <f t="shared" si="1775"/>
        <v>0</v>
      </c>
      <c r="H2386" s="210" t="b">
        <f t="shared" si="7"/>
        <v>1</v>
      </c>
      <c r="I2386" s="208" t="b">
        <f t="shared" ref="I2386:J2386" si="1921">FALSE</f>
        <v>0</v>
      </c>
      <c r="J2386" s="208" t="b">
        <f t="shared" si="1921"/>
        <v>0</v>
      </c>
      <c r="K2386" s="214">
        <v>360000.0</v>
      </c>
      <c r="L2386" s="207" t="str">
        <f t="shared" si="3"/>
        <v>n/a</v>
      </c>
      <c r="M2386" s="212" t="str">
        <f t="shared" si="4"/>
        <v>n/a</v>
      </c>
      <c r="N2386" s="207" t="str">
        <f t="shared" si="1421"/>
        <v>n/a</v>
      </c>
      <c r="O2386" s="207">
        <f t="shared" si="1422"/>
        <v>0.000002777777778</v>
      </c>
    </row>
    <row r="2387">
      <c r="A2387" s="212">
        <v>224.0</v>
      </c>
      <c r="B2387" s="6" t="str">
        <f>VLOOKUP($A2387, 'Completion rates'!$A:$E, 2, FALSE)</f>
        <v>Fishing bluefin (deep sea trawling)</v>
      </c>
      <c r="C2387" s="212">
        <v>32096.0</v>
      </c>
      <c r="D2387" s="6" t="str">
        <f>VLOOKUP($C2387, 'List of log slots'!$A:$E, 2, FALSE)</f>
        <v>Angler's paint</v>
      </c>
      <c r="E2387" s="207">
        <f>VLOOKUP($C2387, 'List of log slots'!$A:$E, 5, FALSE)</f>
        <v>6</v>
      </c>
      <c r="F2387" s="209" t="b">
        <f>VLOOKUP(C2387, 'List of log slots'!$A:$C, 3, FALSE)</f>
        <v>0</v>
      </c>
      <c r="G2387" s="209" t="b">
        <f t="shared" si="1775"/>
        <v>0</v>
      </c>
      <c r="H2387" s="210" t="b">
        <f t="shared" si="7"/>
        <v>1</v>
      </c>
      <c r="I2387" s="208" t="b">
        <f t="shared" ref="I2387:J2387" si="1922">FALSE</f>
        <v>0</v>
      </c>
      <c r="J2387" s="208" t="b">
        <f t="shared" si="1922"/>
        <v>0</v>
      </c>
      <c r="K2387" s="214">
        <v>18000.0</v>
      </c>
      <c r="L2387" s="207" t="str">
        <f t="shared" si="3"/>
        <v>n/a</v>
      </c>
      <c r="M2387" s="212" t="str">
        <f t="shared" si="4"/>
        <v>n/a</v>
      </c>
      <c r="N2387" s="207" t="str">
        <f t="shared" si="1421"/>
        <v>n/a</v>
      </c>
      <c r="O2387" s="207">
        <f t="shared" si="1422"/>
        <v>0.00005555555556</v>
      </c>
    </row>
    <row r="2388">
      <c r="A2388" s="212">
        <v>224.0</v>
      </c>
      <c r="B2388" s="6" t="str">
        <f>VLOOKUP($A2388, 'Completion rates'!$A:$E, 2, FALSE)</f>
        <v>Fishing bluefin (deep sea trawling)</v>
      </c>
      <c r="C2388" s="212">
        <v>31424.0</v>
      </c>
      <c r="D2388" s="6" t="str">
        <f>VLOOKUP($C2388, 'List of log slots'!$A:$E, 2, FALSE)</f>
        <v>Purplefin</v>
      </c>
      <c r="E2388" s="207">
        <f>VLOOKUP($C2388, 'List of log slots'!$A:$E, 5, FALSE)</f>
        <v>6</v>
      </c>
      <c r="F2388" s="209" t="b">
        <f>VLOOKUP(C2388, 'List of log slots'!$A:$C, 3, FALSE)</f>
        <v>0</v>
      </c>
      <c r="G2388" s="209" t="b">
        <f t="shared" si="1775"/>
        <v>0</v>
      </c>
      <c r="H2388" s="210" t="b">
        <f t="shared" si="7"/>
        <v>1</v>
      </c>
      <c r="I2388" s="208" t="b">
        <f t="shared" ref="I2388:J2388" si="1923">FALSE</f>
        <v>0</v>
      </c>
      <c r="J2388" s="208" t="b">
        <f t="shared" si="1923"/>
        <v>0</v>
      </c>
      <c r="K2388" s="214">
        <v>6000.0</v>
      </c>
      <c r="L2388" s="207" t="str">
        <f t="shared" si="3"/>
        <v>n/a</v>
      </c>
      <c r="M2388" s="212" t="str">
        <f t="shared" si="4"/>
        <v>n/a</v>
      </c>
      <c r="N2388" s="207" t="str">
        <f t="shared" si="1421"/>
        <v>n/a</v>
      </c>
      <c r="O2388" s="207">
        <f t="shared" si="1422"/>
        <v>0.0001666666667</v>
      </c>
    </row>
    <row r="2389">
      <c r="A2389" s="212">
        <v>225.0</v>
      </c>
      <c r="B2389" s="6" t="str">
        <f>VLOOKUP($A2389, 'Completion rates'!$A:$E, 2, FALSE)</f>
        <v>Fishing marlin (deep sea trawling)</v>
      </c>
      <c r="C2389" s="212">
        <v>31283.0</v>
      </c>
      <c r="D2389" s="6" t="str">
        <f>VLOOKUP($C2389, 'List of log slots'!$A:$E, 2, FALSE)</f>
        <v>Soup</v>
      </c>
      <c r="E2389" s="207">
        <f>VLOOKUP($C2389, 'List of log slots'!$A:$E, 5, FALSE)</f>
        <v>7</v>
      </c>
      <c r="F2389" s="209" t="b">
        <f>VLOOKUP(C2389, 'List of log slots'!$A:$C, 3, FALSE)</f>
        <v>0</v>
      </c>
      <c r="G2389" s="209" t="b">
        <f t="shared" si="1775"/>
        <v>0</v>
      </c>
      <c r="H2389" s="210" t="b">
        <f t="shared" si="7"/>
        <v>1</v>
      </c>
      <c r="I2389" s="208" t="b">
        <f t="shared" ref="I2389:J2389" si="1924">FALSE</f>
        <v>0</v>
      </c>
      <c r="J2389" s="208" t="b">
        <f t="shared" si="1924"/>
        <v>0</v>
      </c>
      <c r="K2389" s="214">
        <v>360000.0</v>
      </c>
      <c r="L2389" s="207" t="str">
        <f t="shared" si="3"/>
        <v>n/a</v>
      </c>
      <c r="M2389" s="212" t="str">
        <f t="shared" si="4"/>
        <v>n/a</v>
      </c>
      <c r="N2389" s="207" t="str">
        <f t="shared" si="1421"/>
        <v>n/a</v>
      </c>
      <c r="O2389" s="207">
        <f t="shared" si="1422"/>
        <v>0.000002777777778</v>
      </c>
    </row>
    <row r="2390">
      <c r="A2390" s="212">
        <v>225.0</v>
      </c>
      <c r="B2390" s="6" t="str">
        <f>VLOOKUP($A2390, 'Completion rates'!$A:$E, 2, FALSE)</f>
        <v>Fishing marlin (deep sea trawling)</v>
      </c>
      <c r="C2390" s="212">
        <v>32096.0</v>
      </c>
      <c r="D2390" s="6" t="str">
        <f>VLOOKUP($C2390, 'List of log slots'!$A:$E, 2, FALSE)</f>
        <v>Angler's paint</v>
      </c>
      <c r="E2390" s="207">
        <f>VLOOKUP($C2390, 'List of log slots'!$A:$E, 5, FALSE)</f>
        <v>6</v>
      </c>
      <c r="F2390" s="209" t="b">
        <f>VLOOKUP(C2390, 'List of log slots'!$A:$C, 3, FALSE)</f>
        <v>0</v>
      </c>
      <c r="G2390" s="209" t="b">
        <f t="shared" si="1775"/>
        <v>0</v>
      </c>
      <c r="H2390" s="210" t="b">
        <f t="shared" si="7"/>
        <v>1</v>
      </c>
      <c r="I2390" s="208" t="b">
        <f t="shared" ref="I2390:J2390" si="1925">FALSE</f>
        <v>0</v>
      </c>
      <c r="J2390" s="208" t="b">
        <f t="shared" si="1925"/>
        <v>0</v>
      </c>
      <c r="K2390" s="214">
        <v>18000.0</v>
      </c>
      <c r="L2390" s="207" t="str">
        <f t="shared" si="3"/>
        <v>n/a</v>
      </c>
      <c r="M2390" s="212" t="str">
        <f t="shared" si="4"/>
        <v>n/a</v>
      </c>
      <c r="N2390" s="207" t="str">
        <f t="shared" si="1421"/>
        <v>n/a</v>
      </c>
      <c r="O2390" s="207">
        <f t="shared" si="1422"/>
        <v>0.00005555555556</v>
      </c>
    </row>
    <row r="2391">
      <c r="A2391" s="212">
        <v>225.0</v>
      </c>
      <c r="B2391" s="6" t="str">
        <f>VLOOKUP($A2391, 'Completion rates'!$A:$E, 2, FALSE)</f>
        <v>Fishing marlin (deep sea trawling)</v>
      </c>
      <c r="C2391" s="212">
        <v>31428.0</v>
      </c>
      <c r="D2391" s="6" t="str">
        <f>VLOOKUP($C2391, 'List of log slots'!$A:$E, 2, FALSE)</f>
        <v>Swift marlin</v>
      </c>
      <c r="E2391" s="207">
        <f>VLOOKUP($C2391, 'List of log slots'!$A:$E, 5, FALSE)</f>
        <v>6</v>
      </c>
      <c r="F2391" s="209" t="b">
        <f>VLOOKUP(C2391, 'List of log slots'!$A:$C, 3, FALSE)</f>
        <v>0</v>
      </c>
      <c r="G2391" s="209" t="b">
        <f t="shared" si="1775"/>
        <v>0</v>
      </c>
      <c r="H2391" s="210" t="b">
        <f t="shared" si="7"/>
        <v>1</v>
      </c>
      <c r="I2391" s="208" t="b">
        <f t="shared" ref="I2391:J2391" si="1926">FALSE</f>
        <v>0</v>
      </c>
      <c r="J2391" s="208" t="b">
        <f t="shared" si="1926"/>
        <v>0</v>
      </c>
      <c r="K2391" s="214">
        <v>6000.0</v>
      </c>
      <c r="L2391" s="207" t="str">
        <f t="shared" si="3"/>
        <v>n/a</v>
      </c>
      <c r="M2391" s="212" t="str">
        <f t="shared" si="4"/>
        <v>n/a</v>
      </c>
      <c r="N2391" s="207" t="str">
        <f t="shared" si="1421"/>
        <v>n/a</v>
      </c>
      <c r="O2391" s="207">
        <f t="shared" si="1422"/>
        <v>0.0001666666667</v>
      </c>
    </row>
    <row r="2392">
      <c r="A2392" s="212">
        <v>226.0</v>
      </c>
      <c r="B2392" s="6" t="str">
        <f>VLOOKUP($A2392, 'Completion rates'!$A:$E, 2, FALSE)</f>
        <v>Killing in the wilderness god wars dungeon (barrage)</v>
      </c>
      <c r="C2392" s="212">
        <v>11942.0</v>
      </c>
      <c r="D2392" s="6" t="str">
        <f>VLOOKUP($C2392, 'List of log slots'!$A:$E, 2, FALSE)</f>
        <v>Ecumenical key</v>
      </c>
      <c r="E2392" s="207">
        <f>VLOOKUP($C2392, 'List of log slots'!$A:$E, 5, FALSE)</f>
        <v>2</v>
      </c>
      <c r="F2392" s="210" t="b">
        <f>VLOOKUP(C2392, 'List of log slots'!$A:$C, 3, FALSE)</f>
        <v>0</v>
      </c>
      <c r="G2392" s="209" t="b">
        <f t="shared" si="1775"/>
        <v>0</v>
      </c>
      <c r="H2392" s="209" t="b">
        <f t="shared" si="7"/>
        <v>1</v>
      </c>
      <c r="I2392" s="208" t="b">
        <f t="shared" ref="I2392:J2392" si="1927">FALSE</f>
        <v>0</v>
      </c>
      <c r="J2392" s="208" t="b">
        <f t="shared" si="1927"/>
        <v>0</v>
      </c>
      <c r="K2392" s="214">
        <v>60.0</v>
      </c>
      <c r="L2392" s="207" t="str">
        <f t="shared" si="3"/>
        <v>n/a</v>
      </c>
      <c r="M2392" s="212" t="str">
        <f t="shared" si="4"/>
        <v>n/a</v>
      </c>
      <c r="N2392" s="207" t="str">
        <f t="shared" si="1421"/>
        <v>n/a</v>
      </c>
      <c r="O2392" s="207">
        <f t="shared" si="1422"/>
        <v>0.01666666667</v>
      </c>
    </row>
    <row r="2393">
      <c r="A2393" s="212">
        <v>227.0</v>
      </c>
      <c r="B2393" s="6" t="str">
        <f>VLOOKUP($A2393, 'Completion rates'!$A:$E, 2, FALSE)</f>
        <v>Looting grand gold chests (pyramid plunder)</v>
      </c>
      <c r="C2393" s="212">
        <v>26945.0</v>
      </c>
      <c r="D2393" s="6" t="str">
        <f>VLOOKUP($C2393, 'List of log slots'!$A:$E, 2, FALSE)</f>
        <v>Pharaoh's sceptre (uncharged)</v>
      </c>
      <c r="E2393" s="207">
        <f>VLOOKUP($C2393, 'List of log slots'!$A:$E, 5, FALSE)</f>
        <v>5</v>
      </c>
      <c r="F2393" s="209" t="b">
        <f>VLOOKUP(C2393, 'List of log slots'!$A:$C, 3, FALSE)</f>
        <v>0</v>
      </c>
      <c r="G2393" s="209" t="b">
        <f t="shared" si="1775"/>
        <v>0</v>
      </c>
      <c r="H2393" s="210" t="b">
        <f t="shared" si="7"/>
        <v>1</v>
      </c>
      <c r="I2393" s="208" t="b">
        <f t="shared" ref="I2393:J2393" si="1928">FALSE</f>
        <v>0</v>
      </c>
      <c r="J2393" s="208" t="b">
        <f t="shared" si="1928"/>
        <v>0</v>
      </c>
      <c r="K2393" s="214">
        <v>650.0</v>
      </c>
      <c r="L2393" s="207" t="str">
        <f t="shared" si="3"/>
        <v>n/a</v>
      </c>
      <c r="M2393" s="212" t="str">
        <f t="shared" si="4"/>
        <v>n/a</v>
      </c>
      <c r="N2393" s="207" t="str">
        <f t="shared" si="1421"/>
        <v>n/a</v>
      </c>
      <c r="O2393" s="207">
        <f t="shared" si="1422"/>
        <v>0.001538461538</v>
      </c>
    </row>
    <row r="2394">
      <c r="A2394" s="212">
        <v>228.0</v>
      </c>
      <c r="B2394" s="6" t="str">
        <f>VLOOKUP($A2394, 'Completion rates'!$A:$E, 2, FALSE)</f>
        <v>Killing mithril dragons</v>
      </c>
      <c r="C2394" s="212">
        <v>11286.0</v>
      </c>
      <c r="D2394" s="6" t="str">
        <f>VLOOKUP($C2394, 'List of log slots'!$A:$E, 2, FALSE)</f>
        <v>Draconic visage</v>
      </c>
      <c r="E2394" s="207">
        <f>VLOOKUP($C2394, 'List of log slots'!$A:$E, 5, FALSE)</f>
        <v>6</v>
      </c>
      <c r="F2394" s="209" t="b">
        <f>VLOOKUP(C2394, 'List of log slots'!$A:$C, 3, FALSE)</f>
        <v>0</v>
      </c>
      <c r="G2394" s="209" t="b">
        <f t="shared" si="1775"/>
        <v>0</v>
      </c>
      <c r="H2394" s="210" t="b">
        <f t="shared" si="7"/>
        <v>1</v>
      </c>
      <c r="I2394" s="208" t="b">
        <f t="shared" ref="I2394:J2394" si="1929">FALSE</f>
        <v>0</v>
      </c>
      <c r="J2394" s="208" t="b">
        <f t="shared" si="1929"/>
        <v>0</v>
      </c>
      <c r="K2394" s="214">
        <v>10000.0</v>
      </c>
      <c r="L2394" s="207" t="str">
        <f t="shared" si="3"/>
        <v>n/a</v>
      </c>
      <c r="M2394" s="212" t="str">
        <f t="shared" si="4"/>
        <v>n/a</v>
      </c>
      <c r="N2394" s="207" t="str">
        <f t="shared" si="1421"/>
        <v>n/a</v>
      </c>
      <c r="O2394" s="207">
        <f t="shared" si="1422"/>
        <v>0.0001</v>
      </c>
    </row>
    <row r="2395">
      <c r="A2395" s="212">
        <v>228.0</v>
      </c>
      <c r="B2395" s="6" t="str">
        <f>VLOOKUP($A2395, 'Completion rates'!$A:$E, 2, FALSE)</f>
        <v>Killing mithril dragons</v>
      </c>
      <c r="C2395" s="212">
        <v>11338.0</v>
      </c>
      <c r="D2395" s="6" t="str">
        <f>VLOOKUP($C2395, 'List of log slots'!$A:$E, 2, FALSE)</f>
        <v>Chewed bones</v>
      </c>
      <c r="E2395" s="207">
        <f>VLOOKUP($C2395, 'List of log slots'!$A:$E, 5, FALSE)</f>
        <v>5</v>
      </c>
      <c r="F2395" s="210" t="b">
        <f>VLOOKUP(C2395, 'List of log slots'!$A:$C, 3, FALSE)</f>
        <v>0</v>
      </c>
      <c r="G2395" s="209" t="b">
        <f t="shared" si="1775"/>
        <v>0</v>
      </c>
      <c r="H2395" s="209" t="b">
        <f t="shared" si="7"/>
        <v>1</v>
      </c>
      <c r="I2395" s="208" t="b">
        <f t="shared" ref="I2395:J2395" si="1930">FALSE</f>
        <v>0</v>
      </c>
      <c r="J2395" s="208" t="b">
        <f t="shared" si="1930"/>
        <v>0</v>
      </c>
      <c r="K2395" s="214">
        <v>43.0</v>
      </c>
      <c r="L2395" s="207" t="str">
        <f t="shared" si="3"/>
        <v>n/a</v>
      </c>
      <c r="M2395" s="212" t="str">
        <f t="shared" si="4"/>
        <v>n/a</v>
      </c>
      <c r="N2395" s="207" t="str">
        <f t="shared" si="1421"/>
        <v>n/a</v>
      </c>
      <c r="O2395" s="207">
        <f t="shared" si="1422"/>
        <v>0.02325581395</v>
      </c>
    </row>
    <row r="2396">
      <c r="A2396" s="212">
        <v>228.0</v>
      </c>
      <c r="B2396" s="6" t="str">
        <f>VLOOKUP($A2396, 'Completion rates'!$A:$E, 2, FALSE)</f>
        <v>Killing mithril dragons</v>
      </c>
      <c r="C2396" s="212">
        <v>11335.0</v>
      </c>
      <c r="D2396" s="6" t="str">
        <f>VLOOKUP($C2396, 'List of log slots'!$A:$E, 2, FALSE)</f>
        <v>Dragon full helm</v>
      </c>
      <c r="E2396" s="207">
        <f>VLOOKUP($C2396, 'List of log slots'!$A:$E, 5, FALSE)</f>
        <v>9</v>
      </c>
      <c r="F2396" s="209" t="b">
        <f>VLOOKUP(C2396, 'List of log slots'!$A:$C, 3, FALSE)</f>
        <v>0</v>
      </c>
      <c r="G2396" s="209" t="b">
        <f t="shared" si="1775"/>
        <v>0</v>
      </c>
      <c r="H2396" s="210" t="b">
        <f t="shared" si="7"/>
        <v>1</v>
      </c>
      <c r="I2396" s="208" t="b">
        <f t="shared" ref="I2396:J2396" si="1931">FALSE</f>
        <v>0</v>
      </c>
      <c r="J2396" s="208" t="b">
        <f t="shared" si="1931"/>
        <v>0</v>
      </c>
      <c r="K2396" s="214">
        <v>8192.0</v>
      </c>
      <c r="L2396" s="207" t="str">
        <f t="shared" si="3"/>
        <v>n/a</v>
      </c>
      <c r="M2396" s="212" t="str">
        <f t="shared" si="4"/>
        <v>n/a</v>
      </c>
      <c r="N2396" s="207" t="str">
        <f t="shared" si="1421"/>
        <v>n/a</v>
      </c>
      <c r="O2396" s="207">
        <f t="shared" si="1422"/>
        <v>0.0001220703125</v>
      </c>
    </row>
    <row r="2397">
      <c r="A2397" s="212">
        <v>228.0</v>
      </c>
      <c r="B2397" s="6" t="str">
        <f>VLOOKUP($A2397, 'Completion rates'!$A:$E, 2, FALSE)</f>
        <v>Killing mithril dragons</v>
      </c>
      <c r="C2397" s="212">
        <v>2366.0</v>
      </c>
      <c r="D2397" s="6" t="str">
        <f>VLOOKUP($C2397, 'List of log slots'!$A:$E, 2, FALSE)</f>
        <v>Shield left half</v>
      </c>
      <c r="E2397" s="207">
        <f>VLOOKUP($C2397, 'List of log slots'!$A:$E, 5, FALSE)</f>
        <v>5</v>
      </c>
      <c r="F2397" s="210" t="b">
        <f>VLOOKUP(C2397, 'List of log slots'!$A:$C, 3, FALSE)</f>
        <v>0</v>
      </c>
      <c r="G2397" s="209" t="b">
        <f t="shared" si="1775"/>
        <v>0</v>
      </c>
      <c r="H2397" s="209" t="b">
        <f t="shared" si="7"/>
        <v>1</v>
      </c>
      <c r="I2397" s="208" t="b">
        <f t="shared" ref="I2397:J2397" si="1932">FALSE</f>
        <v>0</v>
      </c>
      <c r="J2397" s="208" t="b">
        <f t="shared" si="1932"/>
        <v>0</v>
      </c>
      <c r="K2397" s="214">
        <v>27369.0</v>
      </c>
      <c r="L2397" s="207" t="str">
        <f t="shared" si="3"/>
        <v>n/a</v>
      </c>
      <c r="M2397" s="212" t="str">
        <f t="shared" si="4"/>
        <v>n/a</v>
      </c>
      <c r="N2397" s="207" t="str">
        <f t="shared" si="1421"/>
        <v>n/a</v>
      </c>
      <c r="O2397" s="207">
        <f t="shared" si="1422"/>
        <v>0.00003653768863</v>
      </c>
    </row>
    <row r="2398">
      <c r="A2398" s="212">
        <v>228.0</v>
      </c>
      <c r="B2398" s="6" t="str">
        <f>VLOOKUP($A2398, 'Completion rates'!$A:$E, 2, FALSE)</f>
        <v>Killing mithril dragons</v>
      </c>
      <c r="C2398" s="212">
        <v>1249.0</v>
      </c>
      <c r="D2398" s="6" t="str">
        <f>VLOOKUP($C2398, 'List of log slots'!$A:$E, 2, FALSE)</f>
        <v>Dragon spear</v>
      </c>
      <c r="E2398" s="207">
        <f>VLOOKUP($C2398, 'List of log slots'!$A:$E, 5, FALSE)</f>
        <v>5</v>
      </c>
      <c r="F2398" s="210" t="b">
        <f>VLOOKUP(C2398, 'List of log slots'!$A:$C, 3, FALSE)</f>
        <v>0</v>
      </c>
      <c r="G2398" s="209" t="b">
        <f t="shared" si="1775"/>
        <v>0</v>
      </c>
      <c r="H2398" s="209" t="b">
        <f t="shared" si="7"/>
        <v>1</v>
      </c>
      <c r="I2398" s="208" t="b">
        <f t="shared" ref="I2398:J2398" si="1933">FALSE</f>
        <v>0</v>
      </c>
      <c r="J2398" s="208" t="b">
        <f t="shared" si="1933"/>
        <v>0</v>
      </c>
      <c r="K2398" s="214">
        <v>36492.0</v>
      </c>
      <c r="L2398" s="207" t="str">
        <f t="shared" si="3"/>
        <v>n/a</v>
      </c>
      <c r="M2398" s="212" t="str">
        <f t="shared" si="4"/>
        <v>n/a</v>
      </c>
      <c r="N2398" s="207" t="str">
        <f t="shared" si="1421"/>
        <v>n/a</v>
      </c>
      <c r="O2398" s="207">
        <f t="shared" si="1422"/>
        <v>0.00002740326647</v>
      </c>
    </row>
    <row r="2399">
      <c r="A2399" s="212">
        <v>228.0</v>
      </c>
      <c r="B2399" s="6" t="str">
        <f>VLOOKUP($A2399, 'Completion rates'!$A:$E, 2, FALSE)</f>
        <v>Killing mithril dragons</v>
      </c>
      <c r="C2399" s="212">
        <v>11341.0</v>
      </c>
      <c r="D2399" s="6" t="str">
        <f>VLOOKUP($C2399, 'List of log slots'!$A:$E, 2, FALSE)</f>
        <v>Ancient page</v>
      </c>
      <c r="E2399" s="207">
        <f>VLOOKUP($C2399, 'List of log slots'!$A:$E, 5, FALSE)</f>
        <v>3</v>
      </c>
      <c r="F2399" s="209" t="b">
        <f>VLOOKUP(C2399, 'List of log slots'!$A:$C, 3, FALSE)</f>
        <v>0</v>
      </c>
      <c r="G2399" s="209" t="b">
        <f t="shared" si="1775"/>
        <v>0</v>
      </c>
      <c r="H2399" s="210" t="b">
        <f t="shared" si="7"/>
        <v>1</v>
      </c>
      <c r="I2399" s="208" t="b">
        <f t="shared" ref="I2399:J2399" si="1934">FALSE</f>
        <v>0</v>
      </c>
      <c r="J2399" s="208" t="b">
        <f t="shared" si="1934"/>
        <v>0</v>
      </c>
      <c r="K2399" s="214">
        <v>1664.0</v>
      </c>
      <c r="L2399" s="207" t="str">
        <f t="shared" si="3"/>
        <v>n/a</v>
      </c>
      <c r="M2399" s="212" t="str">
        <f t="shared" si="4"/>
        <v>n/a</v>
      </c>
      <c r="N2399" s="207" t="str">
        <f t="shared" si="1421"/>
        <v>n/a</v>
      </c>
      <c r="O2399" s="207">
        <f t="shared" si="1422"/>
        <v>0.0006009615385</v>
      </c>
    </row>
    <row r="2400">
      <c r="A2400" s="212">
        <v>228.0</v>
      </c>
      <c r="B2400" s="6" t="str">
        <f>VLOOKUP($A2400, 'Completion rates'!$A:$E, 2, FALSE)</f>
        <v>Killing mithril dragons</v>
      </c>
      <c r="C2400" s="212">
        <v>11342.0</v>
      </c>
      <c r="D2400" s="6" t="str">
        <f>VLOOKUP($C2400, 'List of log slots'!$A:$E, 2, FALSE)</f>
        <v>Ancient page</v>
      </c>
      <c r="E2400" s="207">
        <f>VLOOKUP($C2400, 'List of log slots'!$A:$E, 5, FALSE)</f>
        <v>3</v>
      </c>
      <c r="F2400" s="209" t="b">
        <f>VLOOKUP(C2400, 'List of log slots'!$A:$C, 3, FALSE)</f>
        <v>0</v>
      </c>
      <c r="G2400" s="209" t="b">
        <f t="shared" si="1775"/>
        <v>0</v>
      </c>
      <c r="H2400" s="210" t="b">
        <f t="shared" si="7"/>
        <v>1</v>
      </c>
      <c r="I2400" s="208" t="b">
        <f t="shared" ref="I2400:J2400" si="1935">FALSE</f>
        <v>0</v>
      </c>
      <c r="J2400" s="208" t="b">
        <f t="shared" si="1935"/>
        <v>0</v>
      </c>
      <c r="K2400" s="214">
        <v>1664.0</v>
      </c>
      <c r="L2400" s="207" t="str">
        <f t="shared" si="3"/>
        <v>n/a</v>
      </c>
      <c r="M2400" s="212" t="str">
        <f t="shared" si="4"/>
        <v>n/a</v>
      </c>
      <c r="N2400" s="207" t="str">
        <f t="shared" si="1421"/>
        <v>n/a</v>
      </c>
      <c r="O2400" s="207">
        <f t="shared" si="1422"/>
        <v>0.0006009615385</v>
      </c>
    </row>
    <row r="2401">
      <c r="A2401" s="212">
        <v>228.0</v>
      </c>
      <c r="B2401" s="6" t="str">
        <f>VLOOKUP($A2401, 'Completion rates'!$A:$E, 2, FALSE)</f>
        <v>Killing mithril dragons</v>
      </c>
      <c r="C2401" s="212">
        <v>11343.0</v>
      </c>
      <c r="D2401" s="6" t="str">
        <f>VLOOKUP($C2401, 'List of log slots'!$A:$E, 2, FALSE)</f>
        <v>Ancient page</v>
      </c>
      <c r="E2401" s="207">
        <f>VLOOKUP($C2401, 'List of log slots'!$A:$E, 5, FALSE)</f>
        <v>3</v>
      </c>
      <c r="F2401" s="209" t="b">
        <f>VLOOKUP(C2401, 'List of log slots'!$A:$C, 3, FALSE)</f>
        <v>0</v>
      </c>
      <c r="G2401" s="209" t="b">
        <f t="shared" si="1775"/>
        <v>0</v>
      </c>
      <c r="H2401" s="210" t="b">
        <f t="shared" si="7"/>
        <v>1</v>
      </c>
      <c r="I2401" s="208" t="b">
        <f t="shared" ref="I2401:J2401" si="1936">FALSE</f>
        <v>0</v>
      </c>
      <c r="J2401" s="208" t="b">
        <f t="shared" si="1936"/>
        <v>0</v>
      </c>
      <c r="K2401" s="214">
        <v>1664.0</v>
      </c>
      <c r="L2401" s="207" t="str">
        <f t="shared" si="3"/>
        <v>n/a</v>
      </c>
      <c r="M2401" s="212" t="str">
        <f t="shared" si="4"/>
        <v>n/a</v>
      </c>
      <c r="N2401" s="207" t="str">
        <f t="shared" si="1421"/>
        <v>n/a</v>
      </c>
      <c r="O2401" s="207">
        <f t="shared" si="1422"/>
        <v>0.0006009615385</v>
      </c>
    </row>
    <row r="2402">
      <c r="A2402" s="212">
        <v>228.0</v>
      </c>
      <c r="B2402" s="6" t="str">
        <f>VLOOKUP($A2402, 'Completion rates'!$A:$E, 2, FALSE)</f>
        <v>Killing mithril dragons</v>
      </c>
      <c r="C2402" s="212">
        <v>11344.0</v>
      </c>
      <c r="D2402" s="6" t="str">
        <f>VLOOKUP($C2402, 'List of log slots'!$A:$E, 2, FALSE)</f>
        <v>Ancient page</v>
      </c>
      <c r="E2402" s="207">
        <f>VLOOKUP($C2402, 'List of log slots'!$A:$E, 5, FALSE)</f>
        <v>3</v>
      </c>
      <c r="F2402" s="210" t="b">
        <f>VLOOKUP(C2402, 'List of log slots'!$A:$C, 3, FALSE)</f>
        <v>0</v>
      </c>
      <c r="G2402" s="209" t="b">
        <f t="shared" si="1775"/>
        <v>0</v>
      </c>
      <c r="H2402" s="209" t="b">
        <f t="shared" si="7"/>
        <v>1</v>
      </c>
      <c r="I2402" s="208" t="b">
        <f t="shared" ref="I2402:J2402" si="1937">FALSE</f>
        <v>0</v>
      </c>
      <c r="J2402" s="208" t="b">
        <f t="shared" si="1937"/>
        <v>0</v>
      </c>
      <c r="K2402" s="214">
        <v>1664.0</v>
      </c>
      <c r="L2402" s="207" t="str">
        <f t="shared" si="3"/>
        <v>n/a</v>
      </c>
      <c r="M2402" s="212" t="str">
        <f t="shared" si="4"/>
        <v>n/a</v>
      </c>
      <c r="N2402" s="207" t="str">
        <f t="shared" si="1421"/>
        <v>n/a</v>
      </c>
      <c r="O2402" s="207">
        <f t="shared" si="1422"/>
        <v>0.0006009615385</v>
      </c>
    </row>
    <row r="2403">
      <c r="A2403" s="212">
        <v>228.0</v>
      </c>
      <c r="B2403" s="6" t="str">
        <f>VLOOKUP($A2403, 'Completion rates'!$A:$E, 2, FALSE)</f>
        <v>Killing mithril dragons</v>
      </c>
      <c r="C2403" s="212">
        <v>11345.0</v>
      </c>
      <c r="D2403" s="6" t="str">
        <f>VLOOKUP($C2403, 'List of log slots'!$A:$E, 2, FALSE)</f>
        <v>Ancient page</v>
      </c>
      <c r="E2403" s="207">
        <f>VLOOKUP($C2403, 'List of log slots'!$A:$E, 5, FALSE)</f>
        <v>3</v>
      </c>
      <c r="F2403" s="209" t="b">
        <f>VLOOKUP(C2403, 'List of log slots'!$A:$C, 3, FALSE)</f>
        <v>0</v>
      </c>
      <c r="G2403" s="209" t="b">
        <f t="shared" si="1775"/>
        <v>0</v>
      </c>
      <c r="H2403" s="210" t="b">
        <f t="shared" si="7"/>
        <v>1</v>
      </c>
      <c r="I2403" s="208" t="b">
        <f t="shared" ref="I2403:J2403" si="1938">FALSE</f>
        <v>0</v>
      </c>
      <c r="J2403" s="208" t="b">
        <f t="shared" si="1938"/>
        <v>0</v>
      </c>
      <c r="K2403" s="214">
        <v>1664.0</v>
      </c>
      <c r="L2403" s="207" t="str">
        <f t="shared" si="3"/>
        <v>n/a</v>
      </c>
      <c r="M2403" s="212" t="str">
        <f t="shared" si="4"/>
        <v>n/a</v>
      </c>
      <c r="N2403" s="207" t="str">
        <f t="shared" si="1421"/>
        <v>n/a</v>
      </c>
      <c r="O2403" s="207">
        <f t="shared" si="1422"/>
        <v>0.0006009615385</v>
      </c>
    </row>
    <row r="2404">
      <c r="A2404" s="212">
        <v>228.0</v>
      </c>
      <c r="B2404" s="6" t="str">
        <f>VLOOKUP($A2404, 'Completion rates'!$A:$E, 2, FALSE)</f>
        <v>Killing mithril dragons</v>
      </c>
      <c r="C2404" s="212">
        <v>11346.0</v>
      </c>
      <c r="D2404" s="6" t="str">
        <f>VLOOKUP($C2404, 'List of log slots'!$A:$E, 2, FALSE)</f>
        <v>Ancient page</v>
      </c>
      <c r="E2404" s="207">
        <f>VLOOKUP($C2404, 'List of log slots'!$A:$E, 5, FALSE)</f>
        <v>3</v>
      </c>
      <c r="F2404" s="210" t="b">
        <f>VLOOKUP(C2404, 'List of log slots'!$A:$C, 3, FALSE)</f>
        <v>0</v>
      </c>
      <c r="G2404" s="209" t="b">
        <f t="shared" si="1775"/>
        <v>0</v>
      </c>
      <c r="H2404" s="209" t="b">
        <f t="shared" si="7"/>
        <v>1</v>
      </c>
      <c r="I2404" s="208" t="b">
        <f t="shared" ref="I2404:J2404" si="1939">FALSE</f>
        <v>0</v>
      </c>
      <c r="J2404" s="208" t="b">
        <f t="shared" si="1939"/>
        <v>0</v>
      </c>
      <c r="K2404" s="214">
        <v>1664.0</v>
      </c>
      <c r="L2404" s="207" t="str">
        <f t="shared" si="3"/>
        <v>n/a</v>
      </c>
      <c r="M2404" s="212" t="str">
        <f t="shared" si="4"/>
        <v>n/a</v>
      </c>
      <c r="N2404" s="207" t="str">
        <f t="shared" si="1421"/>
        <v>n/a</v>
      </c>
      <c r="O2404" s="207">
        <f t="shared" si="1422"/>
        <v>0.0006009615385</v>
      </c>
    </row>
    <row r="2405">
      <c r="A2405" s="212">
        <v>228.0</v>
      </c>
      <c r="B2405" s="6" t="str">
        <f>VLOOKUP($A2405, 'Completion rates'!$A:$E, 2, FALSE)</f>
        <v>Killing mithril dragons</v>
      </c>
      <c r="C2405" s="212">
        <v>11347.0</v>
      </c>
      <c r="D2405" s="6" t="str">
        <f>VLOOKUP($C2405, 'List of log slots'!$A:$E, 2, FALSE)</f>
        <v>Ancient page</v>
      </c>
      <c r="E2405" s="207">
        <f>VLOOKUP($C2405, 'List of log slots'!$A:$E, 5, FALSE)</f>
        <v>3</v>
      </c>
      <c r="F2405" s="209" t="b">
        <f>VLOOKUP(C2405, 'List of log slots'!$A:$C, 3, FALSE)</f>
        <v>0</v>
      </c>
      <c r="G2405" s="209" t="b">
        <f t="shared" si="1775"/>
        <v>0</v>
      </c>
      <c r="H2405" s="210" t="b">
        <f t="shared" si="7"/>
        <v>1</v>
      </c>
      <c r="I2405" s="208" t="b">
        <f t="shared" ref="I2405:J2405" si="1940">FALSE</f>
        <v>0</v>
      </c>
      <c r="J2405" s="208" t="b">
        <f t="shared" si="1940"/>
        <v>0</v>
      </c>
      <c r="K2405" s="214">
        <v>1664.0</v>
      </c>
      <c r="L2405" s="207" t="str">
        <f t="shared" si="3"/>
        <v>n/a</v>
      </c>
      <c r="M2405" s="212" t="str">
        <f t="shared" si="4"/>
        <v>n/a</v>
      </c>
      <c r="N2405" s="207" t="str">
        <f t="shared" si="1421"/>
        <v>n/a</v>
      </c>
      <c r="O2405" s="207">
        <f t="shared" si="1422"/>
        <v>0.0006009615385</v>
      </c>
    </row>
    <row r="2406">
      <c r="A2406" s="212">
        <v>228.0</v>
      </c>
      <c r="B2406" s="6" t="str">
        <f>VLOOKUP($A2406, 'Completion rates'!$A:$E, 2, FALSE)</f>
        <v>Killing mithril dragons</v>
      </c>
      <c r="C2406" s="212">
        <v>11348.0</v>
      </c>
      <c r="D2406" s="6" t="str">
        <f>VLOOKUP($C2406, 'List of log slots'!$A:$E, 2, FALSE)</f>
        <v>Ancient page</v>
      </c>
      <c r="E2406" s="207">
        <f>VLOOKUP($C2406, 'List of log slots'!$A:$E, 5, FALSE)</f>
        <v>3</v>
      </c>
      <c r="F2406" s="209" t="b">
        <f>VLOOKUP(C2406, 'List of log slots'!$A:$C, 3, FALSE)</f>
        <v>0</v>
      </c>
      <c r="G2406" s="209" t="b">
        <f t="shared" si="1775"/>
        <v>0</v>
      </c>
      <c r="H2406" s="210" t="b">
        <f t="shared" si="7"/>
        <v>1</v>
      </c>
      <c r="I2406" s="208" t="b">
        <f t="shared" ref="I2406:J2406" si="1941">FALSE</f>
        <v>0</v>
      </c>
      <c r="J2406" s="208" t="b">
        <f t="shared" si="1941"/>
        <v>0</v>
      </c>
      <c r="K2406" s="214">
        <v>1664.0</v>
      </c>
      <c r="L2406" s="207" t="str">
        <f t="shared" si="3"/>
        <v>n/a</v>
      </c>
      <c r="M2406" s="212" t="str">
        <f t="shared" si="4"/>
        <v>n/a</v>
      </c>
      <c r="N2406" s="207" t="str">
        <f t="shared" si="1421"/>
        <v>n/a</v>
      </c>
      <c r="O2406" s="207">
        <f t="shared" si="1422"/>
        <v>0.0006009615385</v>
      </c>
    </row>
    <row r="2407">
      <c r="A2407" s="212">
        <v>228.0</v>
      </c>
      <c r="B2407" s="6" t="str">
        <f>VLOOKUP($A2407, 'Completion rates'!$A:$E, 2, FALSE)</f>
        <v>Killing mithril dragons</v>
      </c>
      <c r="C2407" s="212">
        <v>11349.0</v>
      </c>
      <c r="D2407" s="6" t="str">
        <f>VLOOKUP($C2407, 'List of log slots'!$A:$E, 2, FALSE)</f>
        <v>Ancient page</v>
      </c>
      <c r="E2407" s="207">
        <f>VLOOKUP($C2407, 'List of log slots'!$A:$E, 5, FALSE)</f>
        <v>3</v>
      </c>
      <c r="F2407" s="209" t="b">
        <f>VLOOKUP(C2407, 'List of log slots'!$A:$C, 3, FALSE)</f>
        <v>0</v>
      </c>
      <c r="G2407" s="209" t="b">
        <f t="shared" si="1775"/>
        <v>0</v>
      </c>
      <c r="H2407" s="210" t="b">
        <f t="shared" si="7"/>
        <v>1</v>
      </c>
      <c r="I2407" s="208" t="b">
        <f t="shared" ref="I2407:J2407" si="1942">FALSE</f>
        <v>0</v>
      </c>
      <c r="J2407" s="208" t="b">
        <f t="shared" si="1942"/>
        <v>0</v>
      </c>
      <c r="K2407" s="214">
        <v>1664.0</v>
      </c>
      <c r="L2407" s="207" t="str">
        <f t="shared" si="3"/>
        <v>n/a</v>
      </c>
      <c r="M2407" s="212" t="str">
        <f t="shared" si="4"/>
        <v>n/a</v>
      </c>
      <c r="N2407" s="207" t="str">
        <f t="shared" si="1421"/>
        <v>n/a</v>
      </c>
      <c r="O2407" s="207">
        <f t="shared" si="1422"/>
        <v>0.0006009615385</v>
      </c>
    </row>
    <row r="2408">
      <c r="A2408" s="212">
        <v>228.0</v>
      </c>
      <c r="B2408" s="6" t="str">
        <f>VLOOKUP($A2408, 'Completion rates'!$A:$E, 2, FALSE)</f>
        <v>Killing mithril dragons</v>
      </c>
      <c r="C2408" s="212">
        <v>11350.0</v>
      </c>
      <c r="D2408" s="6" t="str">
        <f>VLOOKUP($C2408, 'List of log slots'!$A:$E, 2, FALSE)</f>
        <v>Ancient page</v>
      </c>
      <c r="E2408" s="207">
        <f>VLOOKUP($C2408, 'List of log slots'!$A:$E, 5, FALSE)</f>
        <v>3</v>
      </c>
      <c r="F2408" s="209" t="b">
        <f>VLOOKUP(C2408, 'List of log slots'!$A:$C, 3, FALSE)</f>
        <v>0</v>
      </c>
      <c r="G2408" s="209" t="b">
        <f t="shared" si="1775"/>
        <v>0</v>
      </c>
      <c r="H2408" s="210" t="b">
        <f t="shared" si="7"/>
        <v>1</v>
      </c>
      <c r="I2408" s="208" t="b">
        <f t="shared" ref="I2408:J2408" si="1943">FALSE</f>
        <v>0</v>
      </c>
      <c r="J2408" s="208" t="b">
        <f t="shared" si="1943"/>
        <v>0</v>
      </c>
      <c r="K2408" s="214">
        <v>1664.0</v>
      </c>
      <c r="L2408" s="207" t="str">
        <f t="shared" si="3"/>
        <v>n/a</v>
      </c>
      <c r="M2408" s="212" t="str">
        <f t="shared" si="4"/>
        <v>n/a</v>
      </c>
      <c r="N2408" s="207" t="str">
        <f t="shared" si="1421"/>
        <v>n/a</v>
      </c>
      <c r="O2408" s="207">
        <f t="shared" si="1422"/>
        <v>0.0006009615385</v>
      </c>
    </row>
    <row r="2409">
      <c r="A2409" s="212">
        <v>228.0</v>
      </c>
      <c r="B2409" s="6" t="str">
        <f>VLOOKUP($A2409, 'Completion rates'!$A:$E, 2, FALSE)</f>
        <v>Killing mithril dragons</v>
      </c>
      <c r="C2409" s="212">
        <v>11351.0</v>
      </c>
      <c r="D2409" s="6" t="str">
        <f>VLOOKUP($C2409, 'List of log slots'!$A:$E, 2, FALSE)</f>
        <v>Ancient page</v>
      </c>
      <c r="E2409" s="207">
        <f>VLOOKUP($C2409, 'List of log slots'!$A:$E, 5, FALSE)</f>
        <v>3</v>
      </c>
      <c r="F2409" s="209" t="b">
        <f>VLOOKUP(C2409, 'List of log slots'!$A:$C, 3, FALSE)</f>
        <v>0</v>
      </c>
      <c r="G2409" s="209" t="b">
        <f t="shared" si="1775"/>
        <v>0</v>
      </c>
      <c r="H2409" s="210" t="b">
        <f t="shared" si="7"/>
        <v>1</v>
      </c>
      <c r="I2409" s="208" t="b">
        <f t="shared" ref="I2409:J2409" si="1944">FALSE</f>
        <v>0</v>
      </c>
      <c r="J2409" s="208" t="b">
        <f t="shared" si="1944"/>
        <v>0</v>
      </c>
      <c r="K2409" s="214">
        <v>1664.0</v>
      </c>
      <c r="L2409" s="207" t="str">
        <f t="shared" si="3"/>
        <v>n/a</v>
      </c>
      <c r="M2409" s="212" t="str">
        <f t="shared" si="4"/>
        <v>n/a</v>
      </c>
      <c r="N2409" s="207" t="str">
        <f t="shared" si="1421"/>
        <v>n/a</v>
      </c>
      <c r="O2409" s="207">
        <f t="shared" si="1422"/>
        <v>0.0006009615385</v>
      </c>
    </row>
    <row r="2410">
      <c r="A2410" s="212">
        <v>228.0</v>
      </c>
      <c r="B2410" s="6" t="str">
        <f>VLOOKUP($A2410, 'Completion rates'!$A:$E, 2, FALSE)</f>
        <v>Killing mithril dragons</v>
      </c>
      <c r="C2410" s="212">
        <v>11352.0</v>
      </c>
      <c r="D2410" s="6" t="str">
        <f>VLOOKUP($C2410, 'List of log slots'!$A:$E, 2, FALSE)</f>
        <v>Ancient page</v>
      </c>
      <c r="E2410" s="207">
        <f>VLOOKUP($C2410, 'List of log slots'!$A:$E, 5, FALSE)</f>
        <v>3</v>
      </c>
      <c r="F2410" s="210" t="b">
        <f>VLOOKUP(C2410, 'List of log slots'!$A:$C, 3, FALSE)</f>
        <v>0</v>
      </c>
      <c r="G2410" s="209" t="b">
        <f t="shared" si="1775"/>
        <v>0</v>
      </c>
      <c r="H2410" s="209" t="b">
        <f t="shared" si="7"/>
        <v>1</v>
      </c>
      <c r="I2410" s="208" t="b">
        <f t="shared" ref="I2410:J2410" si="1945">FALSE</f>
        <v>0</v>
      </c>
      <c r="J2410" s="208" t="b">
        <f t="shared" si="1945"/>
        <v>0</v>
      </c>
      <c r="K2410" s="214">
        <v>1664.0</v>
      </c>
      <c r="L2410" s="207" t="str">
        <f t="shared" si="3"/>
        <v>n/a</v>
      </c>
      <c r="M2410" s="212" t="str">
        <f t="shared" si="4"/>
        <v>n/a</v>
      </c>
      <c r="N2410" s="207" t="str">
        <f t="shared" si="1421"/>
        <v>n/a</v>
      </c>
      <c r="O2410" s="207">
        <f t="shared" si="1422"/>
        <v>0.0006009615385</v>
      </c>
    </row>
    <row r="2411">
      <c r="A2411" s="212">
        <v>228.0</v>
      </c>
      <c r="B2411" s="6" t="str">
        <f>VLOOKUP($A2411, 'Completion rates'!$A:$E, 2, FALSE)</f>
        <v>Killing mithril dragons</v>
      </c>
      <c r="C2411" s="212">
        <v>11353.0</v>
      </c>
      <c r="D2411" s="6" t="str">
        <f>VLOOKUP($C2411, 'List of log slots'!$A:$E, 2, FALSE)</f>
        <v>Ancient page</v>
      </c>
      <c r="E2411" s="207">
        <f>VLOOKUP($C2411, 'List of log slots'!$A:$E, 5, FALSE)</f>
        <v>3</v>
      </c>
      <c r="F2411" s="209" t="b">
        <f>VLOOKUP(C2411, 'List of log slots'!$A:$C, 3, FALSE)</f>
        <v>0</v>
      </c>
      <c r="G2411" s="209" t="b">
        <f t="shared" si="1775"/>
        <v>0</v>
      </c>
      <c r="H2411" s="210" t="b">
        <f t="shared" si="7"/>
        <v>1</v>
      </c>
      <c r="I2411" s="208" t="b">
        <f t="shared" ref="I2411:J2411" si="1946">FALSE</f>
        <v>0</v>
      </c>
      <c r="J2411" s="208" t="b">
        <f t="shared" si="1946"/>
        <v>0</v>
      </c>
      <c r="K2411" s="214">
        <v>1664.0</v>
      </c>
      <c r="L2411" s="207" t="str">
        <f t="shared" si="3"/>
        <v>n/a</v>
      </c>
      <c r="M2411" s="212" t="str">
        <f t="shared" si="4"/>
        <v>n/a</v>
      </c>
      <c r="N2411" s="207" t="str">
        <f t="shared" si="1421"/>
        <v>n/a</v>
      </c>
      <c r="O2411" s="207">
        <f t="shared" si="1422"/>
        <v>0.0006009615385</v>
      </c>
    </row>
    <row r="2412">
      <c r="A2412" s="212">
        <v>228.0</v>
      </c>
      <c r="B2412" s="6" t="str">
        <f>VLOOKUP($A2412, 'Completion rates'!$A:$E, 2, FALSE)</f>
        <v>Killing mithril dragons</v>
      </c>
      <c r="C2412" s="212">
        <v>11354.0</v>
      </c>
      <c r="D2412" s="6" t="str">
        <f>VLOOKUP($C2412, 'List of log slots'!$A:$E, 2, FALSE)</f>
        <v>Ancient page</v>
      </c>
      <c r="E2412" s="207">
        <f>VLOOKUP($C2412, 'List of log slots'!$A:$E, 5, FALSE)</f>
        <v>3</v>
      </c>
      <c r="F2412" s="210" t="b">
        <f>VLOOKUP(C2412, 'List of log slots'!$A:$C, 3, FALSE)</f>
        <v>0</v>
      </c>
      <c r="G2412" s="209" t="b">
        <f t="shared" si="1775"/>
        <v>0</v>
      </c>
      <c r="H2412" s="209" t="b">
        <f t="shared" si="7"/>
        <v>1</v>
      </c>
      <c r="I2412" s="208" t="b">
        <f t="shared" ref="I2412:J2412" si="1947">FALSE</f>
        <v>0</v>
      </c>
      <c r="J2412" s="208" t="b">
        <f t="shared" si="1947"/>
        <v>0</v>
      </c>
      <c r="K2412" s="214">
        <v>1664.0</v>
      </c>
      <c r="L2412" s="207" t="str">
        <f t="shared" si="3"/>
        <v>n/a</v>
      </c>
      <c r="M2412" s="212" t="str">
        <f t="shared" si="4"/>
        <v>n/a</v>
      </c>
      <c r="N2412" s="207" t="str">
        <f t="shared" si="1421"/>
        <v>n/a</v>
      </c>
      <c r="O2412" s="207">
        <f t="shared" si="1422"/>
        <v>0.0006009615385</v>
      </c>
    </row>
    <row r="2413">
      <c r="A2413" s="212">
        <v>228.0</v>
      </c>
      <c r="B2413" s="6" t="str">
        <f>VLOOKUP($A2413, 'Completion rates'!$A:$E, 2, FALSE)</f>
        <v>Killing mithril dragons</v>
      </c>
      <c r="C2413" s="212">
        <v>11355.0</v>
      </c>
      <c r="D2413" s="6" t="str">
        <f>VLOOKUP($C2413, 'List of log slots'!$A:$E, 2, FALSE)</f>
        <v>Ancient page</v>
      </c>
      <c r="E2413" s="207">
        <f>VLOOKUP($C2413, 'List of log slots'!$A:$E, 5, FALSE)</f>
        <v>3</v>
      </c>
      <c r="F2413" s="209" t="b">
        <f>VLOOKUP(C2413, 'List of log slots'!$A:$C, 3, FALSE)</f>
        <v>0</v>
      </c>
      <c r="G2413" s="209" t="b">
        <f t="shared" si="1775"/>
        <v>0</v>
      </c>
      <c r="H2413" s="210" t="b">
        <f t="shared" si="7"/>
        <v>1</v>
      </c>
      <c r="I2413" s="208" t="b">
        <f t="shared" ref="I2413:J2413" si="1948">FALSE</f>
        <v>0</v>
      </c>
      <c r="J2413" s="208" t="b">
        <f t="shared" si="1948"/>
        <v>0</v>
      </c>
      <c r="K2413" s="214">
        <v>1664.0</v>
      </c>
      <c r="L2413" s="207" t="str">
        <f t="shared" si="3"/>
        <v>n/a</v>
      </c>
      <c r="M2413" s="212" t="str">
        <f t="shared" si="4"/>
        <v>n/a</v>
      </c>
      <c r="N2413" s="207" t="str">
        <f t="shared" si="1421"/>
        <v>n/a</v>
      </c>
      <c r="O2413" s="207">
        <f t="shared" si="1422"/>
        <v>0.0006009615385</v>
      </c>
    </row>
    <row r="2414">
      <c r="A2414" s="212">
        <v>228.0</v>
      </c>
      <c r="B2414" s="6" t="str">
        <f>VLOOKUP($A2414, 'Completion rates'!$A:$E, 2, FALSE)</f>
        <v>Killing mithril dragons</v>
      </c>
      <c r="C2414" s="212">
        <v>11356.0</v>
      </c>
      <c r="D2414" s="6" t="str">
        <f>VLOOKUP($C2414, 'List of log slots'!$A:$E, 2, FALSE)</f>
        <v>Ancient page</v>
      </c>
      <c r="E2414" s="207">
        <f>VLOOKUP($C2414, 'List of log slots'!$A:$E, 5, FALSE)</f>
        <v>3</v>
      </c>
      <c r="F2414" s="209" t="b">
        <f>VLOOKUP(C2414, 'List of log slots'!$A:$C, 3, FALSE)</f>
        <v>0</v>
      </c>
      <c r="G2414" s="209" t="b">
        <f t="shared" si="1775"/>
        <v>0</v>
      </c>
      <c r="H2414" s="210" t="b">
        <f t="shared" si="7"/>
        <v>1</v>
      </c>
      <c r="I2414" s="208" t="b">
        <f t="shared" ref="I2414:J2414" si="1949">FALSE</f>
        <v>0</v>
      </c>
      <c r="J2414" s="208" t="b">
        <f t="shared" si="1949"/>
        <v>0</v>
      </c>
      <c r="K2414" s="214">
        <v>1664.0</v>
      </c>
      <c r="L2414" s="207" t="str">
        <f t="shared" si="3"/>
        <v>n/a</v>
      </c>
      <c r="M2414" s="212" t="str">
        <f t="shared" si="4"/>
        <v>n/a</v>
      </c>
      <c r="N2414" s="207" t="str">
        <f t="shared" si="1421"/>
        <v>n/a</v>
      </c>
      <c r="O2414" s="207">
        <f t="shared" si="1422"/>
        <v>0.0006009615385</v>
      </c>
    </row>
    <row r="2415">
      <c r="A2415" s="212">
        <v>228.0</v>
      </c>
      <c r="B2415" s="6" t="str">
        <f>VLOOKUP($A2415, 'Completion rates'!$A:$E, 2, FALSE)</f>
        <v>Killing mithril dragons</v>
      </c>
      <c r="C2415" s="212">
        <v>11357.0</v>
      </c>
      <c r="D2415" s="6" t="str">
        <f>VLOOKUP($C2415, 'List of log slots'!$A:$E, 2, FALSE)</f>
        <v>Ancient page</v>
      </c>
      <c r="E2415" s="207">
        <f>VLOOKUP($C2415, 'List of log slots'!$A:$E, 5, FALSE)</f>
        <v>3</v>
      </c>
      <c r="F2415" s="210" t="b">
        <f>VLOOKUP(C2415, 'List of log slots'!$A:$C, 3, FALSE)</f>
        <v>0</v>
      </c>
      <c r="G2415" s="209" t="b">
        <f t="shared" si="1775"/>
        <v>0</v>
      </c>
      <c r="H2415" s="209" t="b">
        <f t="shared" si="7"/>
        <v>1</v>
      </c>
      <c r="I2415" s="208" t="b">
        <f t="shared" ref="I2415:J2415" si="1950">FALSE</f>
        <v>0</v>
      </c>
      <c r="J2415" s="208" t="b">
        <f t="shared" si="1950"/>
        <v>0</v>
      </c>
      <c r="K2415" s="214">
        <v>1664.0</v>
      </c>
      <c r="L2415" s="207" t="str">
        <f t="shared" si="3"/>
        <v>n/a</v>
      </c>
      <c r="M2415" s="212" t="str">
        <f t="shared" si="4"/>
        <v>n/a</v>
      </c>
      <c r="N2415" s="207" t="str">
        <f t="shared" si="1421"/>
        <v>n/a</v>
      </c>
      <c r="O2415" s="207">
        <f t="shared" si="1422"/>
        <v>0.0006009615385</v>
      </c>
    </row>
    <row r="2416">
      <c r="A2416" s="212">
        <v>228.0</v>
      </c>
      <c r="B2416" s="6" t="str">
        <f>VLOOKUP($A2416, 'Completion rates'!$A:$E, 2, FALSE)</f>
        <v>Killing mithril dragons</v>
      </c>
      <c r="C2416" s="212">
        <v>11358.0</v>
      </c>
      <c r="D2416" s="6" t="str">
        <f>VLOOKUP($C2416, 'List of log slots'!$A:$E, 2, FALSE)</f>
        <v>Ancient page</v>
      </c>
      <c r="E2416" s="207">
        <f>VLOOKUP($C2416, 'List of log slots'!$A:$E, 5, FALSE)</f>
        <v>3</v>
      </c>
      <c r="F2416" s="209" t="b">
        <f>VLOOKUP(C2416, 'List of log slots'!$A:$C, 3, FALSE)</f>
        <v>0</v>
      </c>
      <c r="G2416" s="209" t="b">
        <f t="shared" si="1775"/>
        <v>0</v>
      </c>
      <c r="H2416" s="210" t="b">
        <f t="shared" si="7"/>
        <v>1</v>
      </c>
      <c r="I2416" s="208" t="b">
        <f t="shared" ref="I2416:J2416" si="1951">FALSE</f>
        <v>0</v>
      </c>
      <c r="J2416" s="208" t="b">
        <f t="shared" si="1951"/>
        <v>0</v>
      </c>
      <c r="K2416" s="214">
        <v>1664.0</v>
      </c>
      <c r="L2416" s="207" t="str">
        <f t="shared" si="3"/>
        <v>n/a</v>
      </c>
      <c r="M2416" s="212" t="str">
        <f t="shared" si="4"/>
        <v>n/a</v>
      </c>
      <c r="N2416" s="207" t="str">
        <f t="shared" si="1421"/>
        <v>n/a</v>
      </c>
      <c r="O2416" s="207">
        <f t="shared" si="1422"/>
        <v>0.0006009615385</v>
      </c>
    </row>
    <row r="2417">
      <c r="A2417" s="212">
        <v>228.0</v>
      </c>
      <c r="B2417" s="6" t="str">
        <f>VLOOKUP($A2417, 'Completion rates'!$A:$E, 2, FALSE)</f>
        <v>Killing mithril dragons</v>
      </c>
      <c r="C2417" s="212">
        <v>11359.0</v>
      </c>
      <c r="D2417" s="6" t="str">
        <f>VLOOKUP($C2417, 'List of log slots'!$A:$E, 2, FALSE)</f>
        <v>Ancient page</v>
      </c>
      <c r="E2417" s="207">
        <f>VLOOKUP($C2417, 'List of log slots'!$A:$E, 5, FALSE)</f>
        <v>3</v>
      </c>
      <c r="F2417" s="209" t="b">
        <f>VLOOKUP(C2417, 'List of log slots'!$A:$C, 3, FALSE)</f>
        <v>0</v>
      </c>
      <c r="G2417" s="209" t="b">
        <f t="shared" si="1775"/>
        <v>0</v>
      </c>
      <c r="H2417" s="210" t="b">
        <f t="shared" si="7"/>
        <v>1</v>
      </c>
      <c r="I2417" s="208" t="b">
        <f t="shared" ref="I2417:J2417" si="1952">FALSE</f>
        <v>0</v>
      </c>
      <c r="J2417" s="208" t="b">
        <f t="shared" si="1952"/>
        <v>0</v>
      </c>
      <c r="K2417" s="214">
        <v>1664.0</v>
      </c>
      <c r="L2417" s="207" t="str">
        <f t="shared" si="3"/>
        <v>n/a</v>
      </c>
      <c r="M2417" s="212" t="str">
        <f t="shared" si="4"/>
        <v>n/a</v>
      </c>
      <c r="N2417" s="207" t="str">
        <f t="shared" si="1421"/>
        <v>n/a</v>
      </c>
      <c r="O2417" s="207">
        <f t="shared" si="1422"/>
        <v>0.0006009615385</v>
      </c>
    </row>
    <row r="2418">
      <c r="A2418" s="212">
        <v>228.0</v>
      </c>
      <c r="B2418" s="6" t="str">
        <f>VLOOKUP($A2418, 'Completion rates'!$A:$E, 2, FALSE)</f>
        <v>Killing mithril dragons</v>
      </c>
      <c r="C2418" s="212">
        <v>11360.0</v>
      </c>
      <c r="D2418" s="6" t="str">
        <f>VLOOKUP($C2418, 'List of log slots'!$A:$E, 2, FALSE)</f>
        <v>Ancient page</v>
      </c>
      <c r="E2418" s="207">
        <f>VLOOKUP($C2418, 'List of log slots'!$A:$E, 5, FALSE)</f>
        <v>3</v>
      </c>
      <c r="F2418" s="210" t="b">
        <f>VLOOKUP(C2418, 'List of log slots'!$A:$C, 3, FALSE)</f>
        <v>0</v>
      </c>
      <c r="G2418" s="209" t="b">
        <f t="shared" si="1775"/>
        <v>0</v>
      </c>
      <c r="H2418" s="209" t="b">
        <f t="shared" si="7"/>
        <v>1</v>
      </c>
      <c r="I2418" s="208" t="b">
        <f t="shared" ref="I2418:J2418" si="1953">FALSE</f>
        <v>0</v>
      </c>
      <c r="J2418" s="208" t="b">
        <f t="shared" si="1953"/>
        <v>0</v>
      </c>
      <c r="K2418" s="214">
        <v>1664.0</v>
      </c>
      <c r="L2418" s="207" t="str">
        <f t="shared" si="3"/>
        <v>n/a</v>
      </c>
      <c r="M2418" s="212" t="str">
        <f t="shared" si="4"/>
        <v>n/a</v>
      </c>
      <c r="N2418" s="207" t="str">
        <f t="shared" si="1421"/>
        <v>n/a</v>
      </c>
      <c r="O2418" s="207">
        <f t="shared" si="1422"/>
        <v>0.0006009615385</v>
      </c>
    </row>
    <row r="2419">
      <c r="A2419" s="212">
        <v>228.0</v>
      </c>
      <c r="B2419" s="6" t="str">
        <f>VLOOKUP($A2419, 'Completion rates'!$A:$E, 2, FALSE)</f>
        <v>Killing mithril dragons</v>
      </c>
      <c r="C2419" s="212">
        <v>11361.0</v>
      </c>
      <c r="D2419" s="6" t="str">
        <f>VLOOKUP($C2419, 'List of log slots'!$A:$E, 2, FALSE)</f>
        <v>Ancient page</v>
      </c>
      <c r="E2419" s="207">
        <f>VLOOKUP($C2419, 'List of log slots'!$A:$E, 5, FALSE)</f>
        <v>3</v>
      </c>
      <c r="F2419" s="209" t="b">
        <f>VLOOKUP(C2419, 'List of log slots'!$A:$C, 3, FALSE)</f>
        <v>0</v>
      </c>
      <c r="G2419" s="209" t="b">
        <f t="shared" si="1775"/>
        <v>0</v>
      </c>
      <c r="H2419" s="210" t="b">
        <f t="shared" si="7"/>
        <v>1</v>
      </c>
      <c r="I2419" s="208" t="b">
        <f t="shared" ref="I2419:J2419" si="1954">FALSE</f>
        <v>0</v>
      </c>
      <c r="J2419" s="208" t="b">
        <f t="shared" si="1954"/>
        <v>0</v>
      </c>
      <c r="K2419" s="214">
        <v>1664.0</v>
      </c>
      <c r="L2419" s="207" t="str">
        <f t="shared" si="3"/>
        <v>n/a</v>
      </c>
      <c r="M2419" s="212" t="str">
        <f t="shared" si="4"/>
        <v>n/a</v>
      </c>
      <c r="N2419" s="207" t="str">
        <f t="shared" si="1421"/>
        <v>n/a</v>
      </c>
      <c r="O2419" s="207">
        <f t="shared" si="1422"/>
        <v>0.0006009615385</v>
      </c>
    </row>
    <row r="2420">
      <c r="A2420" s="212">
        <v>228.0</v>
      </c>
      <c r="B2420" s="6" t="str">
        <f>VLOOKUP($A2420, 'Completion rates'!$A:$E, 2, FALSE)</f>
        <v>Killing mithril dragons</v>
      </c>
      <c r="C2420" s="212">
        <v>11362.0</v>
      </c>
      <c r="D2420" s="6" t="str">
        <f>VLOOKUP($C2420, 'List of log slots'!$A:$E, 2, FALSE)</f>
        <v>Ancient page</v>
      </c>
      <c r="E2420" s="207">
        <f>VLOOKUP($C2420, 'List of log slots'!$A:$E, 5, FALSE)</f>
        <v>3</v>
      </c>
      <c r="F2420" s="209" t="b">
        <f>VLOOKUP(C2420, 'List of log slots'!$A:$C, 3, FALSE)</f>
        <v>0</v>
      </c>
      <c r="G2420" s="209" t="b">
        <f t="shared" si="1775"/>
        <v>0</v>
      </c>
      <c r="H2420" s="210" t="b">
        <f t="shared" si="7"/>
        <v>1</v>
      </c>
      <c r="I2420" s="208" t="b">
        <f t="shared" ref="I2420:J2420" si="1955">FALSE</f>
        <v>0</v>
      </c>
      <c r="J2420" s="208" t="b">
        <f t="shared" si="1955"/>
        <v>0</v>
      </c>
      <c r="K2420" s="214">
        <v>1664.0</v>
      </c>
      <c r="L2420" s="207" t="str">
        <f t="shared" si="3"/>
        <v>n/a</v>
      </c>
      <c r="M2420" s="212" t="str">
        <f t="shared" si="4"/>
        <v>n/a</v>
      </c>
      <c r="N2420" s="207" t="str">
        <f t="shared" si="1421"/>
        <v>n/a</v>
      </c>
      <c r="O2420" s="207">
        <f t="shared" si="1422"/>
        <v>0.0006009615385</v>
      </c>
    </row>
    <row r="2421">
      <c r="A2421" s="212">
        <v>228.0</v>
      </c>
      <c r="B2421" s="6" t="str">
        <f>VLOOKUP($A2421, 'Completion rates'!$A:$E, 2, FALSE)</f>
        <v>Killing mithril dragons</v>
      </c>
      <c r="C2421" s="212">
        <v>11363.0</v>
      </c>
      <c r="D2421" s="6" t="str">
        <f>VLOOKUP($C2421, 'List of log slots'!$A:$E, 2, FALSE)</f>
        <v>Ancient page</v>
      </c>
      <c r="E2421" s="207">
        <f>VLOOKUP($C2421, 'List of log slots'!$A:$E, 5, FALSE)</f>
        <v>3</v>
      </c>
      <c r="F2421" s="209" t="b">
        <f>VLOOKUP(C2421, 'List of log slots'!$A:$C, 3, FALSE)</f>
        <v>0</v>
      </c>
      <c r="G2421" s="209" t="b">
        <f t="shared" si="1775"/>
        <v>0</v>
      </c>
      <c r="H2421" s="210" t="b">
        <f t="shared" si="7"/>
        <v>1</v>
      </c>
      <c r="I2421" s="208" t="b">
        <f t="shared" ref="I2421:J2421" si="1956">FALSE</f>
        <v>0</v>
      </c>
      <c r="J2421" s="208" t="b">
        <f t="shared" si="1956"/>
        <v>0</v>
      </c>
      <c r="K2421" s="214">
        <v>1664.0</v>
      </c>
      <c r="L2421" s="207" t="str">
        <f t="shared" si="3"/>
        <v>n/a</v>
      </c>
      <c r="M2421" s="212" t="str">
        <f t="shared" si="4"/>
        <v>n/a</v>
      </c>
      <c r="N2421" s="207" t="str">
        <f t="shared" si="1421"/>
        <v>n/a</v>
      </c>
      <c r="O2421" s="207">
        <f t="shared" si="1422"/>
        <v>0.0006009615385</v>
      </c>
    </row>
    <row r="2422">
      <c r="A2422" s="212">
        <v>228.0</v>
      </c>
      <c r="B2422" s="6" t="str">
        <f>VLOOKUP($A2422, 'Completion rates'!$A:$E, 2, FALSE)</f>
        <v>Killing mithril dragons</v>
      </c>
      <c r="C2422" s="212">
        <v>11364.0</v>
      </c>
      <c r="D2422" s="6" t="str">
        <f>VLOOKUP($C2422, 'List of log slots'!$A:$E, 2, FALSE)</f>
        <v>Ancient page</v>
      </c>
      <c r="E2422" s="207">
        <f>VLOOKUP($C2422, 'List of log slots'!$A:$E, 5, FALSE)</f>
        <v>3</v>
      </c>
      <c r="F2422" s="210" t="b">
        <f>VLOOKUP(C2422, 'List of log slots'!$A:$C, 3, FALSE)</f>
        <v>0</v>
      </c>
      <c r="G2422" s="209" t="b">
        <f t="shared" si="1775"/>
        <v>0</v>
      </c>
      <c r="H2422" s="209" t="b">
        <f t="shared" si="7"/>
        <v>1</v>
      </c>
      <c r="I2422" s="208" t="b">
        <f t="shared" ref="I2422:J2422" si="1957">FALSE</f>
        <v>0</v>
      </c>
      <c r="J2422" s="208" t="b">
        <f t="shared" si="1957"/>
        <v>0</v>
      </c>
      <c r="K2422" s="214">
        <v>1664.0</v>
      </c>
      <c r="L2422" s="207" t="str">
        <f t="shared" si="3"/>
        <v>n/a</v>
      </c>
      <c r="M2422" s="212" t="str">
        <f t="shared" si="4"/>
        <v>n/a</v>
      </c>
      <c r="N2422" s="207" t="str">
        <f t="shared" si="1421"/>
        <v>n/a</v>
      </c>
      <c r="O2422" s="207">
        <f t="shared" si="1422"/>
        <v>0.0006009615385</v>
      </c>
    </row>
    <row r="2423">
      <c r="A2423" s="212">
        <v>228.0</v>
      </c>
      <c r="B2423" s="6" t="str">
        <f>VLOOKUP($A2423, 'Completion rates'!$A:$E, 2, FALSE)</f>
        <v>Killing mithril dragons</v>
      </c>
      <c r="C2423" s="212">
        <v>11365.0</v>
      </c>
      <c r="D2423" s="6" t="str">
        <f>VLOOKUP($C2423, 'List of log slots'!$A:$E, 2, FALSE)</f>
        <v>Ancient page</v>
      </c>
      <c r="E2423" s="207">
        <f>VLOOKUP($C2423, 'List of log slots'!$A:$E, 5, FALSE)</f>
        <v>3</v>
      </c>
      <c r="F2423" s="210" t="b">
        <f>VLOOKUP(C2423, 'List of log slots'!$A:$C, 3, FALSE)</f>
        <v>0</v>
      </c>
      <c r="G2423" s="209" t="b">
        <f t="shared" si="1775"/>
        <v>0</v>
      </c>
      <c r="H2423" s="209" t="b">
        <f t="shared" si="7"/>
        <v>1</v>
      </c>
      <c r="I2423" s="208" t="b">
        <f t="shared" ref="I2423:J2423" si="1958">FALSE</f>
        <v>0</v>
      </c>
      <c r="J2423" s="208" t="b">
        <f t="shared" si="1958"/>
        <v>0</v>
      </c>
      <c r="K2423" s="214">
        <v>1664.0</v>
      </c>
      <c r="L2423" s="207" t="str">
        <f t="shared" si="3"/>
        <v>n/a</v>
      </c>
      <c r="M2423" s="212" t="str">
        <f t="shared" si="4"/>
        <v>n/a</v>
      </c>
      <c r="N2423" s="207" t="str">
        <f t="shared" si="1421"/>
        <v>n/a</v>
      </c>
      <c r="O2423" s="207">
        <f t="shared" si="1422"/>
        <v>0.0006009615385</v>
      </c>
    </row>
    <row r="2424">
      <c r="A2424" s="212">
        <v>228.0</v>
      </c>
      <c r="B2424" s="6" t="str">
        <f>VLOOKUP($A2424, 'Completion rates'!$A:$E, 2, FALSE)</f>
        <v>Killing mithril dragons</v>
      </c>
      <c r="C2424" s="212">
        <v>11366.0</v>
      </c>
      <c r="D2424" s="6" t="str">
        <f>VLOOKUP($C2424, 'List of log slots'!$A:$E, 2, FALSE)</f>
        <v>Ancient page</v>
      </c>
      <c r="E2424" s="207">
        <f>VLOOKUP($C2424, 'List of log slots'!$A:$E, 5, FALSE)</f>
        <v>3</v>
      </c>
      <c r="F2424" s="210" t="b">
        <f>VLOOKUP(C2424, 'List of log slots'!$A:$C, 3, FALSE)</f>
        <v>0</v>
      </c>
      <c r="G2424" s="209" t="b">
        <f t="shared" si="1775"/>
        <v>0</v>
      </c>
      <c r="H2424" s="209" t="b">
        <f t="shared" si="7"/>
        <v>1</v>
      </c>
      <c r="I2424" s="208" t="b">
        <f t="shared" ref="I2424:J2424" si="1959">FALSE</f>
        <v>0</v>
      </c>
      <c r="J2424" s="208" t="b">
        <f t="shared" si="1959"/>
        <v>0</v>
      </c>
      <c r="K2424" s="214">
        <v>1664.0</v>
      </c>
      <c r="L2424" s="207" t="str">
        <f t="shared" si="3"/>
        <v>n/a</v>
      </c>
      <c r="M2424" s="212" t="str">
        <f t="shared" si="4"/>
        <v>n/a</v>
      </c>
      <c r="N2424" s="207" t="str">
        <f t="shared" si="1421"/>
        <v>n/a</v>
      </c>
      <c r="O2424" s="207">
        <f t="shared" si="1422"/>
        <v>0.0006009615385</v>
      </c>
    </row>
    <row r="2425">
      <c r="A2425" s="212">
        <v>229.0</v>
      </c>
      <c r="B2425" s="6" t="str">
        <f>VLOOKUP($A2425, 'Completion rates'!$A:$E, 2, FALSE)</f>
        <v>Killing adamant dragons</v>
      </c>
      <c r="C2425" s="212">
        <v>11286.0</v>
      </c>
      <c r="D2425" s="6" t="str">
        <f>VLOOKUP($C2425, 'List of log slots'!$A:$E, 2, FALSE)</f>
        <v>Draconic visage</v>
      </c>
      <c r="E2425" s="207">
        <f>VLOOKUP($C2425, 'List of log slots'!$A:$E, 5, FALSE)</f>
        <v>6</v>
      </c>
      <c r="F2425" s="209" t="b">
        <f>VLOOKUP(C2425, 'List of log slots'!$A:$C, 3, FALSE)</f>
        <v>0</v>
      </c>
      <c r="G2425" s="209" t="b">
        <f t="shared" si="1775"/>
        <v>0</v>
      </c>
      <c r="H2425" s="210" t="b">
        <f t="shared" si="7"/>
        <v>1</v>
      </c>
      <c r="I2425" s="208" t="b">
        <f t="shared" ref="I2425:J2425" si="1960">FALSE</f>
        <v>0</v>
      </c>
      <c r="J2425" s="208" t="b">
        <f t="shared" si="1960"/>
        <v>0</v>
      </c>
      <c r="K2425" s="214">
        <v>9000.0</v>
      </c>
      <c r="L2425" s="207" t="str">
        <f t="shared" si="3"/>
        <v>n/a</v>
      </c>
      <c r="M2425" s="212" t="str">
        <f t="shared" si="4"/>
        <v>n/a</v>
      </c>
      <c r="N2425" s="207" t="str">
        <f t="shared" si="1421"/>
        <v>n/a</v>
      </c>
      <c r="O2425" s="207">
        <f t="shared" si="1422"/>
        <v>0.0001111111111</v>
      </c>
    </row>
    <row r="2426">
      <c r="A2426" s="212">
        <v>229.0</v>
      </c>
      <c r="B2426" s="6" t="str">
        <f>VLOOKUP($A2426, 'Completion rates'!$A:$E, 2, FALSE)</f>
        <v>Killing adamant dragons</v>
      </c>
      <c r="C2426" s="212">
        <v>2366.0</v>
      </c>
      <c r="D2426" s="6" t="str">
        <f>VLOOKUP($C2426, 'List of log slots'!$A:$E, 2, FALSE)</f>
        <v>Shield left half</v>
      </c>
      <c r="E2426" s="207">
        <f>VLOOKUP($C2426, 'List of log slots'!$A:$E, 5, FALSE)</f>
        <v>5</v>
      </c>
      <c r="F2426" s="210" t="b">
        <f>VLOOKUP(C2426, 'List of log slots'!$A:$C, 3, FALSE)</f>
        <v>0</v>
      </c>
      <c r="G2426" s="209" t="b">
        <f t="shared" si="1775"/>
        <v>0</v>
      </c>
      <c r="H2426" s="209" t="b">
        <f t="shared" si="7"/>
        <v>1</v>
      </c>
      <c r="I2426" s="208" t="b">
        <f t="shared" ref="I2426:J2426" si="1961">FALSE</f>
        <v>0</v>
      </c>
      <c r="J2426" s="208" t="b">
        <f t="shared" si="1961"/>
        <v>0</v>
      </c>
      <c r="K2426" s="214">
        <v>29728.0</v>
      </c>
      <c r="L2426" s="207" t="str">
        <f t="shared" si="3"/>
        <v>n/a</v>
      </c>
      <c r="M2426" s="212" t="str">
        <f t="shared" si="4"/>
        <v>n/a</v>
      </c>
      <c r="N2426" s="207" t="str">
        <f t="shared" si="1421"/>
        <v>n/a</v>
      </c>
      <c r="O2426" s="207">
        <f t="shared" si="1422"/>
        <v>0.00003363832078</v>
      </c>
    </row>
    <row r="2427">
      <c r="A2427" s="212">
        <v>229.0</v>
      </c>
      <c r="B2427" s="6" t="str">
        <f>VLOOKUP($A2427, 'Completion rates'!$A:$E, 2, FALSE)</f>
        <v>Killing adamant dragons</v>
      </c>
      <c r="C2427" s="212">
        <v>22100.0</v>
      </c>
      <c r="D2427" s="6" t="str">
        <f>VLOOKUP($C2427, 'List of log slots'!$A:$E, 2, FALSE)</f>
        <v>Dragon metal slice</v>
      </c>
      <c r="E2427" s="207">
        <f>VLOOKUP($C2427, 'List of log slots'!$A:$E, 5, FALSE)</f>
        <v>7</v>
      </c>
      <c r="F2427" s="209" t="b">
        <f>VLOOKUP(C2427, 'List of log slots'!$A:$C, 3, FALSE)</f>
        <v>0</v>
      </c>
      <c r="G2427" s="209" t="b">
        <f t="shared" si="1775"/>
        <v>0</v>
      </c>
      <c r="H2427" s="210" t="b">
        <f t="shared" si="7"/>
        <v>1</v>
      </c>
      <c r="I2427" s="208" t="b">
        <f t="shared" ref="I2427:J2427" si="1962">FALSE</f>
        <v>0</v>
      </c>
      <c r="J2427" s="208" t="b">
        <f t="shared" si="1962"/>
        <v>0</v>
      </c>
      <c r="K2427" s="214">
        <v>5000.0</v>
      </c>
      <c r="L2427" s="207" t="str">
        <f t="shared" si="3"/>
        <v>n/a</v>
      </c>
      <c r="M2427" s="212" t="str">
        <f t="shared" si="4"/>
        <v>n/a</v>
      </c>
      <c r="N2427" s="207" t="str">
        <f t="shared" si="1421"/>
        <v>n/a</v>
      </c>
      <c r="O2427" s="207">
        <f t="shared" si="1422"/>
        <v>0.0002</v>
      </c>
    </row>
    <row r="2428">
      <c r="A2428" s="212">
        <v>229.0</v>
      </c>
      <c r="B2428" s="6" t="str">
        <f>VLOOKUP($A2428, 'Completion rates'!$A:$E, 2, FALSE)</f>
        <v>Killing adamant dragons</v>
      </c>
      <c r="C2428" s="212">
        <v>21918.0</v>
      </c>
      <c r="D2428" s="6" t="str">
        <f>VLOOKUP($C2428, 'List of log slots'!$A:$E, 2, FALSE)</f>
        <v>Dragon limbs</v>
      </c>
      <c r="E2428" s="207">
        <f>VLOOKUP($C2428, 'List of log slots'!$A:$E, 5, FALSE)</f>
        <v>6</v>
      </c>
      <c r="F2428" s="209" t="b">
        <f>VLOOKUP(C2428, 'List of log slots'!$A:$C, 3, FALSE)</f>
        <v>0</v>
      </c>
      <c r="G2428" s="209" t="b">
        <f t="shared" si="1775"/>
        <v>0</v>
      </c>
      <c r="H2428" s="210" t="b">
        <f t="shared" si="7"/>
        <v>1</v>
      </c>
      <c r="I2428" s="208" t="b">
        <f t="shared" ref="I2428:J2428" si="1963">FALSE</f>
        <v>0</v>
      </c>
      <c r="J2428" s="208" t="b">
        <f t="shared" si="1963"/>
        <v>0</v>
      </c>
      <c r="K2428" s="214">
        <v>1000.0</v>
      </c>
      <c r="L2428" s="207" t="str">
        <f t="shared" si="3"/>
        <v>n/a</v>
      </c>
      <c r="M2428" s="212" t="str">
        <f t="shared" si="4"/>
        <v>n/a</v>
      </c>
      <c r="N2428" s="207" t="str">
        <f t="shared" si="1421"/>
        <v>n/a</v>
      </c>
      <c r="O2428" s="207">
        <f t="shared" si="1422"/>
        <v>0.001</v>
      </c>
    </row>
    <row r="2429">
      <c r="A2429" s="212">
        <v>229.0</v>
      </c>
      <c r="B2429" s="6" t="str">
        <f>VLOOKUP($A2429, 'Completion rates'!$A:$E, 2, FALSE)</f>
        <v>Killing adamant dragons</v>
      </c>
      <c r="C2429" s="212">
        <v>1249.0</v>
      </c>
      <c r="D2429" s="6" t="str">
        <f>VLOOKUP($C2429, 'List of log slots'!$A:$E, 2, FALSE)</f>
        <v>Dragon spear</v>
      </c>
      <c r="E2429" s="207">
        <f>VLOOKUP($C2429, 'List of log slots'!$A:$E, 5, FALSE)</f>
        <v>5</v>
      </c>
      <c r="F2429" s="210" t="b">
        <f>VLOOKUP(C2429, 'List of log slots'!$A:$C, 3, FALSE)</f>
        <v>0</v>
      </c>
      <c r="G2429" s="209" t="b">
        <f t="shared" si="1775"/>
        <v>0</v>
      </c>
      <c r="H2429" s="209" t="b">
        <f t="shared" si="7"/>
        <v>1</v>
      </c>
      <c r="I2429" s="208" t="b">
        <f t="shared" ref="I2429:J2429" si="1964">FALSE</f>
        <v>0</v>
      </c>
      <c r="J2429" s="208" t="b">
        <f t="shared" si="1964"/>
        <v>0</v>
      </c>
      <c r="K2429" s="214">
        <v>39637.0</v>
      </c>
      <c r="L2429" s="207" t="str">
        <f t="shared" si="3"/>
        <v>n/a</v>
      </c>
      <c r="M2429" s="212" t="str">
        <f t="shared" si="4"/>
        <v>n/a</v>
      </c>
      <c r="N2429" s="207" t="str">
        <f t="shared" si="1421"/>
        <v>n/a</v>
      </c>
      <c r="O2429" s="207">
        <f t="shared" si="1422"/>
        <v>0.00002522895275</v>
      </c>
    </row>
    <row r="2430">
      <c r="A2430" s="212">
        <v>230.0</v>
      </c>
      <c r="B2430" s="6" t="str">
        <f>VLOOKUP($A2430, 'Completion rates'!$A:$E, 2, FALSE)</f>
        <v>Killing rune dragons</v>
      </c>
      <c r="C2430" s="212">
        <v>11286.0</v>
      </c>
      <c r="D2430" s="6" t="str">
        <f>VLOOKUP($C2430, 'List of log slots'!$A:$E, 2, FALSE)</f>
        <v>Draconic visage</v>
      </c>
      <c r="E2430" s="207">
        <f>VLOOKUP($C2430, 'List of log slots'!$A:$E, 5, FALSE)</f>
        <v>6</v>
      </c>
      <c r="F2430" s="209" t="b">
        <f>VLOOKUP(C2430, 'List of log slots'!$A:$C, 3, FALSE)</f>
        <v>0</v>
      </c>
      <c r="G2430" s="209" t="b">
        <f t="shared" si="1775"/>
        <v>0</v>
      </c>
      <c r="H2430" s="210" t="b">
        <f t="shared" si="7"/>
        <v>1</v>
      </c>
      <c r="I2430" s="208" t="b">
        <f t="shared" ref="I2430:J2430" si="1965">FALSE</f>
        <v>0</v>
      </c>
      <c r="J2430" s="208" t="b">
        <f t="shared" si="1965"/>
        <v>0</v>
      </c>
      <c r="K2430" s="214">
        <v>8000.0</v>
      </c>
      <c r="L2430" s="207" t="str">
        <f t="shared" si="3"/>
        <v>n/a</v>
      </c>
      <c r="M2430" s="212" t="str">
        <f t="shared" si="4"/>
        <v>n/a</v>
      </c>
      <c r="N2430" s="207" t="str">
        <f t="shared" si="1421"/>
        <v>n/a</v>
      </c>
      <c r="O2430" s="207">
        <f t="shared" si="1422"/>
        <v>0.000125</v>
      </c>
    </row>
    <row r="2431">
      <c r="A2431" s="212">
        <v>230.0</v>
      </c>
      <c r="B2431" s="6" t="str">
        <f>VLOOKUP($A2431, 'Completion rates'!$A:$E, 2, FALSE)</f>
        <v>Killing rune dragons</v>
      </c>
      <c r="C2431" s="212">
        <v>2366.0</v>
      </c>
      <c r="D2431" s="6" t="str">
        <f>VLOOKUP($C2431, 'List of log slots'!$A:$E, 2, FALSE)</f>
        <v>Shield left half</v>
      </c>
      <c r="E2431" s="207">
        <f>VLOOKUP($C2431, 'List of log slots'!$A:$E, 5, FALSE)</f>
        <v>5</v>
      </c>
      <c r="F2431" s="210" t="b">
        <f>VLOOKUP(C2431, 'List of log slots'!$A:$C, 3, FALSE)</f>
        <v>0</v>
      </c>
      <c r="G2431" s="209" t="b">
        <f t="shared" si="1775"/>
        <v>0</v>
      </c>
      <c r="H2431" s="209" t="b">
        <f t="shared" si="7"/>
        <v>1</v>
      </c>
      <c r="I2431" s="208" t="b">
        <f t="shared" ref="I2431:J2431" si="1966">FALSE</f>
        <v>0</v>
      </c>
      <c r="J2431" s="208" t="b">
        <f t="shared" si="1966"/>
        <v>0</v>
      </c>
      <c r="K2431" s="214">
        <v>34322.0</v>
      </c>
      <c r="L2431" s="207" t="str">
        <f t="shared" si="3"/>
        <v>n/a</v>
      </c>
      <c r="M2431" s="212" t="str">
        <f t="shared" si="4"/>
        <v>n/a</v>
      </c>
      <c r="N2431" s="207" t="str">
        <f t="shared" si="1421"/>
        <v>n/a</v>
      </c>
      <c r="O2431" s="207">
        <f t="shared" si="1422"/>
        <v>0.00002913583125</v>
      </c>
    </row>
    <row r="2432">
      <c r="A2432" s="212">
        <v>230.0</v>
      </c>
      <c r="B2432" s="6" t="str">
        <f>VLOOKUP($A2432, 'Completion rates'!$A:$E, 2, FALSE)</f>
        <v>Killing rune dragons</v>
      </c>
      <c r="C2432" s="212">
        <v>22103.0</v>
      </c>
      <c r="D2432" s="6" t="str">
        <f>VLOOKUP($C2432, 'List of log slots'!$A:$E, 2, FALSE)</f>
        <v>Dragon metal lump</v>
      </c>
      <c r="E2432" s="207">
        <f>VLOOKUP($C2432, 'List of log slots'!$A:$E, 5, FALSE)</f>
        <v>7</v>
      </c>
      <c r="F2432" s="209" t="b">
        <f>VLOOKUP(C2432, 'List of log slots'!$A:$C, 3, FALSE)</f>
        <v>0</v>
      </c>
      <c r="G2432" s="209" t="b">
        <f t="shared" si="1775"/>
        <v>0</v>
      </c>
      <c r="H2432" s="210" t="b">
        <f t="shared" si="7"/>
        <v>1</v>
      </c>
      <c r="I2432" s="208" t="b">
        <f t="shared" ref="I2432:J2432" si="1967">FALSE</f>
        <v>0</v>
      </c>
      <c r="J2432" s="208" t="b">
        <f t="shared" si="1967"/>
        <v>0</v>
      </c>
      <c r="K2432" s="214">
        <v>5000.0</v>
      </c>
      <c r="L2432" s="207" t="str">
        <f t="shared" si="3"/>
        <v>n/a</v>
      </c>
      <c r="M2432" s="212" t="str">
        <f t="shared" si="4"/>
        <v>n/a</v>
      </c>
      <c r="N2432" s="207" t="str">
        <f t="shared" si="1421"/>
        <v>n/a</v>
      </c>
      <c r="O2432" s="207">
        <f t="shared" si="1422"/>
        <v>0.0002</v>
      </c>
    </row>
    <row r="2433">
      <c r="A2433" s="212">
        <v>230.0</v>
      </c>
      <c r="B2433" s="6" t="str">
        <f>VLOOKUP($A2433, 'Completion rates'!$A:$E, 2, FALSE)</f>
        <v>Killing rune dragons</v>
      </c>
      <c r="C2433" s="212">
        <v>21918.0</v>
      </c>
      <c r="D2433" s="6" t="str">
        <f>VLOOKUP($C2433, 'List of log slots'!$A:$E, 2, FALSE)</f>
        <v>Dragon limbs</v>
      </c>
      <c r="E2433" s="207">
        <f>VLOOKUP($C2433, 'List of log slots'!$A:$E, 5, FALSE)</f>
        <v>6</v>
      </c>
      <c r="F2433" s="209" t="b">
        <f>VLOOKUP(C2433, 'List of log slots'!$A:$C, 3, FALSE)</f>
        <v>0</v>
      </c>
      <c r="G2433" s="209" t="b">
        <f t="shared" si="1775"/>
        <v>0</v>
      </c>
      <c r="H2433" s="210" t="b">
        <f t="shared" si="7"/>
        <v>1</v>
      </c>
      <c r="I2433" s="208" t="b">
        <f t="shared" ref="I2433:J2433" si="1968">FALSE</f>
        <v>0</v>
      </c>
      <c r="J2433" s="208" t="b">
        <f t="shared" si="1968"/>
        <v>0</v>
      </c>
      <c r="K2433" s="214">
        <v>800.0</v>
      </c>
      <c r="L2433" s="207" t="str">
        <f t="shared" si="3"/>
        <v>n/a</v>
      </c>
      <c r="M2433" s="212" t="str">
        <f t="shared" si="4"/>
        <v>n/a</v>
      </c>
      <c r="N2433" s="207" t="str">
        <f t="shared" si="1421"/>
        <v>n/a</v>
      </c>
      <c r="O2433" s="207">
        <f t="shared" si="1422"/>
        <v>0.00125</v>
      </c>
    </row>
    <row r="2434">
      <c r="A2434" s="212">
        <v>230.0</v>
      </c>
      <c r="B2434" s="6" t="str">
        <f>VLOOKUP($A2434, 'Completion rates'!$A:$E, 2, FALSE)</f>
        <v>Killing rune dragons</v>
      </c>
      <c r="C2434" s="212">
        <v>1249.0</v>
      </c>
      <c r="D2434" s="6" t="str">
        <f>VLOOKUP($C2434, 'List of log slots'!$A:$E, 2, FALSE)</f>
        <v>Dragon spear</v>
      </c>
      <c r="E2434" s="207">
        <f>VLOOKUP($C2434, 'List of log slots'!$A:$E, 5, FALSE)</f>
        <v>5</v>
      </c>
      <c r="F2434" s="210" t="b">
        <f>VLOOKUP(C2434, 'List of log slots'!$A:$C, 3, FALSE)</f>
        <v>0</v>
      </c>
      <c r="G2434" s="209" t="b">
        <f t="shared" si="1775"/>
        <v>0</v>
      </c>
      <c r="H2434" s="209" t="b">
        <f t="shared" si="7"/>
        <v>1</v>
      </c>
      <c r="I2434" s="208" t="b">
        <f t="shared" ref="I2434:J2434" si="1969">FALSE</f>
        <v>0</v>
      </c>
      <c r="J2434" s="208" t="b">
        <f t="shared" si="1969"/>
        <v>0</v>
      </c>
      <c r="K2434" s="214">
        <v>45763.0</v>
      </c>
      <c r="L2434" s="207" t="str">
        <f t="shared" si="3"/>
        <v>n/a</v>
      </c>
      <c r="M2434" s="212" t="str">
        <f t="shared" si="4"/>
        <v>n/a</v>
      </c>
      <c r="N2434" s="207" t="str">
        <f t="shared" si="1421"/>
        <v>n/a</v>
      </c>
      <c r="O2434" s="207">
        <f t="shared" si="1422"/>
        <v>0.00002185171427</v>
      </c>
    </row>
    <row r="2435">
      <c r="A2435" s="212">
        <v>231.0</v>
      </c>
      <c r="B2435" s="6" t="str">
        <f>VLOOKUP($A2435, 'Completion rates'!$A:$E, 2, FALSE)</f>
        <v>Charging glories at the fountain of rune</v>
      </c>
      <c r="C2435" s="212">
        <v>19707.0</v>
      </c>
      <c r="D2435" s="6" t="str">
        <f>VLOOKUP($C2435, 'List of log slots'!$A:$E, 2, FALSE)</f>
        <v>Amulet of eternal glory</v>
      </c>
      <c r="E2435" s="207">
        <f>VLOOKUP($C2435, 'List of log slots'!$A:$E, 5, FALSE)</f>
        <v>8</v>
      </c>
      <c r="F2435" s="209" t="b">
        <f>VLOOKUP(C2435, 'List of log slots'!$A:$C, 3, FALSE)</f>
        <v>0</v>
      </c>
      <c r="G2435" s="209" t="b">
        <f t="shared" si="1775"/>
        <v>0</v>
      </c>
      <c r="H2435" s="210" t="b">
        <f t="shared" si="7"/>
        <v>1</v>
      </c>
      <c r="I2435" s="208" t="b">
        <f t="shared" ref="I2435:J2435" si="1970">FALSE</f>
        <v>0</v>
      </c>
      <c r="J2435" s="208" t="b">
        <f t="shared" si="1970"/>
        <v>0</v>
      </c>
      <c r="K2435" s="214">
        <v>25000.0</v>
      </c>
      <c r="L2435" s="207" t="str">
        <f t="shared" si="3"/>
        <v>n/a</v>
      </c>
      <c r="M2435" s="212" t="str">
        <f t="shared" si="4"/>
        <v>n/a</v>
      </c>
      <c r="N2435" s="207" t="str">
        <f t="shared" si="1421"/>
        <v>n/a</v>
      </c>
      <c r="O2435" s="207">
        <f t="shared" si="1422"/>
        <v>0.00004</v>
      </c>
    </row>
    <row r="2436">
      <c r="A2436" s="212">
        <v>232.0</v>
      </c>
      <c r="B2436" s="6" t="str">
        <f>VLOOKUP($A2436, 'Completion rates'!$A:$E, 2, FALSE)</f>
        <v>Killing ogress shamans</v>
      </c>
      <c r="C2436" s="212">
        <v>10976.0</v>
      </c>
      <c r="D2436" s="6" t="str">
        <f>VLOOKUP($C2436, 'List of log slots'!$A:$E, 2, FALSE)</f>
        <v>Long bone</v>
      </c>
      <c r="E2436" s="207">
        <f>VLOOKUP($C2436, 'List of log slots'!$A:$E, 5, FALSE)</f>
        <v>3</v>
      </c>
      <c r="F2436" s="210" t="b">
        <f>VLOOKUP(C2436, 'List of log slots'!$A:$C, 3, FALSE)</f>
        <v>0</v>
      </c>
      <c r="G2436" s="209" t="b">
        <f t="shared" si="1775"/>
        <v>0</v>
      </c>
      <c r="H2436" s="209" t="b">
        <f t="shared" si="7"/>
        <v>1</v>
      </c>
      <c r="I2436" s="208" t="b">
        <f t="shared" ref="I2436:J2436" si="1971">FALSE</f>
        <v>0</v>
      </c>
      <c r="J2436" s="208" t="b">
        <f t="shared" si="1971"/>
        <v>0</v>
      </c>
      <c r="K2436" s="214">
        <v>400.0</v>
      </c>
      <c r="L2436" s="207" t="str">
        <f t="shared" si="3"/>
        <v>n/a</v>
      </c>
      <c r="M2436" s="212" t="str">
        <f t="shared" si="4"/>
        <v>n/a</v>
      </c>
      <c r="N2436" s="207" t="str">
        <f t="shared" si="1421"/>
        <v>n/a</v>
      </c>
      <c r="O2436" s="207">
        <f t="shared" si="1422"/>
        <v>0.0025</v>
      </c>
    </row>
    <row r="2437">
      <c r="A2437" s="212">
        <v>232.0</v>
      </c>
      <c r="B2437" s="6" t="str">
        <f>VLOOKUP($A2437, 'Completion rates'!$A:$E, 2, FALSE)</f>
        <v>Killing ogress shamans</v>
      </c>
      <c r="C2437" s="212">
        <v>10977.0</v>
      </c>
      <c r="D2437" s="6" t="str">
        <f>VLOOKUP($C2437, 'List of log slots'!$A:$E, 2, FALSE)</f>
        <v>Curved bone</v>
      </c>
      <c r="E2437" s="207">
        <f>VLOOKUP($C2437, 'List of log slots'!$A:$E, 5, FALSE)</f>
        <v>5</v>
      </c>
      <c r="F2437" s="209" t="b">
        <f>VLOOKUP(C2437, 'List of log slots'!$A:$C, 3, FALSE)</f>
        <v>0</v>
      </c>
      <c r="G2437" s="209" t="b">
        <f t="shared" si="1775"/>
        <v>0</v>
      </c>
      <c r="H2437" s="210" t="b">
        <f t="shared" si="7"/>
        <v>1</v>
      </c>
      <c r="I2437" s="208" t="b">
        <f t="shared" ref="I2437:J2437" si="1972">FALSE</f>
        <v>0</v>
      </c>
      <c r="J2437" s="208" t="b">
        <f t="shared" si="1972"/>
        <v>0</v>
      </c>
      <c r="K2437" s="214">
        <v>5013.0</v>
      </c>
      <c r="L2437" s="207" t="str">
        <f t="shared" si="3"/>
        <v>n/a</v>
      </c>
      <c r="M2437" s="212" t="str">
        <f t="shared" si="4"/>
        <v>n/a</v>
      </c>
      <c r="N2437" s="207" t="str">
        <f t="shared" si="1421"/>
        <v>n/a</v>
      </c>
      <c r="O2437" s="207">
        <f t="shared" si="1422"/>
        <v>0.0001994813485</v>
      </c>
    </row>
    <row r="2438">
      <c r="A2438" s="212">
        <v>232.0</v>
      </c>
      <c r="B2438" s="6" t="str">
        <f>VLOOKUP($A2438, 'Completion rates'!$A:$E, 2, FALSE)</f>
        <v>Killing ogress shamans</v>
      </c>
      <c r="C2438" s="212">
        <v>21838.0</v>
      </c>
      <c r="D2438" s="6" t="str">
        <f>VLOOKUP($C2438, 'List of log slots'!$A:$E, 2, FALSE)</f>
        <v>Shaman mask</v>
      </c>
      <c r="E2438" s="207">
        <f>VLOOKUP($C2438, 'List of log slots'!$A:$E, 5, FALSE)</f>
        <v>4</v>
      </c>
      <c r="F2438" s="209" t="b">
        <f>VLOOKUP(C2438, 'List of log slots'!$A:$C, 3, FALSE)</f>
        <v>0</v>
      </c>
      <c r="G2438" s="209" t="b">
        <f t="shared" si="1775"/>
        <v>0</v>
      </c>
      <c r="H2438" s="210" t="b">
        <f t="shared" si="7"/>
        <v>1</v>
      </c>
      <c r="I2438" s="208" t="b">
        <f t="shared" ref="I2438:J2438" si="1973">FALSE</f>
        <v>0</v>
      </c>
      <c r="J2438" s="208" t="b">
        <f t="shared" si="1973"/>
        <v>0</v>
      </c>
      <c r="K2438" s="214">
        <v>1200.0</v>
      </c>
      <c r="L2438" s="207" t="str">
        <f t="shared" si="3"/>
        <v>n/a</v>
      </c>
      <c r="M2438" s="212" t="str">
        <f t="shared" si="4"/>
        <v>n/a</v>
      </c>
      <c r="N2438" s="207" t="str">
        <f t="shared" si="1421"/>
        <v>n/a</v>
      </c>
      <c r="O2438" s="207">
        <f t="shared" si="1422"/>
        <v>0.0008333333333</v>
      </c>
    </row>
    <row r="2439">
      <c r="A2439" s="212">
        <v>233.0</v>
      </c>
      <c r="B2439" s="6" t="str">
        <f>VLOOKUP($A2439, 'Completion rates'!$A:$E, 2, FALSE)</f>
        <v>Collecting unidentified minerals at the mining guild</v>
      </c>
      <c r="C2439" s="212">
        <v>21343.0</v>
      </c>
      <c r="D2439" s="6" t="str">
        <f>VLOOKUP($C2439, 'List of log slots'!$A:$E, 2, FALSE)</f>
        <v>Mining gloves</v>
      </c>
      <c r="E2439" s="207">
        <f>VLOOKUP($C2439, 'List of log slots'!$A:$E, 5, FALSE)</f>
        <v>4</v>
      </c>
      <c r="F2439" s="210" t="b">
        <f>VLOOKUP(C2439, 'List of log slots'!$A:$C, 3, FALSE)</f>
        <v>0</v>
      </c>
      <c r="G2439" s="209" t="b">
        <f t="shared" si="1775"/>
        <v>0</v>
      </c>
      <c r="H2439" s="209" t="b">
        <f t="shared" si="7"/>
        <v>1</v>
      </c>
      <c r="I2439" s="208" t="b">
        <f t="shared" ref="I2439:J2439" si="1974">FALSE</f>
        <v>0</v>
      </c>
      <c r="J2439" s="208" t="b">
        <f t="shared" si="1974"/>
        <v>0</v>
      </c>
      <c r="K2439" s="214">
        <v>40.0</v>
      </c>
      <c r="L2439" s="207" t="str">
        <f t="shared" si="3"/>
        <v>n/a</v>
      </c>
      <c r="M2439" s="212" t="str">
        <f t="shared" si="4"/>
        <v>n/a</v>
      </c>
      <c r="N2439" s="207" t="str">
        <f t="shared" si="1421"/>
        <v>n/a</v>
      </c>
      <c r="O2439" s="207">
        <f t="shared" si="1422"/>
        <v>0.025</v>
      </c>
    </row>
    <row r="2440">
      <c r="A2440" s="212">
        <v>233.0</v>
      </c>
      <c r="B2440" s="6" t="str">
        <f>VLOOKUP($A2440, 'Completion rates'!$A:$E, 2, FALSE)</f>
        <v>Collecting unidentified minerals at the mining guild</v>
      </c>
      <c r="C2440" s="212">
        <v>21345.0</v>
      </c>
      <c r="D2440" s="6" t="str">
        <f>VLOOKUP($C2440, 'List of log slots'!$A:$E, 2, FALSE)</f>
        <v>Superior mining gloves</v>
      </c>
      <c r="E2440" s="207">
        <f>VLOOKUP($C2440, 'List of log slots'!$A:$E, 5, FALSE)</f>
        <v>4</v>
      </c>
      <c r="F2440" s="210" t="b">
        <f>VLOOKUP(C2440, 'List of log slots'!$A:$C, 3, FALSE)</f>
        <v>0</v>
      </c>
      <c r="G2440" s="210" t="b">
        <f t="shared" ref="G2440:G2441" si="1976">TRUE</f>
        <v>1</v>
      </c>
      <c r="H2440" s="209" t="b">
        <f t="shared" si="7"/>
        <v>0</v>
      </c>
      <c r="I2440" s="208" t="b">
        <f t="shared" ref="I2440:J2440" si="1975">FALSE</f>
        <v>0</v>
      </c>
      <c r="J2440" s="208" t="b">
        <f t="shared" si="1975"/>
        <v>0</v>
      </c>
      <c r="K2440" s="214">
        <v>100.0</v>
      </c>
      <c r="L2440" s="207" t="str">
        <f t="shared" si="3"/>
        <v>n/a</v>
      </c>
      <c r="M2440" s="212" t="str">
        <f t="shared" si="4"/>
        <v>n/a</v>
      </c>
      <c r="N2440" s="207" t="str">
        <f t="shared" si="1421"/>
        <v>n/a</v>
      </c>
      <c r="O2440" s="207">
        <f t="shared" si="1422"/>
        <v>0.01</v>
      </c>
    </row>
    <row r="2441">
      <c r="A2441" s="212">
        <v>233.0</v>
      </c>
      <c r="B2441" s="6" t="str">
        <f>VLOOKUP($A2441, 'Completion rates'!$A:$E, 2, FALSE)</f>
        <v>Collecting unidentified minerals at the mining guild</v>
      </c>
      <c r="C2441" s="212">
        <v>21392.0</v>
      </c>
      <c r="D2441" s="6" t="str">
        <f>VLOOKUP($C2441, 'List of log slots'!$A:$E, 2, FALSE)</f>
        <v>Expert mining gloves</v>
      </c>
      <c r="E2441" s="207">
        <f>VLOOKUP($C2441, 'List of log slots'!$A:$E, 5, FALSE)</f>
        <v>4</v>
      </c>
      <c r="F2441" s="210" t="b">
        <f>VLOOKUP(C2441, 'List of log slots'!$A:$C, 3, FALSE)</f>
        <v>0</v>
      </c>
      <c r="G2441" s="210" t="b">
        <f t="shared" si="1976"/>
        <v>1</v>
      </c>
      <c r="H2441" s="209" t="b">
        <f t="shared" si="7"/>
        <v>0</v>
      </c>
      <c r="I2441" s="208" t="b">
        <f t="shared" ref="I2441:J2441" si="1977">FALSE</f>
        <v>0</v>
      </c>
      <c r="J2441" s="208" t="b">
        <f t="shared" si="1977"/>
        <v>0</v>
      </c>
      <c r="K2441" s="214">
        <v>40.0</v>
      </c>
      <c r="L2441" s="207" t="str">
        <f t="shared" si="3"/>
        <v>n/a</v>
      </c>
      <c r="M2441" s="212" t="str">
        <f t="shared" si="4"/>
        <v>n/a</v>
      </c>
      <c r="N2441" s="207" t="str">
        <f t="shared" si="1421"/>
        <v>n/a</v>
      </c>
      <c r="O2441" s="207">
        <f t="shared" si="1422"/>
        <v>0.025</v>
      </c>
    </row>
    <row r="2442">
      <c r="A2442" s="212">
        <v>234.0</v>
      </c>
      <c r="B2442" s="6" t="str">
        <f>VLOOKUP($A2442, 'Completion rates'!$A:$E, 2, FALSE)</f>
        <v>Killing minotaurs (stronghold of security)</v>
      </c>
      <c r="C2442" s="212">
        <v>9007.0</v>
      </c>
      <c r="D2442" s="6" t="str">
        <f>VLOOKUP($C2442, 'List of log slots'!$A:$E, 2, FALSE)</f>
        <v>Right skull half</v>
      </c>
      <c r="E2442" s="207">
        <f>VLOOKUP($C2442, 'List of log slots'!$A:$E, 5, FALSE)</f>
        <v>2</v>
      </c>
      <c r="F2442" s="210" t="b">
        <f>VLOOKUP(C2442, 'List of log slots'!$A:$C, 3, FALSE)</f>
        <v>0</v>
      </c>
      <c r="G2442" s="209" t="b">
        <f t="shared" ref="G2442:G2487" si="1979">FALSE</f>
        <v>0</v>
      </c>
      <c r="H2442" s="209" t="b">
        <f t="shared" si="7"/>
        <v>1</v>
      </c>
      <c r="I2442" s="208" t="b">
        <f t="shared" ref="I2442:J2442" si="1978">FALSE</f>
        <v>0</v>
      </c>
      <c r="J2442" s="208" t="b">
        <f t="shared" si="1978"/>
        <v>0</v>
      </c>
      <c r="K2442" s="214">
        <v>34.0</v>
      </c>
      <c r="L2442" s="207" t="str">
        <f t="shared" si="3"/>
        <v>n/a</v>
      </c>
      <c r="M2442" s="212" t="str">
        <f t="shared" si="4"/>
        <v>n/a</v>
      </c>
      <c r="N2442" s="207" t="str">
        <f t="shared" si="1421"/>
        <v>n/a</v>
      </c>
      <c r="O2442" s="207">
        <f t="shared" si="1422"/>
        <v>0.02941176471</v>
      </c>
    </row>
    <row r="2443">
      <c r="A2443" s="212">
        <v>235.0</v>
      </c>
      <c r="B2443" s="6" t="str">
        <f>VLOOKUP($A2443, 'Completion rates'!$A:$E, 2, FALSE)</f>
        <v>Killing flesh crawlers (stronghold of security)</v>
      </c>
      <c r="C2443" s="212">
        <v>9011.0</v>
      </c>
      <c r="D2443" s="6" t="str">
        <f>VLOOKUP($C2443, 'List of log slots'!$A:$E, 2, FALSE)</f>
        <v>Bottom of sceptre</v>
      </c>
      <c r="E2443" s="207">
        <f>VLOOKUP($C2443, 'List of log slots'!$A:$E, 5, FALSE)</f>
        <v>2</v>
      </c>
      <c r="F2443" s="210" t="b">
        <f>VLOOKUP(C2443, 'List of log slots'!$A:$C, 3, FALSE)</f>
        <v>0</v>
      </c>
      <c r="G2443" s="209" t="b">
        <f t="shared" si="1979"/>
        <v>0</v>
      </c>
      <c r="H2443" s="209" t="b">
        <f t="shared" si="7"/>
        <v>1</v>
      </c>
      <c r="I2443" s="208" t="b">
        <f t="shared" ref="I2443:J2443" si="1980">FALSE</f>
        <v>0</v>
      </c>
      <c r="J2443" s="208" t="b">
        <f t="shared" si="1980"/>
        <v>0</v>
      </c>
      <c r="K2443" s="214">
        <v>34.0</v>
      </c>
      <c r="L2443" s="207" t="str">
        <f t="shared" si="3"/>
        <v>n/a</v>
      </c>
      <c r="M2443" s="212" t="str">
        <f t="shared" si="4"/>
        <v>n/a</v>
      </c>
      <c r="N2443" s="207" t="str">
        <f t="shared" si="1421"/>
        <v>n/a</v>
      </c>
      <c r="O2443" s="207">
        <f t="shared" si="1422"/>
        <v>0.02941176471</v>
      </c>
    </row>
    <row r="2444">
      <c r="A2444" s="212">
        <v>236.0</v>
      </c>
      <c r="B2444" s="6" t="str">
        <f>VLOOKUP($A2444, 'Completion rates'!$A:$E, 2, FALSE)</f>
        <v>Killing catablepons (stronghold of security)</v>
      </c>
      <c r="C2444" s="212">
        <v>9010.0</v>
      </c>
      <c r="D2444" s="6" t="str">
        <f>VLOOKUP($C2444, 'List of log slots'!$A:$E, 2, FALSE)</f>
        <v>Top of sceptre</v>
      </c>
      <c r="E2444" s="207">
        <f>VLOOKUP($C2444, 'List of log slots'!$A:$E, 5, FALSE)</f>
        <v>2</v>
      </c>
      <c r="F2444" s="210" t="b">
        <f>VLOOKUP(C2444, 'List of log slots'!$A:$C, 3, FALSE)</f>
        <v>0</v>
      </c>
      <c r="G2444" s="209" t="b">
        <f t="shared" si="1979"/>
        <v>0</v>
      </c>
      <c r="H2444" s="209" t="b">
        <f t="shared" si="7"/>
        <v>1</v>
      </c>
      <c r="I2444" s="208" t="b">
        <f t="shared" ref="I2444:J2444" si="1981">FALSE</f>
        <v>0</v>
      </c>
      <c r="J2444" s="208" t="b">
        <f t="shared" si="1981"/>
        <v>0</v>
      </c>
      <c r="K2444" s="214">
        <v>34.0</v>
      </c>
      <c r="L2444" s="207" t="str">
        <f t="shared" si="3"/>
        <v>n/a</v>
      </c>
      <c r="M2444" s="212" t="str">
        <f t="shared" si="4"/>
        <v>n/a</v>
      </c>
      <c r="N2444" s="207" t="str">
        <f t="shared" si="1421"/>
        <v>n/a</v>
      </c>
      <c r="O2444" s="207">
        <f t="shared" si="1422"/>
        <v>0.02941176471</v>
      </c>
    </row>
    <row r="2445">
      <c r="A2445" s="212">
        <v>237.0</v>
      </c>
      <c r="B2445" s="6" t="str">
        <f>VLOOKUP($A2445, 'Completion rates'!$A:$E, 2, FALSE)</f>
        <v>Killing ankou (stronghold of security)</v>
      </c>
      <c r="C2445" s="212">
        <v>9008.0</v>
      </c>
      <c r="D2445" s="6" t="str">
        <f>VLOOKUP($C2445, 'List of log slots'!$A:$E, 2, FALSE)</f>
        <v>Left skull half</v>
      </c>
      <c r="E2445" s="207">
        <f>VLOOKUP($C2445, 'List of log slots'!$A:$E, 5, FALSE)</f>
        <v>2</v>
      </c>
      <c r="F2445" s="210" t="b">
        <f>VLOOKUP(C2445, 'List of log slots'!$A:$C, 3, FALSE)</f>
        <v>0</v>
      </c>
      <c r="G2445" s="209" t="b">
        <f t="shared" si="1979"/>
        <v>0</v>
      </c>
      <c r="H2445" s="209" t="b">
        <f t="shared" si="7"/>
        <v>1</v>
      </c>
      <c r="I2445" s="208" t="b">
        <f t="shared" ref="I2445:J2445" si="1982">FALSE</f>
        <v>0</v>
      </c>
      <c r="J2445" s="208" t="b">
        <f t="shared" si="1982"/>
        <v>0</v>
      </c>
      <c r="K2445" s="214">
        <v>34.0</v>
      </c>
      <c r="L2445" s="207" t="str">
        <f t="shared" si="3"/>
        <v>n/a</v>
      </c>
      <c r="M2445" s="212" t="str">
        <f t="shared" si="4"/>
        <v>n/a</v>
      </c>
      <c r="N2445" s="207" t="str">
        <f t="shared" si="1421"/>
        <v>n/a</v>
      </c>
      <c r="O2445" s="207">
        <f t="shared" si="1422"/>
        <v>0.02941176471</v>
      </c>
    </row>
    <row r="2446">
      <c r="A2446" s="212">
        <v>238.0</v>
      </c>
      <c r="B2446" s="6" t="str">
        <f>VLOOKUP($A2446, 'Completion rates'!$A:$E, 2, FALSE)</f>
        <v>Killing moss giants</v>
      </c>
      <c r="C2446" s="212">
        <v>22372.0</v>
      </c>
      <c r="D2446" s="6" t="str">
        <f>VLOOKUP($C2446, 'List of log slots'!$A:$E, 2, FALSE)</f>
        <v>Bryophyta's essence</v>
      </c>
      <c r="E2446" s="207">
        <f>VLOOKUP($C2446, 'List of log slots'!$A:$E, 5, FALSE)</f>
        <v>6</v>
      </c>
      <c r="F2446" s="209" t="b">
        <f>VLOOKUP(C2446, 'List of log slots'!$A:$C, 3, FALSE)</f>
        <v>0</v>
      </c>
      <c r="G2446" s="209" t="b">
        <f t="shared" si="1979"/>
        <v>0</v>
      </c>
      <c r="H2446" s="210" t="b">
        <f t="shared" si="7"/>
        <v>1</v>
      </c>
      <c r="I2446" s="208" t="b">
        <f t="shared" ref="I2446:J2446" si="1983">FALSE</f>
        <v>0</v>
      </c>
      <c r="J2446" s="208" t="b">
        <f t="shared" si="1983"/>
        <v>0</v>
      </c>
      <c r="K2446" s="214">
        <v>11062.0</v>
      </c>
      <c r="L2446" s="207" t="str">
        <f t="shared" si="3"/>
        <v>n/a</v>
      </c>
      <c r="M2446" s="212" t="str">
        <f t="shared" si="4"/>
        <v>n/a</v>
      </c>
      <c r="N2446" s="207" t="str">
        <f t="shared" si="1421"/>
        <v>n/a</v>
      </c>
      <c r="O2446" s="207">
        <f t="shared" si="1422"/>
        <v>0.00009039956608</v>
      </c>
    </row>
    <row r="2447">
      <c r="A2447" s="212">
        <v>238.0</v>
      </c>
      <c r="B2447" s="6" t="str">
        <f>VLOOKUP($A2447, 'Completion rates'!$A:$E, 2, FALSE)</f>
        <v>Killing moss giants</v>
      </c>
      <c r="C2447" s="212">
        <v>6800.0</v>
      </c>
      <c r="D2447" s="6" t="str">
        <f>VLOOKUP($C2447, 'List of log slots'!$A:$E, 2, FALSE)</f>
        <v>Giant champion scroll</v>
      </c>
      <c r="E2447" s="207">
        <f>VLOOKUP($C2447, 'List of log slots'!$A:$E, 5, FALSE)</f>
        <v>5</v>
      </c>
      <c r="F2447" s="209" t="b">
        <f>VLOOKUP(C2447, 'List of log slots'!$A:$C, 3, FALSE)</f>
        <v>0</v>
      </c>
      <c r="G2447" s="209" t="b">
        <f t="shared" si="1979"/>
        <v>0</v>
      </c>
      <c r="H2447" s="210" t="b">
        <f t="shared" si="7"/>
        <v>1</v>
      </c>
      <c r="I2447" s="208" t="b">
        <f t="shared" ref="I2447:J2447" si="1984">FALSE</f>
        <v>0</v>
      </c>
      <c r="J2447" s="208" t="b">
        <f t="shared" si="1984"/>
        <v>0</v>
      </c>
      <c r="K2447" s="214">
        <v>5000.0</v>
      </c>
      <c r="L2447" s="207" t="str">
        <f t="shared" si="3"/>
        <v>n/a</v>
      </c>
      <c r="M2447" s="212" t="str">
        <f t="shared" si="4"/>
        <v>n/a</v>
      </c>
      <c r="N2447" s="207" t="str">
        <f t="shared" si="1421"/>
        <v>n/a</v>
      </c>
      <c r="O2447" s="207">
        <f t="shared" si="1422"/>
        <v>0.0002</v>
      </c>
    </row>
    <row r="2448">
      <c r="A2448" s="212">
        <v>238.0</v>
      </c>
      <c r="B2448" s="6" t="str">
        <f>VLOOKUP($A2448, 'Completion rates'!$A:$E, 2, FALSE)</f>
        <v>Killing moss giants</v>
      </c>
      <c r="C2448" s="212">
        <v>10976.0</v>
      </c>
      <c r="D2448" s="6" t="str">
        <f>VLOOKUP($C2448, 'List of log slots'!$A:$E, 2, FALSE)</f>
        <v>Long bone</v>
      </c>
      <c r="E2448" s="207">
        <f>VLOOKUP($C2448, 'List of log slots'!$A:$E, 5, FALSE)</f>
        <v>3</v>
      </c>
      <c r="F2448" s="210" t="b">
        <f>VLOOKUP(C2448, 'List of log slots'!$A:$C, 3, FALSE)</f>
        <v>0</v>
      </c>
      <c r="G2448" s="209" t="b">
        <f t="shared" si="1979"/>
        <v>0</v>
      </c>
      <c r="H2448" s="209" t="b">
        <f t="shared" si="7"/>
        <v>1</v>
      </c>
      <c r="I2448" s="208" t="b">
        <f t="shared" ref="I2448:J2448" si="1985">FALSE</f>
        <v>0</v>
      </c>
      <c r="J2448" s="208" t="b">
        <f t="shared" si="1985"/>
        <v>0</v>
      </c>
      <c r="K2448" s="214">
        <v>400.0</v>
      </c>
      <c r="L2448" s="207" t="str">
        <f t="shared" si="3"/>
        <v>n/a</v>
      </c>
      <c r="M2448" s="212" t="str">
        <f t="shared" si="4"/>
        <v>n/a</v>
      </c>
      <c r="N2448" s="207" t="str">
        <f t="shared" si="1421"/>
        <v>n/a</v>
      </c>
      <c r="O2448" s="207">
        <f t="shared" si="1422"/>
        <v>0.0025</v>
      </c>
    </row>
    <row r="2449">
      <c r="A2449" s="212">
        <v>238.0</v>
      </c>
      <c r="B2449" s="6" t="str">
        <f>VLOOKUP($A2449, 'Completion rates'!$A:$E, 2, FALSE)</f>
        <v>Killing moss giants</v>
      </c>
      <c r="C2449" s="212">
        <v>10977.0</v>
      </c>
      <c r="D2449" s="6" t="str">
        <f>VLOOKUP($C2449, 'List of log slots'!$A:$E, 2, FALSE)</f>
        <v>Curved bone</v>
      </c>
      <c r="E2449" s="207">
        <f>VLOOKUP($C2449, 'List of log slots'!$A:$E, 5, FALSE)</f>
        <v>5</v>
      </c>
      <c r="F2449" s="209" t="b">
        <f>VLOOKUP(C2449, 'List of log slots'!$A:$C, 3, FALSE)</f>
        <v>0</v>
      </c>
      <c r="G2449" s="209" t="b">
        <f t="shared" si="1979"/>
        <v>0</v>
      </c>
      <c r="H2449" s="210" t="b">
        <f t="shared" si="7"/>
        <v>1</v>
      </c>
      <c r="I2449" s="208" t="b">
        <f t="shared" ref="I2449:J2449" si="1986">FALSE</f>
        <v>0</v>
      </c>
      <c r="J2449" s="208" t="b">
        <f t="shared" si="1986"/>
        <v>0</v>
      </c>
      <c r="K2449" s="214">
        <v>5013.0</v>
      </c>
      <c r="L2449" s="207" t="str">
        <f t="shared" si="3"/>
        <v>n/a</v>
      </c>
      <c r="M2449" s="212" t="str">
        <f t="shared" si="4"/>
        <v>n/a</v>
      </c>
      <c r="N2449" s="207" t="str">
        <f t="shared" si="1421"/>
        <v>n/a</v>
      </c>
      <c r="O2449" s="207">
        <f t="shared" si="1422"/>
        <v>0.0001994813485</v>
      </c>
    </row>
    <row r="2450">
      <c r="A2450" s="212">
        <v>238.0</v>
      </c>
      <c r="B2450" s="6" t="str">
        <f>VLOOKUP($A2450, 'Completion rates'!$A:$E, 2, FALSE)</f>
        <v>Killing moss giants</v>
      </c>
      <c r="C2450" s="212">
        <v>2366.0</v>
      </c>
      <c r="D2450" s="6" t="str">
        <f>VLOOKUP($C2450, 'List of log slots'!$A:$E, 2, FALSE)</f>
        <v>Shield left half</v>
      </c>
      <c r="E2450" s="207">
        <f>VLOOKUP($C2450, 'List of log slots'!$A:$E, 5, FALSE)</f>
        <v>5</v>
      </c>
      <c r="F2450" s="210" t="b">
        <f>VLOOKUP(C2450, 'List of log slots'!$A:$C, 3, FALSE)</f>
        <v>0</v>
      </c>
      <c r="G2450" s="209" t="b">
        <f t="shared" si="1979"/>
        <v>0</v>
      </c>
      <c r="H2450" s="209" t="b">
        <f t="shared" si="7"/>
        <v>1</v>
      </c>
      <c r="I2450" s="208" t="b">
        <f t="shared" ref="I2450:J2450" si="1987">FALSE</f>
        <v>0</v>
      </c>
      <c r="J2450" s="208" t="b">
        <f t="shared" si="1987"/>
        <v>0</v>
      </c>
      <c r="K2450" s="214">
        <v>131072.0</v>
      </c>
      <c r="L2450" s="207" t="str">
        <f t="shared" si="3"/>
        <v>n/a</v>
      </c>
      <c r="M2450" s="212" t="str">
        <f t="shared" si="4"/>
        <v>n/a</v>
      </c>
      <c r="N2450" s="207" t="str">
        <f t="shared" si="1421"/>
        <v>n/a</v>
      </c>
      <c r="O2450" s="207">
        <f t="shared" si="1422"/>
        <v>0.000007629394531</v>
      </c>
    </row>
    <row r="2451">
      <c r="A2451" s="212">
        <v>238.0</v>
      </c>
      <c r="B2451" s="6" t="str">
        <f>VLOOKUP($A2451, 'Completion rates'!$A:$E, 2, FALSE)</f>
        <v>Killing moss giants</v>
      </c>
      <c r="C2451" s="212">
        <v>1249.0</v>
      </c>
      <c r="D2451" s="6" t="str">
        <f>VLOOKUP($C2451, 'List of log slots'!$A:$E, 2, FALSE)</f>
        <v>Dragon spear</v>
      </c>
      <c r="E2451" s="207">
        <f>VLOOKUP($C2451, 'List of log slots'!$A:$E, 5, FALSE)</f>
        <v>5</v>
      </c>
      <c r="F2451" s="210" t="b">
        <f>VLOOKUP(C2451, 'List of log slots'!$A:$C, 3, FALSE)</f>
        <v>0</v>
      </c>
      <c r="G2451" s="209" t="b">
        <f t="shared" si="1979"/>
        <v>0</v>
      </c>
      <c r="H2451" s="209" t="b">
        <f t="shared" si="7"/>
        <v>1</v>
      </c>
      <c r="I2451" s="208" t="b">
        <f t="shared" ref="I2451:J2451" si="1988">FALSE</f>
        <v>0</v>
      </c>
      <c r="J2451" s="208" t="b">
        <f t="shared" si="1988"/>
        <v>0</v>
      </c>
      <c r="K2451" s="214">
        <v>174763.0</v>
      </c>
      <c r="L2451" s="207" t="str">
        <f t="shared" si="3"/>
        <v>n/a</v>
      </c>
      <c r="M2451" s="212" t="str">
        <f t="shared" si="4"/>
        <v>n/a</v>
      </c>
      <c r="N2451" s="207" t="str">
        <f t="shared" si="1421"/>
        <v>n/a</v>
      </c>
      <c r="O2451" s="207">
        <f t="shared" si="1422"/>
        <v>0.000005722034985</v>
      </c>
    </row>
    <row r="2452">
      <c r="A2452" s="212">
        <v>238.0</v>
      </c>
      <c r="B2452" s="6" t="str">
        <f>VLOOKUP($A2452, 'Completion rates'!$A:$E, 2, FALSE)</f>
        <v>Killing moss giants</v>
      </c>
      <c r="C2452" s="212">
        <v>22374.0</v>
      </c>
      <c r="D2452" s="6" t="str">
        <f>VLOOKUP($C2452, 'List of log slots'!$A:$E, 2, FALSE)</f>
        <v>Mossy key</v>
      </c>
      <c r="E2452" s="207">
        <f>VLOOKUP($C2452, 'List of log slots'!$A:$E, 5, FALSE)</f>
        <v>2</v>
      </c>
      <c r="F2452" s="210" t="b">
        <f>VLOOKUP(C2452, 'List of log slots'!$A:$C, 3, FALSE)</f>
        <v>0</v>
      </c>
      <c r="G2452" s="209" t="b">
        <f t="shared" si="1979"/>
        <v>0</v>
      </c>
      <c r="H2452" s="209" t="b">
        <f t="shared" si="7"/>
        <v>1</v>
      </c>
      <c r="I2452" s="208" t="b">
        <f t="shared" ref="I2452:J2452" si="1989">FALSE</f>
        <v>0</v>
      </c>
      <c r="J2452" s="208" t="b">
        <f t="shared" si="1989"/>
        <v>0</v>
      </c>
      <c r="K2452" s="214">
        <v>100.0</v>
      </c>
      <c r="L2452" s="207" t="str">
        <f t="shared" si="3"/>
        <v>n/a</v>
      </c>
      <c r="M2452" s="212" t="str">
        <f t="shared" si="4"/>
        <v>n/a</v>
      </c>
      <c r="N2452" s="207" t="str">
        <f t="shared" si="1421"/>
        <v>n/a</v>
      </c>
      <c r="O2452" s="207">
        <f t="shared" si="1422"/>
        <v>0.01</v>
      </c>
    </row>
    <row r="2453">
      <c r="A2453" s="212">
        <v>239.0</v>
      </c>
      <c r="B2453" s="6" t="str">
        <f>VLOOKUP($A2453, 'Completion rates'!$A:$E, 2, FALSE)</f>
        <v>Killing hill giants</v>
      </c>
      <c r="C2453" s="212">
        <v>20756.0</v>
      </c>
      <c r="D2453" s="6" t="str">
        <f>VLOOKUP($C2453, 'List of log slots'!$A:$E, 2, FALSE)</f>
        <v>Hill giant club</v>
      </c>
      <c r="E2453" s="207">
        <f>VLOOKUP($C2453, 'List of log slots'!$A:$E, 5, FALSE)</f>
        <v>6</v>
      </c>
      <c r="F2453" s="209" t="b">
        <f>VLOOKUP(C2453, 'List of log slots'!$A:$C, 3, FALSE)</f>
        <v>0</v>
      </c>
      <c r="G2453" s="209" t="b">
        <f t="shared" si="1979"/>
        <v>0</v>
      </c>
      <c r="H2453" s="210" t="b">
        <f t="shared" si="7"/>
        <v>1</v>
      </c>
      <c r="I2453" s="208" t="b">
        <f t="shared" ref="I2453:J2453" si="1990">FALSE</f>
        <v>0</v>
      </c>
      <c r="J2453" s="208" t="b">
        <f t="shared" si="1990"/>
        <v>0</v>
      </c>
      <c r="K2453" s="214">
        <v>14160.0</v>
      </c>
      <c r="L2453" s="207" t="str">
        <f t="shared" si="3"/>
        <v>n/a</v>
      </c>
      <c r="M2453" s="212" t="str">
        <f t="shared" si="4"/>
        <v>n/a</v>
      </c>
      <c r="N2453" s="207" t="str">
        <f t="shared" si="1421"/>
        <v>n/a</v>
      </c>
      <c r="O2453" s="207">
        <f t="shared" si="1422"/>
        <v>0.00007062146893</v>
      </c>
    </row>
    <row r="2454">
      <c r="A2454" s="212">
        <v>239.0</v>
      </c>
      <c r="B2454" s="6" t="str">
        <f>VLOOKUP($A2454, 'Completion rates'!$A:$E, 2, FALSE)</f>
        <v>Killing hill giants</v>
      </c>
      <c r="C2454" s="212">
        <v>6800.0</v>
      </c>
      <c r="D2454" s="6" t="str">
        <f>VLOOKUP($C2454, 'List of log slots'!$A:$E, 2, FALSE)</f>
        <v>Giant champion scroll</v>
      </c>
      <c r="E2454" s="207">
        <f>VLOOKUP($C2454, 'List of log slots'!$A:$E, 5, FALSE)</f>
        <v>5</v>
      </c>
      <c r="F2454" s="209" t="b">
        <f>VLOOKUP(C2454, 'List of log slots'!$A:$C, 3, FALSE)</f>
        <v>0</v>
      </c>
      <c r="G2454" s="209" t="b">
        <f t="shared" si="1979"/>
        <v>0</v>
      </c>
      <c r="H2454" s="210" t="b">
        <f t="shared" si="7"/>
        <v>1</v>
      </c>
      <c r="I2454" s="208" t="b">
        <f t="shared" ref="I2454:J2454" si="1991">FALSE</f>
        <v>0</v>
      </c>
      <c r="J2454" s="208" t="b">
        <f t="shared" si="1991"/>
        <v>0</v>
      </c>
      <c r="K2454" s="214">
        <v>5000.0</v>
      </c>
      <c r="L2454" s="207" t="str">
        <f t="shared" si="3"/>
        <v>n/a</v>
      </c>
      <c r="M2454" s="212" t="str">
        <f t="shared" si="4"/>
        <v>n/a</v>
      </c>
      <c r="N2454" s="207" t="str">
        <f t="shared" si="1421"/>
        <v>n/a</v>
      </c>
      <c r="O2454" s="207">
        <f t="shared" si="1422"/>
        <v>0.0002</v>
      </c>
    </row>
    <row r="2455">
      <c r="A2455" s="212">
        <v>239.0</v>
      </c>
      <c r="B2455" s="6" t="str">
        <f>VLOOKUP($A2455, 'Completion rates'!$A:$E, 2, FALSE)</f>
        <v>Killing hill giants</v>
      </c>
      <c r="C2455" s="212">
        <v>10976.0</v>
      </c>
      <c r="D2455" s="6" t="str">
        <f>VLOOKUP($C2455, 'List of log slots'!$A:$E, 2, FALSE)</f>
        <v>Long bone</v>
      </c>
      <c r="E2455" s="207">
        <f>VLOOKUP($C2455, 'List of log slots'!$A:$E, 5, FALSE)</f>
        <v>3</v>
      </c>
      <c r="F2455" s="210" t="b">
        <f>VLOOKUP(C2455, 'List of log slots'!$A:$C, 3, FALSE)</f>
        <v>0</v>
      </c>
      <c r="G2455" s="209" t="b">
        <f t="shared" si="1979"/>
        <v>0</v>
      </c>
      <c r="H2455" s="209" t="b">
        <f t="shared" si="7"/>
        <v>1</v>
      </c>
      <c r="I2455" s="208" t="b">
        <f t="shared" ref="I2455:J2455" si="1992">FALSE</f>
        <v>0</v>
      </c>
      <c r="J2455" s="208" t="b">
        <f t="shared" si="1992"/>
        <v>0</v>
      </c>
      <c r="K2455" s="214">
        <v>400.0</v>
      </c>
      <c r="L2455" s="207" t="str">
        <f t="shared" si="3"/>
        <v>n/a</v>
      </c>
      <c r="M2455" s="212" t="str">
        <f t="shared" si="4"/>
        <v>n/a</v>
      </c>
      <c r="N2455" s="207" t="str">
        <f t="shared" si="1421"/>
        <v>n/a</v>
      </c>
      <c r="O2455" s="207">
        <f t="shared" si="1422"/>
        <v>0.0025</v>
      </c>
    </row>
    <row r="2456">
      <c r="A2456" s="212">
        <v>239.0</v>
      </c>
      <c r="B2456" s="6" t="str">
        <f>VLOOKUP($A2456, 'Completion rates'!$A:$E, 2, FALSE)</f>
        <v>Killing hill giants</v>
      </c>
      <c r="C2456" s="212">
        <v>10977.0</v>
      </c>
      <c r="D2456" s="6" t="str">
        <f>VLOOKUP($C2456, 'List of log slots'!$A:$E, 2, FALSE)</f>
        <v>Curved bone</v>
      </c>
      <c r="E2456" s="207">
        <f>VLOOKUP($C2456, 'List of log slots'!$A:$E, 5, FALSE)</f>
        <v>5</v>
      </c>
      <c r="F2456" s="209" t="b">
        <f>VLOOKUP(C2456, 'List of log slots'!$A:$C, 3, FALSE)</f>
        <v>0</v>
      </c>
      <c r="G2456" s="209" t="b">
        <f t="shared" si="1979"/>
        <v>0</v>
      </c>
      <c r="H2456" s="210" t="b">
        <f t="shared" si="7"/>
        <v>1</v>
      </c>
      <c r="I2456" s="208" t="b">
        <f t="shared" ref="I2456:J2456" si="1993">FALSE</f>
        <v>0</v>
      </c>
      <c r="J2456" s="208" t="b">
        <f t="shared" si="1993"/>
        <v>0</v>
      </c>
      <c r="K2456" s="214">
        <v>5013.0</v>
      </c>
      <c r="L2456" s="207" t="str">
        <f t="shared" si="3"/>
        <v>n/a</v>
      </c>
      <c r="M2456" s="212" t="str">
        <f t="shared" si="4"/>
        <v>n/a</v>
      </c>
      <c r="N2456" s="207" t="str">
        <f t="shared" si="1421"/>
        <v>n/a</v>
      </c>
      <c r="O2456" s="207">
        <f t="shared" si="1422"/>
        <v>0.0001994813485</v>
      </c>
    </row>
    <row r="2457">
      <c r="A2457" s="212">
        <v>239.0</v>
      </c>
      <c r="B2457" s="6" t="str">
        <f>VLOOKUP($A2457, 'Completion rates'!$A:$E, 2, FALSE)</f>
        <v>Killing hill giants</v>
      </c>
      <c r="C2457" s="212">
        <v>2366.0</v>
      </c>
      <c r="D2457" s="6" t="str">
        <f>VLOOKUP($C2457, 'List of log slots'!$A:$E, 2, FALSE)</f>
        <v>Shield left half</v>
      </c>
      <c r="E2457" s="207">
        <f>VLOOKUP($C2457, 'List of log slots'!$A:$E, 5, FALSE)</f>
        <v>5</v>
      </c>
      <c r="F2457" s="210" t="b">
        <f>VLOOKUP(C2457, 'List of log slots'!$A:$C, 3, FALSE)</f>
        <v>0</v>
      </c>
      <c r="G2457" s="209" t="b">
        <f t="shared" si="1979"/>
        <v>0</v>
      </c>
      <c r="H2457" s="209" t="b">
        <f t="shared" si="7"/>
        <v>1</v>
      </c>
      <c r="I2457" s="208" t="b">
        <f t="shared" ref="I2457:J2457" si="1994">FALSE</f>
        <v>0</v>
      </c>
      <c r="J2457" s="208" t="b">
        <f t="shared" si="1994"/>
        <v>0</v>
      </c>
      <c r="K2457" s="214">
        <v>174764.0</v>
      </c>
      <c r="L2457" s="207" t="str">
        <f t="shared" si="3"/>
        <v>n/a</v>
      </c>
      <c r="M2457" s="212" t="str">
        <f t="shared" si="4"/>
        <v>n/a</v>
      </c>
      <c r="N2457" s="207" t="str">
        <f t="shared" si="1421"/>
        <v>n/a</v>
      </c>
      <c r="O2457" s="207">
        <f t="shared" si="1422"/>
        <v>0.000005722002243</v>
      </c>
    </row>
    <row r="2458">
      <c r="A2458" s="212">
        <v>239.0</v>
      </c>
      <c r="B2458" s="6" t="str">
        <f>VLOOKUP($A2458, 'Completion rates'!$A:$E, 2, FALSE)</f>
        <v>Killing hill giants</v>
      </c>
      <c r="C2458" s="212">
        <v>1249.0</v>
      </c>
      <c r="D2458" s="6" t="str">
        <f>VLOOKUP($C2458, 'List of log slots'!$A:$E, 2, FALSE)</f>
        <v>Dragon spear</v>
      </c>
      <c r="E2458" s="207">
        <f>VLOOKUP($C2458, 'List of log slots'!$A:$E, 5, FALSE)</f>
        <v>5</v>
      </c>
      <c r="F2458" s="210" t="b">
        <f>VLOOKUP(C2458, 'List of log slots'!$A:$C, 3, FALSE)</f>
        <v>0</v>
      </c>
      <c r="G2458" s="209" t="b">
        <f t="shared" si="1979"/>
        <v>0</v>
      </c>
      <c r="H2458" s="209" t="b">
        <f t="shared" si="7"/>
        <v>1</v>
      </c>
      <c r="I2458" s="208" t="b">
        <f t="shared" ref="I2458:J2458" si="1995">FALSE</f>
        <v>0</v>
      </c>
      <c r="J2458" s="208" t="b">
        <f t="shared" si="1995"/>
        <v>0</v>
      </c>
      <c r="K2458" s="214">
        <v>233017.0</v>
      </c>
      <c r="L2458" s="207" t="str">
        <f t="shared" si="3"/>
        <v>n/a</v>
      </c>
      <c r="M2458" s="212" t="str">
        <f t="shared" si="4"/>
        <v>n/a</v>
      </c>
      <c r="N2458" s="207" t="str">
        <f t="shared" si="1421"/>
        <v>n/a</v>
      </c>
      <c r="O2458" s="207">
        <f t="shared" si="1422"/>
        <v>0.000004291532377</v>
      </c>
    </row>
    <row r="2459">
      <c r="A2459" s="212">
        <v>239.0</v>
      </c>
      <c r="B2459" s="6" t="str">
        <f>VLOOKUP($A2459, 'Completion rates'!$A:$E, 2, FALSE)</f>
        <v>Killing hill giants</v>
      </c>
      <c r="C2459" s="212">
        <v>20754.0</v>
      </c>
      <c r="D2459" s="6" t="str">
        <f>VLOOKUP($C2459, 'List of log slots'!$A:$E, 2, FALSE)</f>
        <v>Giant key</v>
      </c>
      <c r="E2459" s="207">
        <f>VLOOKUP($C2459, 'List of log slots'!$A:$E, 5, FALSE)</f>
        <v>2</v>
      </c>
      <c r="F2459" s="210" t="b">
        <f>VLOOKUP(C2459, 'List of log slots'!$A:$C, 3, FALSE)</f>
        <v>0</v>
      </c>
      <c r="G2459" s="209" t="b">
        <f t="shared" si="1979"/>
        <v>0</v>
      </c>
      <c r="H2459" s="209" t="b">
        <f t="shared" si="7"/>
        <v>1</v>
      </c>
      <c r="I2459" s="208" t="b">
        <f t="shared" ref="I2459:J2459" si="1996">FALSE</f>
        <v>0</v>
      </c>
      <c r="J2459" s="208" t="b">
        <f t="shared" si="1996"/>
        <v>0</v>
      </c>
      <c r="K2459" s="214">
        <v>128.0</v>
      </c>
      <c r="L2459" s="207" t="str">
        <f t="shared" si="3"/>
        <v>n/a</v>
      </c>
      <c r="M2459" s="212" t="str">
        <f t="shared" si="4"/>
        <v>n/a</v>
      </c>
      <c r="N2459" s="207" t="str">
        <f t="shared" si="1421"/>
        <v>n/a</v>
      </c>
      <c r="O2459" s="207">
        <f t="shared" si="1422"/>
        <v>0.0078125</v>
      </c>
    </row>
    <row r="2460">
      <c r="A2460" s="212">
        <v>240.0</v>
      </c>
      <c r="B2460" s="6" t="str">
        <f>VLOOKUP($A2460, 'Completion rates'!$A:$E, 2, FALSE)</f>
        <v>Killing underwater crabs (level 23)</v>
      </c>
      <c r="C2460" s="212">
        <v>7536.0</v>
      </c>
      <c r="D2460" s="6" t="str">
        <f>VLOOKUP($C2460, 'List of log slots'!$A:$E, 2, FALSE)</f>
        <v>Fresh crab claw</v>
      </c>
      <c r="E2460" s="207">
        <f>VLOOKUP($C2460, 'List of log slots'!$A:$E, 5, FALSE)</f>
        <v>1</v>
      </c>
      <c r="F2460" s="210" t="b">
        <f>VLOOKUP(C2460, 'List of log slots'!$A:$C, 3, FALSE)</f>
        <v>0</v>
      </c>
      <c r="G2460" s="209" t="b">
        <f t="shared" si="1979"/>
        <v>0</v>
      </c>
      <c r="H2460" s="209" t="b">
        <f t="shared" si="7"/>
        <v>1</v>
      </c>
      <c r="I2460" s="208" t="b">
        <f t="shared" ref="I2460:J2460" si="1997">FALSE</f>
        <v>0</v>
      </c>
      <c r="J2460" s="208" t="b">
        <f t="shared" si="1997"/>
        <v>0</v>
      </c>
      <c r="K2460" s="214">
        <v>8.0</v>
      </c>
      <c r="L2460" s="207" t="str">
        <f t="shared" si="3"/>
        <v>n/a</v>
      </c>
      <c r="M2460" s="212" t="str">
        <f t="shared" si="4"/>
        <v>n/a</v>
      </c>
      <c r="N2460" s="207" t="str">
        <f t="shared" si="1421"/>
        <v>n/a</v>
      </c>
      <c r="O2460" s="207">
        <f t="shared" si="1422"/>
        <v>0.125</v>
      </c>
    </row>
    <row r="2461">
      <c r="A2461" s="212">
        <v>240.0</v>
      </c>
      <c r="B2461" s="6" t="str">
        <f>VLOOKUP($A2461, 'Completion rates'!$A:$E, 2, FALSE)</f>
        <v>Killing underwater crabs (level 23)</v>
      </c>
      <c r="C2461" s="212">
        <v>7538.0</v>
      </c>
      <c r="D2461" s="6" t="str">
        <f>VLOOKUP($C2461, 'List of log slots'!$A:$E, 2, FALSE)</f>
        <v>Fresh crab shell</v>
      </c>
      <c r="E2461" s="207">
        <f>VLOOKUP($C2461, 'List of log slots'!$A:$E, 5, FALSE)</f>
        <v>1</v>
      </c>
      <c r="F2461" s="210" t="b">
        <f>VLOOKUP(C2461, 'List of log slots'!$A:$C, 3, FALSE)</f>
        <v>0</v>
      </c>
      <c r="G2461" s="209" t="b">
        <f t="shared" si="1979"/>
        <v>0</v>
      </c>
      <c r="H2461" s="209" t="b">
        <f t="shared" si="7"/>
        <v>1</v>
      </c>
      <c r="I2461" s="208" t="b">
        <f t="shared" ref="I2461:J2461" si="1998">FALSE</f>
        <v>0</v>
      </c>
      <c r="J2461" s="208" t="b">
        <f t="shared" si="1998"/>
        <v>0</v>
      </c>
      <c r="K2461" s="214">
        <v>8.0</v>
      </c>
      <c r="L2461" s="207" t="str">
        <f t="shared" si="3"/>
        <v>n/a</v>
      </c>
      <c r="M2461" s="212" t="str">
        <f t="shared" si="4"/>
        <v>n/a</v>
      </c>
      <c r="N2461" s="207" t="str">
        <f t="shared" si="1421"/>
        <v>n/a</v>
      </c>
      <c r="O2461" s="207">
        <f t="shared" si="1422"/>
        <v>0.125</v>
      </c>
    </row>
    <row r="2462">
      <c r="A2462" s="212">
        <v>241.0</v>
      </c>
      <c r="B2462" s="6" t="str">
        <f>VLOOKUP($A2462, 'Completion rates'!$A:$E, 2, FALSE)</f>
        <v>Killing undead druids</v>
      </c>
      <c r="C2462" s="212">
        <v>6807.0</v>
      </c>
      <c r="D2462" s="6" t="str">
        <f>VLOOKUP($C2462, 'List of log slots'!$A:$E, 2, FALSE)</f>
        <v>Zombie champion scroll</v>
      </c>
      <c r="E2462" s="207">
        <f>VLOOKUP($C2462, 'List of log slots'!$A:$E, 5, FALSE)</f>
        <v>5</v>
      </c>
      <c r="F2462" s="209" t="b">
        <f>VLOOKUP(C2462, 'List of log slots'!$A:$C, 3, FALSE)</f>
        <v>0</v>
      </c>
      <c r="G2462" s="209" t="b">
        <f t="shared" si="1979"/>
        <v>0</v>
      </c>
      <c r="H2462" s="210" t="b">
        <f t="shared" si="7"/>
        <v>1</v>
      </c>
      <c r="I2462" s="208" t="b">
        <f t="shared" ref="I2462:J2462" si="1999">FALSE</f>
        <v>0</v>
      </c>
      <c r="J2462" s="208" t="b">
        <f t="shared" si="1999"/>
        <v>0</v>
      </c>
      <c r="K2462" s="214">
        <v>5000.0</v>
      </c>
      <c r="L2462" s="207" t="str">
        <f t="shared" si="3"/>
        <v>n/a</v>
      </c>
      <c r="M2462" s="212" t="str">
        <f t="shared" si="4"/>
        <v>n/a</v>
      </c>
      <c r="N2462" s="207" t="str">
        <f t="shared" si="1421"/>
        <v>n/a</v>
      </c>
      <c r="O2462" s="207">
        <f t="shared" si="1422"/>
        <v>0.0002</v>
      </c>
    </row>
    <row r="2463">
      <c r="A2463" s="212">
        <v>241.0</v>
      </c>
      <c r="B2463" s="6" t="str">
        <f>VLOOKUP($A2463, 'Completion rates'!$A:$E, 2, FALSE)</f>
        <v>Killing undead druids</v>
      </c>
      <c r="C2463" s="212">
        <v>23522.0</v>
      </c>
      <c r="D2463" s="6" t="str">
        <f>VLOOKUP($C2463, 'List of log slots'!$A:$E, 2, FALSE)</f>
        <v>Mask of ranul</v>
      </c>
      <c r="E2463" s="207">
        <f>VLOOKUP($C2463, 'List of log slots'!$A:$E, 5, FALSE)</f>
        <v>4</v>
      </c>
      <c r="F2463" s="209" t="b">
        <f>VLOOKUP(C2463, 'List of log slots'!$A:$C, 3, FALSE)</f>
        <v>0</v>
      </c>
      <c r="G2463" s="209" t="b">
        <f t="shared" si="1979"/>
        <v>0</v>
      </c>
      <c r="H2463" s="210" t="b">
        <f t="shared" si="7"/>
        <v>1</v>
      </c>
      <c r="I2463" s="208" t="b">
        <f t="shared" ref="I2463:J2463" si="2000">FALSE</f>
        <v>0</v>
      </c>
      <c r="J2463" s="208" t="b">
        <f t="shared" si="2000"/>
        <v>0</v>
      </c>
      <c r="K2463" s="214">
        <v>1000.0</v>
      </c>
      <c r="L2463" s="207" t="str">
        <f t="shared" si="3"/>
        <v>n/a</v>
      </c>
      <c r="M2463" s="212" t="str">
        <f t="shared" si="4"/>
        <v>n/a</v>
      </c>
      <c r="N2463" s="207" t="str">
        <f t="shared" si="1421"/>
        <v>n/a</v>
      </c>
      <c r="O2463" s="207">
        <f t="shared" si="1422"/>
        <v>0.001</v>
      </c>
    </row>
    <row r="2464">
      <c r="A2464" s="212">
        <v>241.0</v>
      </c>
      <c r="B2464" s="6" t="str">
        <f>VLOOKUP($A2464, 'Completion rates'!$A:$E, 2, FALSE)</f>
        <v>Killing undead druids</v>
      </c>
      <c r="C2464" s="212">
        <v>25844.0</v>
      </c>
      <c r="D2464" s="6" t="str">
        <f>VLOOKUP($C2464, 'List of log slots'!$A:$E, 2, FALSE)</f>
        <v>Orange egg sac</v>
      </c>
      <c r="E2464" s="207">
        <f>VLOOKUP($C2464, 'List of log slots'!$A:$E, 5, FALSE)</f>
        <v>5</v>
      </c>
      <c r="F2464" s="210" t="b">
        <f>VLOOKUP(C2464, 'List of log slots'!$A:$C, 3, FALSE)</f>
        <v>0</v>
      </c>
      <c r="G2464" s="209" t="b">
        <f t="shared" si="1979"/>
        <v>0</v>
      </c>
      <c r="H2464" s="209" t="b">
        <f t="shared" si="7"/>
        <v>1</v>
      </c>
      <c r="I2464" s="208" t="b">
        <f t="shared" ref="I2464:J2464" si="2001">FALSE</f>
        <v>0</v>
      </c>
      <c r="J2464" s="208" t="b">
        <f t="shared" si="2001"/>
        <v>0</v>
      </c>
      <c r="K2464" s="214">
        <v>1875.0</v>
      </c>
      <c r="L2464" s="207" t="str">
        <f t="shared" si="3"/>
        <v>n/a</v>
      </c>
      <c r="M2464" s="212" t="str">
        <f t="shared" si="4"/>
        <v>n/a</v>
      </c>
      <c r="N2464" s="207" t="str">
        <f t="shared" si="1421"/>
        <v>n/a</v>
      </c>
      <c r="O2464" s="207">
        <f t="shared" si="1422"/>
        <v>0.0005333333333</v>
      </c>
    </row>
    <row r="2465">
      <c r="A2465" s="212">
        <v>241.0</v>
      </c>
      <c r="B2465" s="6" t="str">
        <f>VLOOKUP($A2465, 'Completion rates'!$A:$E, 2, FALSE)</f>
        <v>Killing undead druids</v>
      </c>
      <c r="C2465" s="212">
        <v>25846.0</v>
      </c>
      <c r="D2465" s="6" t="str">
        <f>VLOOKUP($C2465, 'List of log slots'!$A:$E, 2, FALSE)</f>
        <v>Blue egg sac</v>
      </c>
      <c r="E2465" s="207">
        <f>VLOOKUP($C2465, 'List of log slots'!$A:$E, 5, FALSE)</f>
        <v>5</v>
      </c>
      <c r="F2465" s="210" t="b">
        <f>VLOOKUP(C2465, 'List of log slots'!$A:$C, 3, FALSE)</f>
        <v>0</v>
      </c>
      <c r="G2465" s="209" t="b">
        <f t="shared" si="1979"/>
        <v>0</v>
      </c>
      <c r="H2465" s="209" t="b">
        <f t="shared" si="7"/>
        <v>1</v>
      </c>
      <c r="I2465" s="208" t="b">
        <f t="shared" ref="I2465:J2465" si="2002">FALSE</f>
        <v>0</v>
      </c>
      <c r="J2465" s="208" t="b">
        <f t="shared" si="2002"/>
        <v>0</v>
      </c>
      <c r="K2465" s="214">
        <v>1875.0</v>
      </c>
      <c r="L2465" s="207" t="str">
        <f t="shared" si="3"/>
        <v>n/a</v>
      </c>
      <c r="M2465" s="212" t="str">
        <f t="shared" si="4"/>
        <v>n/a</v>
      </c>
      <c r="N2465" s="207" t="str">
        <f t="shared" si="1421"/>
        <v>n/a</v>
      </c>
      <c r="O2465" s="207">
        <f t="shared" si="1422"/>
        <v>0.0005333333333</v>
      </c>
    </row>
    <row r="2466">
      <c r="A2466" s="212">
        <v>242.0</v>
      </c>
      <c r="B2466" s="6" t="str">
        <f>VLOOKUP($A2466, 'Completion rates'!$A:$E, 2, FALSE)</f>
        <v>Looting crystal implings</v>
      </c>
      <c r="C2466" s="212">
        <v>23943.0</v>
      </c>
      <c r="D2466" s="6" t="str">
        <f>VLOOKUP($C2466, 'List of log slots'!$A:$E, 2, FALSE)</f>
        <v>Elven signet</v>
      </c>
      <c r="E2466" s="207">
        <f>VLOOKUP($C2466, 'List of log slots'!$A:$E, 5, FALSE)</f>
        <v>4</v>
      </c>
      <c r="F2466" s="210" t="b">
        <f>VLOOKUP(C2466, 'List of log slots'!$A:$C, 3, FALSE)</f>
        <v>0</v>
      </c>
      <c r="G2466" s="209" t="b">
        <f t="shared" si="1979"/>
        <v>0</v>
      </c>
      <c r="H2466" s="209" t="b">
        <f t="shared" si="7"/>
        <v>1</v>
      </c>
      <c r="I2466" s="208" t="b">
        <f t="shared" ref="I2466:J2466" si="2003">FALSE</f>
        <v>0</v>
      </c>
      <c r="J2466" s="208" t="b">
        <f t="shared" si="2003"/>
        <v>0</v>
      </c>
      <c r="K2466" s="214">
        <v>128.0</v>
      </c>
      <c r="L2466" s="207" t="str">
        <f t="shared" si="3"/>
        <v>n/a</v>
      </c>
      <c r="M2466" s="212" t="str">
        <f t="shared" si="4"/>
        <v>n/a</v>
      </c>
      <c r="N2466" s="207" t="str">
        <f t="shared" si="1421"/>
        <v>n/a</v>
      </c>
      <c r="O2466" s="207">
        <f t="shared" si="1422"/>
        <v>0.0078125</v>
      </c>
    </row>
    <row r="2467">
      <c r="A2467" s="212">
        <v>243.0</v>
      </c>
      <c r="B2467" s="6" t="str">
        <f>VLOOKUP($A2467, 'Completion rates'!$A:$E, 2, FALSE)</f>
        <v>Killing the prifddinas rabbit</v>
      </c>
      <c r="C2467" s="212">
        <v>24000.0</v>
      </c>
      <c r="D2467" s="6" t="str">
        <f>VLOOKUP($C2467, 'List of log slots'!$A:$E, 2, FALSE)</f>
        <v>Crystal grail</v>
      </c>
      <c r="E2467" s="207">
        <f>VLOOKUP($C2467, 'List of log slots'!$A:$E, 5, FALSE)</f>
        <v>4</v>
      </c>
      <c r="F2467" s="209" t="b">
        <f>VLOOKUP(C2467, 'List of log slots'!$A:$C, 3, FALSE)</f>
        <v>0</v>
      </c>
      <c r="G2467" s="209" t="b">
        <f t="shared" si="1979"/>
        <v>0</v>
      </c>
      <c r="H2467" s="210" t="b">
        <f t="shared" si="7"/>
        <v>1</v>
      </c>
      <c r="I2467" s="213" t="b">
        <f>TRUE</f>
        <v>1</v>
      </c>
      <c r="J2467" s="208" t="b">
        <f>FALSE</f>
        <v>0</v>
      </c>
      <c r="K2467" s="214">
        <v>1.0</v>
      </c>
      <c r="L2467" s="207" t="str">
        <f t="shared" si="3"/>
        <v>n/a</v>
      </c>
      <c r="M2467" s="212">
        <f t="shared" si="4"/>
        <v>1</v>
      </c>
      <c r="N2467" s="207" t="str">
        <f t="shared" si="1421"/>
        <v>n/a</v>
      </c>
      <c r="O2467" s="207" t="str">
        <f t="shared" si="1422"/>
        <v>n/a</v>
      </c>
    </row>
    <row r="2468">
      <c r="A2468" s="212">
        <v>244.0</v>
      </c>
      <c r="B2468" s="6" t="str">
        <f>VLOOKUP($A2468, 'Completion rates'!$A:$E, 2, FALSE)</f>
        <v>Pickpocketing from prifddinas elves</v>
      </c>
      <c r="C2468" s="212">
        <v>23959.0</v>
      </c>
      <c r="D2468" s="6" t="str">
        <f>VLOOKUP($C2468, 'List of log slots'!$A:$E, 2, FALSE)</f>
        <v>Enhanced crystal teleport seed</v>
      </c>
      <c r="E2468" s="207">
        <f>VLOOKUP($C2468, 'List of log slots'!$A:$E, 5, FALSE)</f>
        <v>5</v>
      </c>
      <c r="F2468" s="209" t="b">
        <f>VLOOKUP(C2468, 'List of log slots'!$A:$C, 3, FALSE)</f>
        <v>0</v>
      </c>
      <c r="G2468" s="209" t="b">
        <f t="shared" si="1979"/>
        <v>0</v>
      </c>
      <c r="H2468" s="210" t="b">
        <f t="shared" si="7"/>
        <v>1</v>
      </c>
      <c r="I2468" s="208" t="b">
        <f t="shared" ref="I2468:J2468" si="2004">FALSE</f>
        <v>0</v>
      </c>
      <c r="J2468" s="208" t="b">
        <f t="shared" si="2004"/>
        <v>0</v>
      </c>
      <c r="K2468" s="214">
        <v>1024.0</v>
      </c>
      <c r="L2468" s="207" t="str">
        <f t="shared" si="3"/>
        <v>n/a</v>
      </c>
      <c r="M2468" s="212" t="str">
        <f t="shared" si="4"/>
        <v>n/a</v>
      </c>
      <c r="N2468" s="207" t="str">
        <f t="shared" si="1421"/>
        <v>n/a</v>
      </c>
      <c r="O2468" s="207">
        <f t="shared" si="1422"/>
        <v>0.0009765625</v>
      </c>
    </row>
    <row r="2469">
      <c r="A2469" s="212">
        <v>245.0</v>
      </c>
      <c r="B2469" s="6" t="str">
        <f>VLOOKUP($A2469, 'Completion rates'!$A:$E, 2, FALSE)</f>
        <v>Killing elves (prifddinas)</v>
      </c>
      <c r="C2469" s="212">
        <v>23959.0</v>
      </c>
      <c r="D2469" s="6" t="str">
        <f>VLOOKUP($C2469, 'List of log slots'!$A:$E, 2, FALSE)</f>
        <v>Enhanced crystal teleport seed</v>
      </c>
      <c r="E2469" s="207">
        <f>VLOOKUP($C2469, 'List of log slots'!$A:$E, 5, FALSE)</f>
        <v>5</v>
      </c>
      <c r="F2469" s="209" t="b">
        <f>VLOOKUP(C2469, 'List of log slots'!$A:$C, 3, FALSE)</f>
        <v>0</v>
      </c>
      <c r="G2469" s="209" t="b">
        <f t="shared" si="1979"/>
        <v>0</v>
      </c>
      <c r="H2469" s="210" t="b">
        <f t="shared" si="7"/>
        <v>1</v>
      </c>
      <c r="I2469" s="208" t="b">
        <f t="shared" ref="I2469:J2469" si="2005">FALSE</f>
        <v>0</v>
      </c>
      <c r="J2469" s="208" t="b">
        <f t="shared" si="2005"/>
        <v>0</v>
      </c>
      <c r="K2469" s="214">
        <v>1024.0</v>
      </c>
      <c r="L2469" s="207" t="str">
        <f t="shared" si="3"/>
        <v>n/a</v>
      </c>
      <c r="M2469" s="212" t="str">
        <f t="shared" si="4"/>
        <v>n/a</v>
      </c>
      <c r="N2469" s="207" t="str">
        <f t="shared" si="1421"/>
        <v>n/a</v>
      </c>
      <c r="O2469" s="207">
        <f t="shared" si="1422"/>
        <v>0.0009765625</v>
      </c>
    </row>
    <row r="2470">
      <c r="A2470" s="212">
        <v>246.0</v>
      </c>
      <c r="B2470" s="6" t="str">
        <f>VLOOKUP($A2470, 'Completion rates'!$A:$E, 2, FALSE)</f>
        <v>Opening the elven crystal chest</v>
      </c>
      <c r="C2470" s="212">
        <v>6571.0</v>
      </c>
      <c r="D2470" s="6" t="str">
        <f>VLOOKUP($C2470, 'List of log slots'!$A:$E, 2, FALSE)</f>
        <v>Uncut onyx</v>
      </c>
      <c r="E2470" s="207">
        <f>VLOOKUP($C2470, 'List of log slots'!$A:$E, 5, FALSE)</f>
        <v>6</v>
      </c>
      <c r="F2470" s="210" t="b">
        <f>VLOOKUP(C2470, 'List of log slots'!$A:$C, 3, FALSE)</f>
        <v>0</v>
      </c>
      <c r="G2470" s="209" t="b">
        <f t="shared" si="1979"/>
        <v>0</v>
      </c>
      <c r="H2470" s="209" t="b">
        <f t="shared" si="7"/>
        <v>1</v>
      </c>
      <c r="I2470" s="208" t="b">
        <f t="shared" ref="I2470:J2470" si="2006">FALSE</f>
        <v>0</v>
      </c>
      <c r="J2470" s="208" t="b">
        <f t="shared" si="2006"/>
        <v>0</v>
      </c>
      <c r="K2470" s="214">
        <v>10000.0</v>
      </c>
      <c r="L2470" s="207" t="str">
        <f t="shared" si="3"/>
        <v>n/a</v>
      </c>
      <c r="M2470" s="212" t="str">
        <f t="shared" si="4"/>
        <v>n/a</v>
      </c>
      <c r="N2470" s="207" t="str">
        <f t="shared" si="1421"/>
        <v>n/a</v>
      </c>
      <c r="O2470" s="207">
        <f t="shared" si="1422"/>
        <v>0.0001</v>
      </c>
    </row>
    <row r="2471">
      <c r="A2471" s="212">
        <v>246.0</v>
      </c>
      <c r="B2471" s="6" t="str">
        <f>VLOOKUP($A2471, 'Completion rates'!$A:$E, 2, FALSE)</f>
        <v>Opening the elven crystal chest</v>
      </c>
      <c r="C2471" s="212">
        <v>2366.0</v>
      </c>
      <c r="D2471" s="6" t="str">
        <f>VLOOKUP($C2471, 'List of log slots'!$A:$E, 2, FALSE)</f>
        <v>Shield left half</v>
      </c>
      <c r="E2471" s="207">
        <f>VLOOKUP($C2471, 'List of log slots'!$A:$E, 5, FALSE)</f>
        <v>5</v>
      </c>
      <c r="F2471" s="210" t="b">
        <f>VLOOKUP(C2471, 'List of log slots'!$A:$C, 3, FALSE)</f>
        <v>0</v>
      </c>
      <c r="G2471" s="209" t="b">
        <f t="shared" si="1979"/>
        <v>0</v>
      </c>
      <c r="H2471" s="209" t="b">
        <f t="shared" si="7"/>
        <v>1</v>
      </c>
      <c r="I2471" s="208" t="b">
        <f t="shared" ref="I2471:J2471" si="2007">FALSE</f>
        <v>0</v>
      </c>
      <c r="J2471" s="208" t="b">
        <f t="shared" si="2007"/>
        <v>0</v>
      </c>
      <c r="K2471" s="214">
        <v>256.0</v>
      </c>
      <c r="L2471" s="207" t="str">
        <f t="shared" si="3"/>
        <v>n/a</v>
      </c>
      <c r="M2471" s="212" t="str">
        <f t="shared" si="4"/>
        <v>n/a</v>
      </c>
      <c r="N2471" s="207" t="str">
        <f t="shared" si="1421"/>
        <v>n/a</v>
      </c>
      <c r="O2471" s="207">
        <f t="shared" si="1422"/>
        <v>0.00390625</v>
      </c>
    </row>
    <row r="2472">
      <c r="A2472" s="212">
        <v>246.0</v>
      </c>
      <c r="B2472" s="6" t="str">
        <f>VLOOKUP($A2472, 'Completion rates'!$A:$E, 2, FALSE)</f>
        <v>Opening the elven crystal chest</v>
      </c>
      <c r="C2472" s="212">
        <v>24034.0</v>
      </c>
      <c r="D2472" s="6" t="str">
        <f>VLOOKUP($C2472, 'List of log slots'!$A:$E, 2, FALSE)</f>
        <v>Dragonstone full helm</v>
      </c>
      <c r="E2472" s="207">
        <f>VLOOKUP($C2472, 'List of log slots'!$A:$E, 5, FALSE)</f>
        <v>9</v>
      </c>
      <c r="F2472" s="209" t="b">
        <f>VLOOKUP(C2472, 'List of log slots'!$A:$C, 3, FALSE)</f>
        <v>0</v>
      </c>
      <c r="G2472" s="209" t="b">
        <f t="shared" si="1979"/>
        <v>0</v>
      </c>
      <c r="H2472" s="210" t="b">
        <f t="shared" si="7"/>
        <v>1</v>
      </c>
      <c r="I2472" s="208" t="b">
        <f t="shared" ref="I2472:J2472" si="2008">FALSE</f>
        <v>0</v>
      </c>
      <c r="J2472" s="208" t="b">
        <f t="shared" si="2008"/>
        <v>0</v>
      </c>
      <c r="K2472" s="214">
        <v>2500.0</v>
      </c>
      <c r="L2472" s="207" t="str">
        <f t="shared" si="3"/>
        <v>n/a</v>
      </c>
      <c r="M2472" s="212" t="str">
        <f t="shared" si="4"/>
        <v>n/a</v>
      </c>
      <c r="N2472" s="207" t="str">
        <f t="shared" si="1421"/>
        <v>n/a</v>
      </c>
      <c r="O2472" s="207">
        <f t="shared" si="1422"/>
        <v>0.0004</v>
      </c>
    </row>
    <row r="2473">
      <c r="A2473" s="212">
        <v>246.0</v>
      </c>
      <c r="B2473" s="6" t="str">
        <f>VLOOKUP($A2473, 'Completion rates'!$A:$E, 2, FALSE)</f>
        <v>Opening the elven crystal chest</v>
      </c>
      <c r="C2473" s="212">
        <v>24037.0</v>
      </c>
      <c r="D2473" s="6" t="str">
        <f>VLOOKUP($C2473, 'List of log slots'!$A:$E, 2, FALSE)</f>
        <v>Dragonstone platebody</v>
      </c>
      <c r="E2473" s="207">
        <f>VLOOKUP($C2473, 'List of log slots'!$A:$E, 5, FALSE)</f>
        <v>9</v>
      </c>
      <c r="F2473" s="209" t="b">
        <f>VLOOKUP(C2473, 'List of log slots'!$A:$C, 3, FALSE)</f>
        <v>0</v>
      </c>
      <c r="G2473" s="209" t="b">
        <f t="shared" si="1979"/>
        <v>0</v>
      </c>
      <c r="H2473" s="210" t="b">
        <f t="shared" si="7"/>
        <v>1</v>
      </c>
      <c r="I2473" s="208" t="b">
        <f t="shared" ref="I2473:J2473" si="2009">FALSE</f>
        <v>0</v>
      </c>
      <c r="J2473" s="208" t="b">
        <f t="shared" si="2009"/>
        <v>0</v>
      </c>
      <c r="K2473" s="214">
        <v>2500.0</v>
      </c>
      <c r="L2473" s="207" t="str">
        <f t="shared" si="3"/>
        <v>n/a</v>
      </c>
      <c r="M2473" s="212" t="str">
        <f t="shared" si="4"/>
        <v>n/a</v>
      </c>
      <c r="N2473" s="207" t="str">
        <f t="shared" si="1421"/>
        <v>n/a</v>
      </c>
      <c r="O2473" s="207">
        <f t="shared" si="1422"/>
        <v>0.0004</v>
      </c>
    </row>
    <row r="2474">
      <c r="A2474" s="212">
        <v>246.0</v>
      </c>
      <c r="B2474" s="6" t="str">
        <f>VLOOKUP($A2474, 'Completion rates'!$A:$E, 2, FALSE)</f>
        <v>Opening the elven crystal chest</v>
      </c>
      <c r="C2474" s="212">
        <v>24040.0</v>
      </c>
      <c r="D2474" s="6" t="str">
        <f>VLOOKUP($C2474, 'List of log slots'!$A:$E, 2, FALSE)</f>
        <v>Dragonstone platelegs</v>
      </c>
      <c r="E2474" s="207">
        <f>VLOOKUP($C2474, 'List of log slots'!$A:$E, 5, FALSE)</f>
        <v>9</v>
      </c>
      <c r="F2474" s="209" t="b">
        <f>VLOOKUP(C2474, 'List of log slots'!$A:$C, 3, FALSE)</f>
        <v>0</v>
      </c>
      <c r="G2474" s="209" t="b">
        <f t="shared" si="1979"/>
        <v>0</v>
      </c>
      <c r="H2474" s="210" t="b">
        <f t="shared" si="7"/>
        <v>1</v>
      </c>
      <c r="I2474" s="208" t="b">
        <f t="shared" ref="I2474:J2474" si="2010">FALSE</f>
        <v>0</v>
      </c>
      <c r="J2474" s="208" t="b">
        <f t="shared" si="2010"/>
        <v>0</v>
      </c>
      <c r="K2474" s="214">
        <v>2500.0</v>
      </c>
      <c r="L2474" s="207" t="str">
        <f t="shared" si="3"/>
        <v>n/a</v>
      </c>
      <c r="M2474" s="212" t="str">
        <f t="shared" si="4"/>
        <v>n/a</v>
      </c>
      <c r="N2474" s="207" t="str">
        <f t="shared" si="1421"/>
        <v>n/a</v>
      </c>
      <c r="O2474" s="207">
        <f t="shared" si="1422"/>
        <v>0.0004</v>
      </c>
    </row>
    <row r="2475">
      <c r="A2475" s="212">
        <v>246.0</v>
      </c>
      <c r="B2475" s="6" t="str">
        <f>VLOOKUP($A2475, 'Completion rates'!$A:$E, 2, FALSE)</f>
        <v>Opening the elven crystal chest</v>
      </c>
      <c r="C2475" s="212">
        <v>24046.0</v>
      </c>
      <c r="D2475" s="6" t="str">
        <f>VLOOKUP($C2475, 'List of log slots'!$A:$E, 2, FALSE)</f>
        <v>Dragonstone gauntlets</v>
      </c>
      <c r="E2475" s="207">
        <f>VLOOKUP($C2475, 'List of log slots'!$A:$E, 5, FALSE)</f>
        <v>9</v>
      </c>
      <c r="F2475" s="209" t="b">
        <f>VLOOKUP(C2475, 'List of log slots'!$A:$C, 3, FALSE)</f>
        <v>0</v>
      </c>
      <c r="G2475" s="209" t="b">
        <f t="shared" si="1979"/>
        <v>0</v>
      </c>
      <c r="H2475" s="210" t="b">
        <f t="shared" si="7"/>
        <v>1</v>
      </c>
      <c r="I2475" s="208" t="b">
        <f t="shared" ref="I2475:J2475" si="2011">FALSE</f>
        <v>0</v>
      </c>
      <c r="J2475" s="208" t="b">
        <f t="shared" si="2011"/>
        <v>0</v>
      </c>
      <c r="K2475" s="214">
        <v>2500.0</v>
      </c>
      <c r="L2475" s="207" t="str">
        <f t="shared" si="3"/>
        <v>n/a</v>
      </c>
      <c r="M2475" s="212" t="str">
        <f t="shared" si="4"/>
        <v>n/a</v>
      </c>
      <c r="N2475" s="207" t="str">
        <f t="shared" si="1421"/>
        <v>n/a</v>
      </c>
      <c r="O2475" s="207">
        <f t="shared" si="1422"/>
        <v>0.0004</v>
      </c>
    </row>
    <row r="2476">
      <c r="A2476" s="212">
        <v>246.0</v>
      </c>
      <c r="B2476" s="6" t="str">
        <f>VLOOKUP($A2476, 'Completion rates'!$A:$E, 2, FALSE)</f>
        <v>Opening the elven crystal chest</v>
      </c>
      <c r="C2476" s="212">
        <v>24043.0</v>
      </c>
      <c r="D2476" s="6" t="str">
        <f>VLOOKUP($C2476, 'List of log slots'!$A:$E, 2, FALSE)</f>
        <v>Dragonstone boots</v>
      </c>
      <c r="E2476" s="207">
        <f>VLOOKUP($C2476, 'List of log slots'!$A:$E, 5, FALSE)</f>
        <v>9</v>
      </c>
      <c r="F2476" s="209" t="b">
        <f>VLOOKUP(C2476, 'List of log slots'!$A:$C, 3, FALSE)</f>
        <v>0</v>
      </c>
      <c r="G2476" s="209" t="b">
        <f t="shared" si="1979"/>
        <v>0</v>
      </c>
      <c r="H2476" s="210" t="b">
        <f t="shared" si="7"/>
        <v>1</v>
      </c>
      <c r="I2476" s="208" t="b">
        <f t="shared" ref="I2476:J2476" si="2012">FALSE</f>
        <v>0</v>
      </c>
      <c r="J2476" s="208" t="b">
        <f t="shared" si="2012"/>
        <v>0</v>
      </c>
      <c r="K2476" s="214">
        <v>2500.0</v>
      </c>
      <c r="L2476" s="207" t="str">
        <f t="shared" si="3"/>
        <v>n/a</v>
      </c>
      <c r="M2476" s="212" t="str">
        <f t="shared" si="4"/>
        <v>n/a</v>
      </c>
      <c r="N2476" s="207" t="str">
        <f t="shared" si="1421"/>
        <v>n/a</v>
      </c>
      <c r="O2476" s="207">
        <f t="shared" si="1422"/>
        <v>0.0004</v>
      </c>
    </row>
    <row r="2477">
      <c r="A2477" s="212">
        <v>247.0</v>
      </c>
      <c r="B2477" s="6" t="str">
        <f>VLOOKUP($A2477, 'Completion rates'!$A:$E, 2, FALSE)</f>
        <v>Collecting mermaid tears (fossil island underwater)</v>
      </c>
      <c r="C2477" s="212">
        <v>21649.0</v>
      </c>
      <c r="D2477" s="6" t="str">
        <f>VLOOKUP($C2477, 'List of log slots'!$A:$E, 2, FALSE)</f>
        <v>Merfolk trident</v>
      </c>
      <c r="E2477" s="207">
        <f>VLOOKUP($C2477, 'List of log slots'!$A:$E, 5, FALSE)</f>
        <v>4</v>
      </c>
      <c r="F2477" s="209" t="b">
        <f>VLOOKUP(C2477, 'List of log slots'!$A:$C, 3, FALSE)</f>
        <v>0</v>
      </c>
      <c r="G2477" s="209" t="b">
        <f t="shared" si="1979"/>
        <v>0</v>
      </c>
      <c r="H2477" s="210" t="b">
        <f t="shared" si="7"/>
        <v>1</v>
      </c>
      <c r="I2477" s="213" t="b">
        <f t="shared" ref="I2477:J2477" si="2013">TRUE</f>
        <v>1</v>
      </c>
      <c r="J2477" s="213" t="b">
        <f t="shared" si="2013"/>
        <v>1</v>
      </c>
      <c r="K2477" s="214">
        <v>400.0</v>
      </c>
      <c r="L2477" s="207">
        <f t="shared" si="3"/>
        <v>400</v>
      </c>
      <c r="M2477" s="212" t="str">
        <f t="shared" si="4"/>
        <v>n/a</v>
      </c>
      <c r="N2477" s="207" t="str">
        <f t="shared" si="1421"/>
        <v>n/a</v>
      </c>
      <c r="O2477" s="207" t="str">
        <f t="shared" si="1422"/>
        <v>n/a</v>
      </c>
    </row>
    <row r="2478">
      <c r="A2478" s="212">
        <v>248.0</v>
      </c>
      <c r="B2478" s="6" t="str">
        <f>VLOOKUP($A2478, 'Completion rates'!$A:$E, 2, FALSE)</f>
        <v>Killing armoured zombies (zemouregal)</v>
      </c>
      <c r="C2478" s="212">
        <v>2366.0</v>
      </c>
      <c r="D2478" s="6" t="str">
        <f>VLOOKUP($C2478, 'List of log slots'!$A:$E, 2, FALSE)</f>
        <v>Shield left half</v>
      </c>
      <c r="E2478" s="207">
        <f>VLOOKUP($C2478, 'List of log slots'!$A:$E, 5, FALSE)</f>
        <v>5</v>
      </c>
      <c r="F2478" s="210" t="b">
        <f>VLOOKUP(C2478, 'List of log slots'!$A:$C, 3, FALSE)</f>
        <v>0</v>
      </c>
      <c r="G2478" s="209" t="b">
        <f t="shared" si="1979"/>
        <v>0</v>
      </c>
      <c r="H2478" s="209" t="b">
        <f t="shared" si="7"/>
        <v>1</v>
      </c>
      <c r="I2478" s="208" t="b">
        <f t="shared" ref="I2478:J2478" si="2014">FALSE</f>
        <v>0</v>
      </c>
      <c r="J2478" s="208" t="b">
        <f t="shared" si="2014"/>
        <v>0</v>
      </c>
      <c r="K2478" s="214">
        <v>524288.0</v>
      </c>
      <c r="L2478" s="207" t="str">
        <f t="shared" si="3"/>
        <v>n/a</v>
      </c>
      <c r="M2478" s="212" t="str">
        <f t="shared" si="4"/>
        <v>n/a</v>
      </c>
      <c r="N2478" s="207" t="str">
        <f t="shared" si="1421"/>
        <v>n/a</v>
      </c>
      <c r="O2478" s="207">
        <f t="shared" si="1422"/>
        <v>0.000001907348633</v>
      </c>
    </row>
    <row r="2479">
      <c r="A2479" s="212">
        <v>248.0</v>
      </c>
      <c r="B2479" s="6" t="str">
        <f>VLOOKUP($A2479, 'Completion rates'!$A:$E, 2, FALSE)</f>
        <v>Killing armoured zombies (zemouregal)</v>
      </c>
      <c r="C2479" s="212">
        <v>1249.0</v>
      </c>
      <c r="D2479" s="6" t="str">
        <f>VLOOKUP($C2479, 'List of log slots'!$A:$E, 2, FALSE)</f>
        <v>Dragon spear</v>
      </c>
      <c r="E2479" s="207">
        <f>VLOOKUP($C2479, 'List of log slots'!$A:$E, 5, FALSE)</f>
        <v>5</v>
      </c>
      <c r="F2479" s="210" t="b">
        <f>VLOOKUP(C2479, 'List of log slots'!$A:$C, 3, FALSE)</f>
        <v>0</v>
      </c>
      <c r="G2479" s="209" t="b">
        <f t="shared" si="1979"/>
        <v>0</v>
      </c>
      <c r="H2479" s="209" t="b">
        <f t="shared" si="7"/>
        <v>1</v>
      </c>
      <c r="I2479" s="208" t="b">
        <f t="shared" ref="I2479:J2479" si="2015">FALSE</f>
        <v>0</v>
      </c>
      <c r="J2479" s="208" t="b">
        <f t="shared" si="2015"/>
        <v>0</v>
      </c>
      <c r="K2479" s="214">
        <v>699051.0</v>
      </c>
      <c r="L2479" s="207" t="str">
        <f t="shared" si="3"/>
        <v>n/a</v>
      </c>
      <c r="M2479" s="212" t="str">
        <f t="shared" si="4"/>
        <v>n/a</v>
      </c>
      <c r="N2479" s="207" t="str">
        <f t="shared" si="1421"/>
        <v>n/a</v>
      </c>
      <c r="O2479" s="207">
        <f t="shared" si="1422"/>
        <v>0.000001430510792</v>
      </c>
    </row>
    <row r="2480">
      <c r="A2480" s="212">
        <v>248.0</v>
      </c>
      <c r="B2480" s="6" t="str">
        <f>VLOOKUP($A2480, 'Completion rates'!$A:$E, 2, FALSE)</f>
        <v>Killing armoured zombies (zemouregal)</v>
      </c>
      <c r="C2480" s="212">
        <v>6807.0</v>
      </c>
      <c r="D2480" s="6" t="str">
        <f>VLOOKUP($C2480, 'List of log slots'!$A:$E, 2, FALSE)</f>
        <v>Zombie champion scroll</v>
      </c>
      <c r="E2480" s="207">
        <f>VLOOKUP($C2480, 'List of log slots'!$A:$E, 5, FALSE)</f>
        <v>5</v>
      </c>
      <c r="F2480" s="209" t="b">
        <f>VLOOKUP(C2480, 'List of log slots'!$A:$C, 3, FALSE)</f>
        <v>0</v>
      </c>
      <c r="G2480" s="209" t="b">
        <f t="shared" si="1979"/>
        <v>0</v>
      </c>
      <c r="H2480" s="210" t="b">
        <f t="shared" si="7"/>
        <v>1</v>
      </c>
      <c r="I2480" s="208" t="b">
        <f t="shared" ref="I2480:J2480" si="2016">FALSE</f>
        <v>0</v>
      </c>
      <c r="J2480" s="208" t="b">
        <f t="shared" si="2016"/>
        <v>0</v>
      </c>
      <c r="K2480" s="214">
        <v>5000.0</v>
      </c>
      <c r="L2480" s="207" t="str">
        <f t="shared" si="3"/>
        <v>n/a</v>
      </c>
      <c r="M2480" s="212" t="str">
        <f t="shared" si="4"/>
        <v>n/a</v>
      </c>
      <c r="N2480" s="207" t="str">
        <f t="shared" si="1421"/>
        <v>n/a</v>
      </c>
      <c r="O2480" s="207">
        <f t="shared" si="1422"/>
        <v>0.0002</v>
      </c>
    </row>
    <row r="2481">
      <c r="A2481" s="212">
        <v>248.0</v>
      </c>
      <c r="B2481" s="6" t="str">
        <f>VLOOKUP($A2481, 'Completion rates'!$A:$E, 2, FALSE)</f>
        <v>Killing armoured zombies (zemouregal)</v>
      </c>
      <c r="C2481" s="212">
        <v>28813.0</v>
      </c>
      <c r="D2481" s="6" t="str">
        <f>VLOOKUP($C2481, 'List of log slots'!$A:$E, 2, FALSE)</f>
        <v>Broken zombie axe</v>
      </c>
      <c r="E2481" s="207">
        <f>VLOOKUP($C2481, 'List of log slots'!$A:$E, 5, FALSE)</f>
        <v>4</v>
      </c>
      <c r="F2481" s="209" t="b">
        <f>VLOOKUP(C2481, 'List of log slots'!$A:$C, 3, FALSE)</f>
        <v>0</v>
      </c>
      <c r="G2481" s="209" t="b">
        <f t="shared" si="1979"/>
        <v>0</v>
      </c>
      <c r="H2481" s="210" t="b">
        <f t="shared" si="7"/>
        <v>1</v>
      </c>
      <c r="I2481" s="208" t="b">
        <f t="shared" ref="I2481:J2481" si="2017">FALSE</f>
        <v>0</v>
      </c>
      <c r="J2481" s="208" t="b">
        <f t="shared" si="2017"/>
        <v>0</v>
      </c>
      <c r="K2481" s="214">
        <v>600.0</v>
      </c>
      <c r="L2481" s="207" t="str">
        <f t="shared" si="3"/>
        <v>n/a</v>
      </c>
      <c r="M2481" s="212" t="str">
        <f t="shared" si="4"/>
        <v>n/a</v>
      </c>
      <c r="N2481" s="207" t="str">
        <f t="shared" si="1421"/>
        <v>n/a</v>
      </c>
      <c r="O2481" s="207">
        <f t="shared" si="1422"/>
        <v>0.001666666667</v>
      </c>
    </row>
    <row r="2482">
      <c r="A2482" s="212">
        <v>248.0</v>
      </c>
      <c r="B2482" s="6" t="str">
        <f>VLOOKUP($A2482, 'Completion rates'!$A:$E, 2, FALSE)</f>
        <v>Killing armoured zombies (zemouregal)</v>
      </c>
      <c r="C2482" s="212">
        <v>30324.0</v>
      </c>
      <c r="D2482" s="6" t="str">
        <f>VLOOKUP($C2482, 'List of log slots'!$A:$E, 2, FALSE)</f>
        <v>Broken zombie helmet</v>
      </c>
      <c r="E2482" s="207">
        <f>VLOOKUP($C2482, 'List of log slots'!$A:$E, 5, FALSE)</f>
        <v>4</v>
      </c>
      <c r="F2482" s="209" t="b">
        <f>VLOOKUP(C2482, 'List of log slots'!$A:$C, 3, FALSE)</f>
        <v>0</v>
      </c>
      <c r="G2482" s="209" t="b">
        <f t="shared" si="1979"/>
        <v>0</v>
      </c>
      <c r="H2482" s="210" t="b">
        <f t="shared" si="7"/>
        <v>1</v>
      </c>
      <c r="I2482" s="208" t="b">
        <f t="shared" ref="I2482:J2482" si="2018">FALSE</f>
        <v>0</v>
      </c>
      <c r="J2482" s="208" t="b">
        <f t="shared" si="2018"/>
        <v>0</v>
      </c>
      <c r="K2482" s="214">
        <v>600.0</v>
      </c>
      <c r="L2482" s="207" t="str">
        <f t="shared" si="3"/>
        <v>n/a</v>
      </c>
      <c r="M2482" s="212" t="str">
        <f t="shared" si="4"/>
        <v>n/a</v>
      </c>
      <c r="N2482" s="207" t="str">
        <f t="shared" si="1421"/>
        <v>n/a</v>
      </c>
      <c r="O2482" s="207">
        <f t="shared" si="1422"/>
        <v>0.001666666667</v>
      </c>
    </row>
    <row r="2483">
      <c r="A2483" s="212">
        <v>249.0</v>
      </c>
      <c r="B2483" s="6" t="str">
        <f>VLOOKUP($A2483, 'Completion rates'!$A:$E, 2, FALSE)</f>
        <v>Opening the moon chest</v>
      </c>
      <c r="C2483" s="212">
        <v>30088.0</v>
      </c>
      <c r="D2483" s="6" t="str">
        <f>VLOOKUP($C2483, 'List of log slots'!$A:$E, 2, FALSE)</f>
        <v>Huasca seed</v>
      </c>
      <c r="E2483" s="207">
        <f>VLOOKUP($C2483, 'List of log slots'!$A:$E, 5, FALSE)</f>
        <v>4</v>
      </c>
      <c r="F2483" s="209" t="b">
        <f>VLOOKUP(C2483, 'List of log slots'!$A:$C, 3, FALSE)</f>
        <v>0</v>
      </c>
      <c r="G2483" s="209" t="b">
        <f t="shared" si="1979"/>
        <v>0</v>
      </c>
      <c r="H2483" s="210" t="b">
        <f t="shared" si="7"/>
        <v>1</v>
      </c>
      <c r="I2483" s="208" t="b">
        <f t="shared" ref="I2483:J2483" si="2019">FALSE</f>
        <v>0</v>
      </c>
      <c r="J2483" s="208" t="b">
        <f t="shared" si="2019"/>
        <v>0</v>
      </c>
      <c r="K2483" s="214">
        <v>10.0</v>
      </c>
      <c r="L2483" s="207" t="str">
        <f t="shared" si="3"/>
        <v>n/a</v>
      </c>
      <c r="M2483" s="212" t="str">
        <f t="shared" si="4"/>
        <v>n/a</v>
      </c>
      <c r="N2483" s="207" t="str">
        <f t="shared" si="1421"/>
        <v>n/a</v>
      </c>
      <c r="O2483" s="207">
        <f t="shared" si="1422"/>
        <v>0.1</v>
      </c>
    </row>
    <row r="2484">
      <c r="A2484" s="212">
        <v>249.0</v>
      </c>
      <c r="B2484" s="6" t="str">
        <f>VLOOKUP($A2484, 'Completion rates'!$A:$E, 2, FALSE)</f>
        <v>Opening the moon chest</v>
      </c>
      <c r="C2484" s="212">
        <v>28924.0</v>
      </c>
      <c r="D2484" s="6" t="str">
        <f>VLOOKUP($C2484, 'List of log slots'!$A:$E, 2, FALSE)</f>
        <v>Sunfire splinters</v>
      </c>
      <c r="E2484" s="207">
        <f>VLOOKUP($C2484, 'List of log slots'!$A:$E, 5, FALSE)</f>
        <v>2</v>
      </c>
      <c r="F2484" s="210" t="b">
        <f>VLOOKUP(C2484, 'List of log slots'!$A:$C, 3, FALSE)</f>
        <v>0</v>
      </c>
      <c r="G2484" s="209" t="b">
        <f t="shared" si="1979"/>
        <v>0</v>
      </c>
      <c r="H2484" s="209" t="b">
        <f t="shared" si="7"/>
        <v>1</v>
      </c>
      <c r="I2484" s="208" t="b">
        <f t="shared" ref="I2484:J2484" si="2020">FALSE</f>
        <v>0</v>
      </c>
      <c r="J2484" s="208" t="b">
        <f t="shared" si="2020"/>
        <v>0</v>
      </c>
      <c r="K2484" s="214">
        <v>1.0</v>
      </c>
      <c r="L2484" s="207" t="str">
        <f t="shared" si="3"/>
        <v>n/a</v>
      </c>
      <c r="M2484" s="212" t="str">
        <f t="shared" si="4"/>
        <v>n/a</v>
      </c>
      <c r="N2484" s="207" t="str">
        <f t="shared" si="1421"/>
        <v>n/a</v>
      </c>
      <c r="O2484" s="207">
        <f t="shared" si="1422"/>
        <v>1</v>
      </c>
    </row>
    <row r="2485">
      <c r="A2485" s="212">
        <v>249.0</v>
      </c>
      <c r="B2485" s="6" t="str">
        <f>VLOOKUP($A2485, 'Completion rates'!$A:$E, 2, FALSE)</f>
        <v>Opening the moon chest</v>
      </c>
      <c r="C2485" s="212">
        <v>6571.0</v>
      </c>
      <c r="D2485" s="6" t="str">
        <f>VLOOKUP($C2485, 'List of log slots'!$A:$E, 2, FALSE)</f>
        <v>Uncut onyx</v>
      </c>
      <c r="E2485" s="207">
        <f>VLOOKUP($C2485, 'List of log slots'!$A:$E, 5, FALSE)</f>
        <v>6</v>
      </c>
      <c r="F2485" s="210" t="b">
        <f>VLOOKUP(C2485, 'List of log slots'!$A:$C, 3, FALSE)</f>
        <v>0</v>
      </c>
      <c r="G2485" s="209" t="b">
        <f t="shared" si="1979"/>
        <v>0</v>
      </c>
      <c r="H2485" s="209" t="b">
        <f t="shared" si="7"/>
        <v>1</v>
      </c>
      <c r="I2485" s="208" t="b">
        <f t="shared" ref="I2485:J2485" si="2021">FALSE</f>
        <v>0</v>
      </c>
      <c r="J2485" s="208" t="b">
        <f t="shared" si="2021"/>
        <v>0</v>
      </c>
      <c r="K2485" s="214">
        <v>4953.0</v>
      </c>
      <c r="L2485" s="207" t="str">
        <f t="shared" si="3"/>
        <v>n/a</v>
      </c>
      <c r="M2485" s="212" t="str">
        <f t="shared" si="4"/>
        <v>n/a</v>
      </c>
      <c r="N2485" s="207" t="str">
        <f t="shared" si="1421"/>
        <v>n/a</v>
      </c>
      <c r="O2485" s="207">
        <f t="shared" si="1422"/>
        <v>0.0002018978397</v>
      </c>
    </row>
    <row r="2486">
      <c r="A2486" s="212">
        <v>249.0</v>
      </c>
      <c r="B2486" s="6" t="str">
        <f>VLOOKUP($A2486, 'Completion rates'!$A:$E, 2, FALSE)</f>
        <v>Opening the moon chest</v>
      </c>
      <c r="C2486" s="212">
        <v>30111.0</v>
      </c>
      <c r="D2486" s="6" t="str">
        <f>VLOOKUP($C2486, 'List of log slots'!$A:$E, 2, FALSE)</f>
        <v>Helmet of the moon</v>
      </c>
      <c r="E2486" s="207">
        <f>VLOOKUP($C2486, 'List of log slots'!$A:$E, 5, FALSE)</f>
        <v>9</v>
      </c>
      <c r="F2486" s="209" t="b">
        <f>VLOOKUP(C2486, 'List of log slots'!$A:$C, 3, FALSE)</f>
        <v>0</v>
      </c>
      <c r="G2486" s="209" t="b">
        <f t="shared" si="1979"/>
        <v>0</v>
      </c>
      <c r="H2486" s="210" t="b">
        <f t="shared" si="7"/>
        <v>1</v>
      </c>
      <c r="I2486" s="208" t="b">
        <f t="shared" ref="I2486:J2486" si="2022">FALSE</f>
        <v>0</v>
      </c>
      <c r="J2486" s="208" t="b">
        <f t="shared" si="2022"/>
        <v>0</v>
      </c>
      <c r="K2486" s="214">
        <v>495.0</v>
      </c>
      <c r="L2486" s="207" t="str">
        <f t="shared" si="3"/>
        <v>n/a</v>
      </c>
      <c r="M2486" s="212" t="str">
        <f t="shared" si="4"/>
        <v>n/a</v>
      </c>
      <c r="N2486" s="207" t="str">
        <f t="shared" si="1421"/>
        <v>n/a</v>
      </c>
      <c r="O2486" s="207">
        <f t="shared" si="1422"/>
        <v>0.00202020202</v>
      </c>
    </row>
    <row r="2487">
      <c r="A2487" s="212">
        <v>250.0</v>
      </c>
      <c r="B2487" s="6" t="str">
        <f>VLOOKUP($A2487, 'Completion rates'!$A:$E, 2, FALSE)</f>
        <v>Cutting squid</v>
      </c>
      <c r="C2487" s="212">
        <v>31572.0</v>
      </c>
      <c r="D2487" s="6" t="str">
        <f>VLOOKUP($C2487, 'List of log slots'!$A:$E, 2, FALSE)</f>
        <v>Squid beak</v>
      </c>
      <c r="E2487" s="207">
        <f>VLOOKUP($C2487, 'List of log slots'!$A:$E, 5, FALSE)</f>
        <v>4</v>
      </c>
      <c r="F2487" s="209" t="b">
        <f>VLOOKUP(C2487, 'List of log slots'!$A:$C, 3, FALSE)</f>
        <v>0</v>
      </c>
      <c r="G2487" s="209" t="b">
        <f t="shared" si="1979"/>
        <v>0</v>
      </c>
      <c r="H2487" s="210" t="b">
        <f t="shared" si="7"/>
        <v>1</v>
      </c>
      <c r="I2487" s="208" t="b">
        <f t="shared" ref="I2487:J2487" si="2023">FALSE</f>
        <v>0</v>
      </c>
      <c r="J2487" s="208" t="b">
        <f t="shared" si="2023"/>
        <v>0</v>
      </c>
      <c r="K2487" s="214">
        <v>512.0</v>
      </c>
      <c r="L2487" s="207" t="str">
        <f t="shared" si="3"/>
        <v>n/a</v>
      </c>
      <c r="M2487" s="212" t="str">
        <f t="shared" si="4"/>
        <v>n/a</v>
      </c>
      <c r="N2487" s="207" t="str">
        <f t="shared" si="1421"/>
        <v>n/a</v>
      </c>
      <c r="O2487" s="207">
        <f t="shared" si="1422"/>
        <v>0.001953125</v>
      </c>
    </row>
  </sheetData>
  <conditionalFormatting sqref="F2:J2487">
    <cfRule type="cellIs" dxfId="1" priority="1" operator="equal">
      <formula>"TRUE"</formula>
    </cfRule>
  </conditionalFormatting>
  <conditionalFormatting sqref="F2:J2487">
    <cfRule type="cellIs" dxfId="2" priority="2" operator="equal">
      <formula>"FALSE"</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8.88"/>
    <col hidden="1" min="6" max="6" width="12.63"/>
    <col customWidth="1" min="11" max="11" width="18.88"/>
    <col hidden="1" min="12" max="12" width="12.63"/>
  </cols>
  <sheetData>
    <row r="1">
      <c r="A1" s="193" t="s">
        <v>2013</v>
      </c>
      <c r="F1" s="11"/>
      <c r="G1" s="193" t="s">
        <v>2014</v>
      </c>
      <c r="L1" s="193"/>
    </row>
    <row r="2">
      <c r="A2" s="193" t="s">
        <v>73</v>
      </c>
      <c r="B2" s="193" t="s">
        <v>2015</v>
      </c>
      <c r="C2" s="193" t="s">
        <v>396</v>
      </c>
      <c r="D2" s="193" t="s">
        <v>2016</v>
      </c>
      <c r="F2" s="11"/>
      <c r="G2" s="193" t="s">
        <v>73</v>
      </c>
      <c r="H2" s="193" t="s">
        <v>2015</v>
      </c>
      <c r="I2" s="193" t="s">
        <v>396</v>
      </c>
      <c r="J2" s="193" t="s">
        <v>2016</v>
      </c>
      <c r="L2" s="193"/>
    </row>
    <row r="3">
      <c r="A3" s="25">
        <v>1.0</v>
      </c>
      <c r="B3" s="217">
        <f>IFERROR(__xludf.DUMMYFUNCTION("COUNTA(FILTER('List of log slots'!$A:$A, 'List of log slots'!$E:$E=$A3))"),42.0)</f>
        <v>42</v>
      </c>
      <c r="C3" s="217">
        <f>IFERROR(__xludf.DUMMYFUNCTION("COUNTA(IFERROR(FILTER('List of log slots'!$A:$A, 'List of log slots'!$E:$E=$A3, 'List of log slots'!$C:$C=TRUE), ))"),0.0)</f>
        <v>0</v>
      </c>
      <c r="D3" s="218">
        <f t="shared" ref="D3:D12" si="1">C3/B3</f>
        <v>0</v>
      </c>
      <c r="E3" s="219" t="str">
        <f>IFERROR(__xludf.DUMMYFUNCTION("SPARKLINE(D3, {""charttype"",""bar"";""max"",1;""color1"",F3})"),"")</f>
        <v/>
      </c>
      <c r="F3" s="220" t="str">
        <f t="shared" ref="F3:F12" si="2">ifs(D3&lt;0.25, "#e40303", D3&lt;0.75, "#f88600", D3&lt;1, "#ffed00", TRUE, "#00c600")</f>
        <v>#e40303</v>
      </c>
      <c r="G3" s="25">
        <v>1.0</v>
      </c>
      <c r="H3" s="217">
        <f t="shared" ref="H3:H12" si="3">SUM($B$3:$B3)</f>
        <v>42</v>
      </c>
      <c r="I3" s="217">
        <f t="shared" ref="I3:I12" si="4">SUM($C$3:$C3)</f>
        <v>0</v>
      </c>
      <c r="J3" s="218">
        <f t="shared" ref="J3:J12" si="5">I3/H3</f>
        <v>0</v>
      </c>
      <c r="K3" s="219" t="str">
        <f>IFERROR(__xludf.DUMMYFUNCTION("SPARKLINE(J3, {""charttype"",""bar"";""max"",1;""color1"",L3})"),"")</f>
        <v/>
      </c>
      <c r="L3" s="217" t="str">
        <f t="shared" ref="L3:L12" si="6">ifs(J3&lt;0.25, "#e40303", J3&lt;0.75, "#f88600", J3&lt;1, "#ffed00", TRUE, "#00c600")</f>
        <v>#e40303</v>
      </c>
    </row>
    <row r="4">
      <c r="A4" s="25">
        <v>2.0</v>
      </c>
      <c r="B4" s="217">
        <f>IFERROR(__xludf.DUMMYFUNCTION("COUNTA(FILTER('List of log slots'!$A:$A, 'List of log slots'!$E:$E=$A4))"),252.0)</f>
        <v>252</v>
      </c>
      <c r="C4" s="217">
        <f>IFERROR(__xludf.DUMMYFUNCTION("COUNTA(IFERROR(FILTER('List of log slots'!$A:$A, 'List of log slots'!$E:$E=$A4, 'List of log slots'!$C:$C=TRUE), ))"),0.0)</f>
        <v>0</v>
      </c>
      <c r="D4" s="218">
        <f t="shared" si="1"/>
        <v>0</v>
      </c>
      <c r="E4" s="219" t="str">
        <f>IFERROR(__xludf.DUMMYFUNCTION("SPARKLINE(D4, {""charttype"",""bar"";""max"",1;""color1"",F4})"),"")</f>
        <v/>
      </c>
      <c r="F4" s="220" t="str">
        <f t="shared" si="2"/>
        <v>#e40303</v>
      </c>
      <c r="G4" s="25" t="s">
        <v>2017</v>
      </c>
      <c r="H4" s="217">
        <f t="shared" si="3"/>
        <v>294</v>
      </c>
      <c r="I4" s="217">
        <f t="shared" si="4"/>
        <v>0</v>
      </c>
      <c r="J4" s="218">
        <f t="shared" si="5"/>
        <v>0</v>
      </c>
      <c r="K4" s="219" t="str">
        <f>IFERROR(__xludf.DUMMYFUNCTION("SPARKLINE(J4, {""charttype"",""bar"";""max"",1;""color1"",L4})"),"")</f>
        <v/>
      </c>
      <c r="L4" s="217" t="str">
        <f t="shared" si="6"/>
        <v>#e40303</v>
      </c>
    </row>
    <row r="5">
      <c r="A5" s="25">
        <v>3.0</v>
      </c>
      <c r="B5" s="217">
        <f>IFERROR(__xludf.DUMMYFUNCTION("COUNTA(FILTER('List of log slots'!$A:$A, 'List of log slots'!$E:$E=$A5))"),301.0)</f>
        <v>301</v>
      </c>
      <c r="C5" s="217">
        <f>IFERROR(__xludf.DUMMYFUNCTION("COUNTA(IFERROR(FILTER('List of log slots'!$A:$A, 'List of log slots'!$E:$E=$A5, 'List of log slots'!$C:$C=TRUE), ))"),0.0)</f>
        <v>0</v>
      </c>
      <c r="D5" s="218">
        <f t="shared" si="1"/>
        <v>0</v>
      </c>
      <c r="E5" s="219" t="str">
        <f>IFERROR(__xludf.DUMMYFUNCTION("SPARKLINE(D5, {""charttype"",""bar"";""max"",1;""color1"",F5})"),"")</f>
        <v/>
      </c>
      <c r="F5" s="220" t="str">
        <f t="shared" si="2"/>
        <v>#e40303</v>
      </c>
      <c r="G5" s="25" t="s">
        <v>2018</v>
      </c>
      <c r="H5" s="217">
        <f t="shared" si="3"/>
        <v>595</v>
      </c>
      <c r="I5" s="217">
        <f t="shared" si="4"/>
        <v>0</v>
      </c>
      <c r="J5" s="218">
        <f t="shared" si="5"/>
        <v>0</v>
      </c>
      <c r="K5" s="219" t="str">
        <f>IFERROR(__xludf.DUMMYFUNCTION("SPARKLINE(J5, {""charttype"",""bar"";""max"",1;""color1"",L5})"),"")</f>
        <v/>
      </c>
      <c r="L5" s="217" t="str">
        <f t="shared" si="6"/>
        <v>#e40303</v>
      </c>
    </row>
    <row r="6">
      <c r="A6" s="25">
        <v>4.0</v>
      </c>
      <c r="B6" s="217">
        <f>IFERROR(__xludf.DUMMYFUNCTION("COUNTA(FILTER('List of log slots'!$A:$A, 'List of log slots'!$E:$E=$A6))"),285.0)</f>
        <v>285</v>
      </c>
      <c r="C6" s="217">
        <f>IFERROR(__xludf.DUMMYFUNCTION("COUNTA(IFERROR(FILTER('List of log slots'!$A:$A, 'List of log slots'!$E:$E=$A6, 'List of log slots'!$C:$C=TRUE), ))"),0.0)</f>
        <v>0</v>
      </c>
      <c r="D6" s="218">
        <f t="shared" si="1"/>
        <v>0</v>
      </c>
      <c r="E6" s="219" t="str">
        <f>IFERROR(__xludf.DUMMYFUNCTION("SPARKLINE(D6, {""charttype"",""bar"";""max"",1;""color1"",F6})"),"")</f>
        <v/>
      </c>
      <c r="F6" s="220" t="str">
        <f t="shared" si="2"/>
        <v>#e40303</v>
      </c>
      <c r="G6" s="25" t="s">
        <v>2019</v>
      </c>
      <c r="H6" s="217">
        <f t="shared" si="3"/>
        <v>880</v>
      </c>
      <c r="I6" s="217">
        <f t="shared" si="4"/>
        <v>0</v>
      </c>
      <c r="J6" s="218">
        <f t="shared" si="5"/>
        <v>0</v>
      </c>
      <c r="K6" s="219" t="str">
        <f>IFERROR(__xludf.DUMMYFUNCTION("SPARKLINE(J6, {""charttype"",""bar"";""max"",1;""color1"",L6})"),"")</f>
        <v/>
      </c>
      <c r="L6" s="217" t="str">
        <f t="shared" si="6"/>
        <v>#e40303</v>
      </c>
    </row>
    <row r="7">
      <c r="A7" s="25">
        <v>5.0</v>
      </c>
      <c r="B7" s="217">
        <f>IFERROR(__xludf.DUMMYFUNCTION("COUNTA(FILTER('List of log slots'!$A:$A, 'List of log slots'!$E:$E=$A7))"),353.0)</f>
        <v>353</v>
      </c>
      <c r="C7" s="217">
        <f>IFERROR(__xludf.DUMMYFUNCTION("COUNTA(IFERROR(FILTER('List of log slots'!$A:$A, 'List of log slots'!$E:$E=$A7, 'List of log slots'!$C:$C=TRUE), ))"),0.0)</f>
        <v>0</v>
      </c>
      <c r="D7" s="218">
        <f t="shared" si="1"/>
        <v>0</v>
      </c>
      <c r="E7" s="219" t="str">
        <f>IFERROR(__xludf.DUMMYFUNCTION("SPARKLINE(D7, {""charttype"",""bar"";""max"",1;""color1"",F7})"),"")</f>
        <v/>
      </c>
      <c r="F7" s="220" t="str">
        <f t="shared" si="2"/>
        <v>#e40303</v>
      </c>
      <c r="G7" s="25" t="s">
        <v>2020</v>
      </c>
      <c r="H7" s="217">
        <f t="shared" si="3"/>
        <v>1233</v>
      </c>
      <c r="I7" s="217">
        <f t="shared" si="4"/>
        <v>0</v>
      </c>
      <c r="J7" s="218">
        <f t="shared" si="5"/>
        <v>0</v>
      </c>
      <c r="K7" s="219" t="str">
        <f>IFERROR(__xludf.DUMMYFUNCTION("SPARKLINE(J7, {""charttype"",""bar"";""max"",1;""color1"",L7})"),"")</f>
        <v/>
      </c>
      <c r="L7" s="217" t="str">
        <f t="shared" si="6"/>
        <v>#e40303</v>
      </c>
    </row>
    <row r="8">
      <c r="A8" s="25">
        <v>6.0</v>
      </c>
      <c r="B8" s="217">
        <f>IFERROR(__xludf.DUMMYFUNCTION("COUNTA(FILTER('List of log slots'!$A:$A, 'List of log slots'!$E:$E=$A8))"),187.0)</f>
        <v>187</v>
      </c>
      <c r="C8" s="217">
        <f>IFERROR(__xludf.DUMMYFUNCTION("COUNTA(IFERROR(FILTER('List of log slots'!$A:$A, 'List of log slots'!$E:$E=$A8, 'List of log slots'!$C:$C=TRUE), ))"),0.0)</f>
        <v>0</v>
      </c>
      <c r="D8" s="218">
        <f t="shared" si="1"/>
        <v>0</v>
      </c>
      <c r="E8" s="219" t="str">
        <f>IFERROR(__xludf.DUMMYFUNCTION("SPARKLINE(D8, {""charttype"",""bar"";""max"",1;""color1"",F8})"),"")</f>
        <v/>
      </c>
      <c r="F8" s="220" t="str">
        <f t="shared" si="2"/>
        <v>#e40303</v>
      </c>
      <c r="G8" s="25" t="s">
        <v>2021</v>
      </c>
      <c r="H8" s="217">
        <f t="shared" si="3"/>
        <v>1420</v>
      </c>
      <c r="I8" s="217">
        <f t="shared" si="4"/>
        <v>0</v>
      </c>
      <c r="J8" s="218">
        <f t="shared" si="5"/>
        <v>0</v>
      </c>
      <c r="K8" s="219" t="str">
        <f>IFERROR(__xludf.DUMMYFUNCTION("SPARKLINE(J8, {""charttype"",""bar"";""max"",1;""color1"",L8})"),"")</f>
        <v/>
      </c>
      <c r="L8" s="217" t="str">
        <f t="shared" si="6"/>
        <v>#e40303</v>
      </c>
    </row>
    <row r="9">
      <c r="A9" s="25">
        <v>7.0</v>
      </c>
      <c r="B9" s="217">
        <f>IFERROR(__xludf.DUMMYFUNCTION("COUNTA(FILTER('List of log slots'!$A:$A, 'List of log slots'!$E:$E=$A9))"),141.0)</f>
        <v>141</v>
      </c>
      <c r="C9" s="217">
        <f>IFERROR(__xludf.DUMMYFUNCTION("COUNTA(IFERROR(FILTER('List of log slots'!$A:$A, 'List of log slots'!$E:$E=$A9, 'List of log slots'!$C:$C=TRUE), ))"),0.0)</f>
        <v>0</v>
      </c>
      <c r="D9" s="218">
        <f t="shared" si="1"/>
        <v>0</v>
      </c>
      <c r="E9" s="219" t="str">
        <f>IFERROR(__xludf.DUMMYFUNCTION("SPARKLINE(D9, {""charttype"",""bar"";""max"",1;""color1"",F9})"),"")</f>
        <v/>
      </c>
      <c r="F9" s="220" t="str">
        <f t="shared" si="2"/>
        <v>#e40303</v>
      </c>
      <c r="G9" s="25" t="s">
        <v>2022</v>
      </c>
      <c r="H9" s="217">
        <f t="shared" si="3"/>
        <v>1561</v>
      </c>
      <c r="I9" s="217">
        <f t="shared" si="4"/>
        <v>0</v>
      </c>
      <c r="J9" s="218">
        <f t="shared" si="5"/>
        <v>0</v>
      </c>
      <c r="K9" s="219" t="str">
        <f>IFERROR(__xludf.DUMMYFUNCTION("SPARKLINE(J9, {""charttype"",""bar"";""max"",1;""color1"",L9})"),"")</f>
        <v/>
      </c>
      <c r="L9" s="217" t="str">
        <f t="shared" si="6"/>
        <v>#e40303</v>
      </c>
    </row>
    <row r="10">
      <c r="A10" s="25">
        <v>8.0</v>
      </c>
      <c r="B10" s="217">
        <f>IFERROR(__xludf.DUMMYFUNCTION("COUNTA(FILTER('List of log slots'!$A:$A, 'List of log slots'!$E:$E=$A10))"),69.0)</f>
        <v>69</v>
      </c>
      <c r="C10" s="217">
        <f>IFERROR(__xludf.DUMMYFUNCTION("COUNTA(IFERROR(FILTER('List of log slots'!$A:$A, 'List of log slots'!$E:$E=$A10, 'List of log slots'!$C:$C=TRUE), ))"),0.0)</f>
        <v>0</v>
      </c>
      <c r="D10" s="218">
        <f t="shared" si="1"/>
        <v>0</v>
      </c>
      <c r="E10" s="219" t="str">
        <f>IFERROR(__xludf.DUMMYFUNCTION("SPARKLINE(D10, {""charttype"",""bar"";""max"",1;""color1"",F10})"),"")</f>
        <v/>
      </c>
      <c r="F10" s="220" t="str">
        <f t="shared" si="2"/>
        <v>#e40303</v>
      </c>
      <c r="G10" s="25" t="s">
        <v>2023</v>
      </c>
      <c r="H10" s="217">
        <f t="shared" si="3"/>
        <v>1630</v>
      </c>
      <c r="I10" s="217">
        <f t="shared" si="4"/>
        <v>0</v>
      </c>
      <c r="J10" s="218">
        <f t="shared" si="5"/>
        <v>0</v>
      </c>
      <c r="K10" s="219" t="str">
        <f>IFERROR(__xludf.DUMMYFUNCTION("SPARKLINE(J10, {""charttype"",""bar"";""max"",1;""color1"",L10})"),"")</f>
        <v/>
      </c>
      <c r="L10" s="217" t="str">
        <f t="shared" si="6"/>
        <v>#e40303</v>
      </c>
    </row>
    <row r="11">
      <c r="A11" s="25">
        <v>9.0</v>
      </c>
      <c r="B11" s="217">
        <f>IFERROR(__xludf.DUMMYFUNCTION("COUNTA(FILTER('List of log slots'!$A:$A, 'List of log slots'!$E:$E=$A11))"),39.0)</f>
        <v>39</v>
      </c>
      <c r="C11" s="217">
        <f>IFERROR(__xludf.DUMMYFUNCTION("COUNTA(IFERROR(FILTER('List of log slots'!$A:$A, 'List of log slots'!$E:$E=$A11, 'List of log slots'!$C:$C=TRUE), ))"),0.0)</f>
        <v>0</v>
      </c>
      <c r="D11" s="218">
        <f t="shared" si="1"/>
        <v>0</v>
      </c>
      <c r="E11" s="219" t="str">
        <f>IFERROR(__xludf.DUMMYFUNCTION("SPARKLINE(D11, {""charttype"",""bar"";""max"",1;""color1"",F11})"),"")</f>
        <v/>
      </c>
      <c r="F11" s="220" t="str">
        <f t="shared" si="2"/>
        <v>#e40303</v>
      </c>
      <c r="G11" s="25" t="s">
        <v>2024</v>
      </c>
      <c r="H11" s="217">
        <f t="shared" si="3"/>
        <v>1669</v>
      </c>
      <c r="I11" s="217">
        <f t="shared" si="4"/>
        <v>0</v>
      </c>
      <c r="J11" s="218">
        <f t="shared" si="5"/>
        <v>0</v>
      </c>
      <c r="K11" s="219" t="str">
        <f>IFERROR(__xludf.DUMMYFUNCTION("SPARKLINE(J11, {""charttype"",""bar"";""max"",1;""color1"",L11})"),"")</f>
        <v/>
      </c>
      <c r="L11" s="217" t="str">
        <f t="shared" si="6"/>
        <v>#e40303</v>
      </c>
    </row>
    <row r="12">
      <c r="A12" s="25">
        <v>10.0</v>
      </c>
      <c r="B12" s="217">
        <f>IFERROR(__xludf.DUMMYFUNCTION("COUNTA(FILTER('List of log slots'!$A:$A, 'List of log slots'!$E:$E=$A12))"),23.0)</f>
        <v>23</v>
      </c>
      <c r="C12" s="217">
        <f>IFERROR(__xludf.DUMMYFUNCTION("COUNTA(IFERROR(FILTER('List of log slots'!$A:$A, 'List of log slots'!$E:$E=$A12, 'List of log slots'!$C:$C=TRUE), ))"),0.0)</f>
        <v>0</v>
      </c>
      <c r="D12" s="218">
        <f t="shared" si="1"/>
        <v>0</v>
      </c>
      <c r="E12" s="219" t="str">
        <f>IFERROR(__xludf.DUMMYFUNCTION("SPARKLINE(D12, {""charttype"",""bar"";""max"",1;""color1"",F12})"),"")</f>
        <v/>
      </c>
      <c r="F12" s="220" t="str">
        <f t="shared" si="2"/>
        <v>#e40303</v>
      </c>
      <c r="G12" s="25" t="s">
        <v>2025</v>
      </c>
      <c r="H12" s="217">
        <f t="shared" si="3"/>
        <v>1692</v>
      </c>
      <c r="I12" s="217">
        <f t="shared" si="4"/>
        <v>0</v>
      </c>
      <c r="J12" s="218">
        <f t="shared" si="5"/>
        <v>0</v>
      </c>
      <c r="K12" s="219" t="str">
        <f>IFERROR(__xludf.DUMMYFUNCTION("SPARKLINE(J12, {""charttype"",""bar"";""max"",1;""color1"",L12})"),"")</f>
        <v/>
      </c>
      <c r="L12" s="217" t="str">
        <f t="shared" si="6"/>
        <v>#e40303</v>
      </c>
    </row>
  </sheetData>
  <mergeCells count="4">
    <mergeCell ref="A1:E1"/>
    <mergeCell ref="G1:K1"/>
    <mergeCell ref="D2:E2"/>
    <mergeCell ref="J2:K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8.38"/>
    <col customWidth="1" min="3" max="3" width="101.88"/>
  </cols>
  <sheetData>
    <row r="1">
      <c r="A1" s="21" t="s">
        <v>2026</v>
      </c>
      <c r="B1" s="199"/>
      <c r="C1" s="11"/>
    </row>
    <row r="2">
      <c r="A2" s="221" t="s">
        <v>2027</v>
      </c>
      <c r="B2" s="222">
        <v>46001.0</v>
      </c>
      <c r="C2" s="23" t="s">
        <v>2028</v>
      </c>
    </row>
    <row r="3">
      <c r="A3" s="223"/>
      <c r="B3" s="224"/>
      <c r="C3" s="23" t="s">
        <v>2029</v>
      </c>
    </row>
    <row r="4">
      <c r="A4" s="223"/>
      <c r="B4" s="224"/>
      <c r="C4" s="23" t="s">
        <v>2030</v>
      </c>
    </row>
    <row r="5">
      <c r="A5" s="223"/>
      <c r="B5" s="224"/>
      <c r="C5" s="23" t="s">
        <v>2031</v>
      </c>
    </row>
    <row r="6">
      <c r="A6" s="223"/>
      <c r="B6" s="224"/>
      <c r="C6" s="23" t="s">
        <v>2032</v>
      </c>
    </row>
    <row r="7">
      <c r="A7" s="223"/>
      <c r="B7" s="224"/>
      <c r="C7" s="23" t="s">
        <v>2033</v>
      </c>
    </row>
    <row r="8">
      <c r="A8" s="223"/>
      <c r="B8" s="224"/>
      <c r="C8" s="23" t="s">
        <v>2034</v>
      </c>
    </row>
    <row r="9">
      <c r="A9" s="223"/>
      <c r="B9" s="224"/>
      <c r="C9" s="23" t="s">
        <v>2035</v>
      </c>
    </row>
    <row r="10">
      <c r="A10" s="223"/>
      <c r="B10" s="224"/>
      <c r="C10" s="23" t="s">
        <v>2036</v>
      </c>
    </row>
    <row r="11">
      <c r="A11" s="223"/>
      <c r="B11" s="224"/>
      <c r="C11" s="197" t="s">
        <v>2037</v>
      </c>
    </row>
    <row r="12">
      <c r="A12" s="223"/>
      <c r="B12" s="224"/>
      <c r="C12" s="197" t="s">
        <v>2038</v>
      </c>
    </row>
    <row r="13">
      <c r="A13" s="223"/>
      <c r="B13" s="224"/>
      <c r="C13" s="197" t="s">
        <v>2039</v>
      </c>
    </row>
    <row r="14">
      <c r="A14" s="223"/>
      <c r="B14" s="224"/>
      <c r="C14" s="8"/>
    </row>
    <row r="15">
      <c r="A15" s="221" t="s">
        <v>2040</v>
      </c>
      <c r="B15" s="222">
        <v>45907.0</v>
      </c>
      <c r="C15" s="23" t="s">
        <v>2041</v>
      </c>
    </row>
    <row r="16">
      <c r="A16" s="223"/>
      <c r="B16" s="224"/>
      <c r="C16" s="23" t="s">
        <v>2042</v>
      </c>
    </row>
    <row r="17">
      <c r="A17" s="223"/>
      <c r="B17" s="224"/>
      <c r="C17" s="23" t="s">
        <v>2043</v>
      </c>
    </row>
    <row r="18">
      <c r="A18" s="223"/>
      <c r="B18" s="224"/>
      <c r="C18" s="23" t="s">
        <v>2044</v>
      </c>
    </row>
    <row r="19">
      <c r="A19" s="223"/>
      <c r="B19" s="224"/>
      <c r="C19" s="23" t="s">
        <v>2045</v>
      </c>
    </row>
    <row r="20">
      <c r="A20" s="223"/>
      <c r="B20" s="224"/>
      <c r="C20" s="23" t="s">
        <v>2046</v>
      </c>
    </row>
    <row r="21">
      <c r="A21" s="223"/>
      <c r="B21" s="224"/>
      <c r="C21" s="8"/>
    </row>
    <row r="22">
      <c r="A22" s="221" t="s">
        <v>2047</v>
      </c>
      <c r="B22" s="222">
        <v>45843.0</v>
      </c>
      <c r="C22" s="23" t="s">
        <v>2048</v>
      </c>
    </row>
    <row r="23">
      <c r="A23" s="223"/>
      <c r="B23" s="224"/>
      <c r="C23" s="23" t="s">
        <v>2043</v>
      </c>
    </row>
    <row r="24">
      <c r="A24" s="223"/>
      <c r="B24" s="224"/>
      <c r="C24" s="23" t="s">
        <v>2049</v>
      </c>
    </row>
    <row r="25">
      <c r="A25" s="223"/>
      <c r="B25" s="224"/>
      <c r="C25" s="23" t="s">
        <v>2050</v>
      </c>
    </row>
    <row r="26">
      <c r="A26" s="223"/>
      <c r="B26" s="224"/>
      <c r="C26" s="23" t="s">
        <v>2051</v>
      </c>
    </row>
    <row r="27">
      <c r="A27" s="223"/>
      <c r="B27" s="224"/>
      <c r="C27" s="23" t="s">
        <v>2052</v>
      </c>
    </row>
    <row r="28">
      <c r="A28" s="223"/>
      <c r="B28" s="224"/>
      <c r="C28" s="23" t="s">
        <v>2053</v>
      </c>
    </row>
    <row r="29">
      <c r="A29" s="223"/>
      <c r="B29" s="224"/>
      <c r="C29" s="23" t="s">
        <v>2054</v>
      </c>
    </row>
    <row r="30">
      <c r="A30" s="223"/>
      <c r="B30" s="224"/>
      <c r="C30" s="23" t="s">
        <v>2055</v>
      </c>
    </row>
    <row r="31">
      <c r="A31" s="223"/>
      <c r="B31" s="224"/>
      <c r="C31" s="23" t="s">
        <v>2056</v>
      </c>
    </row>
    <row r="32">
      <c r="A32" s="223"/>
      <c r="B32" s="224"/>
      <c r="C32" s="23" t="s">
        <v>2057</v>
      </c>
    </row>
    <row r="33">
      <c r="A33" s="223"/>
      <c r="B33" s="224"/>
      <c r="C33" s="23" t="s">
        <v>2058</v>
      </c>
    </row>
    <row r="34">
      <c r="A34" s="223"/>
      <c r="B34" s="224"/>
      <c r="C34" s="8"/>
    </row>
    <row r="35">
      <c r="A35" s="221" t="s">
        <v>2059</v>
      </c>
      <c r="B35" s="222">
        <v>45792.0</v>
      </c>
      <c r="C35" s="23" t="s">
        <v>2060</v>
      </c>
    </row>
    <row r="36">
      <c r="A36" s="223"/>
      <c r="B36" s="224"/>
      <c r="C36" s="23" t="s">
        <v>2061</v>
      </c>
    </row>
    <row r="37">
      <c r="A37" s="223"/>
      <c r="B37" s="224"/>
      <c r="C37" s="23" t="s">
        <v>2062</v>
      </c>
    </row>
    <row r="38">
      <c r="A38" s="223"/>
      <c r="B38" s="224"/>
      <c r="C38" s="23" t="s">
        <v>2063</v>
      </c>
    </row>
    <row r="39">
      <c r="A39" s="223"/>
      <c r="B39" s="224"/>
      <c r="C39" s="23" t="s">
        <v>2064</v>
      </c>
    </row>
    <row r="40">
      <c r="A40" s="223"/>
      <c r="B40" s="224"/>
      <c r="C40" s="23" t="s">
        <v>2065</v>
      </c>
    </row>
    <row r="41">
      <c r="A41" s="223"/>
      <c r="B41" s="224"/>
      <c r="C41" s="23" t="s">
        <v>2066</v>
      </c>
    </row>
    <row r="42">
      <c r="A42" s="223"/>
      <c r="B42" s="224"/>
      <c r="C42" s="23" t="s">
        <v>2067</v>
      </c>
    </row>
    <row r="43">
      <c r="A43" s="223"/>
      <c r="B43" s="224"/>
      <c r="C43" s="23" t="s">
        <v>2068</v>
      </c>
    </row>
    <row r="44">
      <c r="A44" s="223"/>
      <c r="B44" s="224"/>
      <c r="C44" s="8"/>
    </row>
    <row r="45">
      <c r="A45" s="221" t="s">
        <v>2069</v>
      </c>
      <c r="B45" s="222">
        <v>45729.0</v>
      </c>
      <c r="C45" s="23" t="s">
        <v>2070</v>
      </c>
    </row>
    <row r="46">
      <c r="A46" s="223"/>
      <c r="B46" s="225"/>
      <c r="C46" s="23" t="s">
        <v>2071</v>
      </c>
    </row>
    <row r="47">
      <c r="A47" s="223"/>
      <c r="B47" s="225"/>
      <c r="C47" s="23" t="s">
        <v>2072</v>
      </c>
    </row>
    <row r="48">
      <c r="A48" s="223"/>
      <c r="B48" s="225"/>
      <c r="C48" s="23" t="s">
        <v>2073</v>
      </c>
    </row>
    <row r="49">
      <c r="A49" s="223"/>
      <c r="B49" s="225"/>
      <c r="C49" s="23" t="s">
        <v>2074</v>
      </c>
    </row>
    <row r="50">
      <c r="A50" s="223"/>
      <c r="B50" s="225"/>
      <c r="C50" s="23" t="s">
        <v>2075</v>
      </c>
    </row>
    <row r="51">
      <c r="A51" s="223"/>
      <c r="B51" s="225"/>
      <c r="C51" s="23" t="s">
        <v>2076</v>
      </c>
    </row>
    <row r="52">
      <c r="A52" s="223"/>
      <c r="B52" s="225"/>
      <c r="C52" s="23" t="s">
        <v>2077</v>
      </c>
    </row>
    <row r="53">
      <c r="A53" s="223"/>
      <c r="B53" s="225"/>
      <c r="C53" s="23" t="s">
        <v>2078</v>
      </c>
    </row>
    <row r="54">
      <c r="A54" s="223"/>
      <c r="B54" s="225"/>
      <c r="C54" s="23" t="s">
        <v>2079</v>
      </c>
    </row>
    <row r="55">
      <c r="A55" s="223"/>
      <c r="B55" s="225"/>
      <c r="C55" s="23" t="s">
        <v>2080</v>
      </c>
    </row>
    <row r="56">
      <c r="A56" s="223"/>
      <c r="B56" s="225"/>
      <c r="C56" s="23" t="s">
        <v>2081</v>
      </c>
    </row>
    <row r="57">
      <c r="A57" s="223"/>
      <c r="B57" s="225"/>
      <c r="C57" s="23" t="s">
        <v>2082</v>
      </c>
    </row>
    <row r="58">
      <c r="A58" s="223"/>
      <c r="B58" s="225"/>
      <c r="C58" s="23" t="s">
        <v>2083</v>
      </c>
    </row>
    <row r="59">
      <c r="A59" s="223"/>
      <c r="B59" s="225"/>
      <c r="C59" s="23" t="s">
        <v>2084</v>
      </c>
    </row>
    <row r="60">
      <c r="A60" s="223"/>
      <c r="B60" s="225"/>
      <c r="C60" s="23" t="s">
        <v>2085</v>
      </c>
    </row>
    <row r="61">
      <c r="A61" s="223"/>
      <c r="B61" s="225"/>
      <c r="C61" s="8"/>
    </row>
    <row r="62">
      <c r="A62" s="221" t="s">
        <v>2086</v>
      </c>
      <c r="B62" s="222">
        <v>45660.0</v>
      </c>
      <c r="C62" s="23" t="s">
        <v>2087</v>
      </c>
    </row>
    <row r="63">
      <c r="A63" s="223"/>
      <c r="B63" s="225"/>
      <c r="C63" s="23" t="s">
        <v>2088</v>
      </c>
    </row>
    <row r="64">
      <c r="A64" s="223"/>
      <c r="B64" s="225"/>
      <c r="C64" s="23" t="s">
        <v>2089</v>
      </c>
    </row>
    <row r="65">
      <c r="A65" s="223"/>
      <c r="B65" s="225"/>
      <c r="C65" s="23" t="s">
        <v>2090</v>
      </c>
    </row>
    <row r="66">
      <c r="A66" s="223"/>
      <c r="B66" s="225"/>
      <c r="C66" s="8"/>
    </row>
    <row r="67">
      <c r="A67" s="221" t="s">
        <v>2091</v>
      </c>
      <c r="B67" s="222">
        <v>45559.0</v>
      </c>
      <c r="C67" s="23" t="s">
        <v>2092</v>
      </c>
    </row>
    <row r="68">
      <c r="A68" s="223"/>
      <c r="B68" s="225"/>
      <c r="C68" s="23" t="s">
        <v>2093</v>
      </c>
    </row>
    <row r="69">
      <c r="A69" s="223"/>
      <c r="B69" s="225"/>
      <c r="C69" s="23" t="s">
        <v>2094</v>
      </c>
    </row>
    <row r="70">
      <c r="A70" s="223"/>
      <c r="B70" s="225"/>
      <c r="C70" s="23" t="s">
        <v>2095</v>
      </c>
    </row>
    <row r="71">
      <c r="A71" s="223"/>
      <c r="B71" s="225"/>
      <c r="C71" s="23" t="s">
        <v>2096</v>
      </c>
    </row>
    <row r="72">
      <c r="A72" s="223"/>
      <c r="B72" s="225"/>
      <c r="C72" s="23" t="s">
        <v>2061</v>
      </c>
    </row>
    <row r="73">
      <c r="A73" s="223"/>
      <c r="B73" s="225"/>
      <c r="C73" s="8"/>
    </row>
    <row r="74">
      <c r="A74" s="221" t="s">
        <v>2097</v>
      </c>
      <c r="B74" s="226">
        <v>45499.0</v>
      </c>
      <c r="C74" s="23" t="s">
        <v>2098</v>
      </c>
    </row>
    <row r="75">
      <c r="A75" s="223"/>
      <c r="B75" s="227"/>
      <c r="C75" s="23" t="s">
        <v>2099</v>
      </c>
    </row>
    <row r="76">
      <c r="A76" s="223"/>
      <c r="B76" s="227"/>
      <c r="C76" s="23" t="s">
        <v>2100</v>
      </c>
    </row>
    <row r="77">
      <c r="A77" s="223"/>
      <c r="B77" s="227"/>
      <c r="C77" s="23" t="s">
        <v>2101</v>
      </c>
    </row>
    <row r="78">
      <c r="A78" s="223"/>
      <c r="B78" s="227"/>
      <c r="C78" s="23" t="s">
        <v>2102</v>
      </c>
    </row>
    <row r="79">
      <c r="A79" s="223"/>
      <c r="B79" s="227"/>
      <c r="C79" s="23" t="s">
        <v>2103</v>
      </c>
    </row>
    <row r="80">
      <c r="A80" s="223"/>
      <c r="B80" s="227"/>
      <c r="C80" s="23" t="s">
        <v>2104</v>
      </c>
    </row>
    <row r="81">
      <c r="A81" s="223"/>
      <c r="B81" s="227"/>
      <c r="C81" s="23" t="s">
        <v>2105</v>
      </c>
    </row>
    <row r="82">
      <c r="A82" s="223"/>
      <c r="B82" s="227"/>
      <c r="C82" s="8"/>
    </row>
    <row r="83">
      <c r="A83" s="221" t="s">
        <v>2106</v>
      </c>
      <c r="B83" s="226">
        <v>45401.0</v>
      </c>
      <c r="C83" s="23" t="s">
        <v>2107</v>
      </c>
    </row>
    <row r="84">
      <c r="A84" s="223"/>
      <c r="B84" s="227"/>
      <c r="C84" s="23" t="s">
        <v>2108</v>
      </c>
    </row>
    <row r="85">
      <c r="A85" s="223"/>
      <c r="B85" s="227"/>
      <c r="C85" s="23" t="s">
        <v>2109</v>
      </c>
    </row>
    <row r="86">
      <c r="A86" s="223"/>
      <c r="B86" s="227"/>
      <c r="C86" s="8"/>
    </row>
    <row r="87">
      <c r="A87" s="221" t="s">
        <v>2110</v>
      </c>
      <c r="B87" s="226">
        <v>45359.0</v>
      </c>
      <c r="C87" s="23" t="s">
        <v>2111</v>
      </c>
    </row>
    <row r="88">
      <c r="A88" s="223"/>
      <c r="B88" s="227"/>
      <c r="C88" s="23" t="s">
        <v>2112</v>
      </c>
    </row>
    <row r="89">
      <c r="A89" s="223"/>
      <c r="B89" s="227"/>
      <c r="C89" s="23" t="s">
        <v>2113</v>
      </c>
    </row>
    <row r="90">
      <c r="A90" s="223"/>
      <c r="B90" s="227"/>
      <c r="C90" s="23" t="s">
        <v>2114</v>
      </c>
    </row>
    <row r="91">
      <c r="A91" s="223"/>
      <c r="B91" s="227"/>
      <c r="C91" s="23" t="s">
        <v>2115</v>
      </c>
    </row>
    <row r="92">
      <c r="A92" s="223"/>
      <c r="B92" s="227"/>
      <c r="C92" s="8"/>
    </row>
    <row r="93">
      <c r="A93" s="221" t="s">
        <v>2116</v>
      </c>
      <c r="B93" s="226">
        <v>45319.0</v>
      </c>
      <c r="C93" s="23" t="s">
        <v>2117</v>
      </c>
    </row>
    <row r="94">
      <c r="A94" s="223"/>
      <c r="B94" s="227"/>
      <c r="C94" s="23" t="s">
        <v>2118</v>
      </c>
    </row>
    <row r="95">
      <c r="A95" s="223"/>
      <c r="B95" s="227"/>
      <c r="C95" s="23" t="s">
        <v>2119</v>
      </c>
    </row>
    <row r="96">
      <c r="A96" s="223"/>
      <c r="B96" s="227"/>
      <c r="C96" s="8"/>
    </row>
    <row r="97">
      <c r="A97" s="221" t="s">
        <v>2120</v>
      </c>
      <c r="B97" s="226">
        <v>45270.0</v>
      </c>
      <c r="C97" s="23" t="s">
        <v>2121</v>
      </c>
    </row>
    <row r="98">
      <c r="A98" s="223"/>
      <c r="B98" s="227"/>
      <c r="C98" s="23" t="s">
        <v>2122</v>
      </c>
    </row>
    <row r="99">
      <c r="A99" s="223"/>
      <c r="B99" s="227"/>
      <c r="C99" s="23" t="s">
        <v>2123</v>
      </c>
    </row>
    <row r="100">
      <c r="A100" s="223"/>
      <c r="B100" s="227"/>
      <c r="C100" s="23" t="s">
        <v>2124</v>
      </c>
    </row>
    <row r="101">
      <c r="A101" s="223"/>
      <c r="B101" s="227"/>
      <c r="C101" s="8"/>
    </row>
    <row r="102">
      <c r="A102" s="221" t="s">
        <v>2125</v>
      </c>
      <c r="B102" s="226">
        <v>45214.0</v>
      </c>
      <c r="C102" s="23" t="s">
        <v>2126</v>
      </c>
    </row>
    <row r="103">
      <c r="A103" s="223"/>
      <c r="B103" s="227"/>
      <c r="C103" s="23" t="s">
        <v>2127</v>
      </c>
    </row>
    <row r="104">
      <c r="A104" s="223"/>
      <c r="B104" s="227"/>
      <c r="C104" s="23" t="s">
        <v>2128</v>
      </c>
    </row>
    <row r="105">
      <c r="A105" s="223"/>
      <c r="B105" s="227"/>
      <c r="C105" s="8"/>
    </row>
    <row r="106">
      <c r="A106" s="221" t="s">
        <v>2129</v>
      </c>
      <c r="B106" s="226">
        <v>45151.0</v>
      </c>
      <c r="C106" s="23" t="s">
        <v>2130</v>
      </c>
    </row>
    <row r="107">
      <c r="A107" s="223"/>
      <c r="B107" s="227"/>
      <c r="C107" s="23" t="s">
        <v>2131</v>
      </c>
    </row>
    <row r="108">
      <c r="A108" s="223"/>
      <c r="B108" s="227"/>
      <c r="C108" s="23" t="s">
        <v>2132</v>
      </c>
    </row>
    <row r="109">
      <c r="A109" s="223"/>
      <c r="B109" s="227"/>
      <c r="C109" s="23" t="s">
        <v>2133</v>
      </c>
    </row>
    <row r="110">
      <c r="A110" s="223"/>
      <c r="B110" s="227"/>
      <c r="C110" s="228" t="s">
        <v>2134</v>
      </c>
    </row>
    <row r="111">
      <c r="A111" s="223"/>
      <c r="B111" s="227"/>
      <c r="C111" s="23" t="s">
        <v>2135</v>
      </c>
    </row>
    <row r="112">
      <c r="A112" s="223"/>
      <c r="B112" s="227"/>
      <c r="C112" s="23" t="s">
        <v>2136</v>
      </c>
    </row>
    <row r="113">
      <c r="A113" s="223"/>
      <c r="B113" s="227"/>
      <c r="C113" s="23" t="s">
        <v>2137</v>
      </c>
    </row>
    <row r="114">
      <c r="A114" s="223"/>
      <c r="B114" s="227"/>
      <c r="C114" s="6"/>
    </row>
    <row r="115">
      <c r="A115" s="221" t="s">
        <v>2138</v>
      </c>
      <c r="B115" s="226">
        <v>45087.0</v>
      </c>
      <c r="C115" s="194" t="s">
        <v>2139</v>
      </c>
    </row>
    <row r="116">
      <c r="A116" s="223"/>
      <c r="B116" s="227"/>
      <c r="C116" s="194" t="s">
        <v>2140</v>
      </c>
    </row>
    <row r="117">
      <c r="A117" s="223"/>
      <c r="B117" s="227"/>
      <c r="C117" s="6"/>
    </row>
    <row r="118">
      <c r="A118" s="221" t="s">
        <v>2141</v>
      </c>
      <c r="B118" s="226">
        <v>45021.0</v>
      </c>
      <c r="C118" s="194" t="s">
        <v>2142</v>
      </c>
    </row>
    <row r="119">
      <c r="A119" s="223"/>
      <c r="B119" s="227"/>
      <c r="C119" s="8"/>
    </row>
    <row r="120">
      <c r="A120" s="229" t="s">
        <v>2143</v>
      </c>
      <c r="B120" s="226">
        <v>44965.0</v>
      </c>
      <c r="C120" s="23" t="s">
        <v>2144</v>
      </c>
    </row>
    <row r="121">
      <c r="A121" s="223"/>
      <c r="B121" s="227"/>
      <c r="C121" s="194" t="s">
        <v>2145</v>
      </c>
    </row>
    <row r="122">
      <c r="A122" s="223"/>
      <c r="B122" s="227"/>
      <c r="C122" s="194" t="s">
        <v>2146</v>
      </c>
    </row>
    <row r="123">
      <c r="A123" s="223"/>
      <c r="B123" s="227"/>
      <c r="C123" s="194" t="s">
        <v>2147</v>
      </c>
    </row>
    <row r="124">
      <c r="A124" s="223"/>
      <c r="B124" s="227"/>
      <c r="C124" s="194" t="s">
        <v>2148</v>
      </c>
    </row>
    <row r="125">
      <c r="A125" s="223"/>
      <c r="B125" s="227"/>
      <c r="C125" s="194" t="s">
        <v>2149</v>
      </c>
    </row>
    <row r="126">
      <c r="A126" s="223"/>
      <c r="B126" s="227"/>
      <c r="C126" s="194" t="s">
        <v>2150</v>
      </c>
    </row>
    <row r="127">
      <c r="A127" s="223"/>
      <c r="B127" s="227"/>
      <c r="C127" s="194" t="s">
        <v>2151</v>
      </c>
    </row>
    <row r="128">
      <c r="A128" s="223"/>
      <c r="B128" s="227"/>
      <c r="C128" s="6"/>
    </row>
    <row r="129">
      <c r="A129" s="221" t="s">
        <v>2152</v>
      </c>
      <c r="B129" s="226">
        <v>44943.0</v>
      </c>
      <c r="C129" s="194" t="s">
        <v>2153</v>
      </c>
    </row>
    <row r="130">
      <c r="A130" s="223"/>
      <c r="B130" s="227"/>
      <c r="C130" s="194" t="s">
        <v>2154</v>
      </c>
    </row>
    <row r="131">
      <c r="A131" s="223"/>
      <c r="B131" s="227"/>
      <c r="C131" s="6"/>
    </row>
    <row r="132">
      <c r="A132" s="221" t="s">
        <v>2155</v>
      </c>
      <c r="B132" s="226">
        <v>44937.0</v>
      </c>
      <c r="C132" s="194" t="s">
        <v>2156</v>
      </c>
    </row>
    <row r="133">
      <c r="A133" s="223"/>
      <c r="B133" s="227"/>
      <c r="C133" s="194" t="s">
        <v>2157</v>
      </c>
    </row>
    <row r="134">
      <c r="A134" s="223"/>
      <c r="B134" s="227"/>
      <c r="C134" s="194" t="s">
        <v>2158</v>
      </c>
    </row>
    <row r="135">
      <c r="A135" s="223"/>
      <c r="B135" s="227"/>
      <c r="C135" s="6"/>
    </row>
    <row r="136">
      <c r="A136" s="221" t="s">
        <v>2159</v>
      </c>
      <c r="B136" s="226">
        <v>44935.0</v>
      </c>
      <c r="C136" s="194" t="s">
        <v>2160</v>
      </c>
    </row>
    <row r="137">
      <c r="A137" s="8"/>
      <c r="B137" s="227"/>
      <c r="C137" s="194" t="s">
        <v>2161</v>
      </c>
    </row>
    <row r="138">
      <c r="A138" s="8"/>
      <c r="B138" s="227"/>
      <c r="C138" s="194" t="s">
        <v>2162</v>
      </c>
    </row>
    <row r="139">
      <c r="A139" s="8"/>
      <c r="B139" s="227"/>
      <c r="C139" s="6"/>
    </row>
    <row r="140">
      <c r="A140" s="22" t="s">
        <v>2163</v>
      </c>
      <c r="B140" s="226">
        <v>44906.0</v>
      </c>
      <c r="C140" s="194" t="s">
        <v>2164</v>
      </c>
    </row>
    <row r="141">
      <c r="A141" s="8"/>
      <c r="B141" s="8"/>
      <c r="C141" s="6"/>
    </row>
    <row r="142">
      <c r="A142" s="230" t="s">
        <v>2165</v>
      </c>
      <c r="B142" s="199"/>
      <c r="C142" s="11"/>
    </row>
    <row r="143">
      <c r="A143" s="23" t="s">
        <v>2166</v>
      </c>
      <c r="B143" s="8"/>
      <c r="C143" s="6"/>
    </row>
    <row r="144">
      <c r="A144" s="23" t="s">
        <v>2167</v>
      </c>
      <c r="B144" s="8"/>
      <c r="C144" s="6"/>
    </row>
    <row r="145">
      <c r="A145" s="23" t="s">
        <v>2168</v>
      </c>
      <c r="B145" s="8"/>
      <c r="C145" s="6"/>
    </row>
    <row r="146">
      <c r="A146" s="231" t="s">
        <v>2169</v>
      </c>
      <c r="B146" s="8"/>
      <c r="C146" s="6"/>
    </row>
    <row r="147">
      <c r="A147" s="231" t="s">
        <v>2170</v>
      </c>
      <c r="B147" s="8"/>
      <c r="C147" s="6"/>
    </row>
    <row r="148">
      <c r="A148" s="23" t="s">
        <v>2171</v>
      </c>
      <c r="B148" s="8"/>
      <c r="C148" s="6"/>
    </row>
    <row r="149">
      <c r="A149" s="23" t="s">
        <v>2172</v>
      </c>
      <c r="B149" s="8"/>
      <c r="C149" s="6"/>
    </row>
    <row r="150">
      <c r="A150" s="23" t="s">
        <v>2173</v>
      </c>
      <c r="B150" s="8"/>
      <c r="C150" s="6"/>
    </row>
  </sheetData>
  <hyperlinks>
    <hyperlink r:id="rId1" ref="C110"/>
    <hyperlink r:id="rId2" ref="A120"/>
    <hyperlink r:id="rId3" ref="A142"/>
    <hyperlink r:id="rId4" ref="A146"/>
    <hyperlink r:id="rId5" ref="A147"/>
  </hyperlinks>
  <drawing r:id="rId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1.38"/>
  </cols>
  <sheetData>
    <row r="1">
      <c r="A1" s="232" t="str">
        <f>getUserData(Notes!D27)</f>
        <v>#ERROR!</v>
      </c>
      <c r="B1" s="233"/>
    </row>
    <row r="2">
      <c r="A2" s="233"/>
      <c r="B2" s="233"/>
    </row>
    <row r="3">
      <c r="A3" s="233"/>
      <c r="B3" s="233"/>
    </row>
    <row r="4">
      <c r="A4" s="233"/>
      <c r="B4" s="233"/>
    </row>
    <row r="5">
      <c r="A5" s="233"/>
      <c r="B5" s="233"/>
    </row>
    <row r="6">
      <c r="A6" s="233"/>
      <c r="B6" s="233"/>
    </row>
    <row r="7">
      <c r="A7" s="233"/>
      <c r="B7" s="233"/>
    </row>
    <row r="8">
      <c r="A8" s="233"/>
      <c r="B8" s="233"/>
    </row>
    <row r="9">
      <c r="A9" s="233"/>
      <c r="B9" s="233"/>
    </row>
    <row r="10">
      <c r="A10" s="233"/>
      <c r="B10" s="233"/>
    </row>
    <row r="11">
      <c r="A11" s="233"/>
      <c r="B11" s="233"/>
    </row>
    <row r="12">
      <c r="A12" s="233"/>
      <c r="B12" s="233"/>
    </row>
    <row r="13">
      <c r="A13" s="233"/>
      <c r="B13" s="233"/>
    </row>
    <row r="14">
      <c r="A14" s="233"/>
      <c r="B14" s="233"/>
    </row>
    <row r="15">
      <c r="A15" s="233"/>
      <c r="B15" s="233"/>
    </row>
    <row r="16">
      <c r="A16" s="233"/>
      <c r="B16" s="233"/>
    </row>
    <row r="17">
      <c r="A17" s="233"/>
      <c r="B17" s="233"/>
    </row>
    <row r="18">
      <c r="A18" s="233"/>
      <c r="B18" s="233"/>
    </row>
    <row r="19">
      <c r="A19" s="233"/>
      <c r="B19" s="233"/>
    </row>
    <row r="20">
      <c r="A20" s="233"/>
      <c r="B20" s="233"/>
    </row>
    <row r="21">
      <c r="A21" s="233"/>
      <c r="B21" s="233"/>
    </row>
    <row r="22">
      <c r="A22" s="233"/>
      <c r="B22" s="233"/>
    </row>
    <row r="23">
      <c r="A23" s="233"/>
      <c r="B23" s="233"/>
    </row>
    <row r="24">
      <c r="A24" s="233"/>
      <c r="B24" s="233"/>
    </row>
    <row r="25">
      <c r="A25" s="233"/>
      <c r="B25" s="233"/>
    </row>
    <row r="26">
      <c r="A26" s="233"/>
      <c r="B26" s="233"/>
    </row>
    <row r="27">
      <c r="A27" s="233"/>
      <c r="B27" s="233"/>
    </row>
    <row r="28">
      <c r="A28" s="233"/>
      <c r="B28" s="233"/>
    </row>
    <row r="29">
      <c r="A29" s="233"/>
      <c r="B29" s="233"/>
    </row>
    <row r="30">
      <c r="A30" s="233"/>
      <c r="B30" s="233"/>
    </row>
    <row r="31">
      <c r="A31" s="233"/>
      <c r="B31" s="233"/>
    </row>
    <row r="32">
      <c r="A32" s="233"/>
      <c r="B32" s="233"/>
    </row>
    <row r="33">
      <c r="A33" s="233"/>
      <c r="B33" s="233"/>
    </row>
    <row r="34">
      <c r="A34" s="233"/>
      <c r="B34" s="233"/>
    </row>
    <row r="35">
      <c r="A35" s="233"/>
      <c r="B35" s="233"/>
    </row>
    <row r="36">
      <c r="A36" s="233"/>
      <c r="B36" s="233"/>
    </row>
    <row r="37">
      <c r="A37" s="233"/>
      <c r="B37" s="233"/>
    </row>
    <row r="38">
      <c r="A38" s="233"/>
      <c r="B38" s="233"/>
    </row>
    <row r="39">
      <c r="A39" s="233"/>
      <c r="B39" s="233"/>
    </row>
    <row r="40">
      <c r="A40" s="233"/>
      <c r="B40" s="233"/>
    </row>
    <row r="41">
      <c r="A41" s="233"/>
      <c r="B41" s="233"/>
    </row>
    <row r="42">
      <c r="A42" s="233"/>
      <c r="B42" s="233"/>
    </row>
    <row r="43">
      <c r="A43" s="233"/>
      <c r="B43" s="233"/>
    </row>
    <row r="44">
      <c r="A44" s="233"/>
      <c r="B44" s="233"/>
    </row>
    <row r="45">
      <c r="A45" s="233"/>
      <c r="B45" s="233"/>
    </row>
    <row r="46">
      <c r="A46" s="233"/>
      <c r="B46" s="233"/>
    </row>
    <row r="47">
      <c r="A47" s="233"/>
      <c r="B47" s="233"/>
    </row>
    <row r="48">
      <c r="A48" s="233"/>
      <c r="B48" s="233"/>
    </row>
    <row r="49">
      <c r="A49" s="233"/>
      <c r="B49" s="233"/>
    </row>
    <row r="50">
      <c r="A50" s="233"/>
      <c r="B50" s="233"/>
    </row>
    <row r="51">
      <c r="A51" s="233"/>
      <c r="B51" s="233"/>
    </row>
    <row r="52">
      <c r="A52" s="233"/>
      <c r="B52" s="233"/>
    </row>
    <row r="53">
      <c r="A53" s="233"/>
      <c r="B53" s="233"/>
    </row>
    <row r="54">
      <c r="A54" s="233"/>
      <c r="B54" s="233"/>
    </row>
    <row r="55">
      <c r="A55" s="233"/>
      <c r="B55" s="233"/>
    </row>
    <row r="56">
      <c r="A56" s="233"/>
      <c r="B56" s="233"/>
    </row>
    <row r="57">
      <c r="A57" s="233"/>
      <c r="B57" s="233"/>
    </row>
    <row r="58">
      <c r="A58" s="233"/>
      <c r="B58" s="233"/>
    </row>
    <row r="59">
      <c r="A59" s="233"/>
      <c r="B59" s="233"/>
    </row>
    <row r="60">
      <c r="A60" s="233"/>
      <c r="B60" s="233"/>
    </row>
    <row r="61">
      <c r="A61" s="233"/>
      <c r="B61" s="233"/>
    </row>
    <row r="62">
      <c r="A62" s="233"/>
      <c r="B62" s="233"/>
    </row>
    <row r="63">
      <c r="A63" s="233"/>
      <c r="B63" s="233"/>
    </row>
    <row r="64">
      <c r="A64" s="233"/>
      <c r="B64" s="233"/>
    </row>
    <row r="65">
      <c r="A65" s="233"/>
      <c r="B65" s="233"/>
    </row>
    <row r="66">
      <c r="A66" s="233"/>
      <c r="B66" s="233"/>
    </row>
    <row r="67">
      <c r="A67" s="233"/>
      <c r="B67" s="233"/>
    </row>
    <row r="68">
      <c r="A68" s="233"/>
      <c r="B68" s="233"/>
    </row>
    <row r="69">
      <c r="A69" s="233"/>
      <c r="B69" s="233"/>
    </row>
    <row r="70">
      <c r="A70" s="233"/>
      <c r="B70" s="233"/>
    </row>
    <row r="71">
      <c r="A71" s="233"/>
      <c r="B71" s="233"/>
    </row>
    <row r="72">
      <c r="A72" s="233"/>
      <c r="B72" s="233"/>
    </row>
    <row r="73">
      <c r="A73" s="233"/>
      <c r="B73" s="233"/>
    </row>
    <row r="74">
      <c r="A74" s="233"/>
      <c r="B74" s="233"/>
    </row>
    <row r="75">
      <c r="A75" s="233"/>
      <c r="B75" s="233"/>
    </row>
    <row r="76">
      <c r="A76" s="233"/>
      <c r="B76" s="233"/>
    </row>
    <row r="77">
      <c r="A77" s="233"/>
      <c r="B77" s="233"/>
    </row>
    <row r="78">
      <c r="A78" s="233"/>
      <c r="B78" s="233"/>
    </row>
    <row r="79">
      <c r="A79" s="233"/>
      <c r="B79" s="233"/>
    </row>
    <row r="80">
      <c r="A80" s="233"/>
      <c r="B80" s="233"/>
    </row>
    <row r="81">
      <c r="A81" s="233"/>
      <c r="B81" s="233"/>
    </row>
    <row r="82">
      <c r="A82" s="233"/>
      <c r="B82" s="233"/>
    </row>
    <row r="83">
      <c r="A83" s="233"/>
      <c r="B83" s="233"/>
    </row>
    <row r="84">
      <c r="A84" s="233"/>
      <c r="B84" s="233"/>
    </row>
    <row r="85">
      <c r="A85" s="233"/>
      <c r="B85" s="233"/>
    </row>
    <row r="86">
      <c r="A86" s="233"/>
      <c r="B86" s="233"/>
    </row>
    <row r="87">
      <c r="A87" s="233"/>
      <c r="B87" s="233"/>
    </row>
    <row r="88">
      <c r="A88" s="233"/>
      <c r="B88" s="233"/>
    </row>
    <row r="89">
      <c r="A89" s="233"/>
      <c r="B89" s="233"/>
    </row>
    <row r="90">
      <c r="A90" s="233"/>
      <c r="B90" s="233"/>
    </row>
    <row r="91">
      <c r="A91" s="233"/>
      <c r="B91" s="233"/>
    </row>
    <row r="92">
      <c r="A92" s="233"/>
      <c r="B92" s="233"/>
    </row>
    <row r="93">
      <c r="A93" s="233"/>
      <c r="B93" s="233"/>
    </row>
    <row r="94">
      <c r="A94" s="233"/>
      <c r="B94" s="233"/>
    </row>
    <row r="95">
      <c r="A95" s="233"/>
      <c r="B95" s="233"/>
    </row>
    <row r="96">
      <c r="A96" s="233"/>
      <c r="B96" s="233"/>
    </row>
    <row r="97">
      <c r="A97" s="233"/>
      <c r="B97" s="233"/>
    </row>
    <row r="98">
      <c r="A98" s="233"/>
      <c r="B98" s="233"/>
    </row>
    <row r="99">
      <c r="A99" s="233"/>
      <c r="B99" s="233"/>
    </row>
    <row r="100">
      <c r="A100" s="233"/>
      <c r="B100" s="233"/>
    </row>
    <row r="101">
      <c r="A101" s="233"/>
      <c r="B101" s="233"/>
    </row>
    <row r="102">
      <c r="A102" s="233"/>
      <c r="B102" s="233"/>
    </row>
    <row r="103">
      <c r="A103" s="233"/>
      <c r="B103" s="233"/>
    </row>
    <row r="104">
      <c r="A104" s="233"/>
      <c r="B104" s="233"/>
    </row>
    <row r="105">
      <c r="A105" s="233"/>
      <c r="B105" s="233"/>
    </row>
    <row r="106">
      <c r="A106" s="233"/>
      <c r="B106" s="233"/>
    </row>
    <row r="107">
      <c r="A107" s="233"/>
      <c r="B107" s="233"/>
    </row>
    <row r="108">
      <c r="A108" s="233"/>
      <c r="B108" s="233"/>
    </row>
    <row r="109">
      <c r="A109" s="233"/>
      <c r="B109" s="233"/>
    </row>
    <row r="110">
      <c r="A110" s="233"/>
      <c r="B110" s="233"/>
    </row>
    <row r="111">
      <c r="A111" s="233"/>
      <c r="B111" s="233"/>
    </row>
    <row r="112">
      <c r="A112" s="233"/>
      <c r="B112" s="233"/>
    </row>
    <row r="113">
      <c r="A113" s="233"/>
      <c r="B113" s="233"/>
    </row>
    <row r="114">
      <c r="A114" s="233"/>
      <c r="B114" s="233"/>
    </row>
    <row r="115">
      <c r="A115" s="233"/>
      <c r="B115" s="233"/>
    </row>
    <row r="116">
      <c r="A116" s="233"/>
      <c r="B116" s="233"/>
    </row>
    <row r="117">
      <c r="A117" s="233"/>
      <c r="B117" s="233"/>
    </row>
    <row r="118">
      <c r="A118" s="233"/>
      <c r="B118" s="233"/>
    </row>
    <row r="119">
      <c r="A119" s="233"/>
      <c r="B119" s="233"/>
    </row>
    <row r="120">
      <c r="A120" s="233"/>
      <c r="B120" s="233"/>
    </row>
    <row r="121">
      <c r="A121" s="233"/>
      <c r="B121" s="233"/>
    </row>
    <row r="122">
      <c r="A122" s="233"/>
      <c r="B122" s="233"/>
    </row>
    <row r="123">
      <c r="A123" s="233"/>
      <c r="B123" s="233"/>
    </row>
    <row r="124">
      <c r="A124" s="233"/>
      <c r="B124" s="233"/>
    </row>
    <row r="125">
      <c r="A125" s="233"/>
      <c r="B125" s="233"/>
    </row>
    <row r="126">
      <c r="A126" s="233"/>
      <c r="B126" s="233"/>
    </row>
    <row r="127">
      <c r="A127" s="233"/>
      <c r="B127" s="233"/>
    </row>
    <row r="128">
      <c r="A128" s="233"/>
      <c r="B128" s="233"/>
    </row>
    <row r="129">
      <c r="A129" s="233"/>
      <c r="B129" s="233"/>
    </row>
    <row r="130">
      <c r="A130" s="233"/>
      <c r="B130" s="233"/>
    </row>
    <row r="131">
      <c r="A131" s="233"/>
      <c r="B131" s="233"/>
    </row>
    <row r="132">
      <c r="A132" s="233"/>
      <c r="B132" s="233"/>
    </row>
    <row r="133">
      <c r="A133" s="233"/>
      <c r="B133" s="233"/>
    </row>
    <row r="134">
      <c r="A134" s="233"/>
      <c r="B134" s="233"/>
    </row>
    <row r="135">
      <c r="A135" s="233"/>
      <c r="B135" s="233"/>
    </row>
    <row r="136">
      <c r="A136" s="233"/>
      <c r="B136" s="233"/>
    </row>
    <row r="137">
      <c r="A137" s="233"/>
      <c r="B137" s="233"/>
    </row>
    <row r="138">
      <c r="A138" s="233"/>
      <c r="B138" s="233"/>
    </row>
    <row r="139">
      <c r="A139" s="233"/>
      <c r="B139" s="233"/>
    </row>
    <row r="140">
      <c r="A140" s="233"/>
      <c r="B140" s="233"/>
    </row>
    <row r="141">
      <c r="A141" s="233"/>
      <c r="B141" s="233"/>
    </row>
    <row r="142">
      <c r="A142" s="233"/>
      <c r="B142" s="233"/>
    </row>
    <row r="143">
      <c r="A143" s="233"/>
      <c r="B143" s="233"/>
    </row>
    <row r="144">
      <c r="A144" s="233"/>
      <c r="B144" s="233"/>
    </row>
    <row r="145">
      <c r="A145" s="233"/>
      <c r="B145" s="233"/>
    </row>
    <row r="146">
      <c r="A146" s="233"/>
      <c r="B146" s="233"/>
    </row>
    <row r="147">
      <c r="A147" s="233"/>
      <c r="B147" s="233"/>
    </row>
    <row r="148">
      <c r="A148" s="233"/>
      <c r="B148" s="233"/>
    </row>
    <row r="149">
      <c r="A149" s="233"/>
      <c r="B149" s="233"/>
    </row>
    <row r="150">
      <c r="A150" s="233"/>
      <c r="B150" s="233"/>
    </row>
    <row r="151">
      <c r="A151" s="233"/>
      <c r="B151" s="233"/>
    </row>
    <row r="152">
      <c r="A152" s="233"/>
      <c r="B152" s="233"/>
    </row>
    <row r="153">
      <c r="A153" s="233"/>
      <c r="B153" s="233"/>
    </row>
    <row r="154">
      <c r="A154" s="233"/>
      <c r="B154" s="233"/>
    </row>
    <row r="155">
      <c r="A155" s="233"/>
      <c r="B155" s="233"/>
    </row>
    <row r="156">
      <c r="A156" s="233"/>
      <c r="B156" s="233"/>
    </row>
    <row r="157">
      <c r="A157" s="233"/>
      <c r="B157" s="233"/>
    </row>
    <row r="158">
      <c r="A158" s="233"/>
      <c r="B158" s="233"/>
    </row>
    <row r="159">
      <c r="A159" s="233"/>
      <c r="B159" s="233"/>
    </row>
    <row r="160">
      <c r="A160" s="233"/>
      <c r="B160" s="233"/>
    </row>
    <row r="161">
      <c r="A161" s="233"/>
      <c r="B161" s="233"/>
    </row>
    <row r="162">
      <c r="A162" s="233"/>
      <c r="B162" s="233"/>
    </row>
    <row r="163">
      <c r="A163" s="233"/>
      <c r="B163" s="233"/>
    </row>
    <row r="164">
      <c r="A164" s="233"/>
      <c r="B164" s="233"/>
    </row>
    <row r="165">
      <c r="A165" s="233"/>
      <c r="B165" s="233"/>
    </row>
    <row r="166">
      <c r="A166" s="233"/>
      <c r="B166" s="233"/>
    </row>
    <row r="167">
      <c r="A167" s="233"/>
      <c r="B167" s="233"/>
    </row>
    <row r="168">
      <c r="A168" s="233"/>
      <c r="B168" s="233"/>
    </row>
    <row r="169">
      <c r="A169" s="233"/>
      <c r="B169" s="233"/>
    </row>
    <row r="170">
      <c r="A170" s="233"/>
      <c r="B170" s="233"/>
    </row>
    <row r="171">
      <c r="A171" s="233"/>
      <c r="B171" s="233"/>
    </row>
    <row r="172">
      <c r="A172" s="233"/>
      <c r="B172" s="233"/>
    </row>
    <row r="173">
      <c r="A173" s="233"/>
      <c r="B173" s="233"/>
    </row>
    <row r="174">
      <c r="A174" s="233"/>
      <c r="B174" s="233"/>
    </row>
    <row r="175">
      <c r="A175" s="233"/>
      <c r="B175" s="233"/>
    </row>
    <row r="176">
      <c r="A176" s="233"/>
      <c r="B176" s="233"/>
    </row>
    <row r="177">
      <c r="A177" s="233"/>
      <c r="B177" s="233"/>
    </row>
    <row r="178">
      <c r="A178" s="233"/>
      <c r="B178" s="233"/>
    </row>
    <row r="179">
      <c r="A179" s="233"/>
      <c r="B179" s="233"/>
    </row>
    <row r="180">
      <c r="A180" s="233"/>
      <c r="B180" s="233"/>
    </row>
    <row r="181">
      <c r="A181" s="233"/>
      <c r="B181" s="233"/>
    </row>
    <row r="182">
      <c r="A182" s="233"/>
      <c r="B182" s="233"/>
    </row>
    <row r="183">
      <c r="A183" s="233"/>
      <c r="B183" s="233"/>
    </row>
    <row r="184">
      <c r="A184" s="233"/>
      <c r="B184" s="233"/>
    </row>
    <row r="185">
      <c r="A185" s="233"/>
      <c r="B185" s="233"/>
    </row>
    <row r="186">
      <c r="A186" s="233"/>
      <c r="B186" s="233"/>
    </row>
    <row r="187">
      <c r="A187" s="233"/>
      <c r="B187" s="233"/>
    </row>
    <row r="188">
      <c r="A188" s="233"/>
      <c r="B188" s="233"/>
    </row>
    <row r="189">
      <c r="A189" s="233"/>
      <c r="B189" s="233"/>
    </row>
    <row r="190">
      <c r="A190" s="233"/>
      <c r="B190" s="233"/>
    </row>
    <row r="191">
      <c r="A191" s="233"/>
      <c r="B191" s="233"/>
    </row>
    <row r="192">
      <c r="A192" s="233"/>
      <c r="B192" s="233"/>
    </row>
    <row r="193">
      <c r="A193" s="233"/>
      <c r="B193" s="233"/>
    </row>
    <row r="194">
      <c r="A194" s="233"/>
      <c r="B194" s="233"/>
    </row>
    <row r="195">
      <c r="A195" s="233"/>
      <c r="B195" s="233"/>
    </row>
    <row r="196">
      <c r="A196" s="233"/>
      <c r="B196" s="233"/>
    </row>
    <row r="197">
      <c r="A197" s="233"/>
      <c r="B197" s="233"/>
    </row>
    <row r="198">
      <c r="A198" s="233"/>
      <c r="B198" s="233"/>
    </row>
    <row r="199">
      <c r="A199" s="233"/>
      <c r="B199" s="233"/>
    </row>
    <row r="200">
      <c r="A200" s="233"/>
      <c r="B200" s="233"/>
    </row>
    <row r="201">
      <c r="A201" s="233"/>
      <c r="B201" s="233"/>
    </row>
    <row r="202">
      <c r="A202" s="233"/>
      <c r="B202" s="233"/>
    </row>
    <row r="203">
      <c r="A203" s="233"/>
      <c r="B203" s="233"/>
    </row>
    <row r="204">
      <c r="A204" s="233"/>
      <c r="B204" s="233"/>
    </row>
    <row r="205">
      <c r="A205" s="233"/>
      <c r="B205" s="233"/>
    </row>
    <row r="206">
      <c r="A206" s="233"/>
      <c r="B206" s="233"/>
    </row>
    <row r="207">
      <c r="A207" s="233"/>
      <c r="B207" s="233"/>
    </row>
    <row r="208">
      <c r="A208" s="233"/>
      <c r="B208" s="233"/>
    </row>
    <row r="209">
      <c r="A209" s="233"/>
      <c r="B209" s="233"/>
    </row>
    <row r="210">
      <c r="A210" s="233"/>
      <c r="B210" s="233"/>
    </row>
    <row r="211">
      <c r="A211" s="233"/>
      <c r="B211" s="233"/>
    </row>
    <row r="212">
      <c r="A212" s="233"/>
      <c r="B212" s="233"/>
    </row>
    <row r="213">
      <c r="A213" s="233"/>
      <c r="B213" s="233"/>
    </row>
    <row r="214">
      <c r="A214" s="233"/>
      <c r="B214" s="233"/>
    </row>
    <row r="215">
      <c r="A215" s="233"/>
      <c r="B215" s="233"/>
    </row>
    <row r="216">
      <c r="A216" s="233"/>
      <c r="B216" s="233"/>
    </row>
    <row r="217">
      <c r="A217" s="233"/>
      <c r="B217" s="233"/>
    </row>
    <row r="218">
      <c r="A218" s="233"/>
      <c r="B218" s="233"/>
    </row>
    <row r="219">
      <c r="A219" s="233"/>
      <c r="B219" s="233"/>
    </row>
    <row r="220">
      <c r="A220" s="233"/>
      <c r="B220" s="233"/>
    </row>
    <row r="221">
      <c r="A221" s="233"/>
      <c r="B221" s="233"/>
    </row>
    <row r="222">
      <c r="A222" s="233"/>
      <c r="B222" s="233"/>
    </row>
    <row r="223">
      <c r="A223" s="233"/>
      <c r="B223" s="233"/>
    </row>
    <row r="224">
      <c r="A224" s="233"/>
      <c r="B224" s="233"/>
    </row>
    <row r="225">
      <c r="A225" s="233"/>
      <c r="B225" s="233"/>
    </row>
    <row r="226">
      <c r="A226" s="233"/>
      <c r="B226" s="233"/>
    </row>
    <row r="227">
      <c r="A227" s="233"/>
      <c r="B227" s="233"/>
    </row>
    <row r="228">
      <c r="A228" s="233"/>
      <c r="B228" s="233"/>
    </row>
    <row r="229">
      <c r="A229" s="233"/>
      <c r="B229" s="233"/>
    </row>
    <row r="230">
      <c r="A230" s="233"/>
      <c r="B230" s="233"/>
    </row>
    <row r="231">
      <c r="A231" s="233"/>
      <c r="B231" s="233"/>
    </row>
    <row r="232">
      <c r="A232" s="233"/>
      <c r="B232" s="233"/>
    </row>
    <row r="233">
      <c r="A233" s="233"/>
      <c r="B233" s="233"/>
    </row>
    <row r="234">
      <c r="A234" s="233"/>
      <c r="B234" s="233"/>
    </row>
    <row r="235">
      <c r="A235" s="233"/>
      <c r="B235" s="233"/>
    </row>
    <row r="236">
      <c r="A236" s="233"/>
      <c r="B236" s="233"/>
    </row>
    <row r="237">
      <c r="A237" s="233"/>
      <c r="B237" s="233"/>
    </row>
    <row r="238">
      <c r="A238" s="233"/>
      <c r="B238" s="233"/>
    </row>
    <row r="239">
      <c r="A239" s="233"/>
      <c r="B239" s="233"/>
    </row>
    <row r="240">
      <c r="A240" s="233"/>
      <c r="B240" s="233"/>
    </row>
    <row r="241">
      <c r="A241" s="233"/>
      <c r="B241" s="233"/>
    </row>
    <row r="242">
      <c r="A242" s="233"/>
      <c r="B242" s="233"/>
    </row>
    <row r="243">
      <c r="A243" s="233"/>
      <c r="B243" s="233"/>
    </row>
    <row r="244">
      <c r="A244" s="233"/>
      <c r="B244" s="233"/>
    </row>
    <row r="245">
      <c r="A245" s="233"/>
      <c r="B245" s="233"/>
    </row>
    <row r="246">
      <c r="A246" s="233"/>
      <c r="B246" s="233"/>
    </row>
    <row r="247">
      <c r="A247" s="233"/>
      <c r="B247" s="233"/>
    </row>
    <row r="248">
      <c r="A248" s="233"/>
      <c r="B248" s="233"/>
    </row>
    <row r="249">
      <c r="A249" s="233"/>
      <c r="B249" s="233"/>
    </row>
    <row r="250">
      <c r="A250" s="233"/>
      <c r="B250" s="233"/>
    </row>
    <row r="251">
      <c r="A251" s="233"/>
      <c r="B251" s="233"/>
    </row>
    <row r="252">
      <c r="A252" s="233"/>
      <c r="B252" s="233"/>
    </row>
    <row r="253">
      <c r="A253" s="233"/>
      <c r="B253" s="233"/>
    </row>
    <row r="254">
      <c r="A254" s="233"/>
      <c r="B254" s="233"/>
    </row>
    <row r="255">
      <c r="A255" s="233"/>
      <c r="B255" s="233"/>
    </row>
    <row r="256">
      <c r="A256" s="233"/>
      <c r="B256" s="233"/>
    </row>
    <row r="257">
      <c r="A257" s="233"/>
      <c r="B257" s="233"/>
    </row>
    <row r="258">
      <c r="A258" s="233"/>
      <c r="B258" s="233"/>
    </row>
    <row r="259">
      <c r="A259" s="233"/>
      <c r="B259" s="233"/>
    </row>
    <row r="260">
      <c r="A260" s="233"/>
      <c r="B260" s="233"/>
    </row>
    <row r="261">
      <c r="A261" s="233"/>
      <c r="B261" s="233"/>
    </row>
    <row r="262">
      <c r="A262" s="233"/>
      <c r="B262" s="233"/>
    </row>
    <row r="263">
      <c r="A263" s="233"/>
      <c r="B263" s="233"/>
    </row>
    <row r="264">
      <c r="A264" s="233"/>
      <c r="B264" s="233"/>
    </row>
    <row r="265">
      <c r="A265" s="233"/>
      <c r="B265" s="233"/>
    </row>
    <row r="266">
      <c r="A266" s="233"/>
      <c r="B266" s="233"/>
    </row>
    <row r="267">
      <c r="A267" s="233"/>
      <c r="B267" s="233"/>
    </row>
    <row r="268">
      <c r="A268" s="233"/>
      <c r="B268" s="233"/>
    </row>
    <row r="269">
      <c r="A269" s="233"/>
      <c r="B269" s="233"/>
    </row>
    <row r="270">
      <c r="A270" s="233"/>
      <c r="B270" s="233"/>
    </row>
    <row r="271">
      <c r="A271" s="233"/>
      <c r="B271" s="233"/>
    </row>
    <row r="272">
      <c r="A272" s="233"/>
      <c r="B272" s="233"/>
    </row>
    <row r="273">
      <c r="A273" s="233"/>
      <c r="B273" s="233"/>
    </row>
    <row r="274">
      <c r="A274" s="233"/>
      <c r="B274" s="233"/>
    </row>
    <row r="275">
      <c r="A275" s="233"/>
      <c r="B275" s="233"/>
    </row>
    <row r="276">
      <c r="A276" s="233"/>
      <c r="B276" s="233"/>
    </row>
    <row r="277">
      <c r="A277" s="233"/>
      <c r="B277" s="233"/>
    </row>
    <row r="278">
      <c r="A278" s="233"/>
      <c r="B278" s="233"/>
    </row>
    <row r="279">
      <c r="A279" s="233"/>
      <c r="B279" s="233"/>
    </row>
    <row r="280">
      <c r="A280" s="233"/>
      <c r="B280" s="233"/>
    </row>
    <row r="281">
      <c r="A281" s="233"/>
      <c r="B281" s="233"/>
    </row>
    <row r="282">
      <c r="A282" s="233"/>
      <c r="B282" s="233"/>
    </row>
    <row r="283">
      <c r="A283" s="233"/>
      <c r="B283" s="233"/>
    </row>
    <row r="284">
      <c r="A284" s="233"/>
      <c r="B284" s="233"/>
    </row>
    <row r="285">
      <c r="A285" s="233"/>
      <c r="B285" s="233"/>
    </row>
    <row r="286">
      <c r="A286" s="233"/>
      <c r="B286" s="233"/>
    </row>
    <row r="287">
      <c r="A287" s="233"/>
      <c r="B287" s="233"/>
    </row>
    <row r="288">
      <c r="A288" s="233"/>
      <c r="B288" s="233"/>
    </row>
    <row r="289">
      <c r="A289" s="233"/>
      <c r="B289" s="233"/>
    </row>
    <row r="290">
      <c r="A290" s="233"/>
      <c r="B290" s="233"/>
    </row>
    <row r="291">
      <c r="A291" s="233"/>
      <c r="B291" s="233"/>
    </row>
    <row r="292">
      <c r="A292" s="233"/>
      <c r="B292" s="233"/>
    </row>
    <row r="293">
      <c r="A293" s="233"/>
      <c r="B293" s="233"/>
    </row>
    <row r="294">
      <c r="A294" s="233"/>
      <c r="B294" s="233"/>
    </row>
    <row r="295">
      <c r="A295" s="233"/>
      <c r="B295" s="233"/>
    </row>
    <row r="296">
      <c r="A296" s="233"/>
      <c r="B296" s="233"/>
    </row>
    <row r="297">
      <c r="A297" s="233"/>
      <c r="B297" s="233"/>
    </row>
    <row r="298">
      <c r="A298" s="233"/>
      <c r="B298" s="233"/>
    </row>
    <row r="299">
      <c r="A299" s="233"/>
      <c r="B299" s="233"/>
    </row>
    <row r="300">
      <c r="A300" s="233"/>
      <c r="B300" s="233"/>
    </row>
    <row r="301">
      <c r="A301" s="233"/>
      <c r="B301" s="233"/>
    </row>
    <row r="302">
      <c r="A302" s="233"/>
      <c r="B302" s="233"/>
    </row>
    <row r="303">
      <c r="A303" s="233"/>
      <c r="B303" s="233"/>
    </row>
    <row r="304">
      <c r="A304" s="233"/>
      <c r="B304" s="233"/>
    </row>
    <row r="305">
      <c r="A305" s="233"/>
      <c r="B305" s="233"/>
    </row>
    <row r="306">
      <c r="A306" s="233"/>
      <c r="B306" s="233"/>
    </row>
    <row r="307">
      <c r="A307" s="233"/>
      <c r="B307" s="233"/>
    </row>
    <row r="308">
      <c r="A308" s="233"/>
      <c r="B308" s="233"/>
    </row>
    <row r="309">
      <c r="A309" s="233"/>
      <c r="B309" s="233"/>
    </row>
    <row r="310">
      <c r="A310" s="233"/>
      <c r="B310" s="233"/>
    </row>
    <row r="311">
      <c r="A311" s="233"/>
      <c r="B311" s="233"/>
    </row>
    <row r="312">
      <c r="A312" s="233"/>
      <c r="B312" s="233"/>
    </row>
    <row r="313">
      <c r="A313" s="233"/>
      <c r="B313" s="233"/>
    </row>
    <row r="314">
      <c r="A314" s="233"/>
      <c r="B314" s="233"/>
    </row>
    <row r="315">
      <c r="A315" s="233"/>
      <c r="B315" s="233"/>
    </row>
    <row r="316">
      <c r="A316" s="233"/>
      <c r="B316" s="233"/>
    </row>
    <row r="317">
      <c r="A317" s="233"/>
      <c r="B317" s="233"/>
    </row>
    <row r="318">
      <c r="A318" s="233"/>
      <c r="B318" s="233"/>
    </row>
    <row r="319">
      <c r="A319" s="233"/>
      <c r="B319" s="233"/>
    </row>
    <row r="320">
      <c r="A320" s="233"/>
      <c r="B320" s="233"/>
    </row>
    <row r="321">
      <c r="A321" s="233"/>
      <c r="B321" s="233"/>
    </row>
    <row r="322">
      <c r="A322" s="233"/>
      <c r="B322" s="233"/>
    </row>
    <row r="323">
      <c r="A323" s="233"/>
      <c r="B323" s="233"/>
    </row>
    <row r="324">
      <c r="A324" s="233"/>
      <c r="B324" s="233"/>
    </row>
    <row r="325">
      <c r="A325" s="233"/>
      <c r="B325" s="233"/>
    </row>
    <row r="326">
      <c r="A326" s="233"/>
      <c r="B326" s="233"/>
    </row>
    <row r="327">
      <c r="A327" s="233"/>
      <c r="B327" s="233"/>
    </row>
    <row r="328">
      <c r="A328" s="233"/>
      <c r="B328" s="233"/>
    </row>
    <row r="329">
      <c r="A329" s="233"/>
      <c r="B329" s="233"/>
    </row>
    <row r="330">
      <c r="A330" s="233"/>
      <c r="B330" s="233"/>
    </row>
    <row r="331">
      <c r="A331" s="233"/>
      <c r="B331" s="233"/>
    </row>
    <row r="332">
      <c r="A332" s="233"/>
      <c r="B332" s="233"/>
    </row>
    <row r="333">
      <c r="A333" s="233"/>
      <c r="B333" s="233"/>
    </row>
    <row r="334">
      <c r="A334" s="233"/>
      <c r="B334" s="233"/>
    </row>
    <row r="335">
      <c r="A335" s="233"/>
      <c r="B335" s="233"/>
    </row>
    <row r="336">
      <c r="A336" s="233"/>
      <c r="B336" s="233"/>
    </row>
    <row r="337">
      <c r="A337" s="233"/>
      <c r="B337" s="233"/>
    </row>
    <row r="338">
      <c r="A338" s="233"/>
      <c r="B338" s="233"/>
    </row>
    <row r="339">
      <c r="A339" s="233"/>
      <c r="B339" s="233"/>
    </row>
    <row r="340">
      <c r="A340" s="233"/>
      <c r="B340" s="233"/>
    </row>
    <row r="341">
      <c r="A341" s="233"/>
      <c r="B341" s="233"/>
    </row>
    <row r="342">
      <c r="A342" s="233"/>
      <c r="B342" s="233"/>
    </row>
    <row r="343">
      <c r="A343" s="233"/>
      <c r="B343" s="233"/>
    </row>
    <row r="344">
      <c r="A344" s="233"/>
      <c r="B344" s="233"/>
    </row>
    <row r="345">
      <c r="A345" s="233"/>
      <c r="B345" s="233"/>
    </row>
    <row r="346">
      <c r="A346" s="233"/>
      <c r="B346" s="233"/>
    </row>
    <row r="347">
      <c r="A347" s="233"/>
      <c r="B347" s="233"/>
    </row>
    <row r="348">
      <c r="A348" s="233"/>
      <c r="B348" s="233"/>
    </row>
    <row r="349">
      <c r="A349" s="233"/>
      <c r="B349" s="233"/>
    </row>
    <row r="350">
      <c r="A350" s="233"/>
      <c r="B350" s="233"/>
    </row>
    <row r="351">
      <c r="A351" s="233"/>
      <c r="B351" s="233"/>
    </row>
    <row r="352">
      <c r="A352" s="233"/>
      <c r="B352" s="233"/>
    </row>
    <row r="353">
      <c r="A353" s="233"/>
      <c r="B353" s="233"/>
    </row>
    <row r="354">
      <c r="A354" s="233"/>
      <c r="B354" s="233"/>
    </row>
    <row r="355">
      <c r="A355" s="233"/>
      <c r="B355" s="233"/>
    </row>
    <row r="356">
      <c r="A356" s="233"/>
      <c r="B356" s="233"/>
    </row>
    <row r="357">
      <c r="A357" s="233"/>
      <c r="B357" s="233"/>
    </row>
    <row r="358">
      <c r="A358" s="233"/>
      <c r="B358" s="233"/>
    </row>
    <row r="359">
      <c r="A359" s="233"/>
      <c r="B359" s="233"/>
    </row>
    <row r="360">
      <c r="A360" s="233"/>
      <c r="B360" s="233"/>
    </row>
    <row r="361">
      <c r="A361" s="233"/>
      <c r="B361" s="233"/>
    </row>
    <row r="362">
      <c r="A362" s="233"/>
      <c r="B362" s="233"/>
    </row>
    <row r="363">
      <c r="A363" s="233"/>
      <c r="B363" s="233"/>
    </row>
    <row r="364">
      <c r="A364" s="233"/>
      <c r="B364" s="233"/>
    </row>
    <row r="365">
      <c r="A365" s="233"/>
      <c r="B365" s="233"/>
    </row>
    <row r="366">
      <c r="A366" s="233"/>
      <c r="B366" s="233"/>
    </row>
    <row r="367">
      <c r="A367" s="233"/>
      <c r="B367" s="233"/>
    </row>
    <row r="368">
      <c r="A368" s="233"/>
      <c r="B368" s="233"/>
    </row>
    <row r="369">
      <c r="A369" s="233"/>
      <c r="B369" s="233"/>
    </row>
    <row r="370">
      <c r="A370" s="233"/>
      <c r="B370" s="233"/>
    </row>
    <row r="371">
      <c r="A371" s="233"/>
      <c r="B371" s="233"/>
    </row>
    <row r="372">
      <c r="A372" s="233"/>
      <c r="B372" s="233"/>
    </row>
    <row r="373">
      <c r="A373" s="233"/>
      <c r="B373" s="233"/>
    </row>
    <row r="374">
      <c r="A374" s="233"/>
      <c r="B374" s="233"/>
    </row>
    <row r="375">
      <c r="A375" s="233"/>
      <c r="B375" s="233"/>
    </row>
    <row r="376">
      <c r="A376" s="233"/>
      <c r="B376" s="233"/>
    </row>
    <row r="377">
      <c r="A377" s="233"/>
      <c r="B377" s="233"/>
    </row>
    <row r="378">
      <c r="A378" s="233"/>
      <c r="B378" s="233"/>
    </row>
    <row r="379">
      <c r="A379" s="233"/>
      <c r="B379" s="233"/>
    </row>
    <row r="380">
      <c r="A380" s="233"/>
      <c r="B380" s="233"/>
    </row>
    <row r="381">
      <c r="A381" s="233"/>
      <c r="B381" s="233"/>
    </row>
    <row r="382">
      <c r="A382" s="233"/>
      <c r="B382" s="233"/>
    </row>
    <row r="383">
      <c r="A383" s="233"/>
      <c r="B383" s="233"/>
    </row>
    <row r="384">
      <c r="A384" s="233"/>
      <c r="B384" s="233"/>
    </row>
    <row r="385">
      <c r="A385" s="233"/>
      <c r="B385" s="233"/>
    </row>
    <row r="386">
      <c r="A386" s="233"/>
      <c r="B386" s="233"/>
    </row>
    <row r="387">
      <c r="A387" s="233"/>
      <c r="B387" s="233"/>
    </row>
    <row r="388">
      <c r="A388" s="233"/>
      <c r="B388" s="233"/>
    </row>
    <row r="389">
      <c r="A389" s="233"/>
      <c r="B389" s="233"/>
    </row>
    <row r="390">
      <c r="A390" s="233"/>
      <c r="B390" s="233"/>
    </row>
    <row r="391">
      <c r="A391" s="233"/>
      <c r="B391" s="233"/>
    </row>
    <row r="392">
      <c r="A392" s="233"/>
      <c r="B392" s="233"/>
    </row>
    <row r="393">
      <c r="A393" s="233"/>
      <c r="B393" s="233"/>
    </row>
    <row r="394">
      <c r="A394" s="233"/>
      <c r="B394" s="233"/>
    </row>
    <row r="395">
      <c r="A395" s="233"/>
      <c r="B395" s="233"/>
    </row>
    <row r="396">
      <c r="A396" s="233"/>
      <c r="B396" s="233"/>
    </row>
    <row r="397">
      <c r="A397" s="233"/>
      <c r="B397" s="233"/>
    </row>
    <row r="398">
      <c r="A398" s="233"/>
      <c r="B398" s="233"/>
    </row>
    <row r="399">
      <c r="A399" s="233"/>
      <c r="B399" s="233"/>
    </row>
    <row r="400">
      <c r="A400" s="233"/>
      <c r="B400" s="233"/>
    </row>
    <row r="401">
      <c r="A401" s="233"/>
      <c r="B401" s="233"/>
    </row>
    <row r="402">
      <c r="A402" s="233"/>
      <c r="B402" s="233"/>
    </row>
    <row r="403">
      <c r="A403" s="233"/>
      <c r="B403" s="233"/>
    </row>
    <row r="404">
      <c r="A404" s="233"/>
      <c r="B404" s="233"/>
    </row>
    <row r="405">
      <c r="A405" s="233"/>
      <c r="B405" s="233"/>
    </row>
    <row r="406">
      <c r="A406" s="233"/>
      <c r="B406" s="233"/>
    </row>
    <row r="407">
      <c r="A407" s="233"/>
      <c r="B407" s="233"/>
    </row>
    <row r="408">
      <c r="A408" s="233"/>
      <c r="B408" s="233"/>
    </row>
    <row r="409">
      <c r="A409" s="233"/>
      <c r="B409" s="233"/>
    </row>
    <row r="410">
      <c r="A410" s="233"/>
      <c r="B410" s="233"/>
    </row>
    <row r="411">
      <c r="A411" s="233"/>
      <c r="B411" s="233"/>
    </row>
    <row r="412">
      <c r="A412" s="233"/>
      <c r="B412" s="233"/>
    </row>
    <row r="413">
      <c r="A413" s="233"/>
      <c r="B413" s="233"/>
    </row>
    <row r="414">
      <c r="A414" s="233"/>
      <c r="B414" s="233"/>
    </row>
    <row r="415">
      <c r="A415" s="233"/>
      <c r="B415" s="233"/>
    </row>
    <row r="416">
      <c r="A416" s="233"/>
      <c r="B416" s="233"/>
    </row>
    <row r="417">
      <c r="A417" s="233"/>
      <c r="B417" s="233"/>
    </row>
    <row r="418">
      <c r="A418" s="233"/>
      <c r="B418" s="233"/>
    </row>
    <row r="419">
      <c r="A419" s="233"/>
      <c r="B419" s="233"/>
    </row>
    <row r="420">
      <c r="A420" s="233"/>
      <c r="B420" s="233"/>
    </row>
    <row r="421">
      <c r="A421" s="233"/>
      <c r="B421" s="233"/>
    </row>
    <row r="422">
      <c r="A422" s="233"/>
      <c r="B422" s="233"/>
    </row>
    <row r="423">
      <c r="A423" s="233"/>
      <c r="B423" s="233"/>
    </row>
    <row r="424">
      <c r="A424" s="233"/>
      <c r="B424" s="233"/>
    </row>
    <row r="425">
      <c r="A425" s="233"/>
      <c r="B425" s="233"/>
    </row>
    <row r="426">
      <c r="A426" s="233"/>
      <c r="B426" s="233"/>
    </row>
    <row r="427">
      <c r="A427" s="233"/>
      <c r="B427" s="233"/>
    </row>
    <row r="428">
      <c r="A428" s="233"/>
      <c r="B428" s="233"/>
    </row>
    <row r="429">
      <c r="A429" s="233"/>
      <c r="B429" s="233"/>
    </row>
    <row r="430">
      <c r="A430" s="233"/>
      <c r="B430" s="233"/>
    </row>
    <row r="431">
      <c r="A431" s="233"/>
      <c r="B431" s="233"/>
    </row>
    <row r="432">
      <c r="A432" s="233"/>
      <c r="B432" s="233"/>
    </row>
    <row r="433">
      <c r="A433" s="233"/>
      <c r="B433" s="233"/>
    </row>
    <row r="434">
      <c r="A434" s="233"/>
      <c r="B434" s="233"/>
    </row>
    <row r="435">
      <c r="A435" s="233"/>
      <c r="B435" s="233"/>
    </row>
    <row r="436">
      <c r="A436" s="233"/>
      <c r="B436" s="233"/>
    </row>
    <row r="437">
      <c r="A437" s="233"/>
      <c r="B437" s="233"/>
    </row>
    <row r="438">
      <c r="A438" s="233"/>
      <c r="B438" s="233"/>
    </row>
    <row r="439">
      <c r="A439" s="233"/>
      <c r="B439" s="233"/>
    </row>
    <row r="440">
      <c r="A440" s="233"/>
      <c r="B440" s="233"/>
    </row>
    <row r="441">
      <c r="A441" s="233"/>
      <c r="B441" s="233"/>
    </row>
    <row r="442">
      <c r="A442" s="233"/>
      <c r="B442" s="233"/>
    </row>
    <row r="443">
      <c r="A443" s="233"/>
      <c r="B443" s="233"/>
    </row>
    <row r="444">
      <c r="A444" s="233"/>
      <c r="B444" s="233"/>
    </row>
    <row r="445">
      <c r="A445" s="233"/>
      <c r="B445" s="233"/>
    </row>
    <row r="446">
      <c r="A446" s="233"/>
      <c r="B446" s="233"/>
    </row>
    <row r="447">
      <c r="A447" s="233"/>
      <c r="B447" s="233"/>
    </row>
    <row r="448">
      <c r="A448" s="233"/>
      <c r="B448" s="233"/>
    </row>
    <row r="449">
      <c r="A449" s="233"/>
      <c r="B449" s="233"/>
    </row>
    <row r="450">
      <c r="A450" s="233"/>
      <c r="B450" s="233"/>
    </row>
    <row r="451">
      <c r="A451" s="233"/>
      <c r="B451" s="233"/>
    </row>
    <row r="452">
      <c r="A452" s="233"/>
      <c r="B452" s="233"/>
    </row>
    <row r="453">
      <c r="A453" s="233"/>
      <c r="B453" s="233"/>
    </row>
    <row r="454">
      <c r="A454" s="233"/>
      <c r="B454" s="233"/>
    </row>
    <row r="455">
      <c r="A455" s="233"/>
      <c r="B455" s="233"/>
    </row>
    <row r="456">
      <c r="A456" s="233"/>
      <c r="B456" s="233"/>
    </row>
    <row r="457">
      <c r="A457" s="233"/>
      <c r="B457" s="233"/>
    </row>
    <row r="458">
      <c r="A458" s="233"/>
      <c r="B458" s="233"/>
    </row>
    <row r="459">
      <c r="A459" s="233"/>
      <c r="B459" s="233"/>
    </row>
    <row r="460">
      <c r="A460" s="233"/>
      <c r="B460" s="233"/>
    </row>
    <row r="461">
      <c r="A461" s="233"/>
      <c r="B461" s="233"/>
    </row>
    <row r="462">
      <c r="A462" s="233"/>
      <c r="B462" s="233"/>
    </row>
    <row r="463">
      <c r="A463" s="233"/>
      <c r="B463" s="233"/>
    </row>
    <row r="464">
      <c r="A464" s="233"/>
      <c r="B464" s="233"/>
    </row>
    <row r="465">
      <c r="A465" s="233"/>
      <c r="B465" s="233"/>
    </row>
    <row r="466">
      <c r="A466" s="233"/>
      <c r="B466" s="233"/>
    </row>
    <row r="467">
      <c r="A467" s="233"/>
      <c r="B467" s="233"/>
    </row>
    <row r="468">
      <c r="A468" s="233"/>
      <c r="B468" s="233"/>
    </row>
    <row r="469">
      <c r="A469" s="233"/>
      <c r="B469" s="233"/>
    </row>
    <row r="470">
      <c r="A470" s="233"/>
      <c r="B470" s="233"/>
    </row>
    <row r="471">
      <c r="A471" s="233"/>
      <c r="B471" s="233"/>
    </row>
    <row r="472">
      <c r="A472" s="233"/>
      <c r="B472" s="233"/>
    </row>
    <row r="473">
      <c r="A473" s="233"/>
      <c r="B473" s="233"/>
    </row>
    <row r="474">
      <c r="A474" s="233"/>
      <c r="B474" s="233"/>
    </row>
    <row r="475">
      <c r="A475" s="233"/>
      <c r="B475" s="233"/>
    </row>
    <row r="476">
      <c r="A476" s="233"/>
      <c r="B476" s="233"/>
    </row>
    <row r="477">
      <c r="A477" s="233"/>
      <c r="B477" s="233"/>
    </row>
    <row r="478">
      <c r="A478" s="233"/>
      <c r="B478" s="233"/>
    </row>
    <row r="479">
      <c r="A479" s="233"/>
      <c r="B479" s="233"/>
    </row>
    <row r="480">
      <c r="A480" s="233"/>
      <c r="B480" s="233"/>
    </row>
    <row r="481">
      <c r="A481" s="233"/>
      <c r="B481" s="233"/>
    </row>
    <row r="482">
      <c r="A482" s="233"/>
      <c r="B482" s="233"/>
    </row>
    <row r="483">
      <c r="A483" s="233"/>
      <c r="B483" s="233"/>
    </row>
    <row r="484">
      <c r="A484" s="233"/>
      <c r="B484" s="233"/>
    </row>
    <row r="485">
      <c r="A485" s="233"/>
      <c r="B485" s="233"/>
    </row>
    <row r="486">
      <c r="A486" s="233"/>
      <c r="B486" s="233"/>
    </row>
    <row r="487">
      <c r="A487" s="233"/>
      <c r="B487" s="233"/>
    </row>
    <row r="488">
      <c r="A488" s="233"/>
      <c r="B488" s="233"/>
    </row>
    <row r="489">
      <c r="A489" s="233"/>
      <c r="B489" s="233"/>
    </row>
    <row r="490">
      <c r="A490" s="233"/>
      <c r="B490" s="233"/>
    </row>
    <row r="491">
      <c r="A491" s="233"/>
      <c r="B491" s="233"/>
    </row>
    <row r="492">
      <c r="A492" s="233"/>
      <c r="B492" s="233"/>
    </row>
    <row r="493">
      <c r="A493" s="233"/>
      <c r="B493" s="233"/>
    </row>
    <row r="494">
      <c r="A494" s="233"/>
      <c r="B494" s="233"/>
    </row>
    <row r="495">
      <c r="A495" s="233"/>
      <c r="B495" s="233"/>
    </row>
    <row r="496">
      <c r="A496" s="233"/>
      <c r="B496" s="233"/>
    </row>
    <row r="497">
      <c r="A497" s="233"/>
      <c r="B497" s="233"/>
    </row>
    <row r="498">
      <c r="A498" s="233"/>
      <c r="B498" s="233"/>
    </row>
    <row r="499">
      <c r="A499" s="233"/>
      <c r="B499" s="233"/>
    </row>
    <row r="500">
      <c r="A500" s="233"/>
      <c r="B500" s="233"/>
    </row>
    <row r="501">
      <c r="A501" s="233"/>
      <c r="B501" s="233"/>
    </row>
    <row r="502">
      <c r="A502" s="233"/>
      <c r="B502" s="233"/>
    </row>
    <row r="503">
      <c r="A503" s="233"/>
      <c r="B503" s="233"/>
    </row>
    <row r="504">
      <c r="A504" s="233"/>
      <c r="B504" s="233"/>
    </row>
    <row r="505">
      <c r="A505" s="233"/>
      <c r="B505" s="233"/>
    </row>
    <row r="506">
      <c r="A506" s="233"/>
      <c r="B506" s="233"/>
    </row>
    <row r="507">
      <c r="A507" s="233"/>
      <c r="B507" s="233"/>
    </row>
    <row r="508">
      <c r="A508" s="233"/>
      <c r="B508" s="233"/>
    </row>
    <row r="509">
      <c r="A509" s="233"/>
      <c r="B509" s="233"/>
    </row>
    <row r="510">
      <c r="A510" s="233"/>
      <c r="B510" s="233"/>
    </row>
    <row r="511">
      <c r="A511" s="233"/>
      <c r="B511" s="233"/>
    </row>
    <row r="512">
      <c r="A512" s="233"/>
      <c r="B512" s="233"/>
    </row>
    <row r="513">
      <c r="A513" s="233"/>
      <c r="B513" s="233"/>
    </row>
    <row r="514">
      <c r="A514" s="233"/>
      <c r="B514" s="233"/>
    </row>
    <row r="515">
      <c r="A515" s="233"/>
      <c r="B515" s="233"/>
    </row>
    <row r="516">
      <c r="A516" s="233"/>
      <c r="B516" s="233"/>
    </row>
    <row r="517">
      <c r="A517" s="233"/>
      <c r="B517" s="233"/>
    </row>
    <row r="518">
      <c r="A518" s="233"/>
      <c r="B518" s="233"/>
    </row>
    <row r="519">
      <c r="A519" s="233"/>
      <c r="B519" s="233"/>
    </row>
    <row r="520">
      <c r="A520" s="233"/>
      <c r="B520" s="233"/>
    </row>
    <row r="521">
      <c r="A521" s="233"/>
      <c r="B521" s="233"/>
    </row>
    <row r="522">
      <c r="A522" s="233"/>
      <c r="B522" s="233"/>
    </row>
    <row r="523">
      <c r="A523" s="233"/>
      <c r="B523" s="233"/>
    </row>
    <row r="524">
      <c r="A524" s="233"/>
      <c r="B524" s="233"/>
    </row>
    <row r="525">
      <c r="A525" s="233"/>
      <c r="B525" s="233"/>
    </row>
    <row r="526">
      <c r="A526" s="233"/>
      <c r="B526" s="233"/>
    </row>
    <row r="527">
      <c r="A527" s="233"/>
      <c r="B527" s="233"/>
    </row>
    <row r="528">
      <c r="A528" s="233"/>
      <c r="B528" s="233"/>
    </row>
    <row r="529">
      <c r="A529" s="233"/>
      <c r="B529" s="233"/>
    </row>
    <row r="530">
      <c r="A530" s="233"/>
      <c r="B530" s="233"/>
    </row>
    <row r="531">
      <c r="A531" s="233"/>
      <c r="B531" s="233"/>
    </row>
    <row r="532">
      <c r="A532" s="233"/>
      <c r="B532" s="233"/>
    </row>
    <row r="533">
      <c r="A533" s="233"/>
      <c r="B533" s="233"/>
    </row>
    <row r="534">
      <c r="A534" s="233"/>
      <c r="B534" s="233"/>
    </row>
    <row r="535">
      <c r="A535" s="233"/>
      <c r="B535" s="233"/>
    </row>
    <row r="536">
      <c r="A536" s="233"/>
      <c r="B536" s="233"/>
    </row>
    <row r="537">
      <c r="A537" s="233"/>
      <c r="B537" s="233"/>
    </row>
    <row r="538">
      <c r="A538" s="233"/>
      <c r="B538" s="233"/>
    </row>
    <row r="539">
      <c r="A539" s="233"/>
      <c r="B539" s="233"/>
    </row>
    <row r="540">
      <c r="A540" s="233"/>
      <c r="B540" s="233"/>
    </row>
    <row r="541">
      <c r="A541" s="233"/>
      <c r="B541" s="233"/>
    </row>
    <row r="542">
      <c r="A542" s="233"/>
      <c r="B542" s="233"/>
    </row>
    <row r="543">
      <c r="A543" s="233"/>
      <c r="B543" s="233"/>
    </row>
    <row r="544">
      <c r="A544" s="233"/>
      <c r="B544" s="233"/>
    </row>
    <row r="545">
      <c r="A545" s="233"/>
      <c r="B545" s="233"/>
    </row>
    <row r="546">
      <c r="A546" s="233"/>
      <c r="B546" s="233"/>
    </row>
    <row r="547">
      <c r="A547" s="233"/>
      <c r="B547" s="233"/>
    </row>
    <row r="548">
      <c r="A548" s="233"/>
      <c r="B548" s="233"/>
    </row>
    <row r="549">
      <c r="A549" s="233"/>
      <c r="B549" s="233"/>
    </row>
    <row r="550">
      <c r="A550" s="233"/>
      <c r="B550" s="233"/>
    </row>
    <row r="551">
      <c r="A551" s="233"/>
      <c r="B551" s="233"/>
    </row>
    <row r="552">
      <c r="A552" s="233"/>
      <c r="B552" s="233"/>
    </row>
    <row r="553">
      <c r="A553" s="233"/>
      <c r="B553" s="233"/>
    </row>
    <row r="554">
      <c r="A554" s="233"/>
      <c r="B554" s="233"/>
    </row>
    <row r="555">
      <c r="A555" s="233"/>
      <c r="B555" s="233"/>
    </row>
    <row r="556">
      <c r="A556" s="233"/>
      <c r="B556" s="233"/>
    </row>
    <row r="557">
      <c r="A557" s="233"/>
      <c r="B557" s="233"/>
    </row>
    <row r="558">
      <c r="A558" s="233"/>
      <c r="B558" s="233"/>
    </row>
    <row r="559">
      <c r="A559" s="233"/>
      <c r="B559" s="233"/>
    </row>
    <row r="560">
      <c r="A560" s="233"/>
      <c r="B560" s="233"/>
    </row>
    <row r="561">
      <c r="A561" s="233"/>
      <c r="B561" s="233"/>
    </row>
    <row r="562">
      <c r="A562" s="233"/>
      <c r="B562" s="233"/>
    </row>
    <row r="563">
      <c r="A563" s="233"/>
      <c r="B563" s="233"/>
    </row>
    <row r="564">
      <c r="A564" s="233"/>
      <c r="B564" s="233"/>
    </row>
    <row r="565">
      <c r="A565" s="233"/>
      <c r="B565" s="233"/>
    </row>
    <row r="566">
      <c r="A566" s="233"/>
      <c r="B566" s="233"/>
    </row>
    <row r="567">
      <c r="A567" s="233"/>
      <c r="B567" s="233"/>
    </row>
    <row r="568">
      <c r="A568" s="233"/>
      <c r="B568" s="233"/>
    </row>
    <row r="569">
      <c r="A569" s="233"/>
      <c r="B569" s="233"/>
    </row>
    <row r="570">
      <c r="A570" s="233"/>
      <c r="B570" s="233"/>
    </row>
    <row r="571">
      <c r="A571" s="233"/>
      <c r="B571" s="233"/>
    </row>
    <row r="572">
      <c r="A572" s="233"/>
      <c r="B572" s="233"/>
    </row>
    <row r="573">
      <c r="A573" s="233"/>
      <c r="B573" s="233"/>
    </row>
    <row r="574">
      <c r="A574" s="233"/>
      <c r="B574" s="233"/>
    </row>
    <row r="575">
      <c r="A575" s="233"/>
      <c r="B575" s="233"/>
    </row>
    <row r="576">
      <c r="A576" s="233"/>
      <c r="B576" s="233"/>
    </row>
    <row r="577">
      <c r="A577" s="233"/>
      <c r="B577" s="233"/>
    </row>
    <row r="578">
      <c r="A578" s="233"/>
      <c r="B578" s="233"/>
    </row>
    <row r="579">
      <c r="A579" s="233"/>
      <c r="B579" s="233"/>
    </row>
    <row r="580">
      <c r="A580" s="233"/>
      <c r="B580" s="233"/>
    </row>
    <row r="581">
      <c r="A581" s="233"/>
      <c r="B581" s="233"/>
    </row>
    <row r="582">
      <c r="A582" s="233"/>
      <c r="B582" s="233"/>
    </row>
    <row r="583">
      <c r="A583" s="233"/>
      <c r="B583" s="233"/>
    </row>
    <row r="584">
      <c r="A584" s="233"/>
      <c r="B584" s="233"/>
    </row>
    <row r="585">
      <c r="A585" s="233"/>
      <c r="B585" s="233"/>
    </row>
    <row r="586">
      <c r="A586" s="233"/>
      <c r="B586" s="233"/>
    </row>
    <row r="587">
      <c r="A587" s="233"/>
      <c r="B587" s="233"/>
    </row>
    <row r="588">
      <c r="A588" s="233"/>
      <c r="B588" s="233"/>
    </row>
    <row r="589">
      <c r="A589" s="233"/>
      <c r="B589" s="233"/>
    </row>
    <row r="590">
      <c r="A590" s="233"/>
      <c r="B590" s="233"/>
    </row>
    <row r="591">
      <c r="A591" s="233"/>
      <c r="B591" s="233"/>
    </row>
    <row r="592">
      <c r="A592" s="233"/>
      <c r="B592" s="233"/>
    </row>
    <row r="593">
      <c r="A593" s="233"/>
      <c r="B593" s="233"/>
    </row>
    <row r="594">
      <c r="A594" s="233"/>
      <c r="B594" s="233"/>
    </row>
    <row r="595">
      <c r="A595" s="233"/>
      <c r="B595" s="233"/>
    </row>
    <row r="596">
      <c r="A596" s="233"/>
      <c r="B596" s="233"/>
    </row>
    <row r="597">
      <c r="A597" s="233"/>
      <c r="B597" s="233"/>
    </row>
    <row r="598">
      <c r="A598" s="233"/>
      <c r="B598" s="233"/>
    </row>
    <row r="599">
      <c r="A599" s="233"/>
      <c r="B599" s="233"/>
    </row>
    <row r="600">
      <c r="A600" s="233"/>
      <c r="B600" s="233"/>
    </row>
    <row r="601">
      <c r="A601" s="233"/>
      <c r="B601" s="233"/>
    </row>
    <row r="602">
      <c r="A602" s="233"/>
      <c r="B602" s="233"/>
    </row>
    <row r="603">
      <c r="A603" s="233"/>
      <c r="B603" s="233"/>
    </row>
    <row r="604">
      <c r="A604" s="233"/>
      <c r="B604" s="233"/>
    </row>
    <row r="605">
      <c r="A605" s="233"/>
      <c r="B605" s="233"/>
    </row>
    <row r="606">
      <c r="A606" s="233"/>
      <c r="B606" s="233"/>
    </row>
    <row r="607">
      <c r="A607" s="233"/>
      <c r="B607" s="233"/>
    </row>
    <row r="608">
      <c r="A608" s="233"/>
      <c r="B608" s="233"/>
    </row>
    <row r="609">
      <c r="A609" s="233"/>
      <c r="B609" s="233"/>
    </row>
    <row r="610">
      <c r="A610" s="233"/>
      <c r="B610" s="233"/>
    </row>
    <row r="611">
      <c r="A611" s="233"/>
      <c r="B611" s="233"/>
    </row>
    <row r="612">
      <c r="A612" s="233"/>
      <c r="B612" s="233"/>
    </row>
    <row r="613">
      <c r="A613" s="233"/>
      <c r="B613" s="233"/>
    </row>
    <row r="614">
      <c r="A614" s="233"/>
      <c r="B614" s="233"/>
    </row>
    <row r="615">
      <c r="A615" s="233"/>
      <c r="B615" s="233"/>
    </row>
    <row r="616">
      <c r="A616" s="233"/>
      <c r="B616" s="233"/>
    </row>
    <row r="617">
      <c r="A617" s="233"/>
      <c r="B617" s="233"/>
    </row>
    <row r="618">
      <c r="A618" s="233"/>
      <c r="B618" s="233"/>
    </row>
    <row r="619">
      <c r="A619" s="233"/>
      <c r="B619" s="233"/>
    </row>
    <row r="620">
      <c r="A620" s="233"/>
      <c r="B620" s="233"/>
    </row>
    <row r="621">
      <c r="A621" s="233"/>
      <c r="B621" s="233"/>
    </row>
    <row r="622">
      <c r="A622" s="233"/>
      <c r="B622" s="233"/>
    </row>
    <row r="623">
      <c r="A623" s="233"/>
      <c r="B623" s="233"/>
    </row>
    <row r="624">
      <c r="A624" s="233"/>
      <c r="B624" s="233"/>
    </row>
    <row r="625">
      <c r="A625" s="233"/>
      <c r="B625" s="233"/>
    </row>
    <row r="626">
      <c r="A626" s="233"/>
      <c r="B626" s="233"/>
    </row>
    <row r="627">
      <c r="A627" s="233"/>
      <c r="B627" s="233"/>
    </row>
    <row r="628">
      <c r="A628" s="233"/>
      <c r="B628" s="233"/>
    </row>
    <row r="629">
      <c r="A629" s="233"/>
      <c r="B629" s="233"/>
    </row>
    <row r="630">
      <c r="A630" s="233"/>
      <c r="B630" s="233"/>
    </row>
    <row r="631">
      <c r="A631" s="233"/>
      <c r="B631" s="233"/>
    </row>
    <row r="632">
      <c r="A632" s="233"/>
      <c r="B632" s="233"/>
    </row>
    <row r="633">
      <c r="A633" s="233"/>
      <c r="B633" s="233"/>
    </row>
    <row r="634">
      <c r="A634" s="233"/>
      <c r="B634" s="233"/>
    </row>
    <row r="635">
      <c r="A635" s="233"/>
      <c r="B635" s="233"/>
    </row>
    <row r="636">
      <c r="A636" s="233"/>
      <c r="B636" s="233"/>
    </row>
    <row r="637">
      <c r="A637" s="233"/>
      <c r="B637" s="233"/>
    </row>
    <row r="638">
      <c r="A638" s="233"/>
      <c r="B638" s="233"/>
    </row>
    <row r="639">
      <c r="A639" s="233"/>
      <c r="B639" s="233"/>
    </row>
    <row r="640">
      <c r="A640" s="233"/>
      <c r="B640" s="233"/>
    </row>
    <row r="641">
      <c r="A641" s="233"/>
      <c r="B641" s="233"/>
    </row>
    <row r="642">
      <c r="A642" s="233"/>
      <c r="B642" s="233"/>
    </row>
    <row r="643">
      <c r="A643" s="233"/>
      <c r="B643" s="233"/>
    </row>
    <row r="644">
      <c r="A644" s="233"/>
      <c r="B644" s="233"/>
    </row>
    <row r="645">
      <c r="A645" s="233"/>
      <c r="B645" s="233"/>
    </row>
    <row r="646">
      <c r="A646" s="233"/>
      <c r="B646" s="233"/>
    </row>
    <row r="647">
      <c r="A647" s="233"/>
      <c r="B647" s="233"/>
    </row>
    <row r="648">
      <c r="A648" s="233"/>
      <c r="B648" s="233"/>
    </row>
    <row r="649">
      <c r="A649" s="233"/>
      <c r="B649" s="233"/>
    </row>
    <row r="650">
      <c r="A650" s="233"/>
      <c r="B650" s="233"/>
    </row>
    <row r="651">
      <c r="A651" s="233"/>
      <c r="B651" s="233"/>
    </row>
    <row r="652">
      <c r="A652" s="233"/>
      <c r="B652" s="233"/>
    </row>
    <row r="653">
      <c r="A653" s="233"/>
      <c r="B653" s="233"/>
    </row>
    <row r="654">
      <c r="A654" s="233"/>
      <c r="B654" s="233"/>
    </row>
    <row r="655">
      <c r="A655" s="233"/>
      <c r="B655" s="233"/>
    </row>
    <row r="656">
      <c r="A656" s="233"/>
      <c r="B656" s="233"/>
    </row>
    <row r="657">
      <c r="A657" s="233"/>
      <c r="B657" s="233"/>
    </row>
    <row r="658">
      <c r="A658" s="233"/>
      <c r="B658" s="233"/>
    </row>
    <row r="659">
      <c r="A659" s="233"/>
      <c r="B659" s="233"/>
    </row>
    <row r="660">
      <c r="A660" s="233"/>
      <c r="B660" s="233"/>
    </row>
    <row r="661">
      <c r="A661" s="233"/>
      <c r="B661" s="233"/>
    </row>
    <row r="662">
      <c r="A662" s="233"/>
      <c r="B662" s="233"/>
    </row>
    <row r="663">
      <c r="A663" s="233"/>
      <c r="B663" s="233"/>
    </row>
    <row r="664">
      <c r="A664" s="233"/>
      <c r="B664" s="233"/>
    </row>
    <row r="665">
      <c r="A665" s="233"/>
      <c r="B665" s="233"/>
    </row>
    <row r="666">
      <c r="A666" s="233"/>
      <c r="B666" s="233"/>
    </row>
    <row r="667">
      <c r="A667" s="233"/>
      <c r="B667" s="233"/>
    </row>
    <row r="668">
      <c r="A668" s="233"/>
      <c r="B668" s="233"/>
    </row>
    <row r="669">
      <c r="A669" s="233"/>
      <c r="B669" s="233"/>
    </row>
    <row r="670">
      <c r="A670" s="233"/>
      <c r="B670" s="233"/>
    </row>
    <row r="671">
      <c r="A671" s="233"/>
      <c r="B671" s="233"/>
    </row>
    <row r="672">
      <c r="A672" s="233"/>
      <c r="B672" s="233"/>
    </row>
    <row r="673">
      <c r="A673" s="233"/>
      <c r="B673" s="233"/>
    </row>
    <row r="674">
      <c r="A674" s="233"/>
      <c r="B674" s="233"/>
    </row>
    <row r="675">
      <c r="A675" s="233"/>
      <c r="B675" s="233"/>
    </row>
    <row r="676">
      <c r="A676" s="233"/>
      <c r="B676" s="233"/>
    </row>
    <row r="677">
      <c r="A677" s="233"/>
      <c r="B677" s="233"/>
    </row>
    <row r="678">
      <c r="A678" s="233"/>
      <c r="B678" s="233"/>
    </row>
    <row r="679">
      <c r="A679" s="233"/>
      <c r="B679" s="233"/>
    </row>
    <row r="680">
      <c r="A680" s="233"/>
      <c r="B680" s="233"/>
    </row>
    <row r="681">
      <c r="A681" s="233"/>
      <c r="B681" s="233"/>
    </row>
    <row r="682">
      <c r="A682" s="233"/>
      <c r="B682" s="233"/>
    </row>
    <row r="683">
      <c r="A683" s="233"/>
      <c r="B683" s="233"/>
    </row>
    <row r="684">
      <c r="A684" s="233"/>
      <c r="B684" s="233"/>
    </row>
    <row r="685">
      <c r="A685" s="233"/>
      <c r="B685" s="233"/>
    </row>
    <row r="686">
      <c r="A686" s="233"/>
      <c r="B686" s="233"/>
    </row>
    <row r="687">
      <c r="A687" s="233"/>
      <c r="B687" s="233"/>
    </row>
    <row r="688">
      <c r="A688" s="233"/>
      <c r="B688" s="233"/>
    </row>
    <row r="689">
      <c r="A689" s="233"/>
      <c r="B689" s="233"/>
    </row>
    <row r="690">
      <c r="A690" s="233"/>
      <c r="B690" s="233"/>
    </row>
    <row r="691">
      <c r="A691" s="233"/>
      <c r="B691" s="233"/>
    </row>
    <row r="692">
      <c r="A692" s="233"/>
      <c r="B692" s="233"/>
    </row>
    <row r="693">
      <c r="A693" s="233"/>
      <c r="B693" s="233"/>
    </row>
    <row r="694">
      <c r="A694" s="233"/>
      <c r="B694" s="233"/>
    </row>
    <row r="695">
      <c r="A695" s="233"/>
      <c r="B695" s="233"/>
    </row>
    <row r="696">
      <c r="A696" s="233"/>
      <c r="B696" s="233"/>
    </row>
    <row r="697">
      <c r="A697" s="233"/>
      <c r="B697" s="233"/>
    </row>
    <row r="698">
      <c r="A698" s="233"/>
      <c r="B698" s="233"/>
    </row>
    <row r="699">
      <c r="A699" s="233"/>
      <c r="B699" s="233"/>
    </row>
    <row r="700">
      <c r="A700" s="233"/>
      <c r="B700" s="233"/>
    </row>
    <row r="701">
      <c r="A701" s="233"/>
      <c r="B701" s="233"/>
    </row>
    <row r="702">
      <c r="A702" s="233"/>
      <c r="B702" s="233"/>
    </row>
    <row r="703">
      <c r="A703" s="233"/>
      <c r="B703" s="233"/>
    </row>
    <row r="704">
      <c r="A704" s="233"/>
      <c r="B704" s="233"/>
    </row>
    <row r="705">
      <c r="A705" s="233"/>
      <c r="B705" s="233"/>
    </row>
    <row r="706">
      <c r="A706" s="233"/>
      <c r="B706" s="233"/>
    </row>
    <row r="707">
      <c r="A707" s="233"/>
      <c r="B707" s="233"/>
    </row>
    <row r="708">
      <c r="A708" s="233"/>
      <c r="B708" s="233"/>
    </row>
    <row r="709">
      <c r="A709" s="233"/>
      <c r="B709" s="233"/>
    </row>
    <row r="710">
      <c r="A710" s="233"/>
      <c r="B710" s="233"/>
    </row>
    <row r="711">
      <c r="A711" s="233"/>
      <c r="B711" s="233"/>
    </row>
    <row r="712">
      <c r="A712" s="233"/>
      <c r="B712" s="233"/>
    </row>
    <row r="713">
      <c r="A713" s="233"/>
      <c r="B713" s="233"/>
    </row>
    <row r="714">
      <c r="A714" s="233"/>
      <c r="B714" s="233"/>
    </row>
    <row r="715">
      <c r="A715" s="233"/>
      <c r="B715" s="233"/>
    </row>
    <row r="716">
      <c r="A716" s="233"/>
      <c r="B716" s="233"/>
    </row>
    <row r="717">
      <c r="A717" s="233"/>
      <c r="B717" s="233"/>
    </row>
    <row r="718">
      <c r="A718" s="233"/>
      <c r="B718" s="233"/>
    </row>
    <row r="719">
      <c r="A719" s="233"/>
      <c r="B719" s="233"/>
    </row>
    <row r="720">
      <c r="A720" s="233"/>
      <c r="B720" s="233"/>
    </row>
    <row r="721">
      <c r="A721" s="233"/>
      <c r="B721" s="233"/>
    </row>
    <row r="722">
      <c r="A722" s="233"/>
      <c r="B722" s="233"/>
    </row>
    <row r="723">
      <c r="A723" s="233"/>
      <c r="B723" s="233"/>
    </row>
    <row r="724">
      <c r="A724" s="233"/>
      <c r="B724" s="233"/>
    </row>
    <row r="725">
      <c r="A725" s="233"/>
      <c r="B725" s="233"/>
    </row>
    <row r="726">
      <c r="A726" s="233"/>
      <c r="B726" s="233"/>
    </row>
    <row r="727">
      <c r="A727" s="233"/>
      <c r="B727" s="233"/>
    </row>
    <row r="728">
      <c r="A728" s="233"/>
      <c r="B728" s="233"/>
    </row>
    <row r="729">
      <c r="A729" s="233"/>
      <c r="B729" s="233"/>
    </row>
    <row r="730">
      <c r="A730" s="233"/>
      <c r="B730" s="233"/>
    </row>
    <row r="731">
      <c r="A731" s="233"/>
      <c r="B731" s="233"/>
    </row>
    <row r="732">
      <c r="A732" s="233"/>
      <c r="B732" s="233"/>
    </row>
    <row r="733">
      <c r="A733" s="233"/>
      <c r="B733" s="233"/>
    </row>
    <row r="734">
      <c r="A734" s="233"/>
      <c r="B734" s="233"/>
    </row>
    <row r="735">
      <c r="A735" s="233"/>
      <c r="B735" s="233"/>
    </row>
    <row r="736">
      <c r="A736" s="233"/>
      <c r="B736" s="233"/>
    </row>
    <row r="737">
      <c r="A737" s="233"/>
      <c r="B737" s="233"/>
    </row>
    <row r="738">
      <c r="A738" s="233"/>
      <c r="B738" s="233"/>
    </row>
    <row r="739">
      <c r="A739" s="233"/>
      <c r="B739" s="233"/>
    </row>
    <row r="740">
      <c r="A740" s="233"/>
      <c r="B740" s="233"/>
    </row>
    <row r="741">
      <c r="A741" s="233"/>
      <c r="B741" s="233"/>
    </row>
    <row r="742">
      <c r="A742" s="233"/>
      <c r="B742" s="233"/>
    </row>
    <row r="743">
      <c r="A743" s="233"/>
      <c r="B743" s="233"/>
    </row>
    <row r="744">
      <c r="A744" s="233"/>
      <c r="B744" s="233"/>
    </row>
    <row r="745">
      <c r="A745" s="233"/>
      <c r="B745" s="233"/>
    </row>
    <row r="746">
      <c r="A746" s="233"/>
      <c r="B746" s="233"/>
    </row>
    <row r="747">
      <c r="A747" s="233"/>
      <c r="B747" s="233"/>
    </row>
    <row r="748">
      <c r="A748" s="233"/>
      <c r="B748" s="233"/>
    </row>
    <row r="749">
      <c r="A749" s="233"/>
      <c r="B749" s="233"/>
    </row>
    <row r="750">
      <c r="A750" s="233"/>
      <c r="B750" s="233"/>
    </row>
    <row r="751">
      <c r="A751" s="233"/>
      <c r="B751" s="233"/>
    </row>
    <row r="752">
      <c r="A752" s="233"/>
      <c r="B752" s="233"/>
    </row>
    <row r="753">
      <c r="A753" s="233"/>
      <c r="B753" s="233"/>
    </row>
    <row r="754">
      <c r="A754" s="233"/>
      <c r="B754" s="233"/>
    </row>
    <row r="755">
      <c r="A755" s="233"/>
      <c r="B755" s="233"/>
    </row>
    <row r="756">
      <c r="A756" s="233"/>
      <c r="B756" s="233"/>
    </row>
    <row r="757">
      <c r="A757" s="233"/>
      <c r="B757" s="233"/>
    </row>
    <row r="758">
      <c r="A758" s="233"/>
      <c r="B758" s="233"/>
    </row>
    <row r="759">
      <c r="A759" s="233"/>
      <c r="B759" s="233"/>
    </row>
    <row r="760">
      <c r="A760" s="233"/>
      <c r="B760" s="233"/>
    </row>
    <row r="761">
      <c r="A761" s="233"/>
      <c r="B761" s="233"/>
    </row>
    <row r="762">
      <c r="A762" s="233"/>
      <c r="B762" s="233"/>
    </row>
    <row r="763">
      <c r="A763" s="233"/>
      <c r="B763" s="233"/>
    </row>
    <row r="764">
      <c r="A764" s="233"/>
      <c r="B764" s="233"/>
    </row>
    <row r="765">
      <c r="A765" s="233"/>
      <c r="B765" s="233"/>
    </row>
    <row r="766">
      <c r="A766" s="233"/>
      <c r="B766" s="233"/>
    </row>
    <row r="767">
      <c r="A767" s="233"/>
      <c r="B767" s="233"/>
    </row>
    <row r="768">
      <c r="A768" s="233"/>
      <c r="B768" s="233"/>
    </row>
    <row r="769">
      <c r="A769" s="233"/>
      <c r="B769" s="233"/>
    </row>
    <row r="770">
      <c r="A770" s="233"/>
      <c r="B770" s="233"/>
    </row>
    <row r="771">
      <c r="A771" s="233"/>
      <c r="B771" s="233"/>
    </row>
    <row r="772">
      <c r="A772" s="233"/>
      <c r="B772" s="233"/>
    </row>
    <row r="773">
      <c r="A773" s="233"/>
      <c r="B773" s="233"/>
    </row>
    <row r="774">
      <c r="A774" s="233"/>
      <c r="B774" s="233"/>
    </row>
    <row r="775">
      <c r="A775" s="233"/>
      <c r="B775" s="233"/>
    </row>
    <row r="776">
      <c r="A776" s="233"/>
      <c r="B776" s="233"/>
    </row>
    <row r="777">
      <c r="A777" s="233"/>
      <c r="B777" s="233"/>
    </row>
    <row r="778">
      <c r="A778" s="233"/>
      <c r="B778" s="233"/>
    </row>
    <row r="779">
      <c r="A779" s="233"/>
      <c r="B779" s="233"/>
    </row>
    <row r="780">
      <c r="A780" s="233"/>
      <c r="B780" s="233"/>
    </row>
    <row r="781">
      <c r="A781" s="233"/>
      <c r="B781" s="233"/>
    </row>
    <row r="782">
      <c r="A782" s="233"/>
      <c r="B782" s="233"/>
    </row>
    <row r="783">
      <c r="A783" s="233"/>
      <c r="B783" s="233"/>
    </row>
    <row r="784">
      <c r="A784" s="233"/>
      <c r="B784" s="233"/>
    </row>
    <row r="785">
      <c r="A785" s="233"/>
      <c r="B785" s="233"/>
    </row>
    <row r="786">
      <c r="A786" s="233"/>
      <c r="B786" s="233"/>
    </row>
    <row r="787">
      <c r="A787" s="233"/>
      <c r="B787" s="233"/>
    </row>
    <row r="788">
      <c r="A788" s="233"/>
      <c r="B788" s="233"/>
    </row>
    <row r="789">
      <c r="A789" s="233"/>
      <c r="B789" s="233"/>
    </row>
    <row r="790">
      <c r="A790" s="233"/>
      <c r="B790" s="233"/>
    </row>
    <row r="791">
      <c r="A791" s="233"/>
      <c r="B791" s="233"/>
    </row>
    <row r="792">
      <c r="A792" s="233"/>
      <c r="B792" s="233"/>
    </row>
    <row r="793">
      <c r="A793" s="233"/>
      <c r="B793" s="233"/>
    </row>
    <row r="794">
      <c r="A794" s="233"/>
      <c r="B794" s="233"/>
    </row>
    <row r="795">
      <c r="A795" s="233"/>
      <c r="B795" s="233"/>
    </row>
    <row r="796">
      <c r="A796" s="233"/>
      <c r="B796" s="233"/>
    </row>
    <row r="797">
      <c r="A797" s="233"/>
      <c r="B797" s="233"/>
    </row>
    <row r="798">
      <c r="A798" s="233"/>
      <c r="B798" s="233"/>
    </row>
    <row r="799">
      <c r="A799" s="233"/>
      <c r="B799" s="233"/>
    </row>
    <row r="800">
      <c r="A800" s="233"/>
      <c r="B800" s="233"/>
    </row>
    <row r="801">
      <c r="A801" s="233"/>
      <c r="B801" s="233"/>
    </row>
    <row r="802">
      <c r="A802" s="233"/>
      <c r="B802" s="233"/>
    </row>
    <row r="803">
      <c r="A803" s="233"/>
      <c r="B803" s="233"/>
    </row>
    <row r="804">
      <c r="A804" s="233"/>
      <c r="B804" s="233"/>
    </row>
    <row r="805">
      <c r="A805" s="233"/>
      <c r="B805" s="233"/>
    </row>
    <row r="806">
      <c r="A806" s="233"/>
      <c r="B806" s="233"/>
    </row>
    <row r="807">
      <c r="A807" s="233"/>
      <c r="B807" s="233"/>
    </row>
    <row r="808">
      <c r="A808" s="233"/>
      <c r="B808" s="233"/>
    </row>
    <row r="809">
      <c r="A809" s="233"/>
      <c r="B809" s="233"/>
    </row>
    <row r="810">
      <c r="A810" s="233"/>
      <c r="B810" s="233"/>
    </row>
    <row r="811">
      <c r="A811" s="233"/>
      <c r="B811" s="233"/>
    </row>
    <row r="812">
      <c r="A812" s="233"/>
      <c r="B812" s="233"/>
    </row>
    <row r="813">
      <c r="A813" s="233"/>
      <c r="B813" s="233"/>
    </row>
    <row r="814">
      <c r="A814" s="233"/>
      <c r="B814" s="233"/>
    </row>
    <row r="815">
      <c r="A815" s="233"/>
      <c r="B815" s="233"/>
    </row>
    <row r="816">
      <c r="A816" s="233"/>
      <c r="B816" s="233"/>
    </row>
    <row r="817">
      <c r="A817" s="233"/>
      <c r="B817" s="233"/>
    </row>
    <row r="818">
      <c r="A818" s="233"/>
      <c r="B818" s="233"/>
    </row>
    <row r="819">
      <c r="A819" s="233"/>
      <c r="B819" s="233"/>
    </row>
    <row r="820">
      <c r="A820" s="233"/>
      <c r="B820" s="233"/>
    </row>
    <row r="821">
      <c r="A821" s="233"/>
      <c r="B821" s="233"/>
    </row>
    <row r="822">
      <c r="A822" s="233"/>
      <c r="B822" s="233"/>
    </row>
    <row r="823">
      <c r="A823" s="233"/>
      <c r="B823" s="233"/>
    </row>
    <row r="824">
      <c r="A824" s="233"/>
      <c r="B824" s="233"/>
    </row>
    <row r="825">
      <c r="A825" s="233"/>
      <c r="B825" s="233"/>
    </row>
    <row r="826">
      <c r="A826" s="233"/>
      <c r="B826" s="233"/>
    </row>
    <row r="827">
      <c r="A827" s="233"/>
      <c r="B827" s="233"/>
    </row>
    <row r="828">
      <c r="A828" s="233"/>
      <c r="B828" s="233"/>
    </row>
    <row r="829">
      <c r="A829" s="233"/>
      <c r="B829" s="233"/>
    </row>
    <row r="830">
      <c r="A830" s="233"/>
      <c r="B830" s="233"/>
    </row>
    <row r="831">
      <c r="A831" s="233"/>
      <c r="B831" s="233"/>
    </row>
    <row r="832">
      <c r="A832" s="233"/>
      <c r="B832" s="233"/>
    </row>
    <row r="833">
      <c r="A833" s="233"/>
      <c r="B833" s="233"/>
    </row>
    <row r="834">
      <c r="A834" s="233"/>
      <c r="B834" s="233"/>
    </row>
    <row r="835">
      <c r="A835" s="233"/>
      <c r="B835" s="233"/>
    </row>
    <row r="836">
      <c r="A836" s="233"/>
      <c r="B836" s="233"/>
    </row>
    <row r="837">
      <c r="A837" s="233"/>
      <c r="B837" s="233"/>
    </row>
    <row r="838">
      <c r="A838" s="233"/>
      <c r="B838" s="233"/>
    </row>
    <row r="839">
      <c r="A839" s="233"/>
      <c r="B839" s="233"/>
    </row>
    <row r="840">
      <c r="A840" s="233"/>
      <c r="B840" s="233"/>
    </row>
    <row r="841">
      <c r="A841" s="233"/>
      <c r="B841" s="233"/>
    </row>
    <row r="842">
      <c r="A842" s="233"/>
      <c r="B842" s="233"/>
    </row>
    <row r="843">
      <c r="A843" s="233"/>
      <c r="B843" s="233"/>
    </row>
    <row r="844">
      <c r="A844" s="233"/>
      <c r="B844" s="233"/>
    </row>
    <row r="845">
      <c r="A845" s="233"/>
      <c r="B845" s="233"/>
    </row>
    <row r="846">
      <c r="A846" s="233"/>
      <c r="B846" s="233"/>
    </row>
    <row r="847">
      <c r="A847" s="233"/>
      <c r="B847" s="233"/>
    </row>
    <row r="848">
      <c r="A848" s="233"/>
      <c r="B848" s="233"/>
    </row>
    <row r="849">
      <c r="A849" s="233"/>
      <c r="B849" s="233"/>
    </row>
    <row r="850">
      <c r="A850" s="233"/>
      <c r="B850" s="233"/>
    </row>
    <row r="851">
      <c r="A851" s="233"/>
      <c r="B851" s="233"/>
    </row>
    <row r="852">
      <c r="A852" s="233"/>
      <c r="B852" s="233"/>
    </row>
    <row r="853">
      <c r="A853" s="233"/>
      <c r="B853" s="233"/>
    </row>
    <row r="854">
      <c r="A854" s="233"/>
      <c r="B854" s="233"/>
    </row>
    <row r="855">
      <c r="A855" s="233"/>
      <c r="B855" s="233"/>
    </row>
    <row r="856">
      <c r="A856" s="233"/>
      <c r="B856" s="233"/>
    </row>
    <row r="857">
      <c r="A857" s="233"/>
      <c r="B857" s="233"/>
    </row>
    <row r="858">
      <c r="A858" s="233"/>
      <c r="B858" s="233"/>
    </row>
    <row r="859">
      <c r="A859" s="233"/>
      <c r="B859" s="233"/>
    </row>
    <row r="860">
      <c r="A860" s="233"/>
      <c r="B860" s="233"/>
    </row>
    <row r="861">
      <c r="A861" s="233"/>
      <c r="B861" s="233"/>
    </row>
    <row r="862">
      <c r="A862" s="233"/>
      <c r="B862" s="233"/>
    </row>
    <row r="863">
      <c r="A863" s="233"/>
      <c r="B863" s="233"/>
    </row>
    <row r="864">
      <c r="A864" s="233"/>
      <c r="B864" s="233"/>
    </row>
    <row r="865">
      <c r="A865" s="233"/>
      <c r="B865" s="233"/>
    </row>
    <row r="866">
      <c r="A866" s="233"/>
      <c r="B866" s="233"/>
    </row>
    <row r="867">
      <c r="A867" s="233"/>
      <c r="B867" s="233"/>
    </row>
    <row r="868">
      <c r="A868" s="233"/>
      <c r="B868" s="233"/>
    </row>
    <row r="869">
      <c r="A869" s="233"/>
      <c r="B869" s="233"/>
    </row>
    <row r="870">
      <c r="A870" s="233"/>
      <c r="B870" s="233"/>
    </row>
    <row r="871">
      <c r="A871" s="233"/>
      <c r="B871" s="233"/>
    </row>
    <row r="872">
      <c r="A872" s="233"/>
      <c r="B872" s="233"/>
    </row>
    <row r="873">
      <c r="A873" s="233"/>
      <c r="B873" s="233"/>
    </row>
    <row r="874">
      <c r="A874" s="233"/>
      <c r="B874" s="233"/>
    </row>
    <row r="875">
      <c r="A875" s="233"/>
      <c r="B875" s="233"/>
    </row>
    <row r="876">
      <c r="A876" s="233"/>
      <c r="B876" s="233"/>
    </row>
    <row r="877">
      <c r="A877" s="233"/>
      <c r="B877" s="233"/>
    </row>
    <row r="878">
      <c r="A878" s="233"/>
      <c r="B878" s="233"/>
    </row>
    <row r="879">
      <c r="A879" s="233"/>
      <c r="B879" s="233"/>
    </row>
    <row r="880">
      <c r="A880" s="233"/>
      <c r="B880" s="233"/>
    </row>
    <row r="881">
      <c r="A881" s="233"/>
      <c r="B881" s="233"/>
    </row>
    <row r="882">
      <c r="A882" s="233"/>
      <c r="B882" s="233"/>
    </row>
    <row r="883">
      <c r="A883" s="233"/>
      <c r="B883" s="233"/>
    </row>
    <row r="884">
      <c r="A884" s="233"/>
      <c r="B884" s="233"/>
    </row>
    <row r="885">
      <c r="A885" s="233"/>
      <c r="B885" s="233"/>
    </row>
    <row r="886">
      <c r="A886" s="233"/>
      <c r="B886" s="233"/>
    </row>
    <row r="887">
      <c r="A887" s="233"/>
      <c r="B887" s="233"/>
    </row>
    <row r="888">
      <c r="A888" s="233"/>
      <c r="B888" s="233"/>
    </row>
    <row r="889">
      <c r="A889" s="233"/>
      <c r="B889" s="233"/>
    </row>
    <row r="890">
      <c r="A890" s="233"/>
      <c r="B890" s="233"/>
    </row>
    <row r="891">
      <c r="A891" s="233"/>
      <c r="B891" s="233"/>
    </row>
    <row r="892">
      <c r="A892" s="233"/>
      <c r="B892" s="233"/>
    </row>
    <row r="893">
      <c r="A893" s="233"/>
      <c r="B893" s="233"/>
    </row>
    <row r="894">
      <c r="A894" s="233"/>
      <c r="B894" s="233"/>
    </row>
    <row r="895">
      <c r="A895" s="233"/>
      <c r="B895" s="233"/>
    </row>
    <row r="896">
      <c r="A896" s="233"/>
      <c r="B896" s="233"/>
    </row>
    <row r="897">
      <c r="A897" s="233"/>
      <c r="B897" s="233"/>
    </row>
    <row r="898">
      <c r="A898" s="233"/>
      <c r="B898" s="233"/>
    </row>
    <row r="899">
      <c r="A899" s="233"/>
      <c r="B899" s="233"/>
    </row>
    <row r="900">
      <c r="A900" s="233"/>
      <c r="B900" s="233"/>
    </row>
    <row r="901">
      <c r="A901" s="233"/>
      <c r="B901" s="233"/>
    </row>
    <row r="902">
      <c r="A902" s="233"/>
      <c r="B902" s="233"/>
    </row>
    <row r="903">
      <c r="A903" s="233"/>
      <c r="B903" s="233"/>
    </row>
    <row r="904">
      <c r="A904" s="233"/>
      <c r="B904" s="233"/>
    </row>
    <row r="905">
      <c r="A905" s="233"/>
      <c r="B905" s="233"/>
    </row>
    <row r="906">
      <c r="A906" s="233"/>
      <c r="B906" s="233"/>
    </row>
    <row r="907">
      <c r="A907" s="233"/>
      <c r="B907" s="233"/>
    </row>
    <row r="908">
      <c r="A908" s="233"/>
      <c r="B908" s="233"/>
    </row>
    <row r="909">
      <c r="A909" s="233"/>
      <c r="B909" s="233"/>
    </row>
    <row r="910">
      <c r="A910" s="233"/>
      <c r="B910" s="233"/>
    </row>
    <row r="911">
      <c r="A911" s="233"/>
      <c r="B911" s="233"/>
    </row>
    <row r="912">
      <c r="A912" s="233"/>
      <c r="B912" s="233"/>
    </row>
    <row r="913">
      <c r="A913" s="233"/>
      <c r="B913" s="233"/>
    </row>
    <row r="914">
      <c r="A914" s="233"/>
      <c r="B914" s="233"/>
    </row>
    <row r="915">
      <c r="A915" s="233"/>
      <c r="B915" s="233"/>
    </row>
    <row r="916">
      <c r="A916" s="233"/>
      <c r="B916" s="233"/>
    </row>
    <row r="917">
      <c r="A917" s="233"/>
      <c r="B917" s="233"/>
    </row>
    <row r="918">
      <c r="A918" s="233"/>
      <c r="B918" s="233"/>
    </row>
    <row r="919">
      <c r="A919" s="233"/>
      <c r="B919" s="233"/>
    </row>
    <row r="920">
      <c r="A920" s="233"/>
      <c r="B920" s="233"/>
    </row>
    <row r="921">
      <c r="A921" s="233"/>
      <c r="B921" s="233"/>
    </row>
    <row r="922">
      <c r="A922" s="233"/>
      <c r="B922" s="233"/>
    </row>
    <row r="923">
      <c r="A923" s="233"/>
      <c r="B923" s="233"/>
    </row>
    <row r="924">
      <c r="A924" s="233"/>
      <c r="B924" s="233"/>
    </row>
    <row r="925">
      <c r="A925" s="233"/>
      <c r="B925" s="233"/>
    </row>
    <row r="926">
      <c r="A926" s="233"/>
      <c r="B926" s="233"/>
    </row>
    <row r="927">
      <c r="A927" s="233"/>
      <c r="B927" s="233"/>
    </row>
    <row r="928">
      <c r="A928" s="233"/>
      <c r="B928" s="233"/>
    </row>
    <row r="929">
      <c r="A929" s="233"/>
      <c r="B929" s="233"/>
    </row>
    <row r="930">
      <c r="A930" s="233"/>
      <c r="B930" s="233"/>
    </row>
    <row r="931">
      <c r="A931" s="233"/>
      <c r="B931" s="233"/>
    </row>
    <row r="932">
      <c r="A932" s="233"/>
      <c r="B932" s="233"/>
    </row>
    <row r="933">
      <c r="A933" s="233"/>
      <c r="B933" s="233"/>
    </row>
    <row r="934">
      <c r="A934" s="233"/>
      <c r="B934" s="233"/>
    </row>
    <row r="935">
      <c r="A935" s="233"/>
      <c r="B935" s="233"/>
    </row>
    <row r="936">
      <c r="A936" s="233"/>
      <c r="B936" s="233"/>
    </row>
    <row r="937">
      <c r="A937" s="233"/>
      <c r="B937" s="233"/>
    </row>
    <row r="938">
      <c r="A938" s="233"/>
      <c r="B938" s="233"/>
    </row>
    <row r="939">
      <c r="A939" s="233"/>
      <c r="B939" s="233"/>
    </row>
    <row r="940">
      <c r="A940" s="233"/>
      <c r="B940" s="233"/>
    </row>
    <row r="941">
      <c r="A941" s="233"/>
      <c r="B941" s="233"/>
    </row>
    <row r="942">
      <c r="A942" s="233"/>
      <c r="B942" s="233"/>
    </row>
    <row r="943">
      <c r="A943" s="233"/>
      <c r="B943" s="233"/>
    </row>
    <row r="944">
      <c r="A944" s="233"/>
      <c r="B944" s="233"/>
    </row>
    <row r="945">
      <c r="A945" s="233"/>
      <c r="B945" s="233"/>
    </row>
    <row r="946">
      <c r="A946" s="233"/>
      <c r="B946" s="233"/>
    </row>
    <row r="947">
      <c r="A947" s="233"/>
      <c r="B947" s="233"/>
    </row>
    <row r="948">
      <c r="A948" s="233"/>
      <c r="B948" s="233"/>
    </row>
    <row r="949">
      <c r="A949" s="233"/>
      <c r="B949" s="233"/>
    </row>
    <row r="950">
      <c r="A950" s="233"/>
      <c r="B950" s="233"/>
    </row>
    <row r="951">
      <c r="A951" s="233"/>
      <c r="B951" s="233"/>
    </row>
    <row r="952">
      <c r="A952" s="233"/>
      <c r="B952" s="233"/>
    </row>
    <row r="953">
      <c r="A953" s="233"/>
      <c r="B953" s="233"/>
    </row>
    <row r="954">
      <c r="A954" s="233"/>
      <c r="B954" s="233"/>
    </row>
    <row r="955">
      <c r="A955" s="233"/>
      <c r="B955" s="233"/>
    </row>
    <row r="956">
      <c r="A956" s="233"/>
      <c r="B956" s="233"/>
    </row>
    <row r="957">
      <c r="A957" s="233"/>
      <c r="B957" s="233"/>
    </row>
    <row r="958">
      <c r="A958" s="233"/>
      <c r="B958" s="233"/>
    </row>
    <row r="959">
      <c r="A959" s="233"/>
      <c r="B959" s="233"/>
    </row>
    <row r="960">
      <c r="A960" s="233"/>
      <c r="B960" s="233"/>
    </row>
    <row r="961">
      <c r="A961" s="233"/>
      <c r="B961" s="233"/>
    </row>
    <row r="962">
      <c r="A962" s="233"/>
      <c r="B962" s="233"/>
    </row>
    <row r="963">
      <c r="A963" s="233"/>
      <c r="B963" s="233"/>
    </row>
    <row r="964">
      <c r="A964" s="233"/>
      <c r="B964" s="233"/>
    </row>
    <row r="965">
      <c r="A965" s="233"/>
      <c r="B965" s="233"/>
    </row>
    <row r="966">
      <c r="A966" s="233"/>
      <c r="B966" s="233"/>
    </row>
    <row r="967">
      <c r="A967" s="233"/>
      <c r="B967" s="233"/>
    </row>
    <row r="968">
      <c r="A968" s="233"/>
      <c r="B968" s="233"/>
    </row>
    <row r="969">
      <c r="A969" s="233"/>
      <c r="B969" s="233"/>
    </row>
    <row r="970">
      <c r="A970" s="233"/>
      <c r="B970" s="233"/>
    </row>
    <row r="971">
      <c r="A971" s="233"/>
      <c r="B971" s="233"/>
    </row>
    <row r="972">
      <c r="A972" s="233"/>
      <c r="B972" s="233"/>
    </row>
    <row r="973">
      <c r="A973" s="233"/>
      <c r="B973" s="233"/>
    </row>
    <row r="974">
      <c r="A974" s="233"/>
      <c r="B974" s="233"/>
    </row>
    <row r="975">
      <c r="A975" s="233"/>
      <c r="B975" s="233"/>
    </row>
    <row r="976">
      <c r="A976" s="233"/>
      <c r="B976" s="233"/>
    </row>
    <row r="977">
      <c r="A977" s="233"/>
      <c r="B977" s="233"/>
    </row>
    <row r="978">
      <c r="A978" s="233"/>
      <c r="B978" s="233"/>
    </row>
    <row r="979">
      <c r="A979" s="233"/>
      <c r="B979" s="233"/>
    </row>
    <row r="980">
      <c r="A980" s="233"/>
      <c r="B980" s="233"/>
    </row>
    <row r="981">
      <c r="A981" s="233"/>
      <c r="B981" s="233"/>
    </row>
    <row r="982">
      <c r="A982" s="233"/>
      <c r="B982" s="233"/>
    </row>
    <row r="983">
      <c r="A983" s="233"/>
      <c r="B983" s="233"/>
    </row>
    <row r="984">
      <c r="A984" s="233"/>
      <c r="B984" s="233"/>
    </row>
    <row r="985">
      <c r="A985" s="233"/>
      <c r="B985" s="233"/>
    </row>
    <row r="986">
      <c r="A986" s="233"/>
      <c r="B986" s="233"/>
    </row>
    <row r="987">
      <c r="A987" s="233"/>
      <c r="B987" s="233"/>
    </row>
    <row r="988">
      <c r="A988" s="233"/>
      <c r="B988" s="233"/>
    </row>
    <row r="989">
      <c r="A989" s="233"/>
      <c r="B989" s="233"/>
    </row>
    <row r="990">
      <c r="A990" s="233"/>
      <c r="B990" s="233"/>
    </row>
    <row r="991">
      <c r="A991" s="233"/>
      <c r="B991" s="233"/>
    </row>
    <row r="992">
      <c r="A992" s="233"/>
      <c r="B992" s="233"/>
    </row>
    <row r="993">
      <c r="A993" s="233"/>
      <c r="B993" s="233"/>
    </row>
    <row r="994">
      <c r="A994" s="233"/>
      <c r="B994" s="233"/>
    </row>
    <row r="995">
      <c r="A995" s="233"/>
      <c r="B995" s="233"/>
    </row>
    <row r="996">
      <c r="A996" s="233"/>
      <c r="B996" s="233"/>
    </row>
    <row r="997">
      <c r="A997" s="233"/>
      <c r="B997" s="233"/>
    </row>
    <row r="998">
      <c r="A998" s="233"/>
      <c r="B998" s="233"/>
    </row>
    <row r="999">
      <c r="A999" s="233"/>
      <c r="B999" s="233"/>
    </row>
    <row r="1000">
      <c r="A1000" s="233"/>
      <c r="B1000" s="233"/>
    </row>
    <row r="1001">
      <c r="A1001" s="233"/>
      <c r="B1001" s="233"/>
    </row>
    <row r="1002">
      <c r="A1002" s="233"/>
      <c r="B1002" s="233"/>
    </row>
    <row r="1003">
      <c r="A1003" s="233"/>
      <c r="B1003" s="233"/>
    </row>
    <row r="1004">
      <c r="A1004" s="233"/>
      <c r="B1004" s="233"/>
    </row>
    <row r="1005">
      <c r="A1005" s="233"/>
      <c r="B1005" s="233"/>
    </row>
    <row r="1006">
      <c r="A1006" s="233"/>
      <c r="B1006" s="233"/>
    </row>
    <row r="1007">
      <c r="A1007" s="233"/>
      <c r="B1007" s="233"/>
    </row>
    <row r="1008">
      <c r="A1008" s="233"/>
      <c r="B1008" s="233"/>
    </row>
    <row r="1009">
      <c r="A1009" s="233"/>
      <c r="B1009" s="233"/>
    </row>
    <row r="1010">
      <c r="A1010" s="233"/>
      <c r="B1010" s="233"/>
    </row>
    <row r="1011">
      <c r="A1011" s="233"/>
      <c r="B1011" s="233"/>
    </row>
    <row r="1012">
      <c r="A1012" s="233"/>
      <c r="B1012" s="233"/>
    </row>
    <row r="1013">
      <c r="A1013" s="233"/>
      <c r="B1013" s="233"/>
    </row>
    <row r="1014">
      <c r="A1014" s="233"/>
      <c r="B1014" s="233"/>
    </row>
    <row r="1015">
      <c r="A1015" s="233"/>
      <c r="B1015" s="233"/>
    </row>
    <row r="1016">
      <c r="A1016" s="233"/>
      <c r="B1016" s="233"/>
    </row>
    <row r="1017">
      <c r="A1017" s="233"/>
      <c r="B1017" s="233"/>
    </row>
    <row r="1018">
      <c r="A1018" s="233"/>
      <c r="B1018" s="233"/>
    </row>
    <row r="1019">
      <c r="A1019" s="233"/>
      <c r="B1019" s="233"/>
    </row>
    <row r="1020">
      <c r="A1020" s="233"/>
      <c r="B1020" s="233"/>
    </row>
    <row r="1021">
      <c r="A1021" s="233"/>
      <c r="B1021" s="233"/>
    </row>
    <row r="1022">
      <c r="A1022" s="233"/>
      <c r="B1022" s="233"/>
    </row>
    <row r="1023">
      <c r="A1023" s="233"/>
      <c r="B1023" s="233"/>
    </row>
    <row r="1024">
      <c r="A1024" s="233"/>
      <c r="B1024" s="233"/>
    </row>
    <row r="1025">
      <c r="A1025" s="233"/>
      <c r="B1025" s="233"/>
    </row>
    <row r="1026">
      <c r="A1026" s="233"/>
      <c r="B1026" s="233"/>
    </row>
    <row r="1027">
      <c r="A1027" s="233"/>
      <c r="B1027" s="233"/>
    </row>
    <row r="1028">
      <c r="A1028" s="233"/>
      <c r="B1028" s="233"/>
    </row>
    <row r="1029">
      <c r="A1029" s="233"/>
      <c r="B1029" s="233"/>
    </row>
    <row r="1030">
      <c r="A1030" s="233"/>
      <c r="B1030" s="233"/>
    </row>
    <row r="1031">
      <c r="A1031" s="233"/>
      <c r="B1031" s="233"/>
    </row>
    <row r="1032">
      <c r="A1032" s="233"/>
      <c r="B1032" s="233"/>
    </row>
    <row r="1033">
      <c r="A1033" s="233"/>
      <c r="B1033" s="233"/>
    </row>
    <row r="1034">
      <c r="A1034" s="233"/>
      <c r="B1034" s="233"/>
    </row>
    <row r="1035">
      <c r="A1035" s="233"/>
      <c r="B1035" s="233"/>
    </row>
    <row r="1036">
      <c r="A1036" s="233"/>
      <c r="B1036" s="233"/>
    </row>
    <row r="1037">
      <c r="A1037" s="233"/>
      <c r="B1037" s="233"/>
    </row>
    <row r="1038">
      <c r="A1038" s="233"/>
      <c r="B1038" s="233"/>
    </row>
    <row r="1039">
      <c r="A1039" s="233"/>
      <c r="B1039" s="233"/>
    </row>
    <row r="1040">
      <c r="A1040" s="233"/>
      <c r="B1040" s="233"/>
    </row>
    <row r="1041">
      <c r="A1041" s="233"/>
      <c r="B1041" s="233"/>
    </row>
    <row r="1042">
      <c r="A1042" s="233"/>
      <c r="B1042" s="233"/>
    </row>
    <row r="1043">
      <c r="A1043" s="233"/>
      <c r="B1043" s="233"/>
    </row>
    <row r="1044">
      <c r="A1044" s="233"/>
      <c r="B1044" s="233"/>
    </row>
    <row r="1045">
      <c r="A1045" s="233"/>
      <c r="B1045" s="233"/>
    </row>
    <row r="1046">
      <c r="A1046" s="233"/>
      <c r="B1046" s="233"/>
    </row>
    <row r="1047">
      <c r="A1047" s="233"/>
      <c r="B1047" s="233"/>
    </row>
    <row r="1048">
      <c r="A1048" s="233"/>
      <c r="B1048" s="233"/>
    </row>
    <row r="1049">
      <c r="A1049" s="233"/>
      <c r="B1049" s="233"/>
    </row>
    <row r="1050">
      <c r="A1050" s="233"/>
      <c r="B1050" s="233"/>
    </row>
    <row r="1051">
      <c r="A1051" s="233"/>
      <c r="B1051" s="233"/>
    </row>
    <row r="1052">
      <c r="A1052" s="233"/>
      <c r="B1052" s="233"/>
    </row>
    <row r="1053">
      <c r="A1053" s="233"/>
      <c r="B1053" s="233"/>
    </row>
    <row r="1054">
      <c r="A1054" s="233"/>
      <c r="B1054" s="233"/>
    </row>
    <row r="1055">
      <c r="A1055" s="233"/>
      <c r="B1055" s="233"/>
    </row>
    <row r="1056">
      <c r="A1056" s="233"/>
      <c r="B1056" s="233"/>
    </row>
    <row r="1057">
      <c r="A1057" s="233"/>
      <c r="B1057" s="233"/>
    </row>
    <row r="1058">
      <c r="A1058" s="233"/>
      <c r="B1058" s="233"/>
    </row>
    <row r="1059">
      <c r="A1059" s="233"/>
      <c r="B1059" s="233"/>
    </row>
    <row r="1060">
      <c r="A1060" s="233"/>
      <c r="B1060" s="233"/>
    </row>
    <row r="1061">
      <c r="A1061" s="233"/>
      <c r="B1061" s="233"/>
    </row>
    <row r="1062">
      <c r="A1062" s="233"/>
      <c r="B1062" s="233"/>
    </row>
    <row r="1063">
      <c r="A1063" s="233"/>
      <c r="B1063" s="233"/>
    </row>
    <row r="1064">
      <c r="A1064" s="233"/>
      <c r="B1064" s="233"/>
    </row>
    <row r="1065">
      <c r="A1065" s="233"/>
      <c r="B1065" s="233"/>
    </row>
    <row r="1066">
      <c r="A1066" s="233"/>
      <c r="B1066" s="233"/>
    </row>
    <row r="1067">
      <c r="A1067" s="233"/>
      <c r="B1067" s="233"/>
    </row>
    <row r="1068">
      <c r="A1068" s="233"/>
      <c r="B1068" s="233"/>
    </row>
    <row r="1069">
      <c r="A1069" s="233"/>
      <c r="B1069" s="233"/>
    </row>
    <row r="1070">
      <c r="A1070" s="233"/>
      <c r="B1070" s="233"/>
    </row>
    <row r="1071">
      <c r="A1071" s="233"/>
      <c r="B1071" s="233"/>
    </row>
    <row r="1072">
      <c r="A1072" s="233"/>
      <c r="B1072" s="233"/>
    </row>
    <row r="1073">
      <c r="A1073" s="233"/>
      <c r="B1073" s="233"/>
    </row>
    <row r="1074">
      <c r="A1074" s="233"/>
      <c r="B1074" s="233"/>
    </row>
    <row r="1075">
      <c r="A1075" s="233"/>
      <c r="B1075" s="233"/>
    </row>
    <row r="1076">
      <c r="A1076" s="233"/>
      <c r="B1076" s="233"/>
    </row>
    <row r="1077">
      <c r="A1077" s="233"/>
      <c r="B1077" s="233"/>
    </row>
    <row r="1078">
      <c r="A1078" s="233"/>
      <c r="B1078" s="233"/>
    </row>
    <row r="1079">
      <c r="A1079" s="233"/>
      <c r="B1079" s="233"/>
    </row>
    <row r="1080">
      <c r="A1080" s="233"/>
      <c r="B1080" s="233"/>
    </row>
    <row r="1081">
      <c r="A1081" s="233"/>
      <c r="B1081" s="233"/>
    </row>
    <row r="1082">
      <c r="A1082" s="233"/>
      <c r="B1082" s="233"/>
    </row>
    <row r="1083">
      <c r="A1083" s="233"/>
      <c r="B1083" s="233"/>
    </row>
    <row r="1084">
      <c r="A1084" s="233"/>
      <c r="B1084" s="233"/>
    </row>
    <row r="1085">
      <c r="A1085" s="233"/>
      <c r="B1085" s="233"/>
    </row>
    <row r="1086">
      <c r="A1086" s="233"/>
      <c r="B1086" s="233"/>
    </row>
    <row r="1087">
      <c r="A1087" s="233"/>
      <c r="B1087" s="233"/>
    </row>
    <row r="1088">
      <c r="A1088" s="233"/>
      <c r="B1088" s="233"/>
    </row>
    <row r="1089">
      <c r="A1089" s="233"/>
      <c r="B1089" s="233"/>
    </row>
    <row r="1090">
      <c r="A1090" s="233"/>
      <c r="B1090" s="233"/>
    </row>
    <row r="1091">
      <c r="A1091" s="233"/>
      <c r="B1091" s="233"/>
    </row>
    <row r="1092">
      <c r="A1092" s="233"/>
      <c r="B1092" s="233"/>
    </row>
    <row r="1093">
      <c r="A1093" s="233"/>
      <c r="B1093" s="233"/>
    </row>
    <row r="1094">
      <c r="A1094" s="233"/>
      <c r="B1094" s="233"/>
    </row>
    <row r="1095">
      <c r="A1095" s="233"/>
      <c r="B1095" s="233"/>
    </row>
    <row r="1096">
      <c r="A1096" s="233"/>
      <c r="B1096" s="233"/>
    </row>
    <row r="1097">
      <c r="A1097" s="233"/>
      <c r="B1097" s="233"/>
    </row>
    <row r="1098">
      <c r="A1098" s="233"/>
      <c r="B1098" s="233"/>
    </row>
    <row r="1099">
      <c r="A1099" s="233"/>
      <c r="B1099" s="233"/>
    </row>
    <row r="1100">
      <c r="A1100" s="233"/>
      <c r="B1100" s="233"/>
    </row>
    <row r="1101">
      <c r="A1101" s="233"/>
      <c r="B1101" s="233"/>
    </row>
    <row r="1102">
      <c r="A1102" s="233"/>
      <c r="B1102" s="233"/>
    </row>
    <row r="1103">
      <c r="A1103" s="233"/>
      <c r="B1103" s="233"/>
    </row>
    <row r="1104">
      <c r="A1104" s="233"/>
      <c r="B1104" s="233"/>
    </row>
    <row r="1105">
      <c r="A1105" s="233"/>
      <c r="B1105" s="233"/>
    </row>
    <row r="1106">
      <c r="A1106" s="233"/>
      <c r="B1106" s="233"/>
    </row>
    <row r="1107">
      <c r="A1107" s="233"/>
      <c r="B1107" s="233"/>
    </row>
    <row r="1108">
      <c r="A1108" s="233"/>
      <c r="B1108" s="233"/>
    </row>
    <row r="1109">
      <c r="A1109" s="233"/>
      <c r="B1109" s="233"/>
    </row>
    <row r="1110">
      <c r="A1110" s="233"/>
      <c r="B1110" s="233"/>
    </row>
    <row r="1111">
      <c r="A1111" s="233"/>
      <c r="B1111" s="233"/>
    </row>
    <row r="1112">
      <c r="A1112" s="233"/>
      <c r="B1112" s="233"/>
    </row>
    <row r="1113">
      <c r="A1113" s="233"/>
      <c r="B1113" s="233"/>
    </row>
    <row r="1114">
      <c r="A1114" s="233"/>
      <c r="B1114" s="233"/>
    </row>
    <row r="1115">
      <c r="A1115" s="233"/>
      <c r="B1115" s="233"/>
    </row>
    <row r="1116">
      <c r="A1116" s="233"/>
      <c r="B1116" s="233"/>
    </row>
    <row r="1117">
      <c r="A1117" s="233"/>
      <c r="B1117" s="233"/>
    </row>
    <row r="1118">
      <c r="A1118" s="233"/>
      <c r="B1118" s="233"/>
    </row>
    <row r="1119">
      <c r="A1119" s="233"/>
      <c r="B1119" s="233"/>
    </row>
    <row r="1120">
      <c r="A1120" s="233"/>
      <c r="B1120" s="233"/>
    </row>
    <row r="1121">
      <c r="A1121" s="233"/>
      <c r="B1121" s="233"/>
    </row>
    <row r="1122">
      <c r="A1122" s="233"/>
      <c r="B1122" s="233"/>
    </row>
    <row r="1123">
      <c r="A1123" s="233"/>
      <c r="B1123" s="233"/>
    </row>
    <row r="1124">
      <c r="A1124" s="233"/>
      <c r="B1124" s="233"/>
    </row>
    <row r="1125">
      <c r="A1125" s="233"/>
      <c r="B1125" s="233"/>
    </row>
    <row r="1126">
      <c r="A1126" s="233"/>
      <c r="B1126" s="233"/>
    </row>
    <row r="1127">
      <c r="A1127" s="233"/>
      <c r="B1127" s="233"/>
    </row>
    <row r="1128">
      <c r="A1128" s="233"/>
      <c r="B1128" s="233"/>
    </row>
    <row r="1129">
      <c r="A1129" s="233"/>
      <c r="B1129" s="233"/>
    </row>
    <row r="1130">
      <c r="A1130" s="233"/>
      <c r="B1130" s="233"/>
    </row>
    <row r="1131">
      <c r="A1131" s="233"/>
      <c r="B1131" s="233"/>
    </row>
    <row r="1132">
      <c r="A1132" s="233"/>
      <c r="B1132" s="233"/>
    </row>
    <row r="1133">
      <c r="A1133" s="233"/>
      <c r="B1133" s="233"/>
    </row>
    <row r="1134">
      <c r="A1134" s="233"/>
      <c r="B1134" s="233"/>
    </row>
    <row r="1135">
      <c r="A1135" s="233"/>
      <c r="B1135" s="233"/>
    </row>
    <row r="1136">
      <c r="A1136" s="233"/>
      <c r="B1136" s="233"/>
    </row>
    <row r="1137">
      <c r="A1137" s="233"/>
      <c r="B1137" s="233"/>
    </row>
    <row r="1138">
      <c r="A1138" s="233"/>
      <c r="B1138" s="233"/>
    </row>
    <row r="1139">
      <c r="A1139" s="233"/>
      <c r="B1139" s="233"/>
    </row>
    <row r="1140">
      <c r="A1140" s="233"/>
      <c r="B1140" s="233"/>
    </row>
    <row r="1141">
      <c r="A1141" s="233"/>
      <c r="B1141" s="233"/>
    </row>
    <row r="1142">
      <c r="A1142" s="233"/>
      <c r="B1142" s="233"/>
    </row>
    <row r="1143">
      <c r="A1143" s="233"/>
      <c r="B1143" s="233"/>
    </row>
    <row r="1144">
      <c r="A1144" s="233"/>
      <c r="B1144" s="233"/>
    </row>
    <row r="1145">
      <c r="A1145" s="233"/>
      <c r="B1145" s="233"/>
    </row>
    <row r="1146">
      <c r="A1146" s="233"/>
      <c r="B1146" s="233"/>
    </row>
    <row r="1147">
      <c r="A1147" s="233"/>
      <c r="B1147" s="233"/>
    </row>
    <row r="1148">
      <c r="A1148" s="233"/>
      <c r="B1148" s="233"/>
    </row>
    <row r="1149">
      <c r="A1149" s="233"/>
      <c r="B1149" s="233"/>
    </row>
    <row r="1150">
      <c r="A1150" s="233"/>
      <c r="B1150" s="233"/>
    </row>
    <row r="1151">
      <c r="A1151" s="233"/>
      <c r="B1151" s="233"/>
    </row>
    <row r="1152">
      <c r="A1152" s="233"/>
      <c r="B1152" s="233"/>
    </row>
    <row r="1153">
      <c r="A1153" s="233"/>
      <c r="B1153" s="233"/>
    </row>
    <row r="1154">
      <c r="A1154" s="233"/>
      <c r="B1154" s="233"/>
    </row>
    <row r="1155">
      <c r="A1155" s="233"/>
      <c r="B1155" s="233"/>
    </row>
    <row r="1156">
      <c r="A1156" s="233"/>
      <c r="B1156" s="233"/>
    </row>
    <row r="1157">
      <c r="A1157" s="233"/>
      <c r="B1157" s="233"/>
    </row>
    <row r="1158">
      <c r="A1158" s="233"/>
      <c r="B1158" s="233"/>
    </row>
    <row r="1159">
      <c r="A1159" s="233"/>
      <c r="B1159" s="233"/>
    </row>
    <row r="1160">
      <c r="A1160" s="233"/>
      <c r="B1160" s="233"/>
    </row>
    <row r="1161">
      <c r="A1161" s="233"/>
      <c r="B1161" s="233"/>
    </row>
    <row r="1162">
      <c r="A1162" s="233"/>
      <c r="B1162" s="233"/>
    </row>
    <row r="1163">
      <c r="A1163" s="233"/>
      <c r="B1163" s="233"/>
    </row>
    <row r="1164">
      <c r="A1164" s="233"/>
      <c r="B1164" s="233"/>
    </row>
    <row r="1165">
      <c r="A1165" s="233"/>
      <c r="B1165" s="233"/>
    </row>
    <row r="1166">
      <c r="A1166" s="233"/>
      <c r="B1166" s="233"/>
    </row>
    <row r="1167">
      <c r="A1167" s="233"/>
      <c r="B1167" s="233"/>
    </row>
    <row r="1168">
      <c r="A1168" s="233"/>
      <c r="B1168" s="233"/>
    </row>
    <row r="1169">
      <c r="A1169" s="233"/>
      <c r="B1169" s="233"/>
    </row>
    <row r="1170">
      <c r="A1170" s="233"/>
      <c r="B1170" s="233"/>
    </row>
    <row r="1171">
      <c r="A1171" s="233"/>
      <c r="B1171" s="233"/>
    </row>
    <row r="1172">
      <c r="A1172" s="233"/>
      <c r="B1172" s="233"/>
    </row>
    <row r="1173">
      <c r="A1173" s="233"/>
      <c r="B1173" s="233"/>
    </row>
    <row r="1174">
      <c r="A1174" s="233"/>
      <c r="B1174" s="233"/>
    </row>
    <row r="1175">
      <c r="A1175" s="233"/>
      <c r="B1175" s="233"/>
    </row>
    <row r="1176">
      <c r="A1176" s="233"/>
      <c r="B1176" s="233"/>
    </row>
    <row r="1177">
      <c r="A1177" s="233"/>
      <c r="B1177" s="233"/>
    </row>
    <row r="1178">
      <c r="A1178" s="233"/>
      <c r="B1178" s="233"/>
    </row>
    <row r="1179">
      <c r="A1179" s="233"/>
      <c r="B1179" s="233"/>
    </row>
    <row r="1180">
      <c r="A1180" s="233"/>
      <c r="B1180" s="233"/>
    </row>
    <row r="1181">
      <c r="A1181" s="233"/>
      <c r="B1181" s="233"/>
    </row>
    <row r="1182">
      <c r="A1182" s="233"/>
      <c r="B1182" s="233"/>
    </row>
    <row r="1183">
      <c r="A1183" s="233"/>
      <c r="B1183" s="233"/>
    </row>
    <row r="1184">
      <c r="A1184" s="233"/>
      <c r="B1184" s="233"/>
    </row>
    <row r="1185">
      <c r="A1185" s="233"/>
      <c r="B1185" s="233"/>
    </row>
    <row r="1186">
      <c r="A1186" s="233"/>
      <c r="B1186" s="233"/>
    </row>
    <row r="1187">
      <c r="A1187" s="233"/>
      <c r="B1187" s="233"/>
    </row>
    <row r="1188">
      <c r="A1188" s="233"/>
      <c r="B1188" s="233"/>
    </row>
    <row r="1189">
      <c r="A1189" s="233"/>
      <c r="B1189" s="233"/>
    </row>
    <row r="1190">
      <c r="A1190" s="233"/>
      <c r="B1190" s="233"/>
    </row>
    <row r="1191">
      <c r="A1191" s="233"/>
      <c r="B1191" s="233"/>
    </row>
    <row r="1192">
      <c r="A1192" s="233"/>
      <c r="B1192" s="233"/>
    </row>
    <row r="1193">
      <c r="A1193" s="233"/>
      <c r="B1193" s="233"/>
    </row>
    <row r="1194">
      <c r="A1194" s="233"/>
      <c r="B1194" s="233"/>
    </row>
    <row r="1195">
      <c r="A1195" s="233"/>
      <c r="B1195" s="233"/>
    </row>
    <row r="1196">
      <c r="A1196" s="233"/>
      <c r="B1196" s="233"/>
    </row>
    <row r="1197">
      <c r="A1197" s="233"/>
      <c r="B1197" s="233"/>
    </row>
    <row r="1198">
      <c r="A1198" s="233"/>
      <c r="B1198" s="233"/>
    </row>
    <row r="1199">
      <c r="A1199" s="233"/>
      <c r="B1199" s="233"/>
    </row>
    <row r="1200">
      <c r="A1200" s="233"/>
      <c r="B1200" s="233"/>
    </row>
    <row r="1201">
      <c r="A1201" s="233"/>
      <c r="B1201" s="233"/>
    </row>
    <row r="1202">
      <c r="A1202" s="233"/>
      <c r="B1202" s="233"/>
    </row>
    <row r="1203">
      <c r="A1203" s="233"/>
      <c r="B1203" s="233"/>
    </row>
    <row r="1204">
      <c r="A1204" s="233"/>
      <c r="B1204" s="233"/>
    </row>
    <row r="1205">
      <c r="A1205" s="233"/>
      <c r="B1205" s="233"/>
    </row>
    <row r="1206">
      <c r="A1206" s="233"/>
      <c r="B1206" s="233"/>
    </row>
    <row r="1207">
      <c r="A1207" s="233"/>
      <c r="B1207" s="233"/>
    </row>
    <row r="1208">
      <c r="A1208" s="233"/>
      <c r="B1208" s="233"/>
    </row>
    <row r="1209">
      <c r="A1209" s="233"/>
      <c r="B1209" s="233"/>
    </row>
    <row r="1210">
      <c r="A1210" s="233"/>
      <c r="B1210" s="233"/>
    </row>
    <row r="1211">
      <c r="A1211" s="233"/>
      <c r="B1211" s="233"/>
    </row>
    <row r="1212">
      <c r="A1212" s="233"/>
      <c r="B1212" s="233"/>
    </row>
    <row r="1213">
      <c r="A1213" s="233"/>
      <c r="B1213" s="233"/>
    </row>
    <row r="1214">
      <c r="A1214" s="233"/>
      <c r="B1214" s="233"/>
    </row>
    <row r="1215">
      <c r="A1215" s="233"/>
      <c r="B1215" s="233"/>
    </row>
    <row r="1216">
      <c r="A1216" s="233"/>
      <c r="B1216" s="233"/>
    </row>
    <row r="1217">
      <c r="A1217" s="233"/>
      <c r="B1217" s="233"/>
    </row>
    <row r="1218">
      <c r="A1218" s="233"/>
      <c r="B1218" s="233"/>
    </row>
    <row r="1219">
      <c r="A1219" s="233"/>
      <c r="B1219" s="233"/>
    </row>
    <row r="1220">
      <c r="A1220" s="233"/>
      <c r="B1220" s="233"/>
    </row>
    <row r="1221">
      <c r="A1221" s="233"/>
      <c r="B1221" s="233"/>
    </row>
    <row r="1222">
      <c r="A1222" s="233"/>
      <c r="B1222" s="233"/>
    </row>
    <row r="1223">
      <c r="A1223" s="233"/>
      <c r="B1223" s="233"/>
    </row>
    <row r="1224">
      <c r="A1224" s="233"/>
      <c r="B1224" s="233"/>
    </row>
    <row r="1225">
      <c r="A1225" s="233"/>
      <c r="B1225" s="233"/>
    </row>
    <row r="1226">
      <c r="A1226" s="233"/>
      <c r="B1226" s="233"/>
    </row>
    <row r="1227">
      <c r="A1227" s="233"/>
      <c r="B1227" s="233"/>
    </row>
    <row r="1228">
      <c r="A1228" s="233"/>
      <c r="B1228" s="233"/>
    </row>
    <row r="1229">
      <c r="A1229" s="233"/>
      <c r="B1229" s="233"/>
    </row>
    <row r="1230">
      <c r="A1230" s="233"/>
      <c r="B1230" s="233"/>
    </row>
    <row r="1231">
      <c r="A1231" s="233"/>
      <c r="B1231" s="233"/>
    </row>
    <row r="1232">
      <c r="A1232" s="233"/>
      <c r="B1232" s="233"/>
    </row>
    <row r="1233">
      <c r="A1233" s="233"/>
      <c r="B1233" s="233"/>
    </row>
    <row r="1234">
      <c r="A1234" s="233"/>
      <c r="B1234" s="233"/>
    </row>
    <row r="1235">
      <c r="A1235" s="233"/>
      <c r="B1235" s="233"/>
    </row>
    <row r="1236">
      <c r="A1236" s="233"/>
      <c r="B1236" s="233"/>
    </row>
    <row r="1237">
      <c r="A1237" s="233"/>
      <c r="B1237" s="233"/>
    </row>
    <row r="1238">
      <c r="A1238" s="233"/>
      <c r="B1238" s="233"/>
    </row>
    <row r="1239">
      <c r="A1239" s="233"/>
      <c r="B1239" s="233"/>
    </row>
    <row r="1240">
      <c r="A1240" s="233"/>
      <c r="B1240" s="233"/>
    </row>
    <row r="1241">
      <c r="A1241" s="233"/>
      <c r="B1241" s="233"/>
    </row>
    <row r="1242">
      <c r="A1242" s="233"/>
      <c r="B1242" s="233"/>
    </row>
    <row r="1243">
      <c r="A1243" s="233"/>
      <c r="B1243" s="233"/>
    </row>
    <row r="1244">
      <c r="A1244" s="233"/>
      <c r="B1244" s="233"/>
    </row>
    <row r="1245">
      <c r="A1245" s="233"/>
      <c r="B1245" s="233"/>
    </row>
    <row r="1246">
      <c r="A1246" s="233"/>
      <c r="B1246" s="233"/>
    </row>
    <row r="1247">
      <c r="A1247" s="233"/>
      <c r="B1247" s="233"/>
    </row>
    <row r="1248">
      <c r="A1248" s="233"/>
      <c r="B1248" s="233"/>
    </row>
    <row r="1249">
      <c r="A1249" s="233"/>
      <c r="B1249" s="233"/>
    </row>
    <row r="1250">
      <c r="A1250" s="233"/>
      <c r="B1250" s="233"/>
    </row>
    <row r="1251">
      <c r="A1251" s="233"/>
      <c r="B1251" s="233"/>
    </row>
    <row r="1252">
      <c r="A1252" s="233"/>
      <c r="B1252" s="233"/>
    </row>
    <row r="1253">
      <c r="A1253" s="233"/>
      <c r="B1253" s="233"/>
    </row>
    <row r="1254">
      <c r="A1254" s="233"/>
      <c r="B1254" s="233"/>
    </row>
    <row r="1255">
      <c r="A1255" s="233"/>
      <c r="B1255" s="233"/>
    </row>
    <row r="1256">
      <c r="A1256" s="233"/>
      <c r="B1256" s="233"/>
    </row>
    <row r="1257">
      <c r="A1257" s="233"/>
      <c r="B1257" s="233"/>
    </row>
    <row r="1258">
      <c r="A1258" s="233"/>
      <c r="B1258" s="233"/>
    </row>
    <row r="1259">
      <c r="A1259" s="233"/>
      <c r="B1259" s="233"/>
    </row>
    <row r="1260">
      <c r="A1260" s="233"/>
      <c r="B1260" s="233"/>
    </row>
    <row r="1261">
      <c r="A1261" s="233"/>
      <c r="B1261" s="233"/>
    </row>
    <row r="1262">
      <c r="A1262" s="233"/>
      <c r="B1262" s="233"/>
    </row>
    <row r="1263">
      <c r="A1263" s="233"/>
      <c r="B1263" s="233"/>
    </row>
    <row r="1264">
      <c r="A1264" s="233"/>
      <c r="B1264" s="233"/>
    </row>
    <row r="1265">
      <c r="A1265" s="233"/>
      <c r="B1265" s="233"/>
    </row>
    <row r="1266">
      <c r="A1266" s="233"/>
      <c r="B1266" s="233"/>
    </row>
    <row r="1267">
      <c r="A1267" s="233"/>
      <c r="B1267" s="233"/>
    </row>
    <row r="1268">
      <c r="A1268" s="233"/>
      <c r="B1268" s="233"/>
    </row>
    <row r="1269">
      <c r="A1269" s="233"/>
      <c r="B1269" s="233"/>
    </row>
    <row r="1270">
      <c r="A1270" s="233"/>
      <c r="B1270" s="233"/>
    </row>
    <row r="1271">
      <c r="A1271" s="233"/>
      <c r="B1271" s="233"/>
    </row>
    <row r="1272">
      <c r="A1272" s="233"/>
      <c r="B1272" s="233"/>
    </row>
    <row r="1273">
      <c r="A1273" s="233"/>
      <c r="B1273" s="233"/>
    </row>
    <row r="1274">
      <c r="A1274" s="233"/>
      <c r="B1274" s="233"/>
    </row>
    <row r="1275">
      <c r="A1275" s="233"/>
      <c r="B1275" s="233"/>
    </row>
    <row r="1276">
      <c r="A1276" s="233"/>
      <c r="B1276" s="233"/>
    </row>
    <row r="1277">
      <c r="A1277" s="233"/>
      <c r="B1277" s="233"/>
    </row>
    <row r="1278">
      <c r="A1278" s="233"/>
      <c r="B1278" s="233"/>
    </row>
    <row r="1279">
      <c r="A1279" s="233"/>
      <c r="B1279" s="233"/>
    </row>
    <row r="1280">
      <c r="A1280" s="233"/>
      <c r="B1280" s="233"/>
    </row>
    <row r="1281">
      <c r="A1281" s="233"/>
      <c r="B1281" s="233"/>
    </row>
    <row r="1282">
      <c r="A1282" s="233"/>
      <c r="B1282" s="233"/>
    </row>
    <row r="1283">
      <c r="A1283" s="233"/>
      <c r="B1283" s="233"/>
    </row>
    <row r="1284">
      <c r="A1284" s="233"/>
      <c r="B1284" s="233"/>
    </row>
    <row r="1285">
      <c r="A1285" s="233"/>
      <c r="B1285" s="233"/>
    </row>
    <row r="1286">
      <c r="A1286" s="233"/>
      <c r="B1286" s="233"/>
    </row>
    <row r="1287">
      <c r="A1287" s="233"/>
      <c r="B1287" s="233"/>
    </row>
    <row r="1288">
      <c r="A1288" s="233"/>
      <c r="B1288" s="233"/>
    </row>
    <row r="1289">
      <c r="A1289" s="233"/>
      <c r="B1289" s="233"/>
    </row>
    <row r="1290">
      <c r="A1290" s="233"/>
      <c r="B1290" s="233"/>
    </row>
    <row r="1291">
      <c r="A1291" s="233"/>
      <c r="B1291" s="233"/>
    </row>
    <row r="1292">
      <c r="A1292" s="233"/>
      <c r="B1292" s="233"/>
    </row>
    <row r="1293">
      <c r="A1293" s="233"/>
      <c r="B1293" s="233"/>
    </row>
    <row r="1294">
      <c r="A1294" s="233"/>
      <c r="B1294" s="233"/>
    </row>
    <row r="1295">
      <c r="A1295" s="233"/>
      <c r="B1295" s="233"/>
    </row>
    <row r="1296">
      <c r="A1296" s="233"/>
      <c r="B1296" s="233"/>
    </row>
    <row r="1297">
      <c r="A1297" s="233"/>
      <c r="B1297" s="233"/>
    </row>
    <row r="1298">
      <c r="A1298" s="233"/>
      <c r="B1298" s="233"/>
    </row>
    <row r="1299">
      <c r="A1299" s="233"/>
      <c r="B1299" s="233"/>
    </row>
    <row r="1300">
      <c r="A1300" s="233"/>
      <c r="B1300" s="233"/>
    </row>
    <row r="1301">
      <c r="A1301" s="233"/>
      <c r="B1301" s="233"/>
    </row>
    <row r="1302">
      <c r="A1302" s="233"/>
      <c r="B1302" s="233"/>
    </row>
    <row r="1303">
      <c r="A1303" s="233"/>
      <c r="B1303" s="233"/>
    </row>
    <row r="1304">
      <c r="A1304" s="233"/>
      <c r="B1304" s="233"/>
    </row>
    <row r="1305">
      <c r="A1305" s="233"/>
      <c r="B1305" s="233"/>
    </row>
    <row r="1306">
      <c r="A1306" s="233"/>
      <c r="B1306" s="233"/>
    </row>
    <row r="1307">
      <c r="A1307" s="233"/>
      <c r="B1307" s="233"/>
    </row>
    <row r="1308">
      <c r="A1308" s="233"/>
      <c r="B1308" s="233"/>
    </row>
    <row r="1309">
      <c r="A1309" s="233"/>
      <c r="B1309" s="233"/>
    </row>
    <row r="1310">
      <c r="A1310" s="233"/>
      <c r="B1310" s="233"/>
    </row>
    <row r="1311">
      <c r="A1311" s="233"/>
      <c r="B1311" s="233"/>
    </row>
    <row r="1312">
      <c r="A1312" s="233"/>
      <c r="B1312" s="233"/>
    </row>
    <row r="1313">
      <c r="A1313" s="233"/>
      <c r="B1313" s="233"/>
    </row>
    <row r="1314">
      <c r="A1314" s="233"/>
      <c r="B1314" s="233"/>
    </row>
    <row r="1315">
      <c r="A1315" s="233"/>
      <c r="B1315" s="233"/>
    </row>
    <row r="1316">
      <c r="A1316" s="233"/>
      <c r="B1316" s="233"/>
    </row>
    <row r="1317">
      <c r="A1317" s="233"/>
      <c r="B1317" s="233"/>
    </row>
    <row r="1318">
      <c r="A1318" s="233"/>
      <c r="B1318" s="233"/>
    </row>
    <row r="1319">
      <c r="A1319" s="233"/>
      <c r="B1319" s="233"/>
    </row>
    <row r="1320">
      <c r="A1320" s="233"/>
      <c r="B1320" s="233"/>
    </row>
    <row r="1321">
      <c r="A1321" s="233"/>
      <c r="B1321" s="233"/>
    </row>
    <row r="1322">
      <c r="A1322" s="233"/>
      <c r="B1322" s="233"/>
    </row>
    <row r="1323">
      <c r="A1323" s="233"/>
      <c r="B1323" s="233"/>
    </row>
    <row r="1324">
      <c r="A1324" s="233"/>
      <c r="B1324" s="233"/>
    </row>
    <row r="1325">
      <c r="A1325" s="233"/>
      <c r="B1325" s="233"/>
    </row>
    <row r="1326">
      <c r="A1326" s="233"/>
      <c r="B1326" s="233"/>
    </row>
    <row r="1327">
      <c r="A1327" s="233"/>
      <c r="B1327" s="233"/>
    </row>
    <row r="1328">
      <c r="A1328" s="233"/>
      <c r="B1328" s="233"/>
    </row>
    <row r="1329">
      <c r="A1329" s="233"/>
      <c r="B1329" s="233"/>
    </row>
    <row r="1330">
      <c r="A1330" s="233"/>
      <c r="B1330" s="233"/>
    </row>
    <row r="1331">
      <c r="A1331" s="233"/>
      <c r="B1331" s="233"/>
    </row>
    <row r="1332">
      <c r="A1332" s="233"/>
      <c r="B1332" s="233"/>
    </row>
    <row r="1333">
      <c r="A1333" s="233"/>
      <c r="B1333" s="233"/>
    </row>
    <row r="1334">
      <c r="A1334" s="233"/>
      <c r="B1334" s="233"/>
    </row>
    <row r="1335">
      <c r="A1335" s="233"/>
      <c r="B1335" s="233"/>
    </row>
    <row r="1336">
      <c r="A1336" s="233"/>
      <c r="B1336" s="233"/>
    </row>
    <row r="1337">
      <c r="A1337" s="233"/>
      <c r="B1337" s="233"/>
    </row>
    <row r="1338">
      <c r="A1338" s="233"/>
      <c r="B1338" s="233"/>
    </row>
    <row r="1339">
      <c r="A1339" s="233"/>
      <c r="B1339" s="233"/>
    </row>
    <row r="1340">
      <c r="A1340" s="233"/>
      <c r="B1340" s="233"/>
    </row>
    <row r="1341">
      <c r="A1341" s="233"/>
      <c r="B1341" s="233"/>
    </row>
    <row r="1342">
      <c r="A1342" s="233"/>
      <c r="B1342" s="233"/>
    </row>
    <row r="1343">
      <c r="A1343" s="233"/>
      <c r="B1343" s="233"/>
    </row>
    <row r="1344">
      <c r="A1344" s="233"/>
      <c r="B1344" s="233"/>
    </row>
    <row r="1345">
      <c r="A1345" s="233"/>
      <c r="B1345" s="233"/>
    </row>
    <row r="1346">
      <c r="A1346" s="233"/>
      <c r="B1346" s="233"/>
    </row>
    <row r="1347">
      <c r="A1347" s="233"/>
      <c r="B1347" s="233"/>
    </row>
    <row r="1348">
      <c r="A1348" s="233"/>
      <c r="B1348" s="233"/>
    </row>
    <row r="1349">
      <c r="A1349" s="233"/>
      <c r="B1349" s="233"/>
    </row>
    <row r="1350">
      <c r="A1350" s="233"/>
      <c r="B1350" s="233"/>
    </row>
    <row r="1351">
      <c r="A1351" s="233"/>
      <c r="B1351" s="233"/>
    </row>
    <row r="1352">
      <c r="A1352" s="233"/>
      <c r="B1352" s="233"/>
    </row>
    <row r="1353">
      <c r="A1353" s="233"/>
      <c r="B1353" s="233"/>
    </row>
    <row r="1354">
      <c r="A1354" s="233"/>
      <c r="B1354" s="233"/>
    </row>
    <row r="1355">
      <c r="A1355" s="233"/>
      <c r="B1355" s="233"/>
    </row>
    <row r="1356">
      <c r="A1356" s="233"/>
      <c r="B1356" s="233"/>
    </row>
    <row r="1357">
      <c r="A1357" s="233"/>
      <c r="B1357" s="233"/>
    </row>
    <row r="1358">
      <c r="A1358" s="233"/>
      <c r="B1358" s="233"/>
    </row>
    <row r="1359">
      <c r="A1359" s="233"/>
      <c r="B1359" s="233"/>
    </row>
    <row r="1360">
      <c r="A1360" s="233"/>
      <c r="B1360" s="233"/>
    </row>
    <row r="1361">
      <c r="A1361" s="233"/>
      <c r="B1361" s="233"/>
    </row>
    <row r="1362">
      <c r="A1362" s="233"/>
      <c r="B1362" s="233"/>
    </row>
    <row r="1363">
      <c r="A1363" s="233"/>
      <c r="B1363" s="233"/>
    </row>
    <row r="1364">
      <c r="A1364" s="233"/>
      <c r="B1364" s="233"/>
    </row>
    <row r="1365">
      <c r="A1365" s="233"/>
      <c r="B1365" s="233"/>
    </row>
    <row r="1366">
      <c r="A1366" s="233"/>
      <c r="B1366" s="233"/>
    </row>
    <row r="1367">
      <c r="A1367" s="233"/>
      <c r="B1367" s="233"/>
    </row>
    <row r="1368">
      <c r="A1368" s="233"/>
      <c r="B1368" s="233"/>
    </row>
    <row r="1369">
      <c r="A1369" s="233"/>
      <c r="B1369" s="233"/>
    </row>
    <row r="1370">
      <c r="A1370" s="233"/>
      <c r="B1370" s="233"/>
    </row>
    <row r="1371">
      <c r="A1371" s="233"/>
      <c r="B1371" s="233"/>
    </row>
    <row r="1372">
      <c r="A1372" s="233"/>
      <c r="B1372" s="233"/>
    </row>
    <row r="1373">
      <c r="A1373" s="233"/>
      <c r="B1373" s="233"/>
    </row>
    <row r="1374">
      <c r="A1374" s="233"/>
      <c r="B1374" s="233"/>
    </row>
    <row r="1375">
      <c r="A1375" s="233"/>
      <c r="B1375" s="233"/>
    </row>
    <row r="1376">
      <c r="A1376" s="233"/>
      <c r="B1376" s="233"/>
    </row>
    <row r="1377">
      <c r="A1377" s="233"/>
      <c r="B1377" s="233"/>
    </row>
    <row r="1378">
      <c r="A1378" s="233"/>
      <c r="B1378" s="233"/>
    </row>
    <row r="1379">
      <c r="A1379" s="233"/>
      <c r="B1379" s="233"/>
    </row>
    <row r="1380">
      <c r="A1380" s="233"/>
      <c r="B1380" s="233"/>
    </row>
    <row r="1381">
      <c r="A1381" s="233"/>
      <c r="B1381" s="233"/>
    </row>
    <row r="1382">
      <c r="A1382" s="233"/>
      <c r="B1382" s="233"/>
    </row>
    <row r="1383">
      <c r="A1383" s="233"/>
      <c r="B1383" s="233"/>
    </row>
    <row r="1384">
      <c r="A1384" s="233"/>
      <c r="B1384" s="233"/>
    </row>
    <row r="1385">
      <c r="A1385" s="233"/>
      <c r="B1385" s="233"/>
    </row>
    <row r="1386">
      <c r="A1386" s="233"/>
      <c r="B1386" s="233"/>
    </row>
    <row r="1387">
      <c r="A1387" s="233"/>
      <c r="B1387" s="233"/>
    </row>
    <row r="1388">
      <c r="A1388" s="233"/>
      <c r="B1388" s="233"/>
    </row>
    <row r="1389">
      <c r="A1389" s="233"/>
      <c r="B1389" s="233"/>
    </row>
    <row r="1390">
      <c r="A1390" s="233"/>
      <c r="B1390" s="233"/>
    </row>
    <row r="1391">
      <c r="A1391" s="233"/>
      <c r="B1391" s="233"/>
    </row>
    <row r="1392">
      <c r="A1392" s="233"/>
      <c r="B1392" s="233"/>
    </row>
    <row r="1393">
      <c r="A1393" s="233"/>
      <c r="B1393" s="233"/>
    </row>
    <row r="1394">
      <c r="A1394" s="233"/>
      <c r="B1394" s="233"/>
    </row>
    <row r="1395">
      <c r="A1395" s="233"/>
      <c r="B1395" s="233"/>
    </row>
    <row r="1396">
      <c r="A1396" s="233"/>
      <c r="B1396" s="233"/>
    </row>
    <row r="1397">
      <c r="A1397" s="233"/>
      <c r="B1397" s="233"/>
    </row>
    <row r="1398">
      <c r="A1398" s="233"/>
      <c r="B1398" s="233"/>
    </row>
    <row r="1399">
      <c r="A1399" s="233"/>
      <c r="B1399" s="233"/>
    </row>
    <row r="1400">
      <c r="A1400" s="233"/>
      <c r="B1400" s="233"/>
    </row>
    <row r="1401">
      <c r="A1401" s="233"/>
      <c r="B1401" s="233"/>
    </row>
    <row r="1402">
      <c r="A1402" s="233"/>
      <c r="B1402" s="233"/>
    </row>
    <row r="1403">
      <c r="A1403" s="233"/>
      <c r="B1403" s="233"/>
    </row>
    <row r="1404">
      <c r="A1404" s="233"/>
      <c r="B1404" s="233"/>
    </row>
    <row r="1405">
      <c r="A1405" s="233"/>
      <c r="B1405" s="233"/>
    </row>
    <row r="1406">
      <c r="A1406" s="233"/>
      <c r="B1406" s="233"/>
    </row>
    <row r="1407">
      <c r="A1407" s="233"/>
      <c r="B1407" s="233"/>
    </row>
    <row r="1408">
      <c r="A1408" s="233"/>
      <c r="B1408" s="233"/>
    </row>
    <row r="1409">
      <c r="A1409" s="233"/>
      <c r="B1409" s="233"/>
    </row>
    <row r="1410">
      <c r="A1410" s="233"/>
      <c r="B1410" s="233"/>
    </row>
    <row r="1411">
      <c r="A1411" s="233"/>
      <c r="B1411" s="233"/>
    </row>
    <row r="1412">
      <c r="A1412" s="233"/>
      <c r="B1412" s="233"/>
    </row>
    <row r="1413">
      <c r="A1413" s="233"/>
      <c r="B1413" s="233"/>
    </row>
    <row r="1414">
      <c r="A1414" s="233"/>
      <c r="B1414" s="233"/>
    </row>
    <row r="1415">
      <c r="A1415" s="233"/>
      <c r="B1415" s="233"/>
    </row>
    <row r="1416">
      <c r="A1416" s="233"/>
      <c r="B1416" s="233"/>
    </row>
    <row r="1417">
      <c r="A1417" s="233"/>
      <c r="B1417" s="233"/>
    </row>
    <row r="1418">
      <c r="A1418" s="233"/>
      <c r="B1418" s="233"/>
    </row>
    <row r="1419">
      <c r="A1419" s="233"/>
      <c r="B1419" s="233"/>
    </row>
    <row r="1420">
      <c r="A1420" s="233"/>
      <c r="B1420" s="233"/>
    </row>
    <row r="1421">
      <c r="A1421" s="233"/>
      <c r="B1421" s="233"/>
    </row>
    <row r="1422">
      <c r="A1422" s="233"/>
      <c r="B1422" s="233"/>
    </row>
    <row r="1423">
      <c r="A1423" s="233"/>
      <c r="B1423" s="233"/>
    </row>
    <row r="1424">
      <c r="A1424" s="233"/>
      <c r="B1424" s="233"/>
    </row>
    <row r="1425">
      <c r="A1425" s="233"/>
      <c r="B1425" s="233"/>
    </row>
    <row r="1426">
      <c r="A1426" s="233"/>
      <c r="B1426" s="233"/>
    </row>
    <row r="1427">
      <c r="A1427" s="233"/>
      <c r="B1427" s="233"/>
    </row>
    <row r="1428">
      <c r="A1428" s="233"/>
      <c r="B1428" s="233"/>
    </row>
    <row r="1429">
      <c r="A1429" s="233"/>
      <c r="B1429" s="233"/>
    </row>
    <row r="1430">
      <c r="A1430" s="233"/>
      <c r="B1430" s="233"/>
    </row>
    <row r="1431">
      <c r="A1431" s="233"/>
      <c r="B1431" s="233"/>
    </row>
    <row r="1432">
      <c r="A1432" s="233"/>
      <c r="B1432" s="233"/>
    </row>
    <row r="1433">
      <c r="A1433" s="233"/>
      <c r="B1433" s="233"/>
    </row>
    <row r="1434">
      <c r="A1434" s="233"/>
      <c r="B1434" s="233"/>
    </row>
    <row r="1435">
      <c r="A1435" s="233"/>
      <c r="B1435" s="233"/>
    </row>
    <row r="1436">
      <c r="A1436" s="233"/>
      <c r="B1436" s="233"/>
    </row>
    <row r="1437">
      <c r="A1437" s="233"/>
      <c r="B1437" s="233"/>
    </row>
    <row r="1438">
      <c r="A1438" s="233"/>
      <c r="B1438" s="233"/>
    </row>
    <row r="1439">
      <c r="A1439" s="233"/>
      <c r="B1439" s="233"/>
    </row>
    <row r="1440">
      <c r="A1440" s="233"/>
      <c r="B1440" s="233"/>
    </row>
    <row r="1441">
      <c r="A1441" s="233"/>
      <c r="B1441" s="233"/>
    </row>
    <row r="1442">
      <c r="A1442" s="233"/>
      <c r="B1442" s="233"/>
    </row>
    <row r="1443">
      <c r="A1443" s="233"/>
      <c r="B1443" s="233"/>
    </row>
    <row r="1444">
      <c r="A1444" s="233"/>
      <c r="B1444" s="233"/>
    </row>
    <row r="1445">
      <c r="A1445" s="233"/>
      <c r="B1445" s="233"/>
    </row>
    <row r="1446">
      <c r="A1446" s="233"/>
      <c r="B1446" s="233"/>
    </row>
    <row r="1447">
      <c r="A1447" s="233"/>
      <c r="B1447" s="233"/>
    </row>
    <row r="1448">
      <c r="A1448" s="233"/>
      <c r="B1448" s="233"/>
    </row>
    <row r="1449">
      <c r="A1449" s="233"/>
      <c r="B1449" s="233"/>
    </row>
    <row r="1450">
      <c r="A1450" s="233"/>
      <c r="B1450" s="233"/>
    </row>
    <row r="1451">
      <c r="A1451" s="233"/>
      <c r="B1451" s="233"/>
    </row>
    <row r="1452">
      <c r="A1452" s="233"/>
      <c r="B1452" s="233"/>
    </row>
    <row r="1453">
      <c r="A1453" s="233"/>
      <c r="B1453" s="233"/>
    </row>
    <row r="1454">
      <c r="A1454" s="233"/>
      <c r="B1454" s="233"/>
    </row>
    <row r="1455">
      <c r="A1455" s="233"/>
      <c r="B1455" s="233"/>
    </row>
    <row r="1456">
      <c r="A1456" s="233"/>
      <c r="B1456" s="233"/>
    </row>
    <row r="1457">
      <c r="A1457" s="233"/>
      <c r="B1457" s="233"/>
    </row>
    <row r="1458">
      <c r="A1458" s="233"/>
      <c r="B1458" s="233"/>
    </row>
    <row r="1459">
      <c r="A1459" s="233"/>
      <c r="B1459" s="233"/>
    </row>
    <row r="1460">
      <c r="A1460" s="233"/>
      <c r="B1460" s="233"/>
    </row>
    <row r="1461">
      <c r="A1461" s="233"/>
      <c r="B1461" s="233"/>
    </row>
    <row r="1462">
      <c r="A1462" s="233"/>
      <c r="B1462" s="233"/>
    </row>
    <row r="1463">
      <c r="A1463" s="233"/>
      <c r="B1463" s="233"/>
    </row>
    <row r="1464">
      <c r="A1464" s="233"/>
      <c r="B1464" s="233"/>
    </row>
    <row r="1465">
      <c r="A1465" s="233"/>
      <c r="B1465" s="233"/>
    </row>
    <row r="1466">
      <c r="A1466" s="233"/>
      <c r="B1466" s="233"/>
    </row>
    <row r="1467">
      <c r="A1467" s="233"/>
      <c r="B1467" s="233"/>
    </row>
    <row r="1468">
      <c r="A1468" s="233"/>
      <c r="B1468" s="233"/>
    </row>
    <row r="1469">
      <c r="A1469" s="233"/>
      <c r="B1469" s="233"/>
    </row>
    <row r="1470">
      <c r="A1470" s="233"/>
      <c r="B1470" s="233"/>
    </row>
    <row r="1471">
      <c r="A1471" s="233"/>
      <c r="B1471" s="233"/>
    </row>
    <row r="1472">
      <c r="A1472" s="233"/>
      <c r="B1472" s="233"/>
    </row>
    <row r="1473">
      <c r="A1473" s="233"/>
      <c r="B1473" s="233"/>
    </row>
    <row r="1474">
      <c r="A1474" s="233"/>
      <c r="B1474" s="233"/>
    </row>
    <row r="1475">
      <c r="A1475" s="233"/>
      <c r="B1475" s="233"/>
    </row>
    <row r="1476">
      <c r="A1476" s="233"/>
      <c r="B1476" s="233"/>
    </row>
    <row r="1477">
      <c r="A1477" s="233"/>
      <c r="B1477" s="233"/>
    </row>
    <row r="1478">
      <c r="A1478" s="233"/>
      <c r="B1478" s="233"/>
    </row>
    <row r="1479">
      <c r="A1479" s="233"/>
      <c r="B1479" s="233"/>
    </row>
    <row r="1480">
      <c r="A1480" s="233"/>
      <c r="B1480" s="233"/>
    </row>
    <row r="1481">
      <c r="A1481" s="233"/>
      <c r="B1481" s="233"/>
    </row>
    <row r="1482">
      <c r="A1482" s="233"/>
      <c r="B1482" s="233"/>
    </row>
    <row r="1483">
      <c r="A1483" s="233"/>
      <c r="B1483" s="233"/>
    </row>
    <row r="1484">
      <c r="A1484" s="233"/>
      <c r="B1484" s="233"/>
    </row>
    <row r="1485">
      <c r="A1485" s="233"/>
      <c r="B1485" s="233"/>
    </row>
    <row r="1486">
      <c r="A1486" s="233"/>
      <c r="B1486" s="233"/>
    </row>
    <row r="1487">
      <c r="A1487" s="233"/>
      <c r="B1487" s="233"/>
    </row>
    <row r="1488">
      <c r="A1488" s="233"/>
      <c r="B1488" s="233"/>
    </row>
    <row r="1489">
      <c r="A1489" s="233"/>
      <c r="B1489" s="233"/>
    </row>
    <row r="1490">
      <c r="A1490" s="233"/>
      <c r="B1490" s="233"/>
    </row>
    <row r="1491">
      <c r="A1491" s="233"/>
      <c r="B1491" s="233"/>
    </row>
    <row r="1492">
      <c r="A1492" s="233"/>
      <c r="B1492" s="233"/>
    </row>
    <row r="1493">
      <c r="A1493" s="233"/>
      <c r="B1493" s="233"/>
    </row>
    <row r="1494">
      <c r="A1494" s="233"/>
      <c r="B1494" s="233"/>
    </row>
    <row r="1495">
      <c r="A1495" s="233"/>
      <c r="B1495" s="233"/>
    </row>
    <row r="1496">
      <c r="A1496" s="233"/>
      <c r="B1496" s="233"/>
    </row>
    <row r="1497">
      <c r="A1497" s="233"/>
      <c r="B1497" s="233"/>
    </row>
    <row r="1498">
      <c r="A1498" s="233"/>
      <c r="B1498" s="233"/>
    </row>
    <row r="1499">
      <c r="A1499" s="233"/>
      <c r="B1499" s="233"/>
    </row>
    <row r="1500">
      <c r="A1500" s="233"/>
      <c r="B1500" s="233"/>
    </row>
    <row r="1501">
      <c r="A1501" s="233"/>
      <c r="B1501" s="233"/>
    </row>
    <row r="1502">
      <c r="A1502" s="233"/>
      <c r="B1502" s="233"/>
    </row>
    <row r="1503">
      <c r="A1503" s="233"/>
      <c r="B1503" s="233"/>
    </row>
    <row r="1504">
      <c r="A1504" s="233"/>
      <c r="B1504" s="233"/>
    </row>
    <row r="1505">
      <c r="A1505" s="233"/>
      <c r="B1505" s="233"/>
    </row>
    <row r="1506">
      <c r="A1506" s="233"/>
      <c r="B1506" s="233"/>
    </row>
    <row r="1507">
      <c r="A1507" s="233"/>
      <c r="B1507" s="233"/>
    </row>
    <row r="1508">
      <c r="A1508" s="233"/>
      <c r="B1508" s="233"/>
    </row>
    <row r="1509">
      <c r="A1509" s="233"/>
      <c r="B1509" s="233"/>
    </row>
    <row r="1510">
      <c r="A1510" s="233"/>
      <c r="B1510" s="233"/>
    </row>
    <row r="1511">
      <c r="A1511" s="233"/>
      <c r="B1511" s="233"/>
    </row>
    <row r="1512">
      <c r="A1512" s="233"/>
      <c r="B1512" s="233"/>
    </row>
    <row r="1513">
      <c r="A1513" s="233"/>
      <c r="B1513" s="233"/>
    </row>
    <row r="1514">
      <c r="A1514" s="233"/>
      <c r="B1514" s="233"/>
    </row>
    <row r="1515">
      <c r="A1515" s="233"/>
      <c r="B1515" s="233"/>
    </row>
    <row r="1516">
      <c r="A1516" s="233"/>
      <c r="B1516" s="233"/>
    </row>
    <row r="1517">
      <c r="A1517" s="233"/>
      <c r="B1517" s="233"/>
    </row>
    <row r="1518">
      <c r="A1518" s="233"/>
      <c r="B1518" s="233"/>
    </row>
    <row r="1519">
      <c r="A1519" s="233"/>
      <c r="B1519" s="233"/>
    </row>
    <row r="1520">
      <c r="A1520" s="233"/>
      <c r="B1520" s="233"/>
    </row>
    <row r="1521">
      <c r="A1521" s="233"/>
      <c r="B1521" s="233"/>
    </row>
    <row r="1522">
      <c r="A1522" s="233"/>
      <c r="B1522" s="233"/>
    </row>
    <row r="1523">
      <c r="A1523" s="233"/>
      <c r="B1523" s="233"/>
    </row>
    <row r="1524">
      <c r="A1524" s="233"/>
      <c r="B1524" s="233"/>
    </row>
    <row r="1525">
      <c r="A1525" s="233"/>
      <c r="B1525" s="233"/>
    </row>
    <row r="1526">
      <c r="A1526" s="233"/>
      <c r="B1526" s="233"/>
    </row>
    <row r="1527">
      <c r="A1527" s="233"/>
      <c r="B1527" s="233"/>
    </row>
    <row r="1528">
      <c r="A1528" s="233"/>
      <c r="B1528" s="233"/>
    </row>
    <row r="1529">
      <c r="A1529" s="233"/>
      <c r="B1529" s="233"/>
    </row>
    <row r="1530">
      <c r="A1530" s="233"/>
      <c r="B1530" s="233"/>
    </row>
    <row r="1531">
      <c r="A1531" s="233"/>
      <c r="B1531" s="233"/>
    </row>
    <row r="1532">
      <c r="A1532" s="233"/>
      <c r="B1532" s="233"/>
    </row>
    <row r="1533">
      <c r="A1533" s="233"/>
      <c r="B1533" s="233"/>
    </row>
    <row r="1534">
      <c r="A1534" s="233"/>
      <c r="B1534" s="233"/>
    </row>
    <row r="1535">
      <c r="A1535" s="233"/>
      <c r="B1535" s="233"/>
    </row>
    <row r="1536">
      <c r="A1536" s="233"/>
      <c r="B1536" s="233"/>
    </row>
    <row r="1537">
      <c r="A1537" s="233"/>
      <c r="B1537" s="233"/>
    </row>
    <row r="1538">
      <c r="A1538" s="233"/>
      <c r="B1538" s="233"/>
    </row>
    <row r="1539">
      <c r="A1539" s="233"/>
      <c r="B1539" s="233"/>
    </row>
    <row r="1540">
      <c r="A1540" s="233"/>
      <c r="B1540" s="233"/>
    </row>
    <row r="1541">
      <c r="A1541" s="233"/>
      <c r="B1541" s="233"/>
    </row>
    <row r="1542">
      <c r="A1542" s="233"/>
      <c r="B1542" s="233"/>
    </row>
    <row r="1543">
      <c r="A1543" s="233"/>
      <c r="B1543" s="233"/>
    </row>
    <row r="1544">
      <c r="A1544" s="233"/>
      <c r="B1544" s="233"/>
    </row>
    <row r="1545">
      <c r="A1545" s="233"/>
      <c r="B1545" s="233"/>
    </row>
    <row r="1546">
      <c r="A1546" s="233"/>
      <c r="B1546" s="233"/>
    </row>
    <row r="1547">
      <c r="A1547" s="233"/>
      <c r="B1547" s="233"/>
    </row>
    <row r="1548">
      <c r="A1548" s="233"/>
      <c r="B1548" s="233"/>
    </row>
    <row r="1549">
      <c r="A1549" s="233"/>
      <c r="B1549" s="233"/>
    </row>
    <row r="1550">
      <c r="A1550" s="233"/>
      <c r="B1550" s="233"/>
    </row>
    <row r="1551">
      <c r="A1551" s="233"/>
      <c r="B1551" s="233"/>
    </row>
    <row r="1552">
      <c r="A1552" s="233"/>
      <c r="B1552" s="233"/>
    </row>
    <row r="1553">
      <c r="A1553" s="233"/>
      <c r="B1553" s="233"/>
    </row>
    <row r="1554">
      <c r="A1554" s="233"/>
      <c r="B1554" s="233"/>
    </row>
    <row r="1555">
      <c r="A1555" s="233"/>
      <c r="B1555" s="233"/>
    </row>
    <row r="1556">
      <c r="A1556" s="233"/>
      <c r="B1556" s="233"/>
    </row>
    <row r="1557">
      <c r="A1557" s="233"/>
      <c r="B1557" s="233"/>
    </row>
    <row r="1558">
      <c r="A1558" s="233"/>
      <c r="B1558" s="233"/>
    </row>
    <row r="1559">
      <c r="A1559" s="233"/>
      <c r="B1559" s="233"/>
    </row>
    <row r="1560">
      <c r="A1560" s="233"/>
      <c r="B1560" s="233"/>
    </row>
    <row r="1561">
      <c r="A1561" s="233"/>
      <c r="B1561" s="233"/>
    </row>
    <row r="1562">
      <c r="A1562" s="233"/>
      <c r="B1562" s="233"/>
    </row>
    <row r="1563">
      <c r="A1563" s="233"/>
      <c r="B1563" s="233"/>
    </row>
    <row r="1564">
      <c r="A1564" s="233"/>
      <c r="B1564" s="233"/>
    </row>
    <row r="1565">
      <c r="A1565" s="233"/>
      <c r="B1565" s="233"/>
    </row>
    <row r="1566">
      <c r="A1566" s="233"/>
      <c r="B1566" s="233"/>
    </row>
    <row r="1567">
      <c r="A1567" s="233"/>
      <c r="B1567" s="233"/>
    </row>
    <row r="1568">
      <c r="A1568" s="233"/>
      <c r="B1568" s="233"/>
    </row>
    <row r="1569">
      <c r="A1569" s="233"/>
      <c r="B1569" s="233"/>
    </row>
    <row r="1570">
      <c r="A1570" s="233"/>
      <c r="B1570" s="233"/>
    </row>
    <row r="1571">
      <c r="A1571" s="233"/>
      <c r="B1571" s="233"/>
    </row>
    <row r="1572">
      <c r="A1572" s="233"/>
      <c r="B1572" s="233"/>
    </row>
    <row r="1573">
      <c r="A1573" s="233"/>
      <c r="B1573" s="233"/>
    </row>
    <row r="1574">
      <c r="A1574" s="233"/>
      <c r="B1574" s="233"/>
    </row>
    <row r="1575">
      <c r="A1575" s="233"/>
      <c r="B1575" s="233"/>
    </row>
    <row r="1576">
      <c r="A1576" s="233"/>
      <c r="B1576" s="233"/>
    </row>
    <row r="1577">
      <c r="A1577" s="233"/>
      <c r="B1577" s="233"/>
    </row>
    <row r="1578">
      <c r="A1578" s="233"/>
      <c r="B1578" s="233"/>
    </row>
    <row r="1579">
      <c r="A1579" s="233"/>
      <c r="B1579" s="233"/>
    </row>
    <row r="1580">
      <c r="A1580" s="233"/>
      <c r="B1580" s="233"/>
    </row>
    <row r="1581">
      <c r="A1581" s="233"/>
      <c r="B1581" s="233"/>
    </row>
    <row r="1582">
      <c r="A1582" s="233"/>
      <c r="B1582" s="233"/>
    </row>
    <row r="1583">
      <c r="A1583" s="233"/>
      <c r="B1583" s="233"/>
    </row>
    <row r="1584">
      <c r="A1584" s="233"/>
      <c r="B1584" s="233"/>
    </row>
    <row r="1585">
      <c r="A1585" s="233"/>
      <c r="B1585" s="233"/>
    </row>
    <row r="1586">
      <c r="A1586" s="233"/>
      <c r="B1586" s="233"/>
    </row>
    <row r="1587">
      <c r="A1587" s="233"/>
      <c r="B1587" s="233"/>
    </row>
    <row r="1588">
      <c r="A1588" s="233"/>
      <c r="B1588" s="233"/>
    </row>
    <row r="1589">
      <c r="A1589" s="233"/>
      <c r="B1589" s="233"/>
    </row>
    <row r="1590">
      <c r="A1590" s="233"/>
      <c r="B1590" s="233"/>
    </row>
    <row r="1591">
      <c r="A1591" s="233"/>
      <c r="B1591" s="233"/>
    </row>
    <row r="1592">
      <c r="A1592" s="233"/>
      <c r="B1592" s="233"/>
    </row>
    <row r="1593">
      <c r="A1593" s="233"/>
      <c r="B1593" s="233"/>
    </row>
    <row r="1594">
      <c r="A1594" s="233"/>
      <c r="B1594" s="233"/>
    </row>
    <row r="1595">
      <c r="A1595" s="233"/>
      <c r="B1595" s="233"/>
    </row>
    <row r="1596">
      <c r="A1596" s="233"/>
      <c r="B1596" s="233"/>
    </row>
    <row r="1597">
      <c r="A1597" s="233"/>
      <c r="B1597" s="233"/>
    </row>
    <row r="1598">
      <c r="A1598" s="233"/>
      <c r="B1598" s="233"/>
    </row>
    <row r="1599">
      <c r="A1599" s="233"/>
      <c r="B1599" s="233"/>
    </row>
    <row r="1600">
      <c r="A1600" s="233"/>
      <c r="B1600" s="233"/>
    </row>
    <row r="1601">
      <c r="A1601" s="233"/>
      <c r="B1601" s="233"/>
    </row>
    <row r="1602">
      <c r="A1602" s="233"/>
      <c r="B1602" s="233"/>
    </row>
    <row r="1603">
      <c r="A1603" s="233"/>
      <c r="B1603" s="233"/>
    </row>
    <row r="1604">
      <c r="A1604" s="233"/>
      <c r="B1604" s="233"/>
    </row>
    <row r="1605">
      <c r="A1605" s="233"/>
      <c r="B1605" s="233"/>
    </row>
    <row r="1606">
      <c r="A1606" s="233"/>
      <c r="B1606" s="233"/>
    </row>
    <row r="1607">
      <c r="A1607" s="233"/>
      <c r="B1607" s="233"/>
    </row>
    <row r="1608">
      <c r="A1608" s="233"/>
      <c r="B1608" s="233"/>
    </row>
    <row r="1609">
      <c r="A1609" s="233"/>
      <c r="B1609" s="233"/>
    </row>
    <row r="1610">
      <c r="A1610" s="233"/>
      <c r="B1610" s="233"/>
    </row>
    <row r="1611">
      <c r="A1611" s="233"/>
      <c r="B1611" s="233"/>
    </row>
    <row r="1612">
      <c r="A1612" s="233"/>
      <c r="B1612" s="233"/>
    </row>
    <row r="1613">
      <c r="A1613" s="233"/>
      <c r="B1613" s="233"/>
    </row>
    <row r="1614">
      <c r="A1614" s="233"/>
      <c r="B1614" s="233"/>
    </row>
    <row r="1615">
      <c r="A1615" s="233"/>
      <c r="B1615" s="233"/>
    </row>
    <row r="1616">
      <c r="A1616" s="233"/>
      <c r="B1616" s="233"/>
    </row>
    <row r="1617">
      <c r="A1617" s="233"/>
      <c r="B1617" s="233"/>
    </row>
    <row r="1618">
      <c r="A1618" s="233"/>
      <c r="B1618" s="233"/>
    </row>
    <row r="1619">
      <c r="A1619" s="233"/>
      <c r="B1619" s="233"/>
    </row>
    <row r="1620">
      <c r="A1620" s="233"/>
      <c r="B1620" s="233"/>
    </row>
    <row r="1621">
      <c r="A1621" s="233"/>
      <c r="B1621" s="233"/>
    </row>
    <row r="1622">
      <c r="A1622" s="233"/>
      <c r="B1622" s="233"/>
    </row>
    <row r="1623">
      <c r="A1623" s="233"/>
      <c r="B1623" s="233"/>
    </row>
    <row r="1624">
      <c r="A1624" s="233"/>
      <c r="B1624" s="233"/>
    </row>
    <row r="1625">
      <c r="A1625" s="233"/>
      <c r="B1625" s="233"/>
    </row>
    <row r="1626">
      <c r="A1626" s="233"/>
      <c r="B1626" s="233"/>
    </row>
    <row r="1627">
      <c r="A1627" s="233"/>
      <c r="B1627" s="233"/>
    </row>
    <row r="1628">
      <c r="A1628" s="233"/>
      <c r="B1628" s="233"/>
    </row>
    <row r="1629">
      <c r="A1629" s="233"/>
      <c r="B1629" s="233"/>
    </row>
    <row r="1630">
      <c r="A1630" s="233"/>
      <c r="B1630" s="233"/>
    </row>
    <row r="1631">
      <c r="A1631" s="233"/>
      <c r="B1631" s="233"/>
    </row>
    <row r="1632">
      <c r="A1632" s="233"/>
      <c r="B1632" s="233"/>
    </row>
    <row r="1633">
      <c r="A1633" s="233"/>
      <c r="B1633" s="233"/>
    </row>
    <row r="1634">
      <c r="A1634" s="233"/>
      <c r="B1634" s="233"/>
    </row>
    <row r="1635">
      <c r="A1635" s="233"/>
      <c r="B1635" s="233"/>
    </row>
    <row r="1636">
      <c r="A1636" s="233"/>
      <c r="B1636" s="233"/>
    </row>
    <row r="1637">
      <c r="A1637" s="233"/>
      <c r="B1637" s="233"/>
    </row>
    <row r="1638">
      <c r="A1638" s="233"/>
      <c r="B1638" s="233"/>
    </row>
    <row r="1639">
      <c r="A1639" s="233"/>
      <c r="B1639" s="233"/>
    </row>
    <row r="1640">
      <c r="A1640" s="233"/>
      <c r="B1640" s="233"/>
    </row>
    <row r="1641">
      <c r="A1641" s="233"/>
      <c r="B1641" s="233"/>
    </row>
    <row r="1642">
      <c r="A1642" s="233"/>
      <c r="B1642" s="233"/>
    </row>
    <row r="1643">
      <c r="A1643" s="233"/>
      <c r="B1643" s="233"/>
    </row>
    <row r="1644">
      <c r="A1644" s="233"/>
      <c r="B1644" s="233"/>
    </row>
    <row r="1645">
      <c r="A1645" s="233"/>
      <c r="B1645" s="233"/>
    </row>
    <row r="1646">
      <c r="A1646" s="233"/>
      <c r="B1646" s="233"/>
    </row>
    <row r="1647">
      <c r="A1647" s="233"/>
      <c r="B1647" s="233"/>
    </row>
    <row r="1648">
      <c r="A1648" s="233"/>
      <c r="B1648" s="233"/>
    </row>
    <row r="1649">
      <c r="A1649" s="233"/>
      <c r="B1649" s="233"/>
    </row>
    <row r="1650">
      <c r="A1650" s="233"/>
      <c r="B1650" s="233"/>
    </row>
    <row r="1651">
      <c r="A1651" s="233"/>
      <c r="B1651" s="233"/>
    </row>
    <row r="1652">
      <c r="A1652" s="233"/>
      <c r="B1652" s="233"/>
    </row>
    <row r="1653">
      <c r="A1653" s="233"/>
      <c r="B1653" s="233"/>
    </row>
    <row r="1654">
      <c r="A1654" s="233"/>
      <c r="B1654" s="233"/>
    </row>
    <row r="1655">
      <c r="A1655" s="233"/>
      <c r="B1655" s="233"/>
    </row>
    <row r="1656">
      <c r="A1656" s="233"/>
      <c r="B1656" s="233"/>
    </row>
    <row r="1657">
      <c r="A1657" s="233"/>
      <c r="B1657" s="233"/>
    </row>
    <row r="1658">
      <c r="A1658" s="233"/>
      <c r="B1658" s="233"/>
    </row>
    <row r="1659">
      <c r="A1659" s="233"/>
      <c r="B1659" s="233"/>
    </row>
    <row r="1660">
      <c r="A1660" s="233"/>
      <c r="B1660" s="233"/>
    </row>
    <row r="1661">
      <c r="A1661" s="233"/>
      <c r="B1661" s="233"/>
    </row>
    <row r="1662">
      <c r="A1662" s="233"/>
      <c r="B1662" s="233"/>
    </row>
    <row r="1663">
      <c r="A1663" s="233"/>
      <c r="B1663" s="233"/>
    </row>
    <row r="1664">
      <c r="A1664" s="233"/>
      <c r="B1664" s="233"/>
    </row>
    <row r="1665">
      <c r="A1665" s="233"/>
      <c r="B1665" s="233"/>
    </row>
    <row r="1666">
      <c r="A1666" s="233"/>
      <c r="B1666" s="233"/>
    </row>
    <row r="1667">
      <c r="A1667" s="233"/>
      <c r="B1667" s="233"/>
    </row>
    <row r="1668">
      <c r="A1668" s="233"/>
      <c r="B1668" s="233"/>
    </row>
    <row r="1669">
      <c r="A1669" s="233"/>
      <c r="B1669" s="233"/>
    </row>
    <row r="1670">
      <c r="A1670" s="233"/>
      <c r="B1670" s="233"/>
    </row>
    <row r="1671">
      <c r="A1671" s="233"/>
      <c r="B1671" s="233"/>
    </row>
    <row r="1672">
      <c r="A1672" s="233"/>
      <c r="B1672" s="233"/>
    </row>
    <row r="1673">
      <c r="A1673" s="233"/>
      <c r="B1673" s="233"/>
    </row>
    <row r="1674">
      <c r="A1674" s="233"/>
      <c r="B1674" s="233"/>
    </row>
    <row r="1675">
      <c r="A1675" s="233"/>
      <c r="B1675" s="233"/>
    </row>
    <row r="1676">
      <c r="A1676" s="233"/>
      <c r="B1676" s="233"/>
    </row>
    <row r="1677">
      <c r="A1677" s="233"/>
      <c r="B1677" s="233"/>
    </row>
    <row r="1678">
      <c r="A1678" s="233"/>
      <c r="B1678" s="233"/>
    </row>
    <row r="1679">
      <c r="A1679" s="233"/>
      <c r="B1679" s="233"/>
    </row>
    <row r="1680">
      <c r="A1680" s="233"/>
      <c r="B1680" s="233"/>
    </row>
    <row r="1681">
      <c r="A1681" s="233"/>
      <c r="B1681" s="233"/>
    </row>
    <row r="1682">
      <c r="A1682" s="233"/>
      <c r="B1682" s="233"/>
    </row>
    <row r="1683">
      <c r="A1683" s="233"/>
      <c r="B1683" s="233"/>
    </row>
    <row r="1684">
      <c r="A1684" s="233"/>
      <c r="B1684" s="233"/>
    </row>
    <row r="1685">
      <c r="A1685" s="233"/>
      <c r="B1685" s="233"/>
    </row>
    <row r="1686">
      <c r="A1686" s="233"/>
      <c r="B1686" s="233"/>
    </row>
    <row r="1687">
      <c r="A1687" s="233"/>
      <c r="B1687" s="233"/>
    </row>
    <row r="1688">
      <c r="A1688" s="233"/>
      <c r="B1688" s="233"/>
    </row>
    <row r="1689">
      <c r="A1689" s="233"/>
      <c r="B1689" s="233"/>
    </row>
    <row r="1690">
      <c r="A1690" s="233"/>
      <c r="B1690" s="233"/>
    </row>
    <row r="1691">
      <c r="A1691" s="233"/>
      <c r="B1691" s="233"/>
    </row>
    <row r="1692">
      <c r="A1692" s="233"/>
      <c r="B1692" s="233"/>
    </row>
    <row r="1693">
      <c r="A1693" s="233"/>
      <c r="B1693" s="233"/>
    </row>
    <row r="1694">
      <c r="A1694" s="233"/>
      <c r="B1694" s="233"/>
    </row>
    <row r="1695">
      <c r="A1695" s="233"/>
      <c r="B1695" s="233"/>
    </row>
    <row r="1696">
      <c r="A1696" s="233"/>
      <c r="B1696" s="233"/>
    </row>
    <row r="1697">
      <c r="A1697" s="233"/>
      <c r="B1697" s="233"/>
    </row>
    <row r="1698">
      <c r="A1698" s="233"/>
      <c r="B1698" s="233"/>
    </row>
    <row r="1699">
      <c r="A1699" s="233"/>
      <c r="B1699" s="233"/>
    </row>
    <row r="1700">
      <c r="A1700" s="233"/>
      <c r="B1700" s="233"/>
    </row>
    <row r="1701">
      <c r="A1701" s="233"/>
      <c r="B1701" s="233"/>
    </row>
    <row r="1702">
      <c r="A1702" s="233"/>
      <c r="B1702" s="233"/>
    </row>
    <row r="1703">
      <c r="A1703" s="233"/>
      <c r="B1703" s="233"/>
    </row>
    <row r="1704">
      <c r="A1704" s="233"/>
      <c r="B1704" s="233"/>
    </row>
    <row r="1705">
      <c r="A1705" s="233"/>
      <c r="B1705" s="233"/>
    </row>
    <row r="1706">
      <c r="A1706" s="233"/>
      <c r="B1706" s="233"/>
    </row>
    <row r="1707">
      <c r="A1707" s="233"/>
      <c r="B1707" s="233"/>
    </row>
    <row r="1708">
      <c r="A1708" s="233"/>
      <c r="B1708" s="233"/>
    </row>
    <row r="1709">
      <c r="A1709" s="233"/>
      <c r="B1709" s="233"/>
    </row>
    <row r="1710">
      <c r="A1710" s="233"/>
      <c r="B1710" s="233"/>
    </row>
    <row r="1711">
      <c r="A1711" s="233"/>
      <c r="B1711" s="233"/>
    </row>
    <row r="1712">
      <c r="A1712" s="233"/>
      <c r="B1712" s="233"/>
    </row>
    <row r="1713">
      <c r="A1713" s="233"/>
      <c r="B1713" s="233"/>
    </row>
    <row r="1714">
      <c r="A1714" s="233"/>
      <c r="B1714" s="233"/>
    </row>
    <row r="1715">
      <c r="A1715" s="233"/>
      <c r="B1715" s="233"/>
    </row>
    <row r="1716">
      <c r="A1716" s="233"/>
      <c r="B1716" s="233"/>
    </row>
    <row r="1717">
      <c r="A1717" s="233"/>
      <c r="B1717" s="233"/>
    </row>
    <row r="1718">
      <c r="A1718" s="233"/>
      <c r="B1718" s="233"/>
    </row>
    <row r="1719">
      <c r="A1719" s="233"/>
      <c r="B1719" s="233"/>
    </row>
    <row r="1720">
      <c r="A1720" s="233"/>
      <c r="B1720" s="233"/>
    </row>
    <row r="1721">
      <c r="A1721" s="233"/>
      <c r="B1721" s="233"/>
    </row>
    <row r="1722">
      <c r="A1722" s="233"/>
      <c r="B1722" s="233"/>
    </row>
    <row r="1723">
      <c r="A1723" s="233"/>
      <c r="B1723" s="233"/>
    </row>
    <row r="1724">
      <c r="A1724" s="233"/>
      <c r="B1724" s="233"/>
    </row>
    <row r="1725">
      <c r="A1725" s="233"/>
      <c r="B1725" s="233"/>
    </row>
    <row r="1726">
      <c r="A1726" s="233"/>
      <c r="B1726" s="233"/>
    </row>
    <row r="1727">
      <c r="A1727" s="233"/>
      <c r="B1727" s="233"/>
    </row>
    <row r="1728">
      <c r="A1728" s="233"/>
      <c r="B1728" s="233"/>
    </row>
    <row r="1729">
      <c r="A1729" s="233"/>
      <c r="B1729" s="233"/>
    </row>
    <row r="1730">
      <c r="A1730" s="233"/>
      <c r="B1730" s="233"/>
    </row>
    <row r="1731">
      <c r="A1731" s="233"/>
      <c r="B1731" s="233"/>
    </row>
    <row r="1732">
      <c r="A1732" s="233"/>
      <c r="B1732" s="233"/>
    </row>
    <row r="1733">
      <c r="A1733" s="233"/>
      <c r="B1733" s="233"/>
    </row>
    <row r="1734">
      <c r="A1734" s="233"/>
      <c r="B1734" s="233"/>
    </row>
    <row r="1735">
      <c r="A1735" s="233"/>
      <c r="B1735" s="233"/>
    </row>
    <row r="1736">
      <c r="A1736" s="233"/>
      <c r="B1736" s="233"/>
    </row>
    <row r="1737">
      <c r="A1737" s="233"/>
      <c r="B1737" s="233"/>
    </row>
    <row r="1738">
      <c r="A1738" s="233"/>
      <c r="B1738" s="233"/>
    </row>
    <row r="1739">
      <c r="A1739" s="233"/>
      <c r="B1739" s="233"/>
    </row>
    <row r="1740">
      <c r="A1740" s="233"/>
      <c r="B1740" s="233"/>
    </row>
    <row r="1741">
      <c r="A1741" s="233"/>
      <c r="B1741" s="233"/>
    </row>
    <row r="1742">
      <c r="A1742" s="233"/>
      <c r="B1742" s="233"/>
    </row>
    <row r="1743">
      <c r="A1743" s="233"/>
      <c r="B1743" s="233"/>
    </row>
    <row r="1744">
      <c r="A1744" s="233"/>
      <c r="B1744" s="233"/>
    </row>
    <row r="1745">
      <c r="A1745" s="233"/>
      <c r="B1745" s="233"/>
    </row>
    <row r="1746">
      <c r="A1746" s="233"/>
      <c r="B1746" s="233"/>
    </row>
    <row r="1747">
      <c r="A1747" s="233"/>
      <c r="B1747" s="233"/>
    </row>
    <row r="1748">
      <c r="A1748" s="233"/>
      <c r="B1748" s="233"/>
    </row>
    <row r="1749">
      <c r="A1749" s="233"/>
      <c r="B1749" s="233"/>
    </row>
    <row r="1750">
      <c r="A1750" s="233"/>
      <c r="B1750" s="233"/>
    </row>
    <row r="1751">
      <c r="A1751" s="233"/>
      <c r="B1751" s="233"/>
    </row>
    <row r="1752">
      <c r="A1752" s="233"/>
      <c r="B1752" s="233"/>
    </row>
    <row r="1753">
      <c r="A1753" s="233"/>
      <c r="B1753" s="233"/>
    </row>
    <row r="1754">
      <c r="A1754" s="233"/>
      <c r="B1754" s="233"/>
    </row>
    <row r="1755">
      <c r="A1755" s="233"/>
      <c r="B1755" s="233"/>
    </row>
    <row r="1756">
      <c r="A1756" s="233"/>
      <c r="B1756" s="233"/>
    </row>
    <row r="1757">
      <c r="A1757" s="233"/>
      <c r="B1757" s="233"/>
    </row>
    <row r="1758">
      <c r="A1758" s="233"/>
      <c r="B1758" s="233"/>
    </row>
    <row r="1759">
      <c r="A1759" s="233"/>
      <c r="B1759" s="233"/>
    </row>
    <row r="1760">
      <c r="A1760" s="233"/>
      <c r="B1760" s="233"/>
    </row>
    <row r="1761">
      <c r="A1761" s="233"/>
      <c r="B1761" s="233"/>
    </row>
    <row r="1762">
      <c r="A1762" s="233"/>
      <c r="B1762" s="233"/>
    </row>
    <row r="1763">
      <c r="A1763" s="233"/>
      <c r="B1763" s="233"/>
    </row>
    <row r="1764">
      <c r="A1764" s="233"/>
      <c r="B1764" s="233"/>
    </row>
    <row r="1765">
      <c r="A1765" s="233"/>
      <c r="B1765" s="233"/>
    </row>
    <row r="1766">
      <c r="A1766" s="233"/>
      <c r="B1766" s="233"/>
    </row>
    <row r="1767">
      <c r="A1767" s="233"/>
      <c r="B1767" s="233"/>
    </row>
    <row r="1768">
      <c r="A1768" s="233"/>
      <c r="B1768" s="233"/>
    </row>
    <row r="1769">
      <c r="A1769" s="233"/>
      <c r="B1769" s="233"/>
    </row>
    <row r="1770">
      <c r="A1770" s="233"/>
      <c r="B1770" s="233"/>
    </row>
    <row r="1771">
      <c r="A1771" s="233"/>
      <c r="B1771" s="233"/>
    </row>
    <row r="1772">
      <c r="A1772" s="233"/>
      <c r="B1772" s="233"/>
    </row>
    <row r="1773">
      <c r="A1773" s="233"/>
      <c r="B1773" s="233"/>
    </row>
    <row r="1774">
      <c r="A1774" s="233"/>
      <c r="B1774" s="233"/>
    </row>
    <row r="1775">
      <c r="A1775" s="233"/>
      <c r="B1775" s="233"/>
    </row>
    <row r="1776">
      <c r="A1776" s="233"/>
      <c r="B1776" s="233"/>
    </row>
    <row r="1777">
      <c r="A1777" s="233"/>
      <c r="B1777" s="233"/>
    </row>
    <row r="1778">
      <c r="A1778" s="233"/>
      <c r="B1778" s="233"/>
    </row>
    <row r="1779">
      <c r="A1779" s="233"/>
      <c r="B1779" s="233"/>
    </row>
    <row r="1780">
      <c r="A1780" s="233"/>
      <c r="B1780" s="233"/>
    </row>
    <row r="1781">
      <c r="A1781" s="233"/>
      <c r="B1781" s="233"/>
    </row>
    <row r="1782">
      <c r="A1782" s="233"/>
      <c r="B1782" s="233"/>
    </row>
    <row r="1783">
      <c r="A1783" s="233"/>
      <c r="B1783" s="233"/>
    </row>
    <row r="1784">
      <c r="A1784" s="233"/>
      <c r="B1784" s="233"/>
    </row>
    <row r="1785">
      <c r="A1785" s="233"/>
      <c r="B1785" s="233"/>
    </row>
    <row r="1786">
      <c r="A1786" s="233"/>
      <c r="B1786" s="233"/>
    </row>
    <row r="1787">
      <c r="A1787" s="233"/>
      <c r="B1787" s="233"/>
    </row>
    <row r="1788">
      <c r="A1788" s="233"/>
      <c r="B1788" s="233"/>
    </row>
    <row r="1789">
      <c r="A1789" s="233"/>
      <c r="B1789" s="233"/>
    </row>
    <row r="1790">
      <c r="A1790" s="233"/>
      <c r="B1790" s="233"/>
    </row>
    <row r="1791">
      <c r="A1791" s="233"/>
      <c r="B1791" s="233"/>
    </row>
    <row r="1792">
      <c r="A1792" s="233"/>
      <c r="B1792" s="233"/>
    </row>
    <row r="1793">
      <c r="A1793" s="233"/>
      <c r="B1793" s="233"/>
    </row>
    <row r="1794">
      <c r="A1794" s="233"/>
      <c r="B1794" s="233"/>
    </row>
    <row r="1795">
      <c r="A1795" s="233"/>
      <c r="B1795" s="233"/>
    </row>
    <row r="1796">
      <c r="A1796" s="233"/>
      <c r="B1796" s="233"/>
    </row>
    <row r="1797">
      <c r="A1797" s="233"/>
      <c r="B1797" s="233"/>
    </row>
    <row r="1798">
      <c r="A1798" s="233"/>
      <c r="B1798" s="233"/>
    </row>
    <row r="1799">
      <c r="A1799" s="233"/>
      <c r="B1799" s="233"/>
    </row>
    <row r="1800">
      <c r="A1800" s="233"/>
      <c r="B1800" s="233"/>
    </row>
    <row r="1801">
      <c r="A1801" s="233"/>
      <c r="B1801" s="233"/>
    </row>
    <row r="1802">
      <c r="A1802" s="233"/>
      <c r="B1802" s="233"/>
    </row>
    <row r="1803">
      <c r="A1803" s="233"/>
      <c r="B1803" s="233"/>
    </row>
    <row r="1804">
      <c r="A1804" s="233"/>
      <c r="B1804" s="233"/>
    </row>
    <row r="1805">
      <c r="A1805" s="233"/>
      <c r="B1805" s="233"/>
    </row>
    <row r="1806">
      <c r="A1806" s="233"/>
      <c r="B1806" s="233"/>
    </row>
    <row r="1807">
      <c r="A1807" s="233"/>
      <c r="B1807" s="233"/>
    </row>
    <row r="1808">
      <c r="A1808" s="233"/>
      <c r="B1808" s="233"/>
    </row>
    <row r="1809">
      <c r="A1809" s="233"/>
      <c r="B1809" s="233"/>
    </row>
    <row r="1810">
      <c r="A1810" s="233"/>
      <c r="B1810" s="233"/>
    </row>
    <row r="1811">
      <c r="A1811" s="233"/>
      <c r="B1811" s="233"/>
    </row>
    <row r="1812">
      <c r="A1812" s="233"/>
      <c r="B1812" s="233"/>
    </row>
    <row r="1813">
      <c r="A1813" s="233"/>
      <c r="B1813" s="233"/>
    </row>
    <row r="1814">
      <c r="A1814" s="233"/>
      <c r="B1814" s="233"/>
    </row>
    <row r="1815">
      <c r="A1815" s="233"/>
      <c r="B1815" s="233"/>
    </row>
    <row r="1816">
      <c r="A1816" s="233"/>
      <c r="B1816" s="233"/>
    </row>
    <row r="1817">
      <c r="A1817" s="233"/>
      <c r="B1817" s="233"/>
    </row>
    <row r="1818">
      <c r="A1818" s="233"/>
      <c r="B1818" s="233"/>
    </row>
    <row r="1819">
      <c r="A1819" s="233"/>
      <c r="B1819" s="233"/>
    </row>
    <row r="1820">
      <c r="A1820" s="233"/>
      <c r="B1820" s="233"/>
    </row>
    <row r="1821">
      <c r="A1821" s="233"/>
      <c r="B1821" s="233"/>
    </row>
    <row r="1822">
      <c r="A1822" s="233"/>
      <c r="B1822" s="233"/>
    </row>
    <row r="1823">
      <c r="A1823" s="233"/>
      <c r="B1823" s="233"/>
    </row>
    <row r="1824">
      <c r="A1824" s="233"/>
      <c r="B1824" s="233"/>
    </row>
    <row r="1825">
      <c r="A1825" s="233"/>
      <c r="B1825" s="233"/>
    </row>
    <row r="1826">
      <c r="A1826" s="233"/>
      <c r="B1826" s="233"/>
    </row>
    <row r="1827">
      <c r="A1827" s="233"/>
      <c r="B1827" s="233"/>
    </row>
    <row r="1828">
      <c r="A1828" s="233"/>
      <c r="B1828" s="233"/>
    </row>
    <row r="1829">
      <c r="A1829" s="233"/>
      <c r="B1829" s="233"/>
    </row>
    <row r="1830">
      <c r="A1830" s="233"/>
      <c r="B1830" s="233"/>
    </row>
    <row r="1831">
      <c r="A1831" s="233"/>
      <c r="B1831" s="233"/>
    </row>
    <row r="1832">
      <c r="A1832" s="233"/>
      <c r="B1832" s="233"/>
    </row>
    <row r="1833">
      <c r="A1833" s="233"/>
      <c r="B1833" s="233"/>
    </row>
    <row r="1834">
      <c r="A1834" s="233"/>
      <c r="B1834" s="233"/>
    </row>
    <row r="1835">
      <c r="A1835" s="233"/>
      <c r="B1835" s="233"/>
    </row>
    <row r="1836">
      <c r="A1836" s="233"/>
      <c r="B1836" s="233"/>
    </row>
    <row r="1837">
      <c r="A1837" s="233"/>
      <c r="B1837" s="233"/>
    </row>
    <row r="1838">
      <c r="A1838" s="233"/>
      <c r="B1838" s="233"/>
    </row>
    <row r="1839">
      <c r="A1839" s="233"/>
      <c r="B1839" s="233"/>
    </row>
    <row r="1840">
      <c r="A1840" s="233"/>
      <c r="B1840" s="233"/>
    </row>
    <row r="1841">
      <c r="A1841" s="233"/>
      <c r="B1841" s="233"/>
    </row>
    <row r="1842">
      <c r="A1842" s="233"/>
      <c r="B1842" s="233"/>
    </row>
    <row r="1843">
      <c r="A1843" s="233"/>
      <c r="B1843" s="233"/>
    </row>
    <row r="1844">
      <c r="A1844" s="233"/>
      <c r="B1844" s="233"/>
    </row>
    <row r="1845">
      <c r="A1845" s="233"/>
      <c r="B1845" s="233"/>
    </row>
    <row r="1846">
      <c r="A1846" s="233"/>
      <c r="B1846" s="233"/>
    </row>
    <row r="1847">
      <c r="A1847" s="233"/>
      <c r="B1847" s="233"/>
    </row>
    <row r="1848">
      <c r="A1848" s="233"/>
      <c r="B1848" s="233"/>
    </row>
    <row r="1849">
      <c r="A1849" s="233"/>
      <c r="B1849" s="233"/>
    </row>
    <row r="1850">
      <c r="A1850" s="233"/>
      <c r="B1850" s="233"/>
    </row>
    <row r="1851">
      <c r="A1851" s="233"/>
      <c r="B1851" s="233"/>
    </row>
    <row r="1852">
      <c r="A1852" s="233"/>
      <c r="B1852" s="233"/>
    </row>
    <row r="1853">
      <c r="A1853" s="233"/>
      <c r="B1853" s="233"/>
    </row>
    <row r="1854">
      <c r="A1854" s="233"/>
      <c r="B1854" s="233"/>
    </row>
    <row r="1855">
      <c r="A1855" s="233"/>
      <c r="B1855" s="233"/>
    </row>
    <row r="1856">
      <c r="A1856" s="233"/>
      <c r="B1856" s="233"/>
    </row>
    <row r="1857">
      <c r="A1857" s="233"/>
      <c r="B1857" s="233"/>
    </row>
    <row r="1858">
      <c r="A1858" s="233"/>
      <c r="B1858" s="233"/>
    </row>
    <row r="1859">
      <c r="A1859" s="233"/>
      <c r="B1859" s="233"/>
    </row>
    <row r="1860">
      <c r="A1860" s="233"/>
      <c r="B1860" s="233"/>
    </row>
    <row r="1861">
      <c r="A1861" s="233"/>
      <c r="B1861" s="233"/>
    </row>
    <row r="1862">
      <c r="A1862" s="233"/>
      <c r="B1862" s="233"/>
    </row>
    <row r="1863">
      <c r="A1863" s="233"/>
      <c r="B1863" s="233"/>
    </row>
    <row r="1864">
      <c r="A1864" s="233"/>
      <c r="B1864" s="233"/>
    </row>
    <row r="1865">
      <c r="A1865" s="233"/>
      <c r="B1865" s="233"/>
    </row>
    <row r="1866">
      <c r="A1866" s="233"/>
      <c r="B1866" s="233"/>
    </row>
    <row r="1867">
      <c r="A1867" s="233"/>
      <c r="B1867" s="233"/>
    </row>
    <row r="1868">
      <c r="A1868" s="233"/>
      <c r="B1868" s="233"/>
    </row>
    <row r="1869">
      <c r="A1869" s="233"/>
      <c r="B1869" s="233"/>
    </row>
    <row r="1870">
      <c r="A1870" s="233"/>
      <c r="B1870" s="233"/>
    </row>
    <row r="1871">
      <c r="A1871" s="233"/>
      <c r="B1871" s="233"/>
    </row>
    <row r="1872">
      <c r="A1872" s="233"/>
      <c r="B1872" s="233"/>
    </row>
    <row r="1873">
      <c r="A1873" s="233"/>
      <c r="B1873" s="233"/>
    </row>
    <row r="1874">
      <c r="A1874" s="233"/>
      <c r="B1874" s="233"/>
    </row>
    <row r="1875">
      <c r="A1875" s="233"/>
      <c r="B1875" s="233"/>
    </row>
    <row r="1876">
      <c r="A1876" s="233"/>
      <c r="B1876" s="233"/>
    </row>
    <row r="1877">
      <c r="A1877" s="233"/>
      <c r="B1877" s="233"/>
    </row>
    <row r="1878">
      <c r="A1878" s="233"/>
      <c r="B1878" s="233"/>
    </row>
    <row r="1879">
      <c r="A1879" s="233"/>
      <c r="B1879" s="233"/>
    </row>
    <row r="1880">
      <c r="A1880" s="233"/>
      <c r="B1880" s="233"/>
    </row>
    <row r="1881">
      <c r="A1881" s="233"/>
      <c r="B1881" s="233"/>
    </row>
    <row r="1882">
      <c r="A1882" s="233"/>
      <c r="B1882" s="233"/>
    </row>
    <row r="1883">
      <c r="A1883" s="233"/>
      <c r="B1883" s="233"/>
    </row>
    <row r="1884">
      <c r="A1884" s="233"/>
      <c r="B1884" s="233"/>
    </row>
    <row r="1885">
      <c r="A1885" s="233"/>
      <c r="B1885" s="233"/>
    </row>
    <row r="1886">
      <c r="A1886" s="233"/>
      <c r="B1886" s="233"/>
    </row>
    <row r="1887">
      <c r="A1887" s="233"/>
      <c r="B1887" s="233"/>
    </row>
    <row r="1888">
      <c r="A1888" s="233"/>
      <c r="B1888" s="233"/>
    </row>
    <row r="1889">
      <c r="A1889" s="233"/>
      <c r="B1889" s="233"/>
    </row>
    <row r="1890">
      <c r="A1890" s="233"/>
      <c r="B1890" s="233"/>
    </row>
    <row r="1891">
      <c r="A1891" s="233"/>
      <c r="B1891" s="233"/>
    </row>
    <row r="1892">
      <c r="A1892" s="233"/>
      <c r="B1892" s="233"/>
    </row>
    <row r="1893">
      <c r="A1893" s="233"/>
      <c r="B1893" s="233"/>
    </row>
    <row r="1894">
      <c r="A1894" s="233"/>
      <c r="B1894" s="233"/>
    </row>
    <row r="1895">
      <c r="A1895" s="233"/>
      <c r="B1895" s="233"/>
    </row>
    <row r="1896">
      <c r="A1896" s="233"/>
      <c r="B1896" s="233"/>
    </row>
    <row r="1897">
      <c r="A1897" s="233"/>
      <c r="B1897" s="233"/>
    </row>
    <row r="1898">
      <c r="A1898" s="233"/>
      <c r="B1898" s="233"/>
    </row>
    <row r="1899">
      <c r="A1899" s="233"/>
      <c r="B1899" s="233"/>
    </row>
    <row r="1900">
      <c r="A1900" s="233"/>
      <c r="B1900" s="233"/>
    </row>
    <row r="1901">
      <c r="A1901" s="233"/>
      <c r="B1901" s="233"/>
    </row>
    <row r="1902">
      <c r="A1902" s="233"/>
      <c r="B1902" s="233"/>
    </row>
    <row r="1903">
      <c r="A1903" s="233"/>
      <c r="B1903" s="233"/>
    </row>
    <row r="1904">
      <c r="A1904" s="233"/>
      <c r="B1904" s="233"/>
    </row>
    <row r="1905">
      <c r="A1905" s="233"/>
      <c r="B1905" s="233"/>
    </row>
    <row r="1906">
      <c r="A1906" s="233"/>
      <c r="B1906" s="233"/>
    </row>
    <row r="1907">
      <c r="A1907" s="233"/>
      <c r="B1907" s="233"/>
    </row>
    <row r="1908">
      <c r="A1908" s="233"/>
      <c r="B1908" s="233"/>
    </row>
    <row r="1909">
      <c r="A1909" s="233"/>
      <c r="B1909" s="233"/>
    </row>
    <row r="1910">
      <c r="A1910" s="233"/>
      <c r="B1910" s="233"/>
    </row>
    <row r="1911">
      <c r="A1911" s="233"/>
      <c r="B1911" s="233"/>
    </row>
    <row r="1912">
      <c r="A1912" s="233"/>
      <c r="B1912" s="233"/>
    </row>
    <row r="1913">
      <c r="A1913" s="233"/>
      <c r="B1913" s="233"/>
    </row>
    <row r="1914">
      <c r="A1914" s="233"/>
      <c r="B1914" s="233"/>
    </row>
    <row r="1915">
      <c r="A1915" s="233"/>
      <c r="B1915" s="233"/>
    </row>
    <row r="1916">
      <c r="A1916" s="233"/>
      <c r="B1916" s="233"/>
    </row>
    <row r="1917">
      <c r="A1917" s="233"/>
      <c r="B1917" s="233"/>
    </row>
    <row r="1918">
      <c r="A1918" s="233"/>
      <c r="B1918" s="233"/>
    </row>
    <row r="1919">
      <c r="A1919" s="233"/>
      <c r="B1919" s="233"/>
    </row>
    <row r="1920">
      <c r="A1920" s="233"/>
      <c r="B1920" s="233"/>
    </row>
    <row r="1921">
      <c r="A1921" s="233"/>
      <c r="B1921" s="233"/>
    </row>
    <row r="1922">
      <c r="A1922" s="233"/>
      <c r="B1922" s="233"/>
    </row>
    <row r="1923">
      <c r="A1923" s="233"/>
      <c r="B1923" s="233"/>
    </row>
    <row r="1924">
      <c r="A1924" s="233"/>
      <c r="B1924" s="233"/>
    </row>
    <row r="1925">
      <c r="A1925" s="233"/>
      <c r="B1925" s="233"/>
    </row>
    <row r="1926">
      <c r="A1926" s="233"/>
      <c r="B1926" s="233"/>
    </row>
    <row r="1927">
      <c r="A1927" s="233"/>
      <c r="B1927" s="233"/>
    </row>
    <row r="1928">
      <c r="A1928" s="233"/>
      <c r="B1928" s="233"/>
    </row>
    <row r="1929">
      <c r="A1929" s="233"/>
      <c r="B1929" s="233"/>
    </row>
    <row r="1930">
      <c r="A1930" s="233"/>
      <c r="B1930" s="233"/>
    </row>
    <row r="1931">
      <c r="A1931" s="233"/>
      <c r="B1931" s="233"/>
    </row>
    <row r="1932">
      <c r="A1932" s="233"/>
      <c r="B1932" s="233"/>
    </row>
    <row r="1933">
      <c r="A1933" s="233"/>
      <c r="B1933" s="233"/>
    </row>
    <row r="1934">
      <c r="A1934" s="233"/>
      <c r="B1934" s="233"/>
    </row>
    <row r="1935">
      <c r="A1935" s="233"/>
      <c r="B1935" s="233"/>
    </row>
    <row r="1936">
      <c r="A1936" s="233"/>
      <c r="B1936" s="233"/>
    </row>
    <row r="1937">
      <c r="A1937" s="233"/>
      <c r="B1937" s="233"/>
    </row>
    <row r="1938">
      <c r="A1938" s="233"/>
      <c r="B1938" s="233"/>
    </row>
    <row r="1939">
      <c r="A1939" s="233"/>
      <c r="B1939" s="233"/>
    </row>
    <row r="1940">
      <c r="A1940" s="233"/>
      <c r="B1940" s="233"/>
    </row>
    <row r="1941">
      <c r="A1941" s="233"/>
      <c r="B1941" s="233"/>
    </row>
    <row r="1942">
      <c r="A1942" s="233"/>
      <c r="B1942" s="233"/>
    </row>
    <row r="1943">
      <c r="A1943" s="233"/>
      <c r="B1943" s="233"/>
    </row>
    <row r="1944">
      <c r="A1944" s="233"/>
      <c r="B1944" s="233"/>
    </row>
    <row r="1945">
      <c r="A1945" s="233"/>
      <c r="B1945" s="233"/>
    </row>
    <row r="1946">
      <c r="A1946" s="233"/>
      <c r="B1946" s="233"/>
    </row>
    <row r="1947">
      <c r="A1947" s="233"/>
      <c r="B1947" s="233"/>
    </row>
    <row r="1948">
      <c r="A1948" s="233"/>
      <c r="B1948" s="233"/>
    </row>
    <row r="1949">
      <c r="A1949" s="233"/>
      <c r="B1949" s="233"/>
    </row>
    <row r="1950">
      <c r="A1950" s="233"/>
      <c r="B1950" s="233"/>
    </row>
    <row r="1951">
      <c r="A1951" s="233"/>
      <c r="B1951" s="233"/>
    </row>
    <row r="1952">
      <c r="A1952" s="233"/>
      <c r="B1952" s="233"/>
    </row>
    <row r="1953">
      <c r="A1953" s="233"/>
      <c r="B1953" s="233"/>
    </row>
    <row r="1954">
      <c r="A1954" s="233"/>
      <c r="B1954" s="233"/>
    </row>
    <row r="1955">
      <c r="A1955" s="233"/>
      <c r="B1955" s="233"/>
    </row>
    <row r="1956">
      <c r="A1956" s="233"/>
      <c r="B1956" s="233"/>
    </row>
    <row r="1957">
      <c r="A1957" s="233"/>
      <c r="B1957" s="233"/>
    </row>
    <row r="1958">
      <c r="A1958" s="233"/>
      <c r="B1958" s="233"/>
    </row>
    <row r="1959">
      <c r="A1959" s="233"/>
      <c r="B1959" s="233"/>
    </row>
    <row r="1960">
      <c r="A1960" s="233"/>
      <c r="B1960" s="233"/>
    </row>
    <row r="1961">
      <c r="A1961" s="233"/>
      <c r="B1961" s="233"/>
    </row>
    <row r="1962">
      <c r="A1962" s="233"/>
      <c r="B1962" s="233"/>
    </row>
    <row r="1963">
      <c r="A1963" s="233"/>
      <c r="B1963" s="233"/>
    </row>
    <row r="1964">
      <c r="A1964" s="233"/>
      <c r="B1964" s="233"/>
    </row>
    <row r="1965">
      <c r="A1965" s="233"/>
      <c r="B1965" s="233"/>
    </row>
    <row r="1966">
      <c r="A1966" s="233"/>
      <c r="B1966" s="233"/>
    </row>
    <row r="1967">
      <c r="A1967" s="233"/>
      <c r="B1967" s="233"/>
    </row>
    <row r="1968">
      <c r="A1968" s="233"/>
      <c r="B1968" s="233"/>
    </row>
    <row r="1969">
      <c r="A1969" s="233"/>
      <c r="B1969" s="233"/>
    </row>
    <row r="1970">
      <c r="A1970" s="233"/>
      <c r="B1970" s="233"/>
    </row>
    <row r="1971">
      <c r="A1971" s="233"/>
      <c r="B1971" s="233"/>
    </row>
    <row r="1972">
      <c r="A1972" s="233"/>
      <c r="B1972" s="233"/>
    </row>
    <row r="1973">
      <c r="A1973" s="233"/>
      <c r="B1973" s="233"/>
    </row>
    <row r="1974">
      <c r="A1974" s="233"/>
      <c r="B1974" s="233"/>
    </row>
    <row r="1975">
      <c r="A1975" s="233"/>
      <c r="B1975" s="233"/>
    </row>
    <row r="1976">
      <c r="A1976" s="233"/>
      <c r="B1976" s="233"/>
    </row>
    <row r="1977">
      <c r="A1977" s="233"/>
      <c r="B1977" s="233"/>
    </row>
    <row r="1978">
      <c r="A1978" s="233"/>
      <c r="B1978" s="233"/>
    </row>
    <row r="1979">
      <c r="A1979" s="233"/>
      <c r="B1979" s="233"/>
    </row>
    <row r="1980">
      <c r="A1980" s="233"/>
      <c r="B1980" s="233"/>
    </row>
    <row r="1981">
      <c r="A1981" s="233"/>
      <c r="B1981" s="233"/>
    </row>
    <row r="1982">
      <c r="A1982" s="233"/>
      <c r="B1982" s="233"/>
    </row>
    <row r="1983">
      <c r="A1983" s="233"/>
      <c r="B1983" s="233"/>
    </row>
    <row r="1984">
      <c r="A1984" s="233"/>
      <c r="B1984" s="233"/>
    </row>
    <row r="1985">
      <c r="A1985" s="233"/>
      <c r="B1985" s="233"/>
    </row>
    <row r="1986">
      <c r="A1986" s="233"/>
      <c r="B1986" s="233"/>
    </row>
    <row r="1987">
      <c r="A1987" s="233"/>
      <c r="B1987" s="233"/>
    </row>
    <row r="1988">
      <c r="A1988" s="233"/>
      <c r="B1988" s="233"/>
    </row>
    <row r="1989">
      <c r="A1989" s="233"/>
      <c r="B1989" s="233"/>
    </row>
    <row r="1990">
      <c r="A1990" s="233"/>
      <c r="B1990" s="233"/>
    </row>
    <row r="1991">
      <c r="A1991" s="233"/>
      <c r="B1991" s="233"/>
    </row>
    <row r="1992">
      <c r="A1992" s="233"/>
      <c r="B1992" s="233"/>
    </row>
    <row r="1993">
      <c r="A1993" s="233"/>
      <c r="B1993" s="233"/>
    </row>
    <row r="1994">
      <c r="A1994" s="233"/>
      <c r="B1994" s="233"/>
    </row>
    <row r="1995">
      <c r="A1995" s="233"/>
      <c r="B1995" s="233"/>
    </row>
    <row r="1996">
      <c r="A1996" s="233"/>
      <c r="B1996" s="233"/>
    </row>
    <row r="1997">
      <c r="A1997" s="233"/>
      <c r="B1997" s="233"/>
    </row>
    <row r="1998">
      <c r="A1998" s="233"/>
      <c r="B1998" s="233"/>
    </row>
    <row r="1999">
      <c r="A1999" s="233"/>
      <c r="B1999" s="233"/>
    </row>
    <row r="2000">
      <c r="A2000" s="233"/>
      <c r="B2000" s="233"/>
    </row>
    <row r="2001">
      <c r="A2001" s="233"/>
      <c r="B2001" s="233"/>
    </row>
    <row r="2002">
      <c r="A2002" s="233"/>
      <c r="B2002" s="233"/>
    </row>
    <row r="2003">
      <c r="A2003" s="233"/>
      <c r="B2003" s="233"/>
    </row>
    <row r="2004">
      <c r="A2004" s="233"/>
      <c r="B2004" s="233"/>
    </row>
    <row r="2005">
      <c r="A2005" s="233"/>
      <c r="B2005" s="233"/>
    </row>
    <row r="2006">
      <c r="A2006" s="233"/>
      <c r="B2006" s="233"/>
    </row>
    <row r="2007">
      <c r="A2007" s="233"/>
      <c r="B2007" s="233"/>
    </row>
    <row r="2008">
      <c r="A2008" s="233"/>
      <c r="B2008" s="233"/>
    </row>
    <row r="2009">
      <c r="A2009" s="233"/>
      <c r="B2009" s="233"/>
    </row>
    <row r="2010">
      <c r="A2010" s="233"/>
      <c r="B2010" s="233"/>
    </row>
    <row r="2011">
      <c r="A2011" s="233"/>
      <c r="B2011" s="233"/>
    </row>
    <row r="2012">
      <c r="A2012" s="233"/>
      <c r="B2012" s="233"/>
    </row>
    <row r="2013">
      <c r="A2013" s="233"/>
      <c r="B2013" s="233"/>
    </row>
    <row r="2014">
      <c r="A2014" s="233"/>
      <c r="B2014" s="233"/>
    </row>
    <row r="2015">
      <c r="A2015" s="233"/>
      <c r="B2015" s="233"/>
    </row>
    <row r="2016">
      <c r="A2016" s="233"/>
      <c r="B2016" s="233"/>
    </row>
    <row r="2017">
      <c r="A2017" s="233"/>
      <c r="B2017" s="233"/>
    </row>
    <row r="2018">
      <c r="A2018" s="233"/>
      <c r="B2018" s="233"/>
    </row>
    <row r="2019">
      <c r="A2019" s="233"/>
      <c r="B2019" s="233"/>
    </row>
    <row r="2020">
      <c r="A2020" s="233"/>
      <c r="B2020" s="233"/>
    </row>
    <row r="2021">
      <c r="A2021" s="233"/>
      <c r="B2021" s="233"/>
    </row>
    <row r="2022">
      <c r="A2022" s="233"/>
      <c r="B2022" s="233"/>
    </row>
    <row r="2023">
      <c r="A2023" s="233"/>
      <c r="B2023" s="233"/>
    </row>
    <row r="2024">
      <c r="A2024" s="233"/>
      <c r="B2024" s="233"/>
    </row>
    <row r="2025">
      <c r="A2025" s="233"/>
      <c r="B2025" s="233"/>
    </row>
    <row r="2026">
      <c r="A2026" s="233"/>
      <c r="B2026" s="233"/>
    </row>
    <row r="2027">
      <c r="A2027" s="233"/>
      <c r="B2027" s="233"/>
    </row>
    <row r="2028">
      <c r="A2028" s="233"/>
      <c r="B2028" s="233"/>
    </row>
    <row r="2029">
      <c r="A2029" s="233"/>
      <c r="B2029" s="233"/>
    </row>
    <row r="2030">
      <c r="A2030" s="233"/>
      <c r="B2030" s="233"/>
    </row>
    <row r="2031">
      <c r="A2031" s="233"/>
      <c r="B2031" s="233"/>
    </row>
    <row r="2032">
      <c r="A2032" s="233"/>
      <c r="B2032" s="233"/>
    </row>
    <row r="2033">
      <c r="A2033" s="233"/>
      <c r="B2033" s="233"/>
    </row>
    <row r="2034">
      <c r="A2034" s="233"/>
      <c r="B2034" s="233"/>
    </row>
    <row r="2035">
      <c r="A2035" s="233"/>
      <c r="B2035" s="233"/>
    </row>
    <row r="2036">
      <c r="A2036" s="233"/>
      <c r="B2036" s="233"/>
    </row>
    <row r="2037">
      <c r="A2037" s="233"/>
      <c r="B2037" s="233"/>
    </row>
    <row r="2038">
      <c r="A2038" s="233"/>
      <c r="B2038" s="233"/>
    </row>
    <row r="2039">
      <c r="A2039" s="233"/>
      <c r="B2039" s="233"/>
    </row>
    <row r="2040">
      <c r="A2040" s="233"/>
      <c r="B2040" s="233"/>
    </row>
    <row r="2041">
      <c r="A2041" s="233"/>
      <c r="B2041" s="233"/>
    </row>
    <row r="2042">
      <c r="A2042" s="233"/>
      <c r="B2042" s="233"/>
    </row>
    <row r="2043">
      <c r="A2043" s="233"/>
      <c r="B2043" s="233"/>
    </row>
    <row r="2044">
      <c r="A2044" s="233"/>
      <c r="B2044" s="233"/>
    </row>
    <row r="2045">
      <c r="A2045" s="233"/>
      <c r="B2045" s="233"/>
    </row>
    <row r="2046">
      <c r="A2046" s="233"/>
      <c r="B2046" s="233"/>
    </row>
    <row r="2047">
      <c r="A2047" s="233"/>
      <c r="B2047" s="233"/>
    </row>
    <row r="2048">
      <c r="A2048" s="233"/>
      <c r="B2048" s="233"/>
    </row>
    <row r="2049">
      <c r="A2049" s="233"/>
      <c r="B2049" s="233"/>
    </row>
    <row r="2050">
      <c r="A2050" s="233"/>
      <c r="B2050" s="233"/>
    </row>
    <row r="2051">
      <c r="A2051" s="233"/>
      <c r="B2051" s="233"/>
    </row>
    <row r="2052">
      <c r="A2052" s="233"/>
      <c r="B2052" s="233"/>
    </row>
    <row r="2053">
      <c r="A2053" s="233"/>
      <c r="B2053" s="233"/>
    </row>
    <row r="2054">
      <c r="A2054" s="233"/>
      <c r="B2054" s="233"/>
    </row>
    <row r="2055">
      <c r="A2055" s="233"/>
      <c r="B2055" s="233"/>
    </row>
    <row r="2056">
      <c r="A2056" s="233"/>
      <c r="B2056" s="233"/>
    </row>
    <row r="2057">
      <c r="A2057" s="233"/>
      <c r="B2057" s="233"/>
    </row>
    <row r="2058">
      <c r="A2058" s="233"/>
      <c r="B2058" s="233"/>
    </row>
    <row r="2059">
      <c r="A2059" s="233"/>
      <c r="B2059" s="233"/>
    </row>
    <row r="2060">
      <c r="A2060" s="233"/>
      <c r="B2060" s="233"/>
    </row>
    <row r="2061">
      <c r="A2061" s="233"/>
      <c r="B2061" s="233"/>
    </row>
    <row r="2062">
      <c r="A2062" s="233"/>
      <c r="B2062" s="233"/>
    </row>
    <row r="2063">
      <c r="A2063" s="233"/>
      <c r="B2063" s="233"/>
    </row>
    <row r="2064">
      <c r="A2064" s="233"/>
      <c r="B2064" s="233"/>
    </row>
    <row r="2065">
      <c r="A2065" s="233"/>
      <c r="B2065" s="233"/>
    </row>
    <row r="2066">
      <c r="A2066" s="233"/>
      <c r="B2066" s="233"/>
    </row>
    <row r="2067">
      <c r="A2067" s="233"/>
      <c r="B2067" s="233"/>
    </row>
    <row r="2068">
      <c r="A2068" s="233"/>
      <c r="B2068" s="233"/>
    </row>
    <row r="2069">
      <c r="A2069" s="233"/>
      <c r="B2069" s="233"/>
    </row>
    <row r="2070">
      <c r="A2070" s="233"/>
      <c r="B2070" s="233"/>
    </row>
    <row r="2071">
      <c r="A2071" s="233"/>
      <c r="B2071" s="233"/>
    </row>
    <row r="2072">
      <c r="A2072" s="233"/>
      <c r="B2072" s="233"/>
    </row>
    <row r="2073">
      <c r="A2073" s="233"/>
      <c r="B2073" s="233"/>
    </row>
    <row r="2074">
      <c r="A2074" s="233"/>
      <c r="B2074" s="233"/>
    </row>
    <row r="2075">
      <c r="A2075" s="233"/>
      <c r="B2075" s="233"/>
    </row>
    <row r="2076">
      <c r="A2076" s="233"/>
      <c r="B2076" s="233"/>
    </row>
    <row r="2077">
      <c r="A2077" s="233"/>
      <c r="B2077" s="233"/>
    </row>
    <row r="2078">
      <c r="A2078" s="233"/>
      <c r="B2078" s="233"/>
    </row>
    <row r="2079">
      <c r="A2079" s="233"/>
      <c r="B2079" s="233"/>
    </row>
    <row r="2080">
      <c r="A2080" s="233"/>
      <c r="B2080" s="233"/>
    </row>
    <row r="2081">
      <c r="A2081" s="233"/>
      <c r="B2081" s="233"/>
    </row>
    <row r="2082">
      <c r="A2082" s="233"/>
      <c r="B2082" s="233"/>
    </row>
    <row r="2083">
      <c r="A2083" s="233"/>
      <c r="B2083" s="233"/>
    </row>
    <row r="2084">
      <c r="A2084" s="233"/>
      <c r="B2084" s="233"/>
    </row>
    <row r="2085">
      <c r="A2085" s="233"/>
      <c r="B2085" s="233"/>
    </row>
    <row r="2086">
      <c r="A2086" s="233"/>
      <c r="B2086" s="233"/>
    </row>
    <row r="2087">
      <c r="A2087" s="233"/>
      <c r="B2087" s="233"/>
    </row>
    <row r="2088">
      <c r="A2088" s="233"/>
      <c r="B2088" s="233"/>
    </row>
    <row r="2089">
      <c r="A2089" s="233"/>
      <c r="B2089" s="233"/>
    </row>
    <row r="2090">
      <c r="A2090" s="233"/>
      <c r="B2090" s="233"/>
    </row>
    <row r="2091">
      <c r="A2091" s="233"/>
      <c r="B2091" s="233"/>
    </row>
    <row r="2092">
      <c r="A2092" s="233"/>
      <c r="B2092" s="233"/>
    </row>
    <row r="2093">
      <c r="A2093" s="233"/>
      <c r="B2093" s="233"/>
    </row>
    <row r="2094">
      <c r="A2094" s="233"/>
      <c r="B2094" s="233"/>
    </row>
    <row r="2095">
      <c r="A2095" s="233"/>
      <c r="B2095" s="233"/>
    </row>
    <row r="2096">
      <c r="A2096" s="233"/>
      <c r="B2096" s="233"/>
    </row>
    <row r="2097">
      <c r="A2097" s="233"/>
      <c r="B2097" s="233"/>
    </row>
    <row r="2098">
      <c r="A2098" s="233"/>
      <c r="B2098" s="233"/>
    </row>
    <row r="2099">
      <c r="A2099" s="233"/>
      <c r="B2099" s="233"/>
    </row>
    <row r="2100">
      <c r="A2100" s="233"/>
      <c r="B2100" s="233"/>
    </row>
    <row r="2101">
      <c r="A2101" s="233"/>
      <c r="B2101" s="233"/>
    </row>
    <row r="2102">
      <c r="A2102" s="233"/>
      <c r="B2102" s="233"/>
    </row>
    <row r="2103">
      <c r="A2103" s="233"/>
      <c r="B2103" s="233"/>
    </row>
    <row r="2104">
      <c r="A2104" s="233"/>
      <c r="B2104" s="233"/>
    </row>
    <row r="2105">
      <c r="A2105" s="233"/>
      <c r="B2105" s="233"/>
    </row>
    <row r="2106">
      <c r="A2106" s="233"/>
      <c r="B2106" s="233"/>
    </row>
    <row r="2107">
      <c r="A2107" s="233"/>
      <c r="B2107" s="233"/>
    </row>
    <row r="2108">
      <c r="A2108" s="233"/>
      <c r="B2108" s="233"/>
    </row>
    <row r="2109">
      <c r="A2109" s="233"/>
      <c r="B2109" s="233"/>
    </row>
    <row r="2110">
      <c r="A2110" s="233"/>
      <c r="B2110" s="233"/>
    </row>
    <row r="2111">
      <c r="A2111" s="233"/>
      <c r="B2111" s="233"/>
    </row>
    <row r="2112">
      <c r="A2112" s="233"/>
      <c r="B2112" s="233"/>
    </row>
    <row r="2113">
      <c r="A2113" s="233"/>
      <c r="B2113" s="233"/>
    </row>
    <row r="2114">
      <c r="A2114" s="233"/>
      <c r="B2114" s="233"/>
    </row>
    <row r="2115">
      <c r="A2115" s="233"/>
      <c r="B2115" s="233"/>
    </row>
    <row r="2116">
      <c r="A2116" s="233"/>
      <c r="B2116" s="233"/>
    </row>
    <row r="2117">
      <c r="A2117" s="233"/>
      <c r="B2117" s="233"/>
    </row>
    <row r="2118">
      <c r="A2118" s="233"/>
      <c r="B2118" s="233"/>
    </row>
    <row r="2119">
      <c r="A2119" s="233"/>
      <c r="B2119" s="233"/>
    </row>
    <row r="2120">
      <c r="A2120" s="233"/>
      <c r="B2120" s="233"/>
    </row>
    <row r="2121">
      <c r="A2121" s="233"/>
      <c r="B2121" s="233"/>
    </row>
    <row r="2122">
      <c r="A2122" s="233"/>
      <c r="B2122" s="233"/>
    </row>
    <row r="2123">
      <c r="A2123" s="233"/>
      <c r="B2123" s="233"/>
    </row>
    <row r="2124">
      <c r="A2124" s="233"/>
      <c r="B2124" s="233"/>
    </row>
    <row r="2125">
      <c r="A2125" s="233"/>
      <c r="B2125" s="233"/>
    </row>
    <row r="2126">
      <c r="A2126" s="233"/>
      <c r="B2126" s="233"/>
    </row>
    <row r="2127">
      <c r="A2127" s="233"/>
      <c r="B2127" s="233"/>
    </row>
    <row r="2128">
      <c r="A2128" s="233"/>
      <c r="B2128" s="233"/>
    </row>
    <row r="2129">
      <c r="A2129" s="233"/>
      <c r="B2129" s="233"/>
    </row>
    <row r="2130">
      <c r="A2130" s="233"/>
      <c r="B2130" s="233"/>
    </row>
    <row r="2131">
      <c r="A2131" s="233"/>
      <c r="B2131" s="233"/>
    </row>
    <row r="2132">
      <c r="A2132" s="233"/>
      <c r="B2132" s="233"/>
    </row>
    <row r="2133">
      <c r="A2133" s="233"/>
      <c r="B2133" s="233"/>
    </row>
    <row r="2134">
      <c r="A2134" s="233"/>
      <c r="B2134" s="233"/>
    </row>
    <row r="2135">
      <c r="A2135" s="233"/>
      <c r="B2135" s="233"/>
    </row>
    <row r="2136">
      <c r="A2136" s="233"/>
      <c r="B2136" s="233"/>
    </row>
    <row r="2137">
      <c r="A2137" s="233"/>
      <c r="B2137" s="233"/>
    </row>
    <row r="2138">
      <c r="A2138" s="233"/>
      <c r="B2138" s="233"/>
    </row>
    <row r="2139">
      <c r="A2139" s="233"/>
      <c r="B2139" s="233"/>
    </row>
    <row r="2140">
      <c r="A2140" s="233"/>
      <c r="B2140" s="233"/>
    </row>
    <row r="2141">
      <c r="A2141" s="233"/>
      <c r="B2141" s="233"/>
    </row>
    <row r="2142">
      <c r="A2142" s="233"/>
      <c r="B2142" s="233"/>
    </row>
    <row r="2143">
      <c r="A2143" s="233"/>
      <c r="B2143" s="233"/>
    </row>
    <row r="2144">
      <c r="A2144" s="233"/>
      <c r="B2144" s="233"/>
    </row>
    <row r="2145">
      <c r="A2145" s="233"/>
      <c r="B2145" s="233"/>
    </row>
    <row r="2146">
      <c r="A2146" s="233"/>
      <c r="B2146" s="233"/>
    </row>
    <row r="2147">
      <c r="A2147" s="233"/>
      <c r="B2147" s="233"/>
    </row>
    <row r="2148">
      <c r="A2148" s="233"/>
      <c r="B2148" s="233"/>
    </row>
    <row r="2149">
      <c r="A2149" s="233"/>
      <c r="B2149" s="233"/>
    </row>
    <row r="2150">
      <c r="A2150" s="233"/>
      <c r="B2150" s="233"/>
    </row>
    <row r="2151">
      <c r="A2151" s="233"/>
      <c r="B2151" s="233"/>
    </row>
    <row r="2152">
      <c r="A2152" s="233"/>
      <c r="B2152" s="233"/>
    </row>
    <row r="2153">
      <c r="A2153" s="233"/>
      <c r="B2153" s="233"/>
    </row>
    <row r="2154">
      <c r="A2154" s="233"/>
      <c r="B2154" s="233"/>
    </row>
    <row r="2155">
      <c r="A2155" s="233"/>
      <c r="B2155" s="233"/>
    </row>
    <row r="2156">
      <c r="A2156" s="233"/>
      <c r="B2156" s="233"/>
    </row>
    <row r="2157">
      <c r="A2157" s="233"/>
      <c r="B2157" s="233"/>
    </row>
    <row r="2158">
      <c r="A2158" s="233"/>
      <c r="B2158" s="233"/>
    </row>
    <row r="2159">
      <c r="A2159" s="233"/>
      <c r="B2159" s="233"/>
    </row>
    <row r="2160">
      <c r="A2160" s="233"/>
      <c r="B2160" s="233"/>
    </row>
    <row r="2161">
      <c r="A2161" s="233"/>
      <c r="B2161" s="233"/>
    </row>
    <row r="2162">
      <c r="A2162" s="233"/>
      <c r="B2162" s="233"/>
    </row>
    <row r="2163">
      <c r="A2163" s="233"/>
      <c r="B2163" s="233"/>
    </row>
  </sheetData>
  <drawing r:id="rId1"/>
</worksheet>
</file>